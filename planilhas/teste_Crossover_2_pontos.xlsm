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defaultThemeVersion="124226"/>
  <bookViews>
    <workbookView xWindow="360" yWindow="300" windowWidth="18735" windowHeight="11700" tabRatio="520"/>
  </bookViews>
  <sheets>
    <sheet name="Teste" sheetId="21" r:id="rId1"/>
    <sheet name="Teste de mesa" sheetId="23" r:id="rId2"/>
    <sheet name="Índices Globais" sheetId="24" r:id="rId3"/>
    <sheet name="Teste Gene a Gene - Serial" sheetId="25" r:id="rId4"/>
    <sheet name="Comparação dos códigos" sheetId="26" r:id="rId5"/>
  </sheets>
  <definedNames>
    <definedName name="_xlnm._FilterDatabase" localSheetId="0" hidden="1">Teste!$A$349:$BC$449</definedName>
    <definedName name="C_programa">#REF!</definedName>
    <definedName name="cPrograma">#REF!</definedName>
    <definedName name="Diferenca_Passo8">#REF!</definedName>
    <definedName name="H">#REF!</definedName>
    <definedName name="M">#REF!</definedName>
    <definedName name="M_passo7">#REF!</definedName>
    <definedName name="M2Excel">#REF!</definedName>
    <definedName name="M2pgm">#REF!</definedName>
    <definedName name="matrizA">#REF!</definedName>
    <definedName name="matrizB">#REF!</definedName>
    <definedName name="numGenes">'Teste de mesa'!$B$1</definedName>
    <definedName name="resultadoExcel">#REF!</definedName>
    <definedName name="resultadoPGM">#REF!</definedName>
    <definedName name="rExcel">#REF!</definedName>
    <definedName name="rho_X_I">#REF!</definedName>
    <definedName name="rPrograma">#REF!</definedName>
    <definedName name="V_Passo8">#REF!</definedName>
    <definedName name="V_Passo8_Excel">#REF!</definedName>
    <definedName name="vetorB">#REF!</definedName>
    <definedName name="X">#REF!</definedName>
  </definedNames>
  <calcPr calcId="125725"/>
</workbook>
</file>

<file path=xl/calcChain.xml><?xml version="1.0" encoding="utf-8"?>
<calcChain xmlns="http://schemas.openxmlformats.org/spreadsheetml/2006/main">
  <c r="F236" i="21"/>
  <c r="F235"/>
  <c r="D448" s="1"/>
  <c r="F234"/>
  <c r="F233"/>
  <c r="D446" s="1"/>
  <c r="F232"/>
  <c r="D445" s="1"/>
  <c r="F231"/>
  <c r="D444" s="1"/>
  <c r="F230"/>
  <c r="F229"/>
  <c r="D442" s="1"/>
  <c r="F228"/>
  <c r="D441" s="1"/>
  <c r="F227"/>
  <c r="D440" s="1"/>
  <c r="F226"/>
  <c r="F225"/>
  <c r="D438" s="1"/>
  <c r="F224"/>
  <c r="D437" s="1"/>
  <c r="F223"/>
  <c r="D436" s="1"/>
  <c r="F222"/>
  <c r="F221"/>
  <c r="D434" s="1"/>
  <c r="F220"/>
  <c r="D433" s="1"/>
  <c r="F219"/>
  <c r="D432" s="1"/>
  <c r="F218"/>
  <c r="F217"/>
  <c r="D430" s="1"/>
  <c r="F216"/>
  <c r="D429" s="1"/>
  <c r="F215"/>
  <c r="D428" s="1"/>
  <c r="F214"/>
  <c r="F213"/>
  <c r="D426" s="1"/>
  <c r="F212"/>
  <c r="D425" s="1"/>
  <c r="F211"/>
  <c r="D424" s="1"/>
  <c r="F210"/>
  <c r="F209"/>
  <c r="D422" s="1"/>
  <c r="F208"/>
  <c r="D421" s="1"/>
  <c r="F207"/>
  <c r="D420" s="1"/>
  <c r="F206"/>
  <c r="F205"/>
  <c r="D418" s="1"/>
  <c r="F204"/>
  <c r="D417" s="1"/>
  <c r="F203"/>
  <c r="D416" s="1"/>
  <c r="F202"/>
  <c r="F201"/>
  <c r="D414" s="1"/>
  <c r="F200"/>
  <c r="D413" s="1"/>
  <c r="F199"/>
  <c r="D412" s="1"/>
  <c r="F198"/>
  <c r="F197"/>
  <c r="D410" s="1"/>
  <c r="F196"/>
  <c r="D409" s="1"/>
  <c r="F195"/>
  <c r="D408" s="1"/>
  <c r="F194"/>
  <c r="F193"/>
  <c r="D406" s="1"/>
  <c r="F192"/>
  <c r="D405" s="1"/>
  <c r="F191"/>
  <c r="D404" s="1"/>
  <c r="F190"/>
  <c r="F189"/>
  <c r="D402" s="1"/>
  <c r="F188"/>
  <c r="D401" s="1"/>
  <c r="F187"/>
  <c r="D400" s="1"/>
  <c r="F186"/>
  <c r="F185"/>
  <c r="D398" s="1"/>
  <c r="F184"/>
  <c r="F183"/>
  <c r="DI183" s="1"/>
  <c r="F182"/>
  <c r="F181"/>
  <c r="D394" s="1"/>
  <c r="F180"/>
  <c r="F179"/>
  <c r="D392" s="1"/>
  <c r="F178"/>
  <c r="F177"/>
  <c r="D390" s="1"/>
  <c r="F176"/>
  <c r="F175"/>
  <c r="D388" s="1"/>
  <c r="F174"/>
  <c r="F173"/>
  <c r="D386" s="1"/>
  <c r="F172"/>
  <c r="F171"/>
  <c r="D384" s="1"/>
  <c r="F170"/>
  <c r="F169"/>
  <c r="D382" s="1"/>
  <c r="F168"/>
  <c r="F167"/>
  <c r="DI167" s="1"/>
  <c r="F166"/>
  <c r="F165"/>
  <c r="D378" s="1"/>
  <c r="F164"/>
  <c r="F163"/>
  <c r="D376" s="1"/>
  <c r="F162"/>
  <c r="F161"/>
  <c r="D374" s="1"/>
  <c r="F160"/>
  <c r="F159"/>
  <c r="DI159" s="1"/>
  <c r="F158"/>
  <c r="F157"/>
  <c r="D370" s="1"/>
  <c r="F156"/>
  <c r="F155"/>
  <c r="D368" s="1"/>
  <c r="F154"/>
  <c r="F153"/>
  <c r="D366" s="1"/>
  <c r="F152"/>
  <c r="F151"/>
  <c r="DI151" s="1"/>
  <c r="F150"/>
  <c r="F149"/>
  <c r="D362" s="1"/>
  <c r="F148"/>
  <c r="F147"/>
  <c r="DI147" s="1"/>
  <c r="F146"/>
  <c r="F145"/>
  <c r="D358" s="1"/>
  <c r="F144"/>
  <c r="F143"/>
  <c r="DI143" s="1"/>
  <c r="F142"/>
  <c r="F141"/>
  <c r="D354" s="1"/>
  <c r="F140"/>
  <c r="F139"/>
  <c r="DI139" s="1"/>
  <c r="F138"/>
  <c r="F137"/>
  <c r="D447"/>
  <c r="D443"/>
  <c r="D439"/>
  <c r="D435"/>
  <c r="D431"/>
  <c r="D427"/>
  <c r="D423"/>
  <c r="D419"/>
  <c r="D415"/>
  <c r="D411"/>
  <c r="D407"/>
  <c r="D403"/>
  <c r="D399"/>
  <c r="D396"/>
  <c r="D380"/>
  <c r="D364"/>
  <c r="DI225"/>
  <c r="DI195"/>
  <c r="DI175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236"/>
  <c r="K235"/>
  <c r="K234"/>
  <c r="K233"/>
  <c r="K232"/>
  <c r="K231"/>
  <c r="K230"/>
  <c r="K229"/>
  <c r="K228"/>
  <c r="K227"/>
  <c r="K226"/>
  <c r="K225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I6284" i="25"/>
  <c r="I6283"/>
  <c r="I6334"/>
  <c r="I6333"/>
  <c r="I6332"/>
  <c r="I6331"/>
  <c r="I6330"/>
  <c r="I6329"/>
  <c r="I6328"/>
  <c r="I6327"/>
  <c r="I6326"/>
  <c r="I6325"/>
  <c r="I6324"/>
  <c r="I6323"/>
  <c r="I6322"/>
  <c r="I6321"/>
  <c r="I6320"/>
  <c r="I6319"/>
  <c r="I6318"/>
  <c r="I6317"/>
  <c r="I6316"/>
  <c r="I6315"/>
  <c r="I6314"/>
  <c r="I6313"/>
  <c r="I6312"/>
  <c r="I6311"/>
  <c r="I6310"/>
  <c r="I6309"/>
  <c r="I6308"/>
  <c r="I6307"/>
  <c r="I6306"/>
  <c r="I6305"/>
  <c r="I6304"/>
  <c r="I6303"/>
  <c r="I6302"/>
  <c r="I6301"/>
  <c r="I6300"/>
  <c r="I6299"/>
  <c r="I6298"/>
  <c r="I6297"/>
  <c r="I6296"/>
  <c r="I6295"/>
  <c r="I6294"/>
  <c r="I6293"/>
  <c r="I6292"/>
  <c r="I6291"/>
  <c r="I6290"/>
  <c r="I6289"/>
  <c r="I6288"/>
  <c r="I6287"/>
  <c r="I6286"/>
  <c r="I6285"/>
  <c r="H6273"/>
  <c r="H6272"/>
  <c r="H6271"/>
  <c r="H6270"/>
  <c r="H6269"/>
  <c r="H6268"/>
  <c r="H6267"/>
  <c r="H6266"/>
  <c r="H6265"/>
  <c r="H6264"/>
  <c r="H6263"/>
  <c r="H6262"/>
  <c r="H6261"/>
  <c r="H6260"/>
  <c r="H6259"/>
  <c r="H6258"/>
  <c r="H6257"/>
  <c r="H6256"/>
  <c r="H6255"/>
  <c r="H6254"/>
  <c r="H6253"/>
  <c r="H6252"/>
  <c r="H6251"/>
  <c r="H6250"/>
  <c r="H6249"/>
  <c r="H6248"/>
  <c r="H6247"/>
  <c r="H6246"/>
  <c r="H6245"/>
  <c r="H6244"/>
  <c r="H6243"/>
  <c r="H6242"/>
  <c r="H6241"/>
  <c r="H6240"/>
  <c r="H6239"/>
  <c r="H6238"/>
  <c r="H6237"/>
  <c r="H6236"/>
  <c r="H6235"/>
  <c r="H6234"/>
  <c r="H6233"/>
  <c r="H6232"/>
  <c r="H6231"/>
  <c r="H6230"/>
  <c r="H6229"/>
  <c r="H6228"/>
  <c r="H6227"/>
  <c r="H6226"/>
  <c r="H6225"/>
  <c r="H6224"/>
  <c r="I6273"/>
  <c r="I6272"/>
  <c r="I6271"/>
  <c r="I6270"/>
  <c r="I6269"/>
  <c r="I6268"/>
  <c r="I6267"/>
  <c r="I6266"/>
  <c r="I6265"/>
  <c r="I6264"/>
  <c r="I6263"/>
  <c r="I6262"/>
  <c r="I6261"/>
  <c r="I6260"/>
  <c r="I6259"/>
  <c r="I6258"/>
  <c r="I6257"/>
  <c r="I6256"/>
  <c r="I6255"/>
  <c r="I6254"/>
  <c r="I6253"/>
  <c r="I6252"/>
  <c r="I6251"/>
  <c r="I6250"/>
  <c r="I6249"/>
  <c r="I6248"/>
  <c r="I6247"/>
  <c r="I6246"/>
  <c r="I6245"/>
  <c r="I6244"/>
  <c r="I6243"/>
  <c r="I6242"/>
  <c r="I6241"/>
  <c r="I6240"/>
  <c r="I6239"/>
  <c r="I6238"/>
  <c r="I6237"/>
  <c r="I6236"/>
  <c r="I6235"/>
  <c r="I6234"/>
  <c r="I6233"/>
  <c r="I6232"/>
  <c r="I6231"/>
  <c r="I6230"/>
  <c r="I6229"/>
  <c r="I6228"/>
  <c r="I6227"/>
  <c r="I6226"/>
  <c r="I6225"/>
  <c r="I6224"/>
  <c r="H4877"/>
  <c r="H4876"/>
  <c r="H4875"/>
  <c r="H4874"/>
  <c r="H4873"/>
  <c r="H4872"/>
  <c r="H4871"/>
  <c r="H4870"/>
  <c r="H4869"/>
  <c r="H4868"/>
  <c r="H4867"/>
  <c r="H4866"/>
  <c r="H4865"/>
  <c r="H4864"/>
  <c r="H4863"/>
  <c r="H4862"/>
  <c r="H4861"/>
  <c r="H4860"/>
  <c r="H4859"/>
  <c r="H4858"/>
  <c r="H4857"/>
  <c r="H4856"/>
  <c r="H4855"/>
  <c r="H4854"/>
  <c r="H4853"/>
  <c r="H4852"/>
  <c r="H4851"/>
  <c r="H4850"/>
  <c r="H4849"/>
  <c r="H4848"/>
  <c r="H4847"/>
  <c r="H4846"/>
  <c r="H4845"/>
  <c r="H4844"/>
  <c r="H4843"/>
  <c r="H4842"/>
  <c r="H4841"/>
  <c r="H4840"/>
  <c r="H4839"/>
  <c r="H4838"/>
  <c r="H4837"/>
  <c r="H4836"/>
  <c r="H4835"/>
  <c r="H4834"/>
  <c r="H4833"/>
  <c r="H4832"/>
  <c r="H4831"/>
  <c r="H4830"/>
  <c r="H4829"/>
  <c r="H4828"/>
  <c r="I4877"/>
  <c r="I4876"/>
  <c r="I4875"/>
  <c r="I4874"/>
  <c r="I4873"/>
  <c r="I4872"/>
  <c r="I4871"/>
  <c r="I4870"/>
  <c r="I4869"/>
  <c r="I4868"/>
  <c r="I4867"/>
  <c r="I4866"/>
  <c r="I4865"/>
  <c r="I4864"/>
  <c r="I4863"/>
  <c r="I4862"/>
  <c r="I4861"/>
  <c r="I4860"/>
  <c r="I4859"/>
  <c r="I4858"/>
  <c r="I4857"/>
  <c r="I4856"/>
  <c r="I4855"/>
  <c r="I4854"/>
  <c r="I4853"/>
  <c r="I4852"/>
  <c r="I4851"/>
  <c r="I4850"/>
  <c r="I4849"/>
  <c r="I4848"/>
  <c r="I4847"/>
  <c r="I4846"/>
  <c r="I4845"/>
  <c r="I4844"/>
  <c r="I4843"/>
  <c r="I4842"/>
  <c r="I4841"/>
  <c r="I4840"/>
  <c r="I4839"/>
  <c r="I4838"/>
  <c r="I4837"/>
  <c r="I4836"/>
  <c r="I4835"/>
  <c r="I4834"/>
  <c r="I4833"/>
  <c r="I4832"/>
  <c r="I4831"/>
  <c r="I4830"/>
  <c r="I4829"/>
  <c r="I4828"/>
  <c r="H2225"/>
  <c r="H2224"/>
  <c r="H2223"/>
  <c r="H2222"/>
  <c r="H2221"/>
  <c r="H2220"/>
  <c r="H2219"/>
  <c r="H2218"/>
  <c r="H2217"/>
  <c r="H2216"/>
  <c r="H2215"/>
  <c r="H2214"/>
  <c r="H2213"/>
  <c r="H2212"/>
  <c r="H2211"/>
  <c r="H2210"/>
  <c r="H2209"/>
  <c r="H2208"/>
  <c r="H2207"/>
  <c r="H2206"/>
  <c r="H2205"/>
  <c r="H2204"/>
  <c r="H2203"/>
  <c r="H2202"/>
  <c r="H2201"/>
  <c r="H2200"/>
  <c r="H2199"/>
  <c r="H2198"/>
  <c r="H2197"/>
  <c r="H2196"/>
  <c r="H2195"/>
  <c r="H2194"/>
  <c r="H2193"/>
  <c r="H2192"/>
  <c r="H2191"/>
  <c r="H2190"/>
  <c r="H2189"/>
  <c r="H2188"/>
  <c r="H2187"/>
  <c r="H2186"/>
  <c r="H2185"/>
  <c r="H2184"/>
  <c r="H2183"/>
  <c r="H2182"/>
  <c r="H2181"/>
  <c r="H2180"/>
  <c r="H2179"/>
  <c r="H2178"/>
  <c r="H2177"/>
  <c r="H2176"/>
  <c r="I2225"/>
  <c r="I2224"/>
  <c r="I2223"/>
  <c r="I2222"/>
  <c r="I2221"/>
  <c r="I2220"/>
  <c r="I2219"/>
  <c r="I2218"/>
  <c r="I2217"/>
  <c r="I2216"/>
  <c r="I2215"/>
  <c r="I2214"/>
  <c r="I2213"/>
  <c r="I2212"/>
  <c r="I2211"/>
  <c r="I2210"/>
  <c r="I2209"/>
  <c r="I2208"/>
  <c r="I2207"/>
  <c r="I2206"/>
  <c r="I2205"/>
  <c r="I2204"/>
  <c r="I2203"/>
  <c r="I2202"/>
  <c r="I2201"/>
  <c r="I2200"/>
  <c r="I2199"/>
  <c r="I2198"/>
  <c r="I2197"/>
  <c r="I2196"/>
  <c r="I2195"/>
  <c r="I2194"/>
  <c r="I2193"/>
  <c r="I2192"/>
  <c r="I2191"/>
  <c r="I2190"/>
  <c r="I2189"/>
  <c r="I2188"/>
  <c r="I2187"/>
  <c r="I2186"/>
  <c r="I2185"/>
  <c r="I2184"/>
  <c r="I2183"/>
  <c r="I2182"/>
  <c r="I2181"/>
  <c r="I2180"/>
  <c r="I2179"/>
  <c r="I2178"/>
  <c r="I2177"/>
  <c r="I2176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77"/>
  <c r="I76"/>
  <c r="I13"/>
  <c r="I12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H64"/>
  <c r="I64" s="1"/>
  <c r="H63"/>
  <c r="I63" s="1"/>
  <c r="H62"/>
  <c r="I62" s="1"/>
  <c r="H61"/>
  <c r="I61" s="1"/>
  <c r="H60"/>
  <c r="I60" s="1"/>
  <c r="H59"/>
  <c r="I59" s="1"/>
  <c r="H58"/>
  <c r="I58" s="1"/>
  <c r="H57"/>
  <c r="I57" s="1"/>
  <c r="H56"/>
  <c r="I56" s="1"/>
  <c r="H55"/>
  <c r="I55" s="1"/>
  <c r="H54"/>
  <c r="I54" s="1"/>
  <c r="H53"/>
  <c r="I53" s="1"/>
  <c r="H52"/>
  <c r="I52" s="1"/>
  <c r="H51"/>
  <c r="I51" s="1"/>
  <c r="H50"/>
  <c r="I50" s="1"/>
  <c r="H49"/>
  <c r="I49" s="1"/>
  <c r="H48"/>
  <c r="I48" s="1"/>
  <c r="H47"/>
  <c r="I47" s="1"/>
  <c r="H46"/>
  <c r="I46" s="1"/>
  <c r="H45"/>
  <c r="I45" s="1"/>
  <c r="H44"/>
  <c r="I44" s="1"/>
  <c r="H43"/>
  <c r="I43" s="1"/>
  <c r="H42"/>
  <c r="I42" s="1"/>
  <c r="H41"/>
  <c r="I41" s="1"/>
  <c r="H40"/>
  <c r="I40" s="1"/>
  <c r="H39"/>
  <c r="I39" s="1"/>
  <c r="H38"/>
  <c r="I38" s="1"/>
  <c r="H37"/>
  <c r="I37" s="1"/>
  <c r="H36"/>
  <c r="I36" s="1"/>
  <c r="H35"/>
  <c r="I35" s="1"/>
  <c r="H34"/>
  <c r="I34" s="1"/>
  <c r="H33"/>
  <c r="I33" s="1"/>
  <c r="H32"/>
  <c r="I32" s="1"/>
  <c r="H31"/>
  <c r="I31" s="1"/>
  <c r="H30"/>
  <c r="I30" s="1"/>
  <c r="H29"/>
  <c r="I29" s="1"/>
  <c r="H28"/>
  <c r="I28" s="1"/>
  <c r="H27"/>
  <c r="I27" s="1"/>
  <c r="H26"/>
  <c r="I26" s="1"/>
  <c r="H25"/>
  <c r="I25" s="1"/>
  <c r="H24"/>
  <c r="I24" s="1"/>
  <c r="H23"/>
  <c r="I23" s="1"/>
  <c r="H22"/>
  <c r="I22" s="1"/>
  <c r="H21"/>
  <c r="I21" s="1"/>
  <c r="H20"/>
  <c r="I20" s="1"/>
  <c r="H19"/>
  <c r="I19" s="1"/>
  <c r="H18"/>
  <c r="I18" s="1"/>
  <c r="H17"/>
  <c r="I17" s="1"/>
  <c r="H16"/>
  <c r="I16" s="1"/>
  <c r="I15"/>
  <c r="H15"/>
  <c r="DJ134" i="21"/>
  <c r="H134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G348"/>
  <c r="H348" s="1"/>
  <c r="I348" s="1"/>
  <c r="J348" s="1"/>
  <c r="K348" s="1"/>
  <c r="L348" s="1"/>
  <c r="M348" s="1"/>
  <c r="N348" s="1"/>
  <c r="O348" s="1"/>
  <c r="P348" s="1"/>
  <c r="Q348" s="1"/>
  <c r="R348" s="1"/>
  <c r="S348" s="1"/>
  <c r="T348" s="1"/>
  <c r="U348" s="1"/>
  <c r="V348" s="1"/>
  <c r="W348" s="1"/>
  <c r="X348" s="1"/>
  <c r="Y348" s="1"/>
  <c r="Z348" s="1"/>
  <c r="AA348" s="1"/>
  <c r="AB348" s="1"/>
  <c r="AC348" s="1"/>
  <c r="AD348" s="1"/>
  <c r="AE348" s="1"/>
  <c r="AF348" s="1"/>
  <c r="AG348" s="1"/>
  <c r="AH348" s="1"/>
  <c r="AI348" s="1"/>
  <c r="AJ348" s="1"/>
  <c r="AK348" s="1"/>
  <c r="AL348" s="1"/>
  <c r="AM348" s="1"/>
  <c r="AN348" s="1"/>
  <c r="AO348" s="1"/>
  <c r="AP348" s="1"/>
  <c r="AQ348" s="1"/>
  <c r="AR348" s="1"/>
  <c r="AS348" s="1"/>
  <c r="AT348" s="1"/>
  <c r="AU348" s="1"/>
  <c r="AV348" s="1"/>
  <c r="AW348" s="1"/>
  <c r="AX348" s="1"/>
  <c r="AY348" s="1"/>
  <c r="AZ348" s="1"/>
  <c r="BA348" s="1"/>
  <c r="BB348" s="1"/>
  <c r="BC348" s="1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B363" s="1"/>
  <c r="H149"/>
  <c r="B362" s="1"/>
  <c r="H148"/>
  <c r="B361" s="1"/>
  <c r="H147"/>
  <c r="B360" s="1"/>
  <c r="H146"/>
  <c r="B359" s="1"/>
  <c r="H145"/>
  <c r="B358" s="1"/>
  <c r="H144"/>
  <c r="B357" s="1"/>
  <c r="H143"/>
  <c r="B356" s="1"/>
  <c r="H142"/>
  <c r="B355" s="1"/>
  <c r="H141"/>
  <c r="B354" s="1"/>
  <c r="H140"/>
  <c r="B353" s="1"/>
  <c r="H139"/>
  <c r="B352" s="1"/>
  <c r="H138"/>
  <c r="B351" s="1"/>
  <c r="H137"/>
  <c r="B350" s="1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A43" i="23" s="1"/>
  <c r="G141" i="21"/>
  <c r="G140"/>
  <c r="A41" i="23" s="1"/>
  <c r="G139" i="21"/>
  <c r="G138"/>
  <c r="G137"/>
  <c r="M20" i="24"/>
  <c r="M26"/>
  <c r="M25"/>
  <c r="M24"/>
  <c r="N23"/>
  <c r="M22"/>
  <c r="M21"/>
  <c r="M17"/>
  <c r="N19"/>
  <c r="N15"/>
  <c r="M18"/>
  <c r="M16"/>
  <c r="M9"/>
  <c r="L9"/>
  <c r="K9"/>
  <c r="J9"/>
  <c r="I9"/>
  <c r="H9"/>
  <c r="G9"/>
  <c r="F9"/>
  <c r="E9"/>
  <c r="D9"/>
  <c r="M8"/>
  <c r="L8"/>
  <c r="K8"/>
  <c r="J8"/>
  <c r="I8"/>
  <c r="H8"/>
  <c r="G8"/>
  <c r="F8"/>
  <c r="E8"/>
  <c r="D8"/>
  <c r="M7"/>
  <c r="L7"/>
  <c r="K7"/>
  <c r="J7"/>
  <c r="I7"/>
  <c r="H7"/>
  <c r="G7"/>
  <c r="F7"/>
  <c r="E7"/>
  <c r="D7"/>
  <c r="M6"/>
  <c r="L6"/>
  <c r="K6"/>
  <c r="J6"/>
  <c r="I6"/>
  <c r="H6"/>
  <c r="G6"/>
  <c r="F6"/>
  <c r="E6"/>
  <c r="D6"/>
  <c r="M5"/>
  <c r="L5"/>
  <c r="K5"/>
  <c r="J5"/>
  <c r="I5"/>
  <c r="H5"/>
  <c r="G5"/>
  <c r="F5"/>
  <c r="E5"/>
  <c r="D5"/>
  <c r="D356" i="21" l="1"/>
  <c r="D372"/>
  <c r="DJ207"/>
  <c r="D352"/>
  <c r="D360"/>
  <c r="DJ141"/>
  <c r="DJ145"/>
  <c r="DJ149"/>
  <c r="DJ153"/>
  <c r="DJ161"/>
  <c r="DJ169"/>
  <c r="DJ177"/>
  <c r="DJ191"/>
  <c r="DJ197"/>
  <c r="DI221"/>
  <c r="B365"/>
  <c r="B367"/>
  <c r="DJ154"/>
  <c r="B369"/>
  <c r="B371"/>
  <c r="DJ158"/>
  <c r="B373"/>
  <c r="B375"/>
  <c r="DJ162"/>
  <c r="B377"/>
  <c r="B379"/>
  <c r="DJ166"/>
  <c r="B381"/>
  <c r="B383"/>
  <c r="DJ170"/>
  <c r="B385"/>
  <c r="B387"/>
  <c r="DJ174"/>
  <c r="B389"/>
  <c r="B391"/>
  <c r="B393"/>
  <c r="B395"/>
  <c r="DJ182"/>
  <c r="B397"/>
  <c r="B399"/>
  <c r="DJ186"/>
  <c r="B401"/>
  <c r="B403"/>
  <c r="B405"/>
  <c r="DJ192"/>
  <c r="B407"/>
  <c r="B409"/>
  <c r="DJ196"/>
  <c r="B411"/>
  <c r="B413"/>
  <c r="DJ200"/>
  <c r="B415"/>
  <c r="B417"/>
  <c r="B419"/>
  <c r="B421"/>
  <c r="DJ208"/>
  <c r="B423"/>
  <c r="B425"/>
  <c r="DJ212"/>
  <c r="B427"/>
  <c r="B429"/>
  <c r="DJ216"/>
  <c r="B431"/>
  <c r="B433"/>
  <c r="DJ220"/>
  <c r="B435"/>
  <c r="B437"/>
  <c r="B439"/>
  <c r="B441"/>
  <c r="DJ228"/>
  <c r="B443"/>
  <c r="B445"/>
  <c r="B447"/>
  <c r="B449"/>
  <c r="DJ236"/>
  <c r="B364"/>
  <c r="B366"/>
  <c r="DI153"/>
  <c r="B368"/>
  <c r="DJ155"/>
  <c r="B370"/>
  <c r="DI157"/>
  <c r="B372"/>
  <c r="DJ159"/>
  <c r="B374"/>
  <c r="DI161"/>
  <c r="B376"/>
  <c r="DJ163"/>
  <c r="B378"/>
  <c r="DI165"/>
  <c r="B380"/>
  <c r="DJ167"/>
  <c r="B382"/>
  <c r="DI169"/>
  <c r="B384"/>
  <c r="DJ171"/>
  <c r="B386"/>
  <c r="DI173"/>
  <c r="B388"/>
  <c r="DJ175"/>
  <c r="B390"/>
  <c r="DI177"/>
  <c r="B392"/>
  <c r="DJ179"/>
  <c r="B394"/>
  <c r="DI181"/>
  <c r="B396"/>
  <c r="DJ183"/>
  <c r="B398"/>
  <c r="DI185"/>
  <c r="B400"/>
  <c r="DJ187"/>
  <c r="B402"/>
  <c r="DI189"/>
  <c r="B404"/>
  <c r="DI191"/>
  <c r="B406"/>
  <c r="DJ193"/>
  <c r="B408"/>
  <c r="DJ195"/>
  <c r="B410"/>
  <c r="DI197"/>
  <c r="B412"/>
  <c r="DI199"/>
  <c r="DJ199"/>
  <c r="B414"/>
  <c r="DJ201"/>
  <c r="B416"/>
  <c r="DJ203"/>
  <c r="DI203"/>
  <c r="B418"/>
  <c r="DI205"/>
  <c r="DJ205"/>
  <c r="B420"/>
  <c r="DI207"/>
  <c r="B422"/>
  <c r="DJ209"/>
  <c r="DI209"/>
  <c r="B424"/>
  <c r="DJ211"/>
  <c r="B426"/>
  <c r="DI213"/>
  <c r="B428"/>
  <c r="DI215"/>
  <c r="DJ215"/>
  <c r="B430"/>
  <c r="DJ217"/>
  <c r="DI217"/>
  <c r="B432"/>
  <c r="DI219"/>
  <c r="B434"/>
  <c r="DJ221"/>
  <c r="B436"/>
  <c r="DJ223"/>
  <c r="B438"/>
  <c r="DJ225"/>
  <c r="B440"/>
  <c r="DJ227"/>
  <c r="B442"/>
  <c r="DI229"/>
  <c r="DJ229"/>
  <c r="B444"/>
  <c r="DI231"/>
  <c r="DJ231"/>
  <c r="B446"/>
  <c r="DI233"/>
  <c r="DJ233"/>
  <c r="B448"/>
  <c r="DI235"/>
  <c r="DJ140"/>
  <c r="DJ144"/>
  <c r="DJ148"/>
  <c r="DJ156"/>
  <c r="DJ164"/>
  <c r="DJ172"/>
  <c r="DJ180"/>
  <c r="DJ188"/>
  <c r="DJ138"/>
  <c r="DJ139"/>
  <c r="DI141"/>
  <c r="DJ142"/>
  <c r="DJ143"/>
  <c r="DI145"/>
  <c r="DJ146"/>
  <c r="DJ147"/>
  <c r="DI149"/>
  <c r="DJ150"/>
  <c r="DJ151"/>
  <c r="DJ152"/>
  <c r="DI155"/>
  <c r="DJ157"/>
  <c r="DJ160"/>
  <c r="DI163"/>
  <c r="DJ165"/>
  <c r="DJ168"/>
  <c r="DI171"/>
  <c r="DJ173"/>
  <c r="DJ176"/>
  <c r="DI179"/>
  <c r="DJ181"/>
  <c r="DJ184"/>
  <c r="DI187"/>
  <c r="DJ189"/>
  <c r="DI193"/>
  <c r="DI201"/>
  <c r="DJ204"/>
  <c r="DI211"/>
  <c r="DJ213"/>
  <c r="DI223"/>
  <c r="DI227"/>
  <c r="D449"/>
  <c r="D351"/>
  <c r="D353"/>
  <c r="D355"/>
  <c r="D357"/>
  <c r="D359"/>
  <c r="D361"/>
  <c r="D363"/>
  <c r="D365"/>
  <c r="D367"/>
  <c r="D369"/>
  <c r="D371"/>
  <c r="D373"/>
  <c r="D375"/>
  <c r="D377"/>
  <c r="D379"/>
  <c r="D381"/>
  <c r="D383"/>
  <c r="D385"/>
  <c r="D387"/>
  <c r="D389"/>
  <c r="D391"/>
  <c r="D393"/>
  <c r="D395"/>
  <c r="D397"/>
  <c r="D350"/>
  <c r="DI188"/>
  <c r="DI190"/>
  <c r="DI192"/>
  <c r="DI194"/>
  <c r="DI196"/>
  <c r="DI198"/>
  <c r="DI200"/>
  <c r="DI202"/>
  <c r="DI204"/>
  <c r="DI206"/>
  <c r="DI208"/>
  <c r="DI210"/>
  <c r="DI212"/>
  <c r="DI214"/>
  <c r="DI216"/>
  <c r="DI218"/>
  <c r="DJ218"/>
  <c r="DI220"/>
  <c r="DI222"/>
  <c r="DJ222"/>
  <c r="DI224"/>
  <c r="DI226"/>
  <c r="DJ226"/>
  <c r="DI228"/>
  <c r="DI230"/>
  <c r="DJ230"/>
  <c r="DI232"/>
  <c r="DI234"/>
  <c r="DJ234"/>
  <c r="DI236"/>
  <c r="DI138"/>
  <c r="DI140"/>
  <c r="DI142"/>
  <c r="DI144"/>
  <c r="DI146"/>
  <c r="DI148"/>
  <c r="DI150"/>
  <c r="DI152"/>
  <c r="DI154"/>
  <c r="DI156"/>
  <c r="DI158"/>
  <c r="DI160"/>
  <c r="DI162"/>
  <c r="DI164"/>
  <c r="DI166"/>
  <c r="DI168"/>
  <c r="DI170"/>
  <c r="DI172"/>
  <c r="DI174"/>
  <c r="DI176"/>
  <c r="DI178"/>
  <c r="DI180"/>
  <c r="DI182"/>
  <c r="DI184"/>
  <c r="DI186"/>
  <c r="DJ190"/>
  <c r="DJ194"/>
  <c r="DJ198"/>
  <c r="DJ202"/>
  <c r="DJ206"/>
  <c r="DJ210"/>
  <c r="DJ214"/>
  <c r="DJ224"/>
  <c r="DJ232"/>
  <c r="DI137"/>
  <c r="DJ137"/>
  <c r="DK134"/>
  <c r="I6221" i="25"/>
  <c r="I6222"/>
  <c r="I4825"/>
  <c r="I4826"/>
  <c r="I2173"/>
  <c r="I2174"/>
  <c r="I521"/>
  <c r="I522"/>
  <c r="I457"/>
  <c r="I458"/>
  <c r="I393"/>
  <c r="I394"/>
  <c r="I332"/>
  <c r="I333"/>
  <c r="I268"/>
  <c r="I269"/>
  <c r="I204"/>
  <c r="I205"/>
  <c r="I141"/>
  <c r="I140"/>
  <c r="J137" i="21"/>
  <c r="J139"/>
  <c r="J141"/>
  <c r="J143"/>
  <c r="J145"/>
  <c r="J147"/>
  <c r="J149"/>
  <c r="J151"/>
  <c r="J153"/>
  <c r="J155"/>
  <c r="J157"/>
  <c r="J159"/>
  <c r="J161"/>
  <c r="J163"/>
  <c r="J165"/>
  <c r="J167"/>
  <c r="J169"/>
  <c r="J171"/>
  <c r="J173"/>
  <c r="J175"/>
  <c r="J177"/>
  <c r="J179"/>
  <c r="J181"/>
  <c r="J183"/>
  <c r="J185"/>
  <c r="J187"/>
  <c r="J189"/>
  <c r="J191"/>
  <c r="J193"/>
  <c r="J195"/>
  <c r="J197"/>
  <c r="J199"/>
  <c r="J201"/>
  <c r="J203"/>
  <c r="J205"/>
  <c r="J207"/>
  <c r="J209"/>
  <c r="J211"/>
  <c r="J213"/>
  <c r="J215"/>
  <c r="J217"/>
  <c r="J219"/>
  <c r="J221"/>
  <c r="J223"/>
  <c r="J225"/>
  <c r="J227"/>
  <c r="J229"/>
  <c r="J231"/>
  <c r="J233"/>
  <c r="J235"/>
  <c r="J138"/>
  <c r="J140"/>
  <c r="J142"/>
  <c r="J144"/>
  <c r="J146"/>
  <c r="J148"/>
  <c r="J150"/>
  <c r="J152"/>
  <c r="J154"/>
  <c r="J156"/>
  <c r="J158"/>
  <c r="J160"/>
  <c r="J162"/>
  <c r="J164"/>
  <c r="J166"/>
  <c r="J168"/>
  <c r="J170"/>
  <c r="J172"/>
  <c r="J174"/>
  <c r="J176"/>
  <c r="J178"/>
  <c r="J180"/>
  <c r="J182"/>
  <c r="J184"/>
  <c r="J186"/>
  <c r="J188"/>
  <c r="J190"/>
  <c r="J192"/>
  <c r="J194"/>
  <c r="J196"/>
  <c r="J198"/>
  <c r="J200"/>
  <c r="J202"/>
  <c r="J204"/>
  <c r="J206"/>
  <c r="J208"/>
  <c r="J210"/>
  <c r="J212"/>
  <c r="J214"/>
  <c r="J216"/>
  <c r="J218"/>
  <c r="J220"/>
  <c r="J222"/>
  <c r="J224"/>
  <c r="J226"/>
  <c r="J228"/>
  <c r="J230"/>
  <c r="J232"/>
  <c r="J234"/>
  <c r="J236"/>
  <c r="A159" i="23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A157"/>
  <c r="B157"/>
  <c r="A156"/>
  <c r="E155"/>
  <c r="F155" s="1"/>
  <c r="G155" s="1"/>
  <c r="H155" s="1"/>
  <c r="I155" s="1"/>
  <c r="J155" s="1"/>
  <c r="K155" s="1"/>
  <c r="L155" s="1"/>
  <c r="M155" s="1"/>
  <c r="N155" s="1"/>
  <c r="O155" s="1"/>
  <c r="P155" s="1"/>
  <c r="Q155" s="1"/>
  <c r="R155" s="1"/>
  <c r="S155" s="1"/>
  <c r="T155" s="1"/>
  <c r="U155" s="1"/>
  <c r="V155" s="1"/>
  <c r="W155" s="1"/>
  <c r="X155" s="1"/>
  <c r="Y155" s="1"/>
  <c r="Z155" s="1"/>
  <c r="AA155" s="1"/>
  <c r="AB155" s="1"/>
  <c r="AC155" s="1"/>
  <c r="AD155" s="1"/>
  <c r="AE155" s="1"/>
  <c r="AF155" s="1"/>
  <c r="AG155" s="1"/>
  <c r="AH155" s="1"/>
  <c r="AI155" s="1"/>
  <c r="AJ155" s="1"/>
  <c r="AK155" s="1"/>
  <c r="AL155" s="1"/>
  <c r="AM155" s="1"/>
  <c r="AN155" s="1"/>
  <c r="AO155" s="1"/>
  <c r="AP155" s="1"/>
  <c r="AQ155" s="1"/>
  <c r="AR155" s="1"/>
  <c r="AS155" s="1"/>
  <c r="AT155" s="1"/>
  <c r="AU155" s="1"/>
  <c r="AV155" s="1"/>
  <c r="AW155" s="1"/>
  <c r="AX155" s="1"/>
  <c r="AY155" s="1"/>
  <c r="AZ155" s="1"/>
  <c r="BA155" s="1"/>
  <c r="BB155" s="1"/>
  <c r="BC155" s="1"/>
  <c r="BD155" s="1"/>
  <c r="BE155" s="1"/>
  <c r="BF155" s="1"/>
  <c r="BG155" s="1"/>
  <c r="BH155" s="1"/>
  <c r="BI155" s="1"/>
  <c r="BJ155" s="1"/>
  <c r="BK155" s="1"/>
  <c r="BL155" s="1"/>
  <c r="BM155" s="1"/>
  <c r="BN155" s="1"/>
  <c r="D155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2"/>
  <c r="A40"/>
  <c r="A39"/>
  <c r="A38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B37"/>
  <c r="BC37" s="1"/>
  <c r="BD37" s="1"/>
  <c r="BE37" s="1"/>
  <c r="BF37" s="1"/>
  <c r="BG37" s="1"/>
  <c r="BH37" s="1"/>
  <c r="BI37" s="1"/>
  <c r="BJ37" s="1"/>
  <c r="BK37" s="1"/>
  <c r="BL37" s="1"/>
  <c r="BM37" s="1"/>
  <c r="BN37" s="1"/>
  <c r="E37"/>
  <c r="F37" s="1"/>
  <c r="G37" s="1"/>
  <c r="H37" s="1"/>
  <c r="I37" s="1"/>
  <c r="J37" s="1"/>
  <c r="K37" s="1"/>
  <c r="L37" s="1"/>
  <c r="M37" s="1"/>
  <c r="N37" s="1"/>
  <c r="O37" s="1"/>
  <c r="P37" s="1"/>
  <c r="Q37" s="1"/>
  <c r="R37" s="1"/>
  <c r="S37" s="1"/>
  <c r="T37" s="1"/>
  <c r="U37" s="1"/>
  <c r="V37" s="1"/>
  <c r="W37" s="1"/>
  <c r="X37" s="1"/>
  <c r="Y37" s="1"/>
  <c r="Z37" s="1"/>
  <c r="AA37" s="1"/>
  <c r="AB37" s="1"/>
  <c r="AC37" s="1"/>
  <c r="AD37" s="1"/>
  <c r="AE37" s="1"/>
  <c r="AF37" s="1"/>
  <c r="AG37" s="1"/>
  <c r="AH37" s="1"/>
  <c r="AI37" s="1"/>
  <c r="AJ37" s="1"/>
  <c r="AK37" s="1"/>
  <c r="AL37" s="1"/>
  <c r="AM37" s="1"/>
  <c r="AN37" s="1"/>
  <c r="AO37" s="1"/>
  <c r="AP37" s="1"/>
  <c r="AQ37" s="1"/>
  <c r="AR37" s="1"/>
  <c r="AS37" s="1"/>
  <c r="AT37" s="1"/>
  <c r="AU37" s="1"/>
  <c r="AV37" s="1"/>
  <c r="AW37" s="1"/>
  <c r="AX37" s="1"/>
  <c r="AY37" s="1"/>
  <c r="AZ37" s="1"/>
  <c r="BA37" s="1"/>
  <c r="D37"/>
  <c r="B138"/>
  <c r="B139" s="1"/>
  <c r="B140" s="1"/>
  <c r="B141" s="1"/>
  <c r="B142" s="1"/>
  <c r="B143" s="1"/>
  <c r="B144" s="1"/>
  <c r="B145" s="1"/>
  <c r="B146" s="1"/>
  <c r="B147" s="1"/>
  <c r="B148" s="1"/>
  <c r="B149" s="1"/>
  <c r="B40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39"/>
  <c r="B16"/>
  <c r="B17"/>
  <c r="B14"/>
  <c r="R27"/>
  <c r="Q27"/>
  <c r="P27"/>
  <c r="O27"/>
  <c r="N27"/>
  <c r="M27"/>
  <c r="L27"/>
  <c r="K27"/>
  <c r="J27"/>
  <c r="I27"/>
  <c r="H27"/>
  <c r="G27"/>
  <c r="F27"/>
  <c r="E27"/>
  <c r="D27"/>
  <c r="C27"/>
  <c r="D26"/>
  <c r="E26" s="1"/>
  <c r="F26" s="1"/>
  <c r="G26" s="1"/>
  <c r="H26" s="1"/>
  <c r="I26" s="1"/>
  <c r="J26" s="1"/>
  <c r="K26" s="1"/>
  <c r="L26" s="1"/>
  <c r="M26" s="1"/>
  <c r="N26" s="1"/>
  <c r="O26" s="1"/>
  <c r="P26" s="1"/>
  <c r="Q26" s="1"/>
  <c r="R26" s="1"/>
  <c r="S26" s="1"/>
  <c r="E21"/>
  <c r="F21" s="1"/>
  <c r="G21" s="1"/>
  <c r="H21" s="1"/>
  <c r="I21" s="1"/>
  <c r="J21" s="1"/>
  <c r="K21" s="1"/>
  <c r="L21" s="1"/>
  <c r="M21" s="1"/>
  <c r="N21" s="1"/>
  <c r="O21" s="1"/>
  <c r="P21" s="1"/>
  <c r="Q21" s="1"/>
  <c r="R21" s="1"/>
  <c r="D21"/>
  <c r="C21"/>
  <c r="B15"/>
  <c r="B28" s="1"/>
  <c r="FI134" i="21"/>
  <c r="FJ134" s="1"/>
  <c r="FK134" s="1"/>
  <c r="FL134" s="1"/>
  <c r="FM134" s="1"/>
  <c r="FN134" s="1"/>
  <c r="FO134" s="1"/>
  <c r="FP134" s="1"/>
  <c r="FQ134" s="1"/>
  <c r="FR134" s="1"/>
  <c r="FS134" s="1"/>
  <c r="FT134" s="1"/>
  <c r="FU134" s="1"/>
  <c r="FV134" s="1"/>
  <c r="FW134" s="1"/>
  <c r="FX134" s="1"/>
  <c r="FY134" s="1"/>
  <c r="FZ134" s="1"/>
  <c r="GA134" s="1"/>
  <c r="GB134" s="1"/>
  <c r="GC134" s="1"/>
  <c r="GD134" s="1"/>
  <c r="GE134" s="1"/>
  <c r="GF134" s="1"/>
  <c r="GG134" s="1"/>
  <c r="GH134" s="1"/>
  <c r="GI134" s="1"/>
  <c r="GJ134" s="1"/>
  <c r="GK134" s="1"/>
  <c r="GL134" s="1"/>
  <c r="GM134" s="1"/>
  <c r="GN134" s="1"/>
  <c r="GO134" s="1"/>
  <c r="GP134" s="1"/>
  <c r="GQ134" s="1"/>
  <c r="GR134" s="1"/>
  <c r="GS134" s="1"/>
  <c r="GT134" s="1"/>
  <c r="GU134" s="1"/>
  <c r="GV134" s="1"/>
  <c r="GW134" s="1"/>
  <c r="GX134" s="1"/>
  <c r="GY134" s="1"/>
  <c r="GZ134" s="1"/>
  <c r="HA134" s="1"/>
  <c r="HB134" s="1"/>
  <c r="HC134" s="1"/>
  <c r="HD134" s="1"/>
  <c r="HE134" s="1"/>
  <c r="B31"/>
  <c r="C31" s="1"/>
  <c r="D31" s="1"/>
  <c r="E31" s="1"/>
  <c r="EC129"/>
  <c r="DK217" l="1"/>
  <c r="DK209"/>
  <c r="DK193"/>
  <c r="DK187"/>
  <c r="DK179"/>
  <c r="DK171"/>
  <c r="DK163"/>
  <c r="DK155"/>
  <c r="DK151"/>
  <c r="DK147"/>
  <c r="DK143"/>
  <c r="DK139"/>
  <c r="DK153"/>
  <c r="DK157"/>
  <c r="DK161"/>
  <c r="DK197"/>
  <c r="DK199"/>
  <c r="DK201"/>
  <c r="DK205"/>
  <c r="DK213"/>
  <c r="DK215"/>
  <c r="DK165"/>
  <c r="DK169"/>
  <c r="DK173"/>
  <c r="DK177"/>
  <c r="DK181"/>
  <c r="DK189"/>
  <c r="DK195"/>
  <c r="DK207"/>
  <c r="DK211"/>
  <c r="DK221"/>
  <c r="DK223"/>
  <c r="DK225"/>
  <c r="DK227"/>
  <c r="DK231"/>
  <c r="DK141"/>
  <c r="DK149"/>
  <c r="DK159"/>
  <c r="DK175"/>
  <c r="DK203"/>
  <c r="DK188"/>
  <c r="DK192"/>
  <c r="DK196"/>
  <c r="DK200"/>
  <c r="DK204"/>
  <c r="DK208"/>
  <c r="DK212"/>
  <c r="DK218"/>
  <c r="DK220"/>
  <c r="DK226"/>
  <c r="DK228"/>
  <c r="DK234"/>
  <c r="DK236"/>
  <c r="DK229"/>
  <c r="DK233"/>
  <c r="DK145"/>
  <c r="DK167"/>
  <c r="DK190"/>
  <c r="DK194"/>
  <c r="DK198"/>
  <c r="DK202"/>
  <c r="DK206"/>
  <c r="DK210"/>
  <c r="DK214"/>
  <c r="DK216"/>
  <c r="DK222"/>
  <c r="DK224"/>
  <c r="DK230"/>
  <c r="DK232"/>
  <c r="DK138"/>
  <c r="DK140"/>
  <c r="DK142"/>
  <c r="DK146"/>
  <c r="DK148"/>
  <c r="DK137"/>
  <c r="DK186"/>
  <c r="DK184"/>
  <c r="DK182"/>
  <c r="DK180"/>
  <c r="DK176"/>
  <c r="DK174"/>
  <c r="DK172"/>
  <c r="DK170"/>
  <c r="DK168"/>
  <c r="DK166"/>
  <c r="DK164"/>
  <c r="DK162"/>
  <c r="DK160"/>
  <c r="DK158"/>
  <c r="DK156"/>
  <c r="DK154"/>
  <c r="DK152"/>
  <c r="DK150"/>
  <c r="BJ134"/>
  <c r="K134"/>
  <c r="DL134"/>
  <c r="H135"/>
  <c r="F31"/>
  <c r="B158" i="23"/>
  <c r="B29"/>
  <c r="R28"/>
  <c r="P28"/>
  <c r="N28"/>
  <c r="L28"/>
  <c r="J28"/>
  <c r="H28"/>
  <c r="F28"/>
  <c r="D28"/>
  <c r="Q28"/>
  <c r="O28"/>
  <c r="M28"/>
  <c r="K28"/>
  <c r="I28"/>
  <c r="G28"/>
  <c r="E28"/>
  <c r="C28"/>
  <c r="C20"/>
  <c r="D20" s="1"/>
  <c r="E20" s="1"/>
  <c r="F20" s="1"/>
  <c r="DL199" i="21" l="1"/>
  <c r="DL189"/>
  <c r="DL181"/>
  <c r="DL173"/>
  <c r="DL165"/>
  <c r="DL157"/>
  <c r="DL149"/>
  <c r="DL145"/>
  <c r="DL141"/>
  <c r="DL156"/>
  <c r="DL164"/>
  <c r="DL172"/>
  <c r="DL180"/>
  <c r="DL206"/>
  <c r="DL214"/>
  <c r="DL226"/>
  <c r="DL234"/>
  <c r="DL152"/>
  <c r="DL160"/>
  <c r="DL168"/>
  <c r="DL176"/>
  <c r="DL184"/>
  <c r="DL190"/>
  <c r="DL198"/>
  <c r="DL202"/>
  <c r="DL155"/>
  <c r="DL159"/>
  <c r="DL193"/>
  <c r="DL195"/>
  <c r="DL207"/>
  <c r="DL211"/>
  <c r="DL221"/>
  <c r="DL223"/>
  <c r="DL225"/>
  <c r="DL163"/>
  <c r="DL167"/>
  <c r="DL171"/>
  <c r="DL175"/>
  <c r="DL179"/>
  <c r="DL187"/>
  <c r="DL197"/>
  <c r="DL201"/>
  <c r="DL203"/>
  <c r="DL209"/>
  <c r="DL213"/>
  <c r="DL217"/>
  <c r="DL227"/>
  <c r="DL231"/>
  <c r="DL142"/>
  <c r="DL150"/>
  <c r="DL166"/>
  <c r="DL182"/>
  <c r="DL218"/>
  <c r="DL143"/>
  <c r="DL151"/>
  <c r="DL153"/>
  <c r="DL154"/>
  <c r="DL169"/>
  <c r="DL170"/>
  <c r="DL186"/>
  <c r="DL205"/>
  <c r="DL224"/>
  <c r="DL232"/>
  <c r="DL229"/>
  <c r="DL233"/>
  <c r="DL138"/>
  <c r="DL146"/>
  <c r="DL158"/>
  <c r="DL174"/>
  <c r="DL210"/>
  <c r="DL139"/>
  <c r="DL140"/>
  <c r="DL147"/>
  <c r="DL148"/>
  <c r="DL161"/>
  <c r="DL162"/>
  <c r="DL177"/>
  <c r="DL194"/>
  <c r="DL215"/>
  <c r="DL220"/>
  <c r="DL228"/>
  <c r="DL236"/>
  <c r="DL188"/>
  <c r="DL196"/>
  <c r="DL204"/>
  <c r="DL212"/>
  <c r="DL222"/>
  <c r="DL137"/>
  <c r="DL192"/>
  <c r="DL200"/>
  <c r="DL208"/>
  <c r="DL216"/>
  <c r="DL230"/>
  <c r="BJ236"/>
  <c r="F449" s="1"/>
  <c r="BJ235"/>
  <c r="F448" s="1"/>
  <c r="BJ234"/>
  <c r="F447" s="1"/>
  <c r="BJ233"/>
  <c r="F446" s="1"/>
  <c r="BJ232"/>
  <c r="F445" s="1"/>
  <c r="BJ231"/>
  <c r="F444" s="1"/>
  <c r="BJ230"/>
  <c r="F443" s="1"/>
  <c r="BJ229"/>
  <c r="F442" s="1"/>
  <c r="BJ228"/>
  <c r="F441" s="1"/>
  <c r="BJ227"/>
  <c r="F440" s="1"/>
  <c r="BJ226"/>
  <c r="BJ225"/>
  <c r="F438" s="1"/>
  <c r="BJ224"/>
  <c r="F437" s="1"/>
  <c r="BJ223"/>
  <c r="BJ222"/>
  <c r="F435" s="1"/>
  <c r="BJ221"/>
  <c r="F434" s="1"/>
  <c r="BJ220"/>
  <c r="BJ219"/>
  <c r="F432" s="1"/>
  <c r="BJ218"/>
  <c r="F431" s="1"/>
  <c r="BJ217"/>
  <c r="BJ216"/>
  <c r="F429" s="1"/>
  <c r="BJ215"/>
  <c r="BJ214"/>
  <c r="F427" s="1"/>
  <c r="BJ213"/>
  <c r="BJ212"/>
  <c r="BJ211"/>
  <c r="F424" s="1"/>
  <c r="BJ210"/>
  <c r="BJ209"/>
  <c r="BJ208"/>
  <c r="F421" s="1"/>
  <c r="BJ207"/>
  <c r="BJ206"/>
  <c r="F419" s="1"/>
  <c r="BJ205"/>
  <c r="F418" s="1"/>
  <c r="BJ204"/>
  <c r="BJ203"/>
  <c r="F416" s="1"/>
  <c r="BJ202"/>
  <c r="BJ201"/>
  <c r="BJ200"/>
  <c r="F413" s="1"/>
  <c r="BJ199"/>
  <c r="BJ198"/>
  <c r="BJ197"/>
  <c r="F410" s="1"/>
  <c r="BJ196"/>
  <c r="BJ195"/>
  <c r="BJ194"/>
  <c r="F407" s="1"/>
  <c r="BJ193"/>
  <c r="BJ192"/>
  <c r="BJ191"/>
  <c r="BJ190"/>
  <c r="F403" s="1"/>
  <c r="BJ189"/>
  <c r="BJ188"/>
  <c r="BJ187"/>
  <c r="F400" s="1"/>
  <c r="BJ186"/>
  <c r="BJ185"/>
  <c r="BJ184"/>
  <c r="F397" s="1"/>
  <c r="BJ183"/>
  <c r="F396" s="1"/>
  <c r="BJ182"/>
  <c r="F395" s="1"/>
  <c r="BJ181"/>
  <c r="F394" s="1"/>
  <c r="BJ180"/>
  <c r="F393" s="1"/>
  <c r="BJ179"/>
  <c r="F392" s="1"/>
  <c r="BJ178"/>
  <c r="F391" s="1"/>
  <c r="BJ177"/>
  <c r="F390" s="1"/>
  <c r="BJ176"/>
  <c r="F389" s="1"/>
  <c r="BJ175"/>
  <c r="F388" s="1"/>
  <c r="BJ174"/>
  <c r="F387" s="1"/>
  <c r="BJ173"/>
  <c r="F386" s="1"/>
  <c r="BJ172"/>
  <c r="F385" s="1"/>
  <c r="BJ171"/>
  <c r="BJ170"/>
  <c r="BJ169"/>
  <c r="F382" s="1"/>
  <c r="BJ168"/>
  <c r="BJ167"/>
  <c r="BJ166"/>
  <c r="F379" s="1"/>
  <c r="BJ165"/>
  <c r="BJ164"/>
  <c r="F377" s="1"/>
  <c r="BJ163"/>
  <c r="F376" s="1"/>
  <c r="BJ162"/>
  <c r="F375" s="1"/>
  <c r="BJ161"/>
  <c r="F374" s="1"/>
  <c r="BJ160"/>
  <c r="F373" s="1"/>
  <c r="BJ159"/>
  <c r="F372" s="1"/>
  <c r="BJ158"/>
  <c r="F371" s="1"/>
  <c r="BJ156"/>
  <c r="F369" s="1"/>
  <c r="BJ154"/>
  <c r="BJ152"/>
  <c r="F365" s="1"/>
  <c r="BJ150"/>
  <c r="F363" s="1"/>
  <c r="BJ148"/>
  <c r="F361" s="1"/>
  <c r="BJ146"/>
  <c r="F359" s="1"/>
  <c r="BJ145"/>
  <c r="F358" s="1"/>
  <c r="BJ144"/>
  <c r="F357" s="1"/>
  <c r="BJ143"/>
  <c r="F356" s="1"/>
  <c r="BJ142"/>
  <c r="F355" s="1"/>
  <c r="BJ141"/>
  <c r="F354" s="1"/>
  <c r="BJ140"/>
  <c r="F353" s="1"/>
  <c r="BJ139"/>
  <c r="F352" s="1"/>
  <c r="BJ138"/>
  <c r="F351" s="1"/>
  <c r="BJ137"/>
  <c r="F350" s="1"/>
  <c r="BJ157"/>
  <c r="F370" s="1"/>
  <c r="BJ155"/>
  <c r="F368" s="1"/>
  <c r="BJ153"/>
  <c r="F366" s="1"/>
  <c r="BJ151"/>
  <c r="F364" s="1"/>
  <c r="BJ149"/>
  <c r="F362" s="1"/>
  <c r="BJ147"/>
  <c r="F360" s="1"/>
  <c r="BK134"/>
  <c r="L134"/>
  <c r="DM134"/>
  <c r="G31"/>
  <c r="A158" i="23"/>
  <c r="B159"/>
  <c r="B30"/>
  <c r="R29"/>
  <c r="P29"/>
  <c r="N29"/>
  <c r="L29"/>
  <c r="J29"/>
  <c r="H29"/>
  <c r="F29"/>
  <c r="D29"/>
  <c r="Q29"/>
  <c r="O29"/>
  <c r="M29"/>
  <c r="K29"/>
  <c r="I29"/>
  <c r="G29"/>
  <c r="E29"/>
  <c r="C29"/>
  <c r="DM211" i="21" l="1"/>
  <c r="DM201"/>
  <c r="DM175"/>
  <c r="DM167"/>
  <c r="DM159"/>
  <c r="DM151"/>
  <c r="DM147"/>
  <c r="DM143"/>
  <c r="DM139"/>
  <c r="DM153"/>
  <c r="DM157"/>
  <c r="DM161"/>
  <c r="DM165"/>
  <c r="DM169"/>
  <c r="DM173"/>
  <c r="DM177"/>
  <c r="DM181"/>
  <c r="DM185"/>
  <c r="DM189"/>
  <c r="DM203"/>
  <c r="DM207"/>
  <c r="DM209"/>
  <c r="DM217"/>
  <c r="DM197"/>
  <c r="DM199"/>
  <c r="DM205"/>
  <c r="DM213"/>
  <c r="DM215"/>
  <c r="DM221"/>
  <c r="DM223"/>
  <c r="DM225"/>
  <c r="DM227"/>
  <c r="DM229"/>
  <c r="DM233"/>
  <c r="DM145"/>
  <c r="DM163"/>
  <c r="DM179"/>
  <c r="DM193"/>
  <c r="DM190"/>
  <c r="DM194"/>
  <c r="DM198"/>
  <c r="DM202"/>
  <c r="DM206"/>
  <c r="DM210"/>
  <c r="DM214"/>
  <c r="DM216"/>
  <c r="DM222"/>
  <c r="DM224"/>
  <c r="DM230"/>
  <c r="DM232"/>
  <c r="DM138"/>
  <c r="DM140"/>
  <c r="DM142"/>
  <c r="DM231"/>
  <c r="DM141"/>
  <c r="DM149"/>
  <c r="DM155"/>
  <c r="DM171"/>
  <c r="DM187"/>
  <c r="DM195"/>
  <c r="DM188"/>
  <c r="DM192"/>
  <c r="DM196"/>
  <c r="DM200"/>
  <c r="DM204"/>
  <c r="DM208"/>
  <c r="DM212"/>
  <c r="DM218"/>
  <c r="DM220"/>
  <c r="DM226"/>
  <c r="DM228"/>
  <c r="DM234"/>
  <c r="DM236"/>
  <c r="DM146"/>
  <c r="DM148"/>
  <c r="DM150"/>
  <c r="DM152"/>
  <c r="DM154"/>
  <c r="DM156"/>
  <c r="DM158"/>
  <c r="DM160"/>
  <c r="DM162"/>
  <c r="DM164"/>
  <c r="DM166"/>
  <c r="DM168"/>
  <c r="DM170"/>
  <c r="DM172"/>
  <c r="DM174"/>
  <c r="DM176"/>
  <c r="DM180"/>
  <c r="DM182"/>
  <c r="DM184"/>
  <c r="DM186"/>
  <c r="DM137"/>
  <c r="F399"/>
  <c r="F367"/>
  <c r="FH217"/>
  <c r="F378"/>
  <c r="F380"/>
  <c r="F398"/>
  <c r="F406"/>
  <c r="F422"/>
  <c r="F430"/>
  <c r="FH147"/>
  <c r="FH151"/>
  <c r="FH155"/>
  <c r="FH137"/>
  <c r="FH139"/>
  <c r="FH141"/>
  <c r="FH143"/>
  <c r="FH145"/>
  <c r="FH148"/>
  <c r="FH152"/>
  <c r="FH156"/>
  <c r="FH159"/>
  <c r="FH161"/>
  <c r="FH163"/>
  <c r="FH165"/>
  <c r="FH167"/>
  <c r="FH169"/>
  <c r="FH173"/>
  <c r="FH175"/>
  <c r="FH177"/>
  <c r="FH179"/>
  <c r="FH181"/>
  <c r="FH183"/>
  <c r="FH185"/>
  <c r="FH187"/>
  <c r="FH193"/>
  <c r="FH197"/>
  <c r="FH203"/>
  <c r="FH205"/>
  <c r="FH209"/>
  <c r="FH211"/>
  <c r="FH219"/>
  <c r="FH221"/>
  <c r="FH225"/>
  <c r="FH227"/>
  <c r="FH231"/>
  <c r="FH233"/>
  <c r="DI132"/>
  <c r="FH235"/>
  <c r="FH149"/>
  <c r="FH153"/>
  <c r="FH157"/>
  <c r="FH138"/>
  <c r="FH140"/>
  <c r="FH142"/>
  <c r="FH144"/>
  <c r="FH146"/>
  <c r="FH150"/>
  <c r="FH154"/>
  <c r="FH158"/>
  <c r="FH160"/>
  <c r="FH162"/>
  <c r="FH164"/>
  <c r="FH166"/>
  <c r="BJ130"/>
  <c r="FH172"/>
  <c r="FH174"/>
  <c r="FH176"/>
  <c r="FH178"/>
  <c r="FH180"/>
  <c r="FH182"/>
  <c r="FH184"/>
  <c r="FH186"/>
  <c r="FH190"/>
  <c r="FH200"/>
  <c r="FH206"/>
  <c r="FH214"/>
  <c r="FH216"/>
  <c r="FH218"/>
  <c r="FH222"/>
  <c r="FH224"/>
  <c r="FH228"/>
  <c r="FH230"/>
  <c r="FH232"/>
  <c r="FH234"/>
  <c r="FH236"/>
  <c r="FH208"/>
  <c r="BL134"/>
  <c r="M134"/>
  <c r="BK236"/>
  <c r="G449" s="1"/>
  <c r="BK235"/>
  <c r="BK234"/>
  <c r="G447" s="1"/>
  <c r="BK233"/>
  <c r="G446" s="1"/>
  <c r="BK232"/>
  <c r="G445" s="1"/>
  <c r="BK231"/>
  <c r="G444" s="1"/>
  <c r="BK230"/>
  <c r="G443" s="1"/>
  <c r="BK229"/>
  <c r="G442" s="1"/>
  <c r="BK228"/>
  <c r="G441" s="1"/>
  <c r="BK227"/>
  <c r="G440" s="1"/>
  <c r="BK226"/>
  <c r="BK225"/>
  <c r="G438" s="1"/>
  <c r="BK224"/>
  <c r="G437" s="1"/>
  <c r="BK223"/>
  <c r="BK222"/>
  <c r="G435" s="1"/>
  <c r="BK221"/>
  <c r="G434" s="1"/>
  <c r="BK220"/>
  <c r="BK219"/>
  <c r="BK218"/>
  <c r="G431" s="1"/>
  <c r="BK217"/>
  <c r="G430" s="1"/>
  <c r="BK216"/>
  <c r="G429" s="1"/>
  <c r="BK215"/>
  <c r="BK214"/>
  <c r="G427" s="1"/>
  <c r="BK213"/>
  <c r="BK212"/>
  <c r="BK211"/>
  <c r="G424" s="1"/>
  <c r="BK210"/>
  <c r="BK209"/>
  <c r="G422" s="1"/>
  <c r="BK208"/>
  <c r="G421" s="1"/>
  <c r="BK207"/>
  <c r="BK206"/>
  <c r="G419" s="1"/>
  <c r="BK205"/>
  <c r="G418" s="1"/>
  <c r="BK204"/>
  <c r="BK203"/>
  <c r="G416" s="1"/>
  <c r="BK202"/>
  <c r="BK201"/>
  <c r="BK200"/>
  <c r="G413" s="1"/>
  <c r="BK199"/>
  <c r="BK198"/>
  <c r="BK197"/>
  <c r="G410" s="1"/>
  <c r="BK196"/>
  <c r="BK195"/>
  <c r="BK194"/>
  <c r="G407" s="1"/>
  <c r="BK193"/>
  <c r="G406" s="1"/>
  <c r="BK192"/>
  <c r="BK191"/>
  <c r="BK190"/>
  <c r="G403" s="1"/>
  <c r="BK189"/>
  <c r="BK188"/>
  <c r="BK186"/>
  <c r="G399" s="1"/>
  <c r="BK185"/>
  <c r="BK184"/>
  <c r="G397" s="1"/>
  <c r="BK183"/>
  <c r="G396" s="1"/>
  <c r="BK182"/>
  <c r="G395" s="1"/>
  <c r="BK181"/>
  <c r="G394" s="1"/>
  <c r="BK180"/>
  <c r="G393" s="1"/>
  <c r="BK179"/>
  <c r="G392" s="1"/>
  <c r="BK178"/>
  <c r="BK177"/>
  <c r="G390" s="1"/>
  <c r="BK176"/>
  <c r="G389" s="1"/>
  <c r="BK175"/>
  <c r="G388" s="1"/>
  <c r="BK174"/>
  <c r="G387" s="1"/>
  <c r="BK173"/>
  <c r="G386" s="1"/>
  <c r="BK172"/>
  <c r="G385" s="1"/>
  <c r="BK171"/>
  <c r="BK170"/>
  <c r="BK169"/>
  <c r="G382" s="1"/>
  <c r="BK168"/>
  <c r="BK167"/>
  <c r="G380" s="1"/>
  <c r="BK166"/>
  <c r="G379" s="1"/>
  <c r="BK165"/>
  <c r="G378" s="1"/>
  <c r="BK164"/>
  <c r="G377" s="1"/>
  <c r="BK163"/>
  <c r="G376" s="1"/>
  <c r="BK162"/>
  <c r="G375" s="1"/>
  <c r="BK161"/>
  <c r="G374" s="1"/>
  <c r="BK160"/>
  <c r="G373" s="1"/>
  <c r="BK159"/>
  <c r="G372" s="1"/>
  <c r="BK158"/>
  <c r="G371" s="1"/>
  <c r="BK157"/>
  <c r="G370" s="1"/>
  <c r="BK156"/>
  <c r="G369" s="1"/>
  <c r="BK155"/>
  <c r="G368" s="1"/>
  <c r="BK154"/>
  <c r="G367" s="1"/>
  <c r="BK153"/>
  <c r="G366" s="1"/>
  <c r="BK152"/>
  <c r="G365" s="1"/>
  <c r="BK151"/>
  <c r="G364" s="1"/>
  <c r="BK150"/>
  <c r="G363" s="1"/>
  <c r="BK149"/>
  <c r="G362" s="1"/>
  <c r="BK148"/>
  <c r="G361" s="1"/>
  <c r="BK147"/>
  <c r="G360" s="1"/>
  <c r="BK187"/>
  <c r="G400" s="1"/>
  <c r="BK146"/>
  <c r="G359" s="1"/>
  <c r="BK145"/>
  <c r="G358" s="1"/>
  <c r="BK144"/>
  <c r="G357" s="1"/>
  <c r="BK143"/>
  <c r="G356" s="1"/>
  <c r="BK142"/>
  <c r="G355" s="1"/>
  <c r="BK141"/>
  <c r="G354" s="1"/>
  <c r="BK140"/>
  <c r="G353" s="1"/>
  <c r="BK139"/>
  <c r="G352" s="1"/>
  <c r="BK138"/>
  <c r="G351" s="1"/>
  <c r="BK137"/>
  <c r="G350" s="1"/>
  <c r="FH194"/>
  <c r="FH229"/>
  <c r="DN134"/>
  <c r="FI234"/>
  <c r="FI218"/>
  <c r="FI216"/>
  <c r="FI214"/>
  <c r="FI208"/>
  <c r="FI224"/>
  <c r="FI222"/>
  <c r="FI206"/>
  <c r="FI194"/>
  <c r="FI190"/>
  <c r="FI184"/>
  <c r="FI197"/>
  <c r="FI177"/>
  <c r="FI175"/>
  <c r="FI165"/>
  <c r="FI161"/>
  <c r="FI182"/>
  <c r="FI180"/>
  <c r="FI174"/>
  <c r="FI172"/>
  <c r="FI167"/>
  <c r="FI160"/>
  <c r="FI162"/>
  <c r="FI155"/>
  <c r="FI153"/>
  <c r="FI149"/>
  <c r="FI152"/>
  <c r="FI146"/>
  <c r="FI144"/>
  <c r="FI142"/>
  <c r="H31"/>
  <c r="FI233"/>
  <c r="FI231"/>
  <c r="FI229"/>
  <c r="FI217"/>
  <c r="FI211"/>
  <c r="FI209"/>
  <c r="FI227"/>
  <c r="FI225"/>
  <c r="FI221"/>
  <c r="FI205"/>
  <c r="FI203"/>
  <c r="FI193"/>
  <c r="FI200"/>
  <c r="FI186"/>
  <c r="FI176"/>
  <c r="FI169"/>
  <c r="FI164"/>
  <c r="FI183"/>
  <c r="FI181"/>
  <c r="FI179"/>
  <c r="FI173"/>
  <c r="FI166"/>
  <c r="FI163"/>
  <c r="FI156"/>
  <c r="FI150"/>
  <c r="FI159"/>
  <c r="FI157"/>
  <c r="FI151"/>
  <c r="FI147"/>
  <c r="FI139"/>
  <c r="FI143"/>
  <c r="B160" i="23"/>
  <c r="R30"/>
  <c r="P30"/>
  <c r="N30"/>
  <c r="L30"/>
  <c r="J30"/>
  <c r="H30"/>
  <c r="F30"/>
  <c r="D30"/>
  <c r="Q30"/>
  <c r="O30"/>
  <c r="M30"/>
  <c r="K30"/>
  <c r="I30"/>
  <c r="G30"/>
  <c r="E30"/>
  <c r="C30"/>
  <c r="DN213" i="21" l="1"/>
  <c r="DN185"/>
  <c r="DN177"/>
  <c r="DN169"/>
  <c r="DN161"/>
  <c r="DN153"/>
  <c r="DN149"/>
  <c r="DN145"/>
  <c r="DN141"/>
  <c r="DN154"/>
  <c r="DN162"/>
  <c r="DN170"/>
  <c r="DN186"/>
  <c r="DN188"/>
  <c r="DN196"/>
  <c r="DN204"/>
  <c r="DN208"/>
  <c r="DN155"/>
  <c r="DN159"/>
  <c r="DN158"/>
  <c r="DN166"/>
  <c r="DN174"/>
  <c r="DN182"/>
  <c r="DN212"/>
  <c r="DN224"/>
  <c r="DN163"/>
  <c r="DN167"/>
  <c r="DN171"/>
  <c r="DN175"/>
  <c r="DN179"/>
  <c r="DN187"/>
  <c r="DN201"/>
  <c r="DN203"/>
  <c r="DN209"/>
  <c r="DN217"/>
  <c r="DN193"/>
  <c r="DN195"/>
  <c r="DN199"/>
  <c r="DN205"/>
  <c r="DN211"/>
  <c r="DN215"/>
  <c r="DN221"/>
  <c r="DN223"/>
  <c r="DN225"/>
  <c r="DN227"/>
  <c r="DN229"/>
  <c r="DN233"/>
  <c r="DN140"/>
  <c r="DN148"/>
  <c r="DN152"/>
  <c r="DN168"/>
  <c r="DN184"/>
  <c r="DN138"/>
  <c r="DN139"/>
  <c r="DN146"/>
  <c r="DN147"/>
  <c r="DN157"/>
  <c r="DN164"/>
  <c r="DN173"/>
  <c r="DN180"/>
  <c r="DN192"/>
  <c r="DN207"/>
  <c r="DN222"/>
  <c r="DN230"/>
  <c r="DN231"/>
  <c r="DN160"/>
  <c r="DN176"/>
  <c r="DN200"/>
  <c r="DN142"/>
  <c r="DN143"/>
  <c r="DN150"/>
  <c r="DN151"/>
  <c r="DN156"/>
  <c r="DN165"/>
  <c r="DN172"/>
  <c r="DN181"/>
  <c r="DN189"/>
  <c r="DN197"/>
  <c r="DN216"/>
  <c r="DN218"/>
  <c r="DN226"/>
  <c r="DN234"/>
  <c r="DN194"/>
  <c r="DN202"/>
  <c r="DN210"/>
  <c r="DN220"/>
  <c r="DN236"/>
  <c r="DN190"/>
  <c r="DN198"/>
  <c r="DN206"/>
  <c r="DN214"/>
  <c r="DN228"/>
  <c r="DN137"/>
  <c r="DJ185"/>
  <c r="FI185" s="1"/>
  <c r="DJ178"/>
  <c r="FI178" s="1"/>
  <c r="DJ219"/>
  <c r="FI219" s="1"/>
  <c r="DJ235"/>
  <c r="FI235" s="1"/>
  <c r="FI220"/>
  <c r="FI168"/>
  <c r="FI189"/>
  <c r="FI196"/>
  <c r="FI188"/>
  <c r="FI212"/>
  <c r="G381"/>
  <c r="G402"/>
  <c r="F383"/>
  <c r="G401"/>
  <c r="G409"/>
  <c r="G425"/>
  <c r="G433"/>
  <c r="FI138"/>
  <c r="FI140"/>
  <c r="FI141"/>
  <c r="FI137"/>
  <c r="FI145"/>
  <c r="FI154"/>
  <c r="FI148"/>
  <c r="FI158"/>
  <c r="FI187"/>
  <c r="BK130"/>
  <c r="G383"/>
  <c r="FH170"/>
  <c r="FI230"/>
  <c r="FI232"/>
  <c r="FI236"/>
  <c r="FI228"/>
  <c r="BL236"/>
  <c r="H449" s="1"/>
  <c r="BL235"/>
  <c r="BL234"/>
  <c r="H447" s="1"/>
  <c r="BL233"/>
  <c r="H446" s="1"/>
  <c r="BL232"/>
  <c r="H445" s="1"/>
  <c r="BL231"/>
  <c r="H444" s="1"/>
  <c r="BL230"/>
  <c r="H443" s="1"/>
  <c r="BL229"/>
  <c r="H442" s="1"/>
  <c r="BL228"/>
  <c r="H441" s="1"/>
  <c r="BL227"/>
  <c r="H440" s="1"/>
  <c r="BL226"/>
  <c r="BL225"/>
  <c r="H438" s="1"/>
  <c r="BL224"/>
  <c r="H437" s="1"/>
  <c r="BL223"/>
  <c r="BL222"/>
  <c r="H435" s="1"/>
  <c r="BL221"/>
  <c r="H434" s="1"/>
  <c r="BL220"/>
  <c r="H433" s="1"/>
  <c r="BL219"/>
  <c r="BL218"/>
  <c r="H431" s="1"/>
  <c r="BL217"/>
  <c r="H430" s="1"/>
  <c r="BL216"/>
  <c r="H429" s="1"/>
  <c r="BL215"/>
  <c r="BL214"/>
  <c r="H427" s="1"/>
  <c r="BL213"/>
  <c r="BL212"/>
  <c r="H425" s="1"/>
  <c r="BL211"/>
  <c r="H424" s="1"/>
  <c r="BL210"/>
  <c r="BL209"/>
  <c r="H422" s="1"/>
  <c r="BL208"/>
  <c r="H421" s="1"/>
  <c r="BL207"/>
  <c r="BL206"/>
  <c r="H419" s="1"/>
  <c r="BL205"/>
  <c r="H418" s="1"/>
  <c r="BL204"/>
  <c r="BL203"/>
  <c r="H416" s="1"/>
  <c r="BL202"/>
  <c r="BL201"/>
  <c r="BL200"/>
  <c r="H413" s="1"/>
  <c r="BL199"/>
  <c r="BL198"/>
  <c r="BL197"/>
  <c r="H410" s="1"/>
  <c r="BL196"/>
  <c r="H409" s="1"/>
  <c r="BL195"/>
  <c r="BL194"/>
  <c r="H407" s="1"/>
  <c r="BL193"/>
  <c r="H406" s="1"/>
  <c r="BL192"/>
  <c r="BL191"/>
  <c r="DK191" s="1"/>
  <c r="BL190"/>
  <c r="H403" s="1"/>
  <c r="BL189"/>
  <c r="H402" s="1"/>
  <c r="BL188"/>
  <c r="H401" s="1"/>
  <c r="BL187"/>
  <c r="H400" s="1"/>
  <c r="BL186"/>
  <c r="H399" s="1"/>
  <c r="BL185"/>
  <c r="BL184"/>
  <c r="H397" s="1"/>
  <c r="BL183"/>
  <c r="BL182"/>
  <c r="H395" s="1"/>
  <c r="BL181"/>
  <c r="H394" s="1"/>
  <c r="BL180"/>
  <c r="H393" s="1"/>
  <c r="BL179"/>
  <c r="H392" s="1"/>
  <c r="BL178"/>
  <c r="BL177"/>
  <c r="H390" s="1"/>
  <c r="BL176"/>
  <c r="H389" s="1"/>
  <c r="BL175"/>
  <c r="H388" s="1"/>
  <c r="BL174"/>
  <c r="H387" s="1"/>
  <c r="BL173"/>
  <c r="H386" s="1"/>
  <c r="BL172"/>
  <c r="H385" s="1"/>
  <c r="BL171"/>
  <c r="BL170"/>
  <c r="BL169"/>
  <c r="H382" s="1"/>
  <c r="BL168"/>
  <c r="H381" s="1"/>
  <c r="BL167"/>
  <c r="H380" s="1"/>
  <c r="BL166"/>
  <c r="H379" s="1"/>
  <c r="BL165"/>
  <c r="H378" s="1"/>
  <c r="BL164"/>
  <c r="H377" s="1"/>
  <c r="BL163"/>
  <c r="H376" s="1"/>
  <c r="BL162"/>
  <c r="H375" s="1"/>
  <c r="BL161"/>
  <c r="H374" s="1"/>
  <c r="BL160"/>
  <c r="H373" s="1"/>
  <c r="BL159"/>
  <c r="H372" s="1"/>
  <c r="BL158"/>
  <c r="H371" s="1"/>
  <c r="BL157"/>
  <c r="H370" s="1"/>
  <c r="BL155"/>
  <c r="H368" s="1"/>
  <c r="BL153"/>
  <c r="H366" s="1"/>
  <c r="BL151"/>
  <c r="H364" s="1"/>
  <c r="BL149"/>
  <c r="H362" s="1"/>
  <c r="BL147"/>
  <c r="H360" s="1"/>
  <c r="BL146"/>
  <c r="H359" s="1"/>
  <c r="BL145"/>
  <c r="H358" s="1"/>
  <c r="BL144"/>
  <c r="BL143"/>
  <c r="H356" s="1"/>
  <c r="BL142"/>
  <c r="H355" s="1"/>
  <c r="BL141"/>
  <c r="H354" s="1"/>
  <c r="BL140"/>
  <c r="H353" s="1"/>
  <c r="BL139"/>
  <c r="H352" s="1"/>
  <c r="BL138"/>
  <c r="H351" s="1"/>
  <c r="BL137"/>
  <c r="H350" s="1"/>
  <c r="BL156"/>
  <c r="H369" s="1"/>
  <c r="BL154"/>
  <c r="H367" s="1"/>
  <c r="BL152"/>
  <c r="H365" s="1"/>
  <c r="BL150"/>
  <c r="H363" s="1"/>
  <c r="BL148"/>
  <c r="H361" s="1"/>
  <c r="BM134"/>
  <c r="N134"/>
  <c r="DO134"/>
  <c r="FJ236"/>
  <c r="FJ228"/>
  <c r="FJ224"/>
  <c r="FJ222"/>
  <c r="FJ220"/>
  <c r="FJ206"/>
  <c r="FJ233"/>
  <c r="FJ231"/>
  <c r="FJ229"/>
  <c r="FJ217"/>
  <c r="FJ211"/>
  <c r="FJ209"/>
  <c r="FJ197"/>
  <c r="FJ187"/>
  <c r="FJ194"/>
  <c r="FJ190"/>
  <c r="FJ184"/>
  <c r="FJ182"/>
  <c r="FJ174"/>
  <c r="FJ167"/>
  <c r="FJ177"/>
  <c r="FJ175"/>
  <c r="FJ165"/>
  <c r="FJ163"/>
  <c r="FJ160"/>
  <c r="FJ155"/>
  <c r="FJ153"/>
  <c r="FJ149"/>
  <c r="FJ141"/>
  <c r="FJ146"/>
  <c r="FJ140"/>
  <c r="I31"/>
  <c r="FJ227"/>
  <c r="FJ225"/>
  <c r="FJ221"/>
  <c r="FJ234"/>
  <c r="FJ232"/>
  <c r="FJ230"/>
  <c r="FJ218"/>
  <c r="FJ216"/>
  <c r="FJ214"/>
  <c r="FJ212"/>
  <c r="FJ208"/>
  <c r="FJ200"/>
  <c r="FJ196"/>
  <c r="FJ188"/>
  <c r="FJ186"/>
  <c r="FJ205"/>
  <c r="FJ203"/>
  <c r="FJ193"/>
  <c r="FJ189"/>
  <c r="FJ181"/>
  <c r="FJ179"/>
  <c r="FJ173"/>
  <c r="FJ166"/>
  <c r="FJ176"/>
  <c r="FJ169"/>
  <c r="FJ161"/>
  <c r="FJ159"/>
  <c r="FJ157"/>
  <c r="FJ156"/>
  <c r="FJ142"/>
  <c r="FJ145"/>
  <c r="FJ137"/>
  <c r="A160" i="23"/>
  <c r="B161"/>
  <c r="DJ132" i="21" l="1"/>
  <c r="G448"/>
  <c r="G432"/>
  <c r="G391"/>
  <c r="G398"/>
  <c r="DO203"/>
  <c r="DO193"/>
  <c r="DO187"/>
  <c r="DO179"/>
  <c r="DO171"/>
  <c r="DO163"/>
  <c r="DO155"/>
  <c r="DO151"/>
  <c r="DO147"/>
  <c r="DO143"/>
  <c r="DO139"/>
  <c r="DO153"/>
  <c r="DO157"/>
  <c r="DO195"/>
  <c r="DO197"/>
  <c r="DO199"/>
  <c r="DO205"/>
  <c r="DO211"/>
  <c r="DO213"/>
  <c r="DO215"/>
  <c r="DO221"/>
  <c r="DO223"/>
  <c r="DO225"/>
  <c r="DO161"/>
  <c r="DO165"/>
  <c r="DO169"/>
  <c r="DO173"/>
  <c r="DO181"/>
  <c r="DO185"/>
  <c r="DO189"/>
  <c r="DO201"/>
  <c r="DO207"/>
  <c r="DO231"/>
  <c r="DO141"/>
  <c r="DO149"/>
  <c r="DO167"/>
  <c r="DO209"/>
  <c r="DO188"/>
  <c r="DO192"/>
  <c r="DO196"/>
  <c r="DO200"/>
  <c r="DO204"/>
  <c r="DO208"/>
  <c r="DO212"/>
  <c r="DO218"/>
  <c r="DO220"/>
  <c r="DO226"/>
  <c r="DO228"/>
  <c r="DO236"/>
  <c r="DO227"/>
  <c r="DO229"/>
  <c r="DO233"/>
  <c r="DO145"/>
  <c r="DO159"/>
  <c r="DO175"/>
  <c r="DO217"/>
  <c r="DO190"/>
  <c r="DO194"/>
  <c r="DO198"/>
  <c r="DO202"/>
  <c r="DO206"/>
  <c r="DO210"/>
  <c r="DO214"/>
  <c r="DO216"/>
  <c r="DO222"/>
  <c r="DO224"/>
  <c r="DO230"/>
  <c r="DO138"/>
  <c r="DO140"/>
  <c r="DO142"/>
  <c r="DO146"/>
  <c r="DO150"/>
  <c r="DO152"/>
  <c r="DO154"/>
  <c r="DO156"/>
  <c r="DO158"/>
  <c r="DO160"/>
  <c r="DO162"/>
  <c r="DO164"/>
  <c r="DO166"/>
  <c r="DO168"/>
  <c r="DO170"/>
  <c r="DO172"/>
  <c r="DO174"/>
  <c r="DO176"/>
  <c r="DO180"/>
  <c r="DO182"/>
  <c r="DO184"/>
  <c r="DO186"/>
  <c r="DO137"/>
  <c r="DK178"/>
  <c r="H391" s="1"/>
  <c r="DK144"/>
  <c r="FJ144" s="1"/>
  <c r="DK183"/>
  <c r="FJ183" s="1"/>
  <c r="DK185"/>
  <c r="FJ185" s="1"/>
  <c r="DK219"/>
  <c r="FJ219" s="1"/>
  <c r="DK235"/>
  <c r="FJ235" s="1"/>
  <c r="FJ215"/>
  <c r="FJ191"/>
  <c r="FJ171"/>
  <c r="F433"/>
  <c r="FH220"/>
  <c r="H405"/>
  <c r="F425"/>
  <c r="FH212"/>
  <c r="F401"/>
  <c r="FH188"/>
  <c r="F409"/>
  <c r="FH196"/>
  <c r="FH189"/>
  <c r="F402"/>
  <c r="F381"/>
  <c r="FH168"/>
  <c r="H384"/>
  <c r="H404"/>
  <c r="H412"/>
  <c r="H428"/>
  <c r="H436"/>
  <c r="FJ150"/>
  <c r="FJ138"/>
  <c r="FJ139"/>
  <c r="FJ147"/>
  <c r="FJ154"/>
  <c r="FJ151"/>
  <c r="FJ164"/>
  <c r="FJ178"/>
  <c r="FJ168"/>
  <c r="FJ143"/>
  <c r="FJ158"/>
  <c r="FJ162"/>
  <c r="FJ172"/>
  <c r="FJ180"/>
  <c r="FJ148"/>
  <c r="FJ152"/>
  <c r="BL130"/>
  <c r="H383"/>
  <c r="DK132"/>
  <c r="FI170"/>
  <c r="BN134"/>
  <c r="O134"/>
  <c r="BM236"/>
  <c r="I449" s="1"/>
  <c r="BM235"/>
  <c r="BM234"/>
  <c r="I447" s="1"/>
  <c r="BM233"/>
  <c r="I446" s="1"/>
  <c r="BM232"/>
  <c r="I445" s="1"/>
  <c r="BM231"/>
  <c r="I444" s="1"/>
  <c r="BM230"/>
  <c r="I443" s="1"/>
  <c r="BM229"/>
  <c r="I442" s="1"/>
  <c r="BM228"/>
  <c r="I441" s="1"/>
  <c r="BM227"/>
  <c r="I440" s="1"/>
  <c r="BM226"/>
  <c r="BM225"/>
  <c r="I438" s="1"/>
  <c r="BM224"/>
  <c r="I437" s="1"/>
  <c r="BM223"/>
  <c r="I436" s="1"/>
  <c r="BM222"/>
  <c r="I435" s="1"/>
  <c r="BM221"/>
  <c r="I434" s="1"/>
  <c r="BM220"/>
  <c r="I433" s="1"/>
  <c r="BM219"/>
  <c r="BM218"/>
  <c r="I431" s="1"/>
  <c r="BM217"/>
  <c r="I430" s="1"/>
  <c r="BM216"/>
  <c r="I429" s="1"/>
  <c r="BM215"/>
  <c r="I428" s="1"/>
  <c r="BM214"/>
  <c r="I427" s="1"/>
  <c r="BM213"/>
  <c r="BM212"/>
  <c r="I425" s="1"/>
  <c r="BM211"/>
  <c r="I424" s="1"/>
  <c r="BM210"/>
  <c r="BM209"/>
  <c r="I422" s="1"/>
  <c r="BM208"/>
  <c r="I421" s="1"/>
  <c r="BM207"/>
  <c r="BM206"/>
  <c r="I419" s="1"/>
  <c r="BM205"/>
  <c r="I418" s="1"/>
  <c r="BM204"/>
  <c r="BM203"/>
  <c r="I416" s="1"/>
  <c r="BM202"/>
  <c r="BM201"/>
  <c r="BM200"/>
  <c r="I413" s="1"/>
  <c r="BM199"/>
  <c r="I412" s="1"/>
  <c r="BM198"/>
  <c r="BM197"/>
  <c r="I410" s="1"/>
  <c r="BM196"/>
  <c r="I409" s="1"/>
  <c r="BM195"/>
  <c r="BM194"/>
  <c r="I407" s="1"/>
  <c r="BM193"/>
  <c r="I406" s="1"/>
  <c r="BM192"/>
  <c r="I405" s="1"/>
  <c r="BM191"/>
  <c r="BM190"/>
  <c r="I403" s="1"/>
  <c r="BM189"/>
  <c r="I402" s="1"/>
  <c r="BM188"/>
  <c r="I401" s="1"/>
  <c r="BM187"/>
  <c r="I400" s="1"/>
  <c r="BM186"/>
  <c r="I399" s="1"/>
  <c r="BM185"/>
  <c r="BM184"/>
  <c r="I397" s="1"/>
  <c r="BM183"/>
  <c r="BM182"/>
  <c r="I395" s="1"/>
  <c r="BM181"/>
  <c r="I394" s="1"/>
  <c r="BM180"/>
  <c r="I393" s="1"/>
  <c r="BM179"/>
  <c r="I392" s="1"/>
  <c r="BM178"/>
  <c r="BM177"/>
  <c r="I390" s="1"/>
  <c r="BM176"/>
  <c r="I389" s="1"/>
  <c r="BM175"/>
  <c r="I388" s="1"/>
  <c r="BM174"/>
  <c r="I387" s="1"/>
  <c r="BM173"/>
  <c r="I386" s="1"/>
  <c r="BM172"/>
  <c r="I385" s="1"/>
  <c r="BM171"/>
  <c r="I384" s="1"/>
  <c r="BM170"/>
  <c r="BM169"/>
  <c r="I382" s="1"/>
  <c r="BM168"/>
  <c r="I381" s="1"/>
  <c r="BM167"/>
  <c r="I380" s="1"/>
  <c r="BM166"/>
  <c r="I379" s="1"/>
  <c r="BM165"/>
  <c r="I378" s="1"/>
  <c r="BM164"/>
  <c r="I377" s="1"/>
  <c r="BM163"/>
  <c r="I376" s="1"/>
  <c r="BM162"/>
  <c r="I375" s="1"/>
  <c r="BM161"/>
  <c r="I374" s="1"/>
  <c r="BM160"/>
  <c r="I373" s="1"/>
  <c r="BM159"/>
  <c r="I372" s="1"/>
  <c r="BM158"/>
  <c r="I371" s="1"/>
  <c r="BM157"/>
  <c r="I370" s="1"/>
  <c r="BM156"/>
  <c r="I369" s="1"/>
  <c r="BM155"/>
  <c r="I368" s="1"/>
  <c r="BM154"/>
  <c r="I367" s="1"/>
  <c r="BM153"/>
  <c r="I366" s="1"/>
  <c r="BM152"/>
  <c r="I365" s="1"/>
  <c r="BM151"/>
  <c r="I364" s="1"/>
  <c r="BM150"/>
  <c r="I363" s="1"/>
  <c r="BM149"/>
  <c r="I362" s="1"/>
  <c r="BM148"/>
  <c r="I361" s="1"/>
  <c r="BM147"/>
  <c r="I360" s="1"/>
  <c r="BM146"/>
  <c r="I359" s="1"/>
  <c r="BM145"/>
  <c r="I358" s="1"/>
  <c r="BM144"/>
  <c r="BM143"/>
  <c r="I356" s="1"/>
  <c r="BM142"/>
  <c r="I355" s="1"/>
  <c r="BM141"/>
  <c r="I354" s="1"/>
  <c r="BM140"/>
  <c r="I353" s="1"/>
  <c r="BM139"/>
  <c r="I352" s="1"/>
  <c r="BM138"/>
  <c r="I351" s="1"/>
  <c r="BM137"/>
  <c r="I350" s="1"/>
  <c r="DP134"/>
  <c r="FK234"/>
  <c r="FK232"/>
  <c r="FK230"/>
  <c r="FK218"/>
  <c r="FK216"/>
  <c r="FK214"/>
  <c r="FK212"/>
  <c r="FK236"/>
  <c r="FK228"/>
  <c r="FK224"/>
  <c r="FK222"/>
  <c r="FK220"/>
  <c r="FK206"/>
  <c r="FK192"/>
  <c r="FK190"/>
  <c r="FK184"/>
  <c r="FK199"/>
  <c r="FK197"/>
  <c r="FK187"/>
  <c r="FK177"/>
  <c r="FK175"/>
  <c r="FK165"/>
  <c r="FK163"/>
  <c r="FK181"/>
  <c r="FK179"/>
  <c r="FK173"/>
  <c r="FK168"/>
  <c r="FK166"/>
  <c r="FK162"/>
  <c r="FK155"/>
  <c r="FK153"/>
  <c r="FK149"/>
  <c r="FK158"/>
  <c r="FK152"/>
  <c r="FK148"/>
  <c r="FK146"/>
  <c r="J31"/>
  <c r="FK233"/>
  <c r="FK231"/>
  <c r="FK229"/>
  <c r="FK217"/>
  <c r="FK215"/>
  <c r="FK211"/>
  <c r="FK209"/>
  <c r="FK227"/>
  <c r="FK225"/>
  <c r="FK223"/>
  <c r="FK221"/>
  <c r="FK205"/>
  <c r="FK203"/>
  <c r="FK193"/>
  <c r="FK189"/>
  <c r="FK200"/>
  <c r="FK196"/>
  <c r="FK188"/>
  <c r="FK186"/>
  <c r="FK176"/>
  <c r="FK171"/>
  <c r="FK169"/>
  <c r="FK164"/>
  <c r="FK160"/>
  <c r="FK182"/>
  <c r="FK180"/>
  <c r="FK174"/>
  <c r="FK172"/>
  <c r="FK167"/>
  <c r="FK161"/>
  <c r="FK156"/>
  <c r="FK154"/>
  <c r="FK150"/>
  <c r="FK159"/>
  <c r="FK157"/>
  <c r="FK151"/>
  <c r="FK147"/>
  <c r="FK145"/>
  <c r="FK143"/>
  <c r="FK141"/>
  <c r="A161" i="23"/>
  <c r="B162"/>
  <c r="H448" i="21" l="1"/>
  <c r="H432"/>
  <c r="H398"/>
  <c r="H396"/>
  <c r="H357"/>
  <c r="DL183"/>
  <c r="FK183" s="1"/>
  <c r="DL185"/>
  <c r="FK185" s="1"/>
  <c r="DL191"/>
  <c r="FK191" s="1"/>
  <c r="DL219"/>
  <c r="FK219" s="1"/>
  <c r="DL235"/>
  <c r="FK235" s="1"/>
  <c r="DP231"/>
  <c r="DP215"/>
  <c r="DP205"/>
  <c r="DP189"/>
  <c r="DP181"/>
  <c r="DP173"/>
  <c r="DP165"/>
  <c r="DP157"/>
  <c r="DP149"/>
  <c r="DP145"/>
  <c r="DP141"/>
  <c r="DP152"/>
  <c r="DP160"/>
  <c r="DP168"/>
  <c r="DP176"/>
  <c r="DP184"/>
  <c r="DP194"/>
  <c r="DP198"/>
  <c r="DP202"/>
  <c r="DP222"/>
  <c r="DP230"/>
  <c r="DP156"/>
  <c r="DP164"/>
  <c r="DP172"/>
  <c r="DP180"/>
  <c r="DP210"/>
  <c r="DP214"/>
  <c r="DP155"/>
  <c r="DP159"/>
  <c r="DP193"/>
  <c r="DP195"/>
  <c r="DP197"/>
  <c r="DP211"/>
  <c r="DP213"/>
  <c r="DP221"/>
  <c r="DP223"/>
  <c r="DP225"/>
  <c r="DP167"/>
  <c r="DP171"/>
  <c r="DP175"/>
  <c r="DP179"/>
  <c r="DP187"/>
  <c r="DP201"/>
  <c r="DP203"/>
  <c r="DP207"/>
  <c r="DP209"/>
  <c r="DP217"/>
  <c r="DP138"/>
  <c r="DP146"/>
  <c r="DP154"/>
  <c r="DP170"/>
  <c r="DP190"/>
  <c r="DP140"/>
  <c r="DP143"/>
  <c r="DP151"/>
  <c r="DP158"/>
  <c r="DP161"/>
  <c r="DP174"/>
  <c r="DP206"/>
  <c r="DP233"/>
  <c r="DP220"/>
  <c r="DP228"/>
  <c r="DP236"/>
  <c r="DP227"/>
  <c r="DP142"/>
  <c r="DP150"/>
  <c r="DP162"/>
  <c r="DP139"/>
  <c r="DP147"/>
  <c r="DP153"/>
  <c r="DP166"/>
  <c r="DP169"/>
  <c r="DP182"/>
  <c r="DP185"/>
  <c r="DP199"/>
  <c r="DP229"/>
  <c r="DP224"/>
  <c r="DP192"/>
  <c r="DP200"/>
  <c r="DP208"/>
  <c r="DP216"/>
  <c r="DP218"/>
  <c r="DP137"/>
  <c r="DP188"/>
  <c r="DP196"/>
  <c r="DP204"/>
  <c r="DP212"/>
  <c r="DP226"/>
  <c r="DL144"/>
  <c r="I357" s="1"/>
  <c r="DL178"/>
  <c r="FK178" s="1"/>
  <c r="FH223"/>
  <c r="F436"/>
  <c r="FI171"/>
  <c r="G384"/>
  <c r="FK195"/>
  <c r="FJ192"/>
  <c r="FI192"/>
  <c r="G405"/>
  <c r="FK202"/>
  <c r="FJ199"/>
  <c r="FI199"/>
  <c r="G412"/>
  <c r="FI191"/>
  <c r="G404"/>
  <c r="FH215"/>
  <c r="F428"/>
  <c r="I408"/>
  <c r="FI223"/>
  <c r="G436"/>
  <c r="FK226"/>
  <c r="FJ223"/>
  <c r="F384"/>
  <c r="FH171"/>
  <c r="F405"/>
  <c r="FH192"/>
  <c r="FH199"/>
  <c r="F412"/>
  <c r="FH191"/>
  <c r="F404"/>
  <c r="FI215"/>
  <c r="G428"/>
  <c r="I415"/>
  <c r="I439"/>
  <c r="FK142"/>
  <c r="FK138"/>
  <c r="FK140"/>
  <c r="FK137"/>
  <c r="FK139"/>
  <c r="BM130"/>
  <c r="I383"/>
  <c r="DL132"/>
  <c r="FJ170"/>
  <c r="FK194"/>
  <c r="FK208"/>
  <c r="BN236"/>
  <c r="J449" s="1"/>
  <c r="BN235"/>
  <c r="BN234"/>
  <c r="J447" s="1"/>
  <c r="BN233"/>
  <c r="J446" s="1"/>
  <c r="BN232"/>
  <c r="J445" s="1"/>
  <c r="BN231"/>
  <c r="J444" s="1"/>
  <c r="BN230"/>
  <c r="J443" s="1"/>
  <c r="BN229"/>
  <c r="J442" s="1"/>
  <c r="BN228"/>
  <c r="J441" s="1"/>
  <c r="BN227"/>
  <c r="J440" s="1"/>
  <c r="BN226"/>
  <c r="J439" s="1"/>
  <c r="BN225"/>
  <c r="J438" s="1"/>
  <c r="BN224"/>
  <c r="J437" s="1"/>
  <c r="BN223"/>
  <c r="J436" s="1"/>
  <c r="BN222"/>
  <c r="J435" s="1"/>
  <c r="BN221"/>
  <c r="J434" s="1"/>
  <c r="BN220"/>
  <c r="J433" s="1"/>
  <c r="BN219"/>
  <c r="BN218"/>
  <c r="J431" s="1"/>
  <c r="BN217"/>
  <c r="J430" s="1"/>
  <c r="BN216"/>
  <c r="J429" s="1"/>
  <c r="BN215"/>
  <c r="J428" s="1"/>
  <c r="BN214"/>
  <c r="J427" s="1"/>
  <c r="BN213"/>
  <c r="BN212"/>
  <c r="J425" s="1"/>
  <c r="BN211"/>
  <c r="J424" s="1"/>
  <c r="BN210"/>
  <c r="BN209"/>
  <c r="J422" s="1"/>
  <c r="BN208"/>
  <c r="J421" s="1"/>
  <c r="BN207"/>
  <c r="BN206"/>
  <c r="J419" s="1"/>
  <c r="BN205"/>
  <c r="J418" s="1"/>
  <c r="BN204"/>
  <c r="BN203"/>
  <c r="J416" s="1"/>
  <c r="BN202"/>
  <c r="J415" s="1"/>
  <c r="BN201"/>
  <c r="BN200"/>
  <c r="J413" s="1"/>
  <c r="BN199"/>
  <c r="J412" s="1"/>
  <c r="BN198"/>
  <c r="BN197"/>
  <c r="J410" s="1"/>
  <c r="BN196"/>
  <c r="J409" s="1"/>
  <c r="BN195"/>
  <c r="J408" s="1"/>
  <c r="BN194"/>
  <c r="J407" s="1"/>
  <c r="BN193"/>
  <c r="J406" s="1"/>
  <c r="BN192"/>
  <c r="J405" s="1"/>
  <c r="BN191"/>
  <c r="BN190"/>
  <c r="J403" s="1"/>
  <c r="BN189"/>
  <c r="J402" s="1"/>
  <c r="BN188"/>
  <c r="J401" s="1"/>
  <c r="BN187"/>
  <c r="J400" s="1"/>
  <c r="BN186"/>
  <c r="J399" s="1"/>
  <c r="BN185"/>
  <c r="J398" s="1"/>
  <c r="BN184"/>
  <c r="J397" s="1"/>
  <c r="BN183"/>
  <c r="BN182"/>
  <c r="J395" s="1"/>
  <c r="BN181"/>
  <c r="J394" s="1"/>
  <c r="BN180"/>
  <c r="J393" s="1"/>
  <c r="BN179"/>
  <c r="J392" s="1"/>
  <c r="BN178"/>
  <c r="BN177"/>
  <c r="J390" s="1"/>
  <c r="BN176"/>
  <c r="J389" s="1"/>
  <c r="BN175"/>
  <c r="J388" s="1"/>
  <c r="BN174"/>
  <c r="J387" s="1"/>
  <c r="BN173"/>
  <c r="J386" s="1"/>
  <c r="BN172"/>
  <c r="J385" s="1"/>
  <c r="BN171"/>
  <c r="J384" s="1"/>
  <c r="BN170"/>
  <c r="BN169"/>
  <c r="J382" s="1"/>
  <c r="BN168"/>
  <c r="J381" s="1"/>
  <c r="BN167"/>
  <c r="J380" s="1"/>
  <c r="BN166"/>
  <c r="J379" s="1"/>
  <c r="BN165"/>
  <c r="J378" s="1"/>
  <c r="BN164"/>
  <c r="J377" s="1"/>
  <c r="BN163"/>
  <c r="J376" s="1"/>
  <c r="BN162"/>
  <c r="J375" s="1"/>
  <c r="BN161"/>
  <c r="J374" s="1"/>
  <c r="BN160"/>
  <c r="J373" s="1"/>
  <c r="BN159"/>
  <c r="J372" s="1"/>
  <c r="BN158"/>
  <c r="J371" s="1"/>
  <c r="BN156"/>
  <c r="J369" s="1"/>
  <c r="BN154"/>
  <c r="J367" s="1"/>
  <c r="BN152"/>
  <c r="J365" s="1"/>
  <c r="BN150"/>
  <c r="J363" s="1"/>
  <c r="BN148"/>
  <c r="J361" s="1"/>
  <c r="BN146"/>
  <c r="J359" s="1"/>
  <c r="BN145"/>
  <c r="J358" s="1"/>
  <c r="BN144"/>
  <c r="BN143"/>
  <c r="J356" s="1"/>
  <c r="BN142"/>
  <c r="J355" s="1"/>
  <c r="BN141"/>
  <c r="J354" s="1"/>
  <c r="BN140"/>
  <c r="J353" s="1"/>
  <c r="BN139"/>
  <c r="J352" s="1"/>
  <c r="BN138"/>
  <c r="J351" s="1"/>
  <c r="BN137"/>
  <c r="J350" s="1"/>
  <c r="BN157"/>
  <c r="J370" s="1"/>
  <c r="BN155"/>
  <c r="J368" s="1"/>
  <c r="BN153"/>
  <c r="J366" s="1"/>
  <c r="BN151"/>
  <c r="J364" s="1"/>
  <c r="BN149"/>
  <c r="J362" s="1"/>
  <c r="BN147"/>
  <c r="J360" s="1"/>
  <c r="BO134"/>
  <c r="P134"/>
  <c r="DQ134"/>
  <c r="FL236"/>
  <c r="FL228"/>
  <c r="FL226"/>
  <c r="FL224"/>
  <c r="FL222"/>
  <c r="FL220"/>
  <c r="FL206"/>
  <c r="FL233"/>
  <c r="FL231"/>
  <c r="FL229"/>
  <c r="FL217"/>
  <c r="FL215"/>
  <c r="FL211"/>
  <c r="FL209"/>
  <c r="FL199"/>
  <c r="FL197"/>
  <c r="FL195"/>
  <c r="FL187"/>
  <c r="FL185"/>
  <c r="FL202"/>
  <c r="FL194"/>
  <c r="FL192"/>
  <c r="FL190"/>
  <c r="FL184"/>
  <c r="FL182"/>
  <c r="FL180"/>
  <c r="FL174"/>
  <c r="FL172"/>
  <c r="FL167"/>
  <c r="FL176"/>
  <c r="FL171"/>
  <c r="FL169"/>
  <c r="FL164"/>
  <c r="FL162"/>
  <c r="FL160"/>
  <c r="FL158"/>
  <c r="FL152"/>
  <c r="FL156"/>
  <c r="FL154"/>
  <c r="FL150"/>
  <c r="FL148"/>
  <c r="FL143"/>
  <c r="FL141"/>
  <c r="FL146"/>
  <c r="K31"/>
  <c r="FL227"/>
  <c r="FL225"/>
  <c r="FL223"/>
  <c r="FL221"/>
  <c r="FL234"/>
  <c r="FL232"/>
  <c r="FL230"/>
  <c r="FL218"/>
  <c r="FL216"/>
  <c r="FL214"/>
  <c r="FL212"/>
  <c r="FL208"/>
  <c r="FL200"/>
  <c r="FL196"/>
  <c r="FL188"/>
  <c r="FL186"/>
  <c r="FL205"/>
  <c r="FL203"/>
  <c r="FL193"/>
  <c r="FL189"/>
  <c r="FL181"/>
  <c r="FL179"/>
  <c r="FL173"/>
  <c r="FL168"/>
  <c r="FL166"/>
  <c r="FL177"/>
  <c r="FL175"/>
  <c r="FL165"/>
  <c r="FL163"/>
  <c r="FL161"/>
  <c r="FL159"/>
  <c r="FL151"/>
  <c r="FL155"/>
  <c r="FL149"/>
  <c r="FL142"/>
  <c r="FL147"/>
  <c r="FL145"/>
  <c r="FL139"/>
  <c r="FL137"/>
  <c r="A162" i="23"/>
  <c r="B163"/>
  <c r="FK144" i="21" l="1"/>
  <c r="I391"/>
  <c r="I448"/>
  <c r="I432"/>
  <c r="I404"/>
  <c r="I398"/>
  <c r="I396"/>
  <c r="DM183"/>
  <c r="FL183" s="1"/>
  <c r="DM191"/>
  <c r="FL191" s="1"/>
  <c r="DM219"/>
  <c r="FL219" s="1"/>
  <c r="DM235"/>
  <c r="FL235" s="1"/>
  <c r="DQ227"/>
  <c r="DQ223"/>
  <c r="DQ195"/>
  <c r="DQ175"/>
  <c r="DQ167"/>
  <c r="DQ159"/>
  <c r="DQ151"/>
  <c r="DQ147"/>
  <c r="DQ143"/>
  <c r="DQ139"/>
  <c r="DQ153"/>
  <c r="DQ157"/>
  <c r="DQ161"/>
  <c r="DQ165"/>
  <c r="DQ169"/>
  <c r="DQ173"/>
  <c r="DQ181"/>
  <c r="DQ185"/>
  <c r="DQ189"/>
  <c r="DQ207"/>
  <c r="DQ197"/>
  <c r="DQ199"/>
  <c r="DQ203"/>
  <c r="DQ205"/>
  <c r="DQ209"/>
  <c r="DQ213"/>
  <c r="DQ215"/>
  <c r="DQ217"/>
  <c r="DQ229"/>
  <c r="DQ233"/>
  <c r="DQ145"/>
  <c r="DQ155"/>
  <c r="DQ171"/>
  <c r="DQ187"/>
  <c r="DQ211"/>
  <c r="DQ225"/>
  <c r="DQ190"/>
  <c r="DQ194"/>
  <c r="DQ198"/>
  <c r="DQ202"/>
  <c r="DQ206"/>
  <c r="DQ210"/>
  <c r="DQ214"/>
  <c r="DQ216"/>
  <c r="DQ222"/>
  <c r="DQ224"/>
  <c r="DQ230"/>
  <c r="DQ138"/>
  <c r="DQ140"/>
  <c r="DQ142"/>
  <c r="DQ231"/>
  <c r="DQ141"/>
  <c r="DQ149"/>
  <c r="DQ179"/>
  <c r="DQ193"/>
  <c r="DQ201"/>
  <c r="DQ221"/>
  <c r="DQ192"/>
  <c r="DQ196"/>
  <c r="DQ200"/>
  <c r="DQ204"/>
  <c r="DQ208"/>
  <c r="DQ212"/>
  <c r="DQ218"/>
  <c r="DQ220"/>
  <c r="DQ226"/>
  <c r="DQ228"/>
  <c r="DQ236"/>
  <c r="DQ150"/>
  <c r="DQ152"/>
  <c r="DQ154"/>
  <c r="DQ156"/>
  <c r="DQ158"/>
  <c r="DQ160"/>
  <c r="DQ164"/>
  <c r="DQ166"/>
  <c r="DQ168"/>
  <c r="DQ170"/>
  <c r="DQ172"/>
  <c r="DQ174"/>
  <c r="DQ176"/>
  <c r="DQ180"/>
  <c r="DQ182"/>
  <c r="DQ184"/>
  <c r="DQ137"/>
  <c r="DQ146"/>
  <c r="DM144"/>
  <c r="FL144" s="1"/>
  <c r="DM178"/>
  <c r="FL178" s="1"/>
  <c r="F439"/>
  <c r="FH226"/>
  <c r="F415"/>
  <c r="FH202"/>
  <c r="FL198"/>
  <c r="FJ195"/>
  <c r="H408"/>
  <c r="FI195"/>
  <c r="G408"/>
  <c r="FI226"/>
  <c r="G439"/>
  <c r="FJ226"/>
  <c r="H439"/>
  <c r="FJ202"/>
  <c r="H415"/>
  <c r="FI202"/>
  <c r="G415"/>
  <c r="F408"/>
  <c r="FH195"/>
  <c r="J411"/>
  <c r="FL157"/>
  <c r="FL138"/>
  <c r="FL153"/>
  <c r="FL140"/>
  <c r="BN130"/>
  <c r="J383"/>
  <c r="FK170"/>
  <c r="BO236"/>
  <c r="K449" s="1"/>
  <c r="BO235"/>
  <c r="BO234"/>
  <c r="K447" s="1"/>
  <c r="BO233"/>
  <c r="K446" s="1"/>
  <c r="BO232"/>
  <c r="BO231"/>
  <c r="K444" s="1"/>
  <c r="BO230"/>
  <c r="K443" s="1"/>
  <c r="BO229"/>
  <c r="K442" s="1"/>
  <c r="BO228"/>
  <c r="K441" s="1"/>
  <c r="BO227"/>
  <c r="K440" s="1"/>
  <c r="BO226"/>
  <c r="K439" s="1"/>
  <c r="BO225"/>
  <c r="K438" s="1"/>
  <c r="BO224"/>
  <c r="K437" s="1"/>
  <c r="BO223"/>
  <c r="K436" s="1"/>
  <c r="BO222"/>
  <c r="K435" s="1"/>
  <c r="BO221"/>
  <c r="K434" s="1"/>
  <c r="BO220"/>
  <c r="K433" s="1"/>
  <c r="BO219"/>
  <c r="BO218"/>
  <c r="K431" s="1"/>
  <c r="BO217"/>
  <c r="K430" s="1"/>
  <c r="BO216"/>
  <c r="K429" s="1"/>
  <c r="BO215"/>
  <c r="K428" s="1"/>
  <c r="BO214"/>
  <c r="K427" s="1"/>
  <c r="BO213"/>
  <c r="BO212"/>
  <c r="K425" s="1"/>
  <c r="BO211"/>
  <c r="K424" s="1"/>
  <c r="BO210"/>
  <c r="BO209"/>
  <c r="K422" s="1"/>
  <c r="BO208"/>
  <c r="K421" s="1"/>
  <c r="BO207"/>
  <c r="BO206"/>
  <c r="K419" s="1"/>
  <c r="BO205"/>
  <c r="K418" s="1"/>
  <c r="BO204"/>
  <c r="BO203"/>
  <c r="K416" s="1"/>
  <c r="BO202"/>
  <c r="K415" s="1"/>
  <c r="BO201"/>
  <c r="BO200"/>
  <c r="K413" s="1"/>
  <c r="BO199"/>
  <c r="K412" s="1"/>
  <c r="BO198"/>
  <c r="K411" s="1"/>
  <c r="BO197"/>
  <c r="K410" s="1"/>
  <c r="BO196"/>
  <c r="K409" s="1"/>
  <c r="BO195"/>
  <c r="K408" s="1"/>
  <c r="BO194"/>
  <c r="K407" s="1"/>
  <c r="BO193"/>
  <c r="K406" s="1"/>
  <c r="BO192"/>
  <c r="K405" s="1"/>
  <c r="BO191"/>
  <c r="BO190"/>
  <c r="K403" s="1"/>
  <c r="BO189"/>
  <c r="K402" s="1"/>
  <c r="BO188"/>
  <c r="K401" s="1"/>
  <c r="BO186"/>
  <c r="K399" s="1"/>
  <c r="BO185"/>
  <c r="K398" s="1"/>
  <c r="BO184"/>
  <c r="K397" s="1"/>
  <c r="BO183"/>
  <c r="BO182"/>
  <c r="K395" s="1"/>
  <c r="BO181"/>
  <c r="K394" s="1"/>
  <c r="BO180"/>
  <c r="K393" s="1"/>
  <c r="BO179"/>
  <c r="K392" s="1"/>
  <c r="BO178"/>
  <c r="BO177"/>
  <c r="K390" s="1"/>
  <c r="BO176"/>
  <c r="K389" s="1"/>
  <c r="BO175"/>
  <c r="K388" s="1"/>
  <c r="BO174"/>
  <c r="K387" s="1"/>
  <c r="BO173"/>
  <c r="K386" s="1"/>
  <c r="BO172"/>
  <c r="K385" s="1"/>
  <c r="BO171"/>
  <c r="K384" s="1"/>
  <c r="BO170"/>
  <c r="BO169"/>
  <c r="K382" s="1"/>
  <c r="BO168"/>
  <c r="K381" s="1"/>
  <c r="BO167"/>
  <c r="K380" s="1"/>
  <c r="BO166"/>
  <c r="K379" s="1"/>
  <c r="BO165"/>
  <c r="K378" s="1"/>
  <c r="BO164"/>
  <c r="K377" s="1"/>
  <c r="BO163"/>
  <c r="K376" s="1"/>
  <c r="BO162"/>
  <c r="K375" s="1"/>
  <c r="BO161"/>
  <c r="K374" s="1"/>
  <c r="BO160"/>
  <c r="K373" s="1"/>
  <c r="BO159"/>
  <c r="K372" s="1"/>
  <c r="BO158"/>
  <c r="K371" s="1"/>
  <c r="BO157"/>
  <c r="K370" s="1"/>
  <c r="BO156"/>
  <c r="K369" s="1"/>
  <c r="BO155"/>
  <c r="K368" s="1"/>
  <c r="BO154"/>
  <c r="K367" s="1"/>
  <c r="BO153"/>
  <c r="K366" s="1"/>
  <c r="BO152"/>
  <c r="K365" s="1"/>
  <c r="BO151"/>
  <c r="K364" s="1"/>
  <c r="BO150"/>
  <c r="K363" s="1"/>
  <c r="BO149"/>
  <c r="K362" s="1"/>
  <c r="BO148"/>
  <c r="K361" s="1"/>
  <c r="BO147"/>
  <c r="K360" s="1"/>
  <c r="BO187"/>
  <c r="K400" s="1"/>
  <c r="BO146"/>
  <c r="K359" s="1"/>
  <c r="BO145"/>
  <c r="K358" s="1"/>
  <c r="BO144"/>
  <c r="BO143"/>
  <c r="K356" s="1"/>
  <c r="BO142"/>
  <c r="K355" s="1"/>
  <c r="BO141"/>
  <c r="K354" s="1"/>
  <c r="BO140"/>
  <c r="K353" s="1"/>
  <c r="BO139"/>
  <c r="K352" s="1"/>
  <c r="BO138"/>
  <c r="K351" s="1"/>
  <c r="BO137"/>
  <c r="K350" s="1"/>
  <c r="BP134"/>
  <c r="Q134"/>
  <c r="DR134"/>
  <c r="FM234"/>
  <c r="FM230"/>
  <c r="FM218"/>
  <c r="FM216"/>
  <c r="FM214"/>
  <c r="FM212"/>
  <c r="FM208"/>
  <c r="FM236"/>
  <c r="FM228"/>
  <c r="FM226"/>
  <c r="FM224"/>
  <c r="FM222"/>
  <c r="FM220"/>
  <c r="FM206"/>
  <c r="FM202"/>
  <c r="FM194"/>
  <c r="FM192"/>
  <c r="FM190"/>
  <c r="FM195"/>
  <c r="FM185"/>
  <c r="FM177"/>
  <c r="FM175"/>
  <c r="FM165"/>
  <c r="FM163"/>
  <c r="FM181"/>
  <c r="FM179"/>
  <c r="FM173"/>
  <c r="FM168"/>
  <c r="FM155"/>
  <c r="FM153"/>
  <c r="FM149"/>
  <c r="FM148"/>
  <c r="FM146"/>
  <c r="FM140"/>
  <c r="FM142"/>
  <c r="L31"/>
  <c r="FM233"/>
  <c r="FM231"/>
  <c r="FM229"/>
  <c r="FM217"/>
  <c r="FM209"/>
  <c r="FM223"/>
  <c r="FM200"/>
  <c r="FM198"/>
  <c r="FM196"/>
  <c r="FM188"/>
  <c r="FM186"/>
  <c r="FM171"/>
  <c r="FM169"/>
  <c r="FM161"/>
  <c r="FM172"/>
  <c r="FM167"/>
  <c r="FM160"/>
  <c r="FM159"/>
  <c r="FM157"/>
  <c r="FM151"/>
  <c r="FM147"/>
  <c r="FM145"/>
  <c r="A163" i="23"/>
  <c r="B164"/>
  <c r="DM132" i="21" l="1"/>
  <c r="J391"/>
  <c r="J357"/>
  <c r="J448"/>
  <c r="J432"/>
  <c r="J404"/>
  <c r="J396"/>
  <c r="DR207"/>
  <c r="DR197"/>
  <c r="DR185"/>
  <c r="DR169"/>
  <c r="DR161"/>
  <c r="DR153"/>
  <c r="DR149"/>
  <c r="DR145"/>
  <c r="DR141"/>
  <c r="DR158"/>
  <c r="DR166"/>
  <c r="DR174"/>
  <c r="DR182"/>
  <c r="DR192"/>
  <c r="DR208"/>
  <c r="DR236"/>
  <c r="DR155"/>
  <c r="DR159"/>
  <c r="DR154"/>
  <c r="DR170"/>
  <c r="DR200"/>
  <c r="DR204"/>
  <c r="DR216"/>
  <c r="DR220"/>
  <c r="DR228"/>
  <c r="DR167"/>
  <c r="DR171"/>
  <c r="DR175"/>
  <c r="DR179"/>
  <c r="DR187"/>
  <c r="DR199"/>
  <c r="DR201"/>
  <c r="DR203"/>
  <c r="DR205"/>
  <c r="DR209"/>
  <c r="DR215"/>
  <c r="DR217"/>
  <c r="DR193"/>
  <c r="DR195"/>
  <c r="DR211"/>
  <c r="DR221"/>
  <c r="DR223"/>
  <c r="DR225"/>
  <c r="DR227"/>
  <c r="DR231"/>
  <c r="DR164"/>
  <c r="DR180"/>
  <c r="DR139"/>
  <c r="DR142"/>
  <c r="DR147"/>
  <c r="DR150"/>
  <c r="DR152"/>
  <c r="DR165"/>
  <c r="DR168"/>
  <c r="DR181"/>
  <c r="DR184"/>
  <c r="DR189"/>
  <c r="DR213"/>
  <c r="DR218"/>
  <c r="DR226"/>
  <c r="DR229"/>
  <c r="DR233"/>
  <c r="DR140"/>
  <c r="DR156"/>
  <c r="DR172"/>
  <c r="DR212"/>
  <c r="DR138"/>
  <c r="DR143"/>
  <c r="DR146"/>
  <c r="DR151"/>
  <c r="DR157"/>
  <c r="DR160"/>
  <c r="DR173"/>
  <c r="DR176"/>
  <c r="DR196"/>
  <c r="DR222"/>
  <c r="DR230"/>
  <c r="DR190"/>
  <c r="DR198"/>
  <c r="DR206"/>
  <c r="DR214"/>
  <c r="DR194"/>
  <c r="DR210"/>
  <c r="DR224"/>
  <c r="DR137"/>
  <c r="DN144"/>
  <c r="FM144" s="1"/>
  <c r="DN183"/>
  <c r="FM183" s="1"/>
  <c r="DN232"/>
  <c r="FM232" s="1"/>
  <c r="DN178"/>
  <c r="K391" s="1"/>
  <c r="DN191"/>
  <c r="K404" s="1"/>
  <c r="DN219"/>
  <c r="FM219" s="1"/>
  <c r="DN235"/>
  <c r="FM235" s="1"/>
  <c r="FM201"/>
  <c r="FJ198"/>
  <c r="H411"/>
  <c r="FI198"/>
  <c r="G411"/>
  <c r="F411"/>
  <c r="FH198"/>
  <c r="FK198"/>
  <c r="I411"/>
  <c r="K414"/>
  <c r="FM138"/>
  <c r="FM227"/>
  <c r="FM141"/>
  <c r="FM154"/>
  <c r="FM180"/>
  <c r="FM176"/>
  <c r="FM205"/>
  <c r="FM221"/>
  <c r="FM225"/>
  <c r="FM211"/>
  <c r="FM215"/>
  <c r="FM158"/>
  <c r="FM162"/>
  <c r="FM199"/>
  <c r="FM137"/>
  <c r="FM143"/>
  <c r="FM139"/>
  <c r="FM150"/>
  <c r="FM156"/>
  <c r="FM174"/>
  <c r="FM182"/>
  <c r="FM164"/>
  <c r="FM178"/>
  <c r="FM189"/>
  <c r="FM193"/>
  <c r="FM203"/>
  <c r="FM152"/>
  <c r="FM166"/>
  <c r="FM187"/>
  <c r="FM197"/>
  <c r="FM184"/>
  <c r="BO130"/>
  <c r="K383"/>
  <c r="FL170"/>
  <c r="BQ134"/>
  <c r="R134"/>
  <c r="BP236"/>
  <c r="L449" s="1"/>
  <c r="BP235"/>
  <c r="BP234"/>
  <c r="BP233"/>
  <c r="L446" s="1"/>
  <c r="BP232"/>
  <c r="BP231"/>
  <c r="L444" s="1"/>
  <c r="BP230"/>
  <c r="L443" s="1"/>
  <c r="BP229"/>
  <c r="L442" s="1"/>
  <c r="BP228"/>
  <c r="L441" s="1"/>
  <c r="BP227"/>
  <c r="L440" s="1"/>
  <c r="BP226"/>
  <c r="L439" s="1"/>
  <c r="BP225"/>
  <c r="L438" s="1"/>
  <c r="BP224"/>
  <c r="L437" s="1"/>
  <c r="BP223"/>
  <c r="L436" s="1"/>
  <c r="BP222"/>
  <c r="L435" s="1"/>
  <c r="BP221"/>
  <c r="L434" s="1"/>
  <c r="BP220"/>
  <c r="L433" s="1"/>
  <c r="BP219"/>
  <c r="BP218"/>
  <c r="L431" s="1"/>
  <c r="BP217"/>
  <c r="L430" s="1"/>
  <c r="BP216"/>
  <c r="L429" s="1"/>
  <c r="BP215"/>
  <c r="L428" s="1"/>
  <c r="BP214"/>
  <c r="L427" s="1"/>
  <c r="BP213"/>
  <c r="BP212"/>
  <c r="L425" s="1"/>
  <c r="BP211"/>
  <c r="L424" s="1"/>
  <c r="BP210"/>
  <c r="BP209"/>
  <c r="L422" s="1"/>
  <c r="BP208"/>
  <c r="L421" s="1"/>
  <c r="BP207"/>
  <c r="BP206"/>
  <c r="L419" s="1"/>
  <c r="BP205"/>
  <c r="L418" s="1"/>
  <c r="BP204"/>
  <c r="BP203"/>
  <c r="L416" s="1"/>
  <c r="BP202"/>
  <c r="L415" s="1"/>
  <c r="BP201"/>
  <c r="L414" s="1"/>
  <c r="BP200"/>
  <c r="L413" s="1"/>
  <c r="BP199"/>
  <c r="L412" s="1"/>
  <c r="BP198"/>
  <c r="L411" s="1"/>
  <c r="BP197"/>
  <c r="L410" s="1"/>
  <c r="BP196"/>
  <c r="L409" s="1"/>
  <c r="BP195"/>
  <c r="L408" s="1"/>
  <c r="BP194"/>
  <c r="L407" s="1"/>
  <c r="BP193"/>
  <c r="L406" s="1"/>
  <c r="BP192"/>
  <c r="L405" s="1"/>
  <c r="BP191"/>
  <c r="BP190"/>
  <c r="L403" s="1"/>
  <c r="BP189"/>
  <c r="L402" s="1"/>
  <c r="BP188"/>
  <c r="L401" s="1"/>
  <c r="BP187"/>
  <c r="L400" s="1"/>
  <c r="BP186"/>
  <c r="L399" s="1"/>
  <c r="BP185"/>
  <c r="L398" s="1"/>
  <c r="BP184"/>
  <c r="L397" s="1"/>
  <c r="BP183"/>
  <c r="BP182"/>
  <c r="L395" s="1"/>
  <c r="BP181"/>
  <c r="L394" s="1"/>
  <c r="BP180"/>
  <c r="L393" s="1"/>
  <c r="BP179"/>
  <c r="L392" s="1"/>
  <c r="BP178"/>
  <c r="BP177"/>
  <c r="BP176"/>
  <c r="L389" s="1"/>
  <c r="BP175"/>
  <c r="L388" s="1"/>
  <c r="BP174"/>
  <c r="L387" s="1"/>
  <c r="BP173"/>
  <c r="L386" s="1"/>
  <c r="BP172"/>
  <c r="L385" s="1"/>
  <c r="BP171"/>
  <c r="L384" s="1"/>
  <c r="BP170"/>
  <c r="BP169"/>
  <c r="L382" s="1"/>
  <c r="BP168"/>
  <c r="L381" s="1"/>
  <c r="BP167"/>
  <c r="L380" s="1"/>
  <c r="BP166"/>
  <c r="L379" s="1"/>
  <c r="BP165"/>
  <c r="L378" s="1"/>
  <c r="BP164"/>
  <c r="L377" s="1"/>
  <c r="BP163"/>
  <c r="L376" s="1"/>
  <c r="BP162"/>
  <c r="L375" s="1"/>
  <c r="BP161"/>
  <c r="L374" s="1"/>
  <c r="BP160"/>
  <c r="L373" s="1"/>
  <c r="BP159"/>
  <c r="L372" s="1"/>
  <c r="BP158"/>
  <c r="L371" s="1"/>
  <c r="BP157"/>
  <c r="L370" s="1"/>
  <c r="BP155"/>
  <c r="L368" s="1"/>
  <c r="BP153"/>
  <c r="L366" s="1"/>
  <c r="BP151"/>
  <c r="L364" s="1"/>
  <c r="BP149"/>
  <c r="L362" s="1"/>
  <c r="BP147"/>
  <c r="L360" s="1"/>
  <c r="BP146"/>
  <c r="L359" s="1"/>
  <c r="BP145"/>
  <c r="L358" s="1"/>
  <c r="BP144"/>
  <c r="BP143"/>
  <c r="L356" s="1"/>
  <c r="BP142"/>
  <c r="L355" s="1"/>
  <c r="BP141"/>
  <c r="L354" s="1"/>
  <c r="BP140"/>
  <c r="L353" s="1"/>
  <c r="BP139"/>
  <c r="L352" s="1"/>
  <c r="BP138"/>
  <c r="L351" s="1"/>
  <c r="BP137"/>
  <c r="L350" s="1"/>
  <c r="BP156"/>
  <c r="L369" s="1"/>
  <c r="BP154"/>
  <c r="L367" s="1"/>
  <c r="BP152"/>
  <c r="L365" s="1"/>
  <c r="BP150"/>
  <c r="L363" s="1"/>
  <c r="BP148"/>
  <c r="DS134"/>
  <c r="FN228"/>
  <c r="FN224"/>
  <c r="FN220"/>
  <c r="FN233"/>
  <c r="FN231"/>
  <c r="FN229"/>
  <c r="FN217"/>
  <c r="FN215"/>
  <c r="FN211"/>
  <c r="FN209"/>
  <c r="FN199"/>
  <c r="FN197"/>
  <c r="FN195"/>
  <c r="FN187"/>
  <c r="FN185"/>
  <c r="FN194"/>
  <c r="FN190"/>
  <c r="FN182"/>
  <c r="FN174"/>
  <c r="FN167"/>
  <c r="FN175"/>
  <c r="FN165"/>
  <c r="FN163"/>
  <c r="FN160"/>
  <c r="FN155"/>
  <c r="FN153"/>
  <c r="FN149"/>
  <c r="FN141"/>
  <c r="FN146"/>
  <c r="M31"/>
  <c r="FN227"/>
  <c r="FN225"/>
  <c r="FN223"/>
  <c r="FN221"/>
  <c r="FN218"/>
  <c r="FN214"/>
  <c r="FN200"/>
  <c r="FN196"/>
  <c r="FN186"/>
  <c r="FN205"/>
  <c r="FN203"/>
  <c r="FN201"/>
  <c r="FN193"/>
  <c r="FN189"/>
  <c r="FN181"/>
  <c r="FN179"/>
  <c r="FN173"/>
  <c r="FN166"/>
  <c r="FN176"/>
  <c r="FN171"/>
  <c r="FN169"/>
  <c r="FN161"/>
  <c r="FN159"/>
  <c r="FN157"/>
  <c r="FN156"/>
  <c r="FN150"/>
  <c r="FN142"/>
  <c r="FN145"/>
  <c r="FN137"/>
  <c r="A164" i="23"/>
  <c r="B165"/>
  <c r="DN132" i="21" l="1"/>
  <c r="FM191"/>
  <c r="K448"/>
  <c r="K432"/>
  <c r="K445"/>
  <c r="K396"/>
  <c r="K357"/>
  <c r="DS217"/>
  <c r="DS209"/>
  <c r="DS193"/>
  <c r="DS187"/>
  <c r="DS179"/>
  <c r="DS171"/>
  <c r="DS155"/>
  <c r="DS151"/>
  <c r="DS143"/>
  <c r="DS139"/>
  <c r="DS153"/>
  <c r="DS157"/>
  <c r="DS161"/>
  <c r="DS197"/>
  <c r="DS199"/>
  <c r="DS201"/>
  <c r="DS205"/>
  <c r="DS213"/>
  <c r="DS215"/>
  <c r="DS165"/>
  <c r="DS169"/>
  <c r="DS173"/>
  <c r="DS181"/>
  <c r="DS185"/>
  <c r="DS189"/>
  <c r="DS195"/>
  <c r="DS207"/>
  <c r="DS211"/>
  <c r="DS221"/>
  <c r="DS223"/>
  <c r="DS225"/>
  <c r="DS227"/>
  <c r="DS231"/>
  <c r="DS141"/>
  <c r="DS149"/>
  <c r="DS159"/>
  <c r="DS175"/>
  <c r="DS192"/>
  <c r="DS196"/>
  <c r="DS200"/>
  <c r="DS204"/>
  <c r="DS208"/>
  <c r="DS212"/>
  <c r="DS218"/>
  <c r="DS220"/>
  <c r="DS226"/>
  <c r="DS228"/>
  <c r="DS236"/>
  <c r="DS229"/>
  <c r="DS233"/>
  <c r="DS145"/>
  <c r="DS167"/>
  <c r="DS190"/>
  <c r="DS194"/>
  <c r="DS198"/>
  <c r="DS206"/>
  <c r="DS210"/>
  <c r="DS214"/>
  <c r="DS216"/>
  <c r="DS222"/>
  <c r="DS224"/>
  <c r="DS230"/>
  <c r="DS138"/>
  <c r="DS140"/>
  <c r="DS142"/>
  <c r="DS146"/>
  <c r="DS150"/>
  <c r="DS152"/>
  <c r="DS154"/>
  <c r="DS156"/>
  <c r="DS158"/>
  <c r="DS160"/>
  <c r="DS164"/>
  <c r="DS166"/>
  <c r="DS168"/>
  <c r="DS170"/>
  <c r="DS172"/>
  <c r="DS174"/>
  <c r="DS176"/>
  <c r="DS180"/>
  <c r="DS182"/>
  <c r="DS184"/>
  <c r="DS186"/>
  <c r="DS137"/>
  <c r="DO178"/>
  <c r="L391" s="1"/>
  <c r="DO232"/>
  <c r="FN232" s="1"/>
  <c r="DO234"/>
  <c r="L447" s="1"/>
  <c r="DO148"/>
  <c r="L361" s="1"/>
  <c r="DO144"/>
  <c r="FN144" s="1"/>
  <c r="DO177"/>
  <c r="FN177" s="1"/>
  <c r="DO183"/>
  <c r="FN183" s="1"/>
  <c r="DO191"/>
  <c r="FN191" s="1"/>
  <c r="DO219"/>
  <c r="FN219" s="1"/>
  <c r="DO235"/>
  <c r="FN235" s="1"/>
  <c r="FN204"/>
  <c r="FJ201"/>
  <c r="H414"/>
  <c r="FI201"/>
  <c r="G414"/>
  <c r="L417"/>
  <c r="F414"/>
  <c r="FH201"/>
  <c r="FL201"/>
  <c r="J414"/>
  <c r="FK201"/>
  <c r="I414"/>
  <c r="FN139"/>
  <c r="FN147"/>
  <c r="FN154"/>
  <c r="FN151"/>
  <c r="FN164"/>
  <c r="FN178"/>
  <c r="FN168"/>
  <c r="FN188"/>
  <c r="FN198"/>
  <c r="FN208"/>
  <c r="FN212"/>
  <c r="FN216"/>
  <c r="FN230"/>
  <c r="FN234"/>
  <c r="FN143"/>
  <c r="FN158"/>
  <c r="FN162"/>
  <c r="FN172"/>
  <c r="FN180"/>
  <c r="FN184"/>
  <c r="FN192"/>
  <c r="FN202"/>
  <c r="FN206"/>
  <c r="FN222"/>
  <c r="FN226"/>
  <c r="FN236"/>
  <c r="FN140"/>
  <c r="FN138"/>
  <c r="FN152"/>
  <c r="FM170"/>
  <c r="BP130"/>
  <c r="L383"/>
  <c r="BR134"/>
  <c r="S134"/>
  <c r="BQ236"/>
  <c r="M449" s="1"/>
  <c r="BQ235"/>
  <c r="BQ234"/>
  <c r="BQ233"/>
  <c r="M446" s="1"/>
  <c r="BQ232"/>
  <c r="BQ231"/>
  <c r="M444" s="1"/>
  <c r="BQ230"/>
  <c r="M443" s="1"/>
  <c r="BQ229"/>
  <c r="M442" s="1"/>
  <c r="BQ228"/>
  <c r="M441" s="1"/>
  <c r="BQ227"/>
  <c r="M440" s="1"/>
  <c r="BQ226"/>
  <c r="M439" s="1"/>
  <c r="BQ225"/>
  <c r="M438" s="1"/>
  <c r="BQ224"/>
  <c r="M437" s="1"/>
  <c r="BQ223"/>
  <c r="M436" s="1"/>
  <c r="BQ222"/>
  <c r="M435" s="1"/>
  <c r="BQ221"/>
  <c r="M434" s="1"/>
  <c r="BQ220"/>
  <c r="M433" s="1"/>
  <c r="BQ219"/>
  <c r="BQ218"/>
  <c r="M431" s="1"/>
  <c r="BQ217"/>
  <c r="M430" s="1"/>
  <c r="BQ216"/>
  <c r="M429" s="1"/>
  <c r="BQ215"/>
  <c r="M428" s="1"/>
  <c r="BQ214"/>
  <c r="M427" s="1"/>
  <c r="BQ213"/>
  <c r="BQ212"/>
  <c r="M425" s="1"/>
  <c r="BQ211"/>
  <c r="M424" s="1"/>
  <c r="BQ210"/>
  <c r="BQ209"/>
  <c r="M422" s="1"/>
  <c r="BQ208"/>
  <c r="M421" s="1"/>
  <c r="BQ207"/>
  <c r="BQ206"/>
  <c r="M419" s="1"/>
  <c r="BQ205"/>
  <c r="M418" s="1"/>
  <c r="BQ204"/>
  <c r="M417" s="1"/>
  <c r="BQ203"/>
  <c r="M416" s="1"/>
  <c r="BQ202"/>
  <c r="M415" s="1"/>
  <c r="BQ201"/>
  <c r="M414" s="1"/>
  <c r="BQ200"/>
  <c r="M413" s="1"/>
  <c r="BQ199"/>
  <c r="M412" s="1"/>
  <c r="BQ198"/>
  <c r="M411" s="1"/>
  <c r="BQ197"/>
  <c r="M410" s="1"/>
  <c r="BQ196"/>
  <c r="M409" s="1"/>
  <c r="BQ195"/>
  <c r="M408" s="1"/>
  <c r="BQ194"/>
  <c r="M407" s="1"/>
  <c r="BQ193"/>
  <c r="M406" s="1"/>
  <c r="BQ192"/>
  <c r="M405" s="1"/>
  <c r="BQ191"/>
  <c r="BQ190"/>
  <c r="M403" s="1"/>
  <c r="BQ189"/>
  <c r="M402" s="1"/>
  <c r="BQ188"/>
  <c r="M401" s="1"/>
  <c r="BQ187"/>
  <c r="M400" s="1"/>
  <c r="BQ186"/>
  <c r="BQ185"/>
  <c r="M398" s="1"/>
  <c r="BQ184"/>
  <c r="M397" s="1"/>
  <c r="BQ183"/>
  <c r="BQ182"/>
  <c r="M395" s="1"/>
  <c r="BQ181"/>
  <c r="M394" s="1"/>
  <c r="BQ180"/>
  <c r="M393" s="1"/>
  <c r="BQ179"/>
  <c r="M392" s="1"/>
  <c r="BQ178"/>
  <c r="BQ177"/>
  <c r="BQ176"/>
  <c r="M389" s="1"/>
  <c r="BQ175"/>
  <c r="M388" s="1"/>
  <c r="BQ174"/>
  <c r="M387" s="1"/>
  <c r="BQ173"/>
  <c r="M386" s="1"/>
  <c r="BQ172"/>
  <c r="M385" s="1"/>
  <c r="BQ171"/>
  <c r="M384" s="1"/>
  <c r="BQ170"/>
  <c r="BQ169"/>
  <c r="M382" s="1"/>
  <c r="BQ168"/>
  <c r="M381" s="1"/>
  <c r="BQ167"/>
  <c r="M380" s="1"/>
  <c r="BQ166"/>
  <c r="M379" s="1"/>
  <c r="BQ165"/>
  <c r="M378" s="1"/>
  <c r="BQ164"/>
  <c r="M377" s="1"/>
  <c r="BQ163"/>
  <c r="BQ162"/>
  <c r="M375" s="1"/>
  <c r="BQ161"/>
  <c r="M374" s="1"/>
  <c r="BQ160"/>
  <c r="M373" s="1"/>
  <c r="BQ159"/>
  <c r="M372" s="1"/>
  <c r="BQ158"/>
  <c r="M371" s="1"/>
  <c r="BQ157"/>
  <c r="M370" s="1"/>
  <c r="BQ156"/>
  <c r="M369" s="1"/>
  <c r="BQ155"/>
  <c r="M368" s="1"/>
  <c r="BQ154"/>
  <c r="M367" s="1"/>
  <c r="BQ153"/>
  <c r="M366" s="1"/>
  <c r="BQ152"/>
  <c r="M365" s="1"/>
  <c r="BQ151"/>
  <c r="M364" s="1"/>
  <c r="BQ150"/>
  <c r="M363" s="1"/>
  <c r="BQ149"/>
  <c r="M362" s="1"/>
  <c r="BQ148"/>
  <c r="BQ147"/>
  <c r="M360" s="1"/>
  <c r="BQ146"/>
  <c r="M359" s="1"/>
  <c r="BQ145"/>
  <c r="M358" s="1"/>
  <c r="BQ144"/>
  <c r="BQ143"/>
  <c r="M356" s="1"/>
  <c r="BQ142"/>
  <c r="M355" s="1"/>
  <c r="BQ141"/>
  <c r="M354" s="1"/>
  <c r="BQ140"/>
  <c r="M353" s="1"/>
  <c r="BQ139"/>
  <c r="M352" s="1"/>
  <c r="BQ138"/>
  <c r="M351" s="1"/>
  <c r="BQ137"/>
  <c r="M350" s="1"/>
  <c r="DT134"/>
  <c r="FO230"/>
  <c r="FO218"/>
  <c r="FO216"/>
  <c r="FO214"/>
  <c r="FO212"/>
  <c r="FO208"/>
  <c r="FO236"/>
  <c r="FO228"/>
  <c r="FO226"/>
  <c r="FO224"/>
  <c r="FO222"/>
  <c r="FO220"/>
  <c r="FO206"/>
  <c r="FO204"/>
  <c r="FO202"/>
  <c r="FO194"/>
  <c r="FO192"/>
  <c r="FO190"/>
  <c r="FO184"/>
  <c r="FO199"/>
  <c r="FO195"/>
  <c r="FO185"/>
  <c r="FO175"/>
  <c r="FO181"/>
  <c r="FO173"/>
  <c r="FO168"/>
  <c r="FO166"/>
  <c r="FO162"/>
  <c r="FO155"/>
  <c r="FO149"/>
  <c r="FO158"/>
  <c r="FO152"/>
  <c r="FO146"/>
  <c r="FO140"/>
  <c r="N31"/>
  <c r="FO233"/>
  <c r="FO231"/>
  <c r="FO229"/>
  <c r="FO217"/>
  <c r="FO209"/>
  <c r="FO227"/>
  <c r="FO225"/>
  <c r="FO223"/>
  <c r="FO221"/>
  <c r="FO205"/>
  <c r="FO201"/>
  <c r="FO200"/>
  <c r="FO198"/>
  <c r="FO196"/>
  <c r="FO188"/>
  <c r="FO176"/>
  <c r="FO169"/>
  <c r="FO164"/>
  <c r="FO160"/>
  <c r="FO182"/>
  <c r="FO180"/>
  <c r="FO174"/>
  <c r="FO172"/>
  <c r="FO161"/>
  <c r="FO156"/>
  <c r="FO154"/>
  <c r="FO150"/>
  <c r="FO159"/>
  <c r="FO151"/>
  <c r="FO145"/>
  <c r="FO137"/>
  <c r="A165" i="23"/>
  <c r="B166"/>
  <c r="FN148" i="21" l="1"/>
  <c r="DO132"/>
  <c r="L448"/>
  <c r="L432"/>
  <c r="L404"/>
  <c r="L396"/>
  <c r="L390"/>
  <c r="L357"/>
  <c r="L445"/>
  <c r="DT199"/>
  <c r="DT189"/>
  <c r="DT181"/>
  <c r="DT173"/>
  <c r="DT165"/>
  <c r="DT157"/>
  <c r="DT149"/>
  <c r="DT145"/>
  <c r="DT141"/>
  <c r="DT156"/>
  <c r="DT164"/>
  <c r="DT172"/>
  <c r="DT180"/>
  <c r="DT190"/>
  <c r="DT198"/>
  <c r="DT210"/>
  <c r="DT226"/>
  <c r="DT152"/>
  <c r="DT160"/>
  <c r="DT168"/>
  <c r="DT176"/>
  <c r="DT184"/>
  <c r="DT194"/>
  <c r="DT206"/>
  <c r="DT214"/>
  <c r="DT218"/>
  <c r="DT155"/>
  <c r="DT159"/>
  <c r="DT193"/>
  <c r="DT195"/>
  <c r="DT207"/>
  <c r="DT211"/>
  <c r="DT221"/>
  <c r="DT223"/>
  <c r="DT225"/>
  <c r="DT167"/>
  <c r="DT171"/>
  <c r="DT175"/>
  <c r="DT179"/>
  <c r="DT187"/>
  <c r="DT197"/>
  <c r="DT201"/>
  <c r="DT209"/>
  <c r="DT213"/>
  <c r="DT217"/>
  <c r="DT227"/>
  <c r="DT229"/>
  <c r="DT233"/>
  <c r="DT142"/>
  <c r="DT150"/>
  <c r="DT158"/>
  <c r="DT174"/>
  <c r="DT143"/>
  <c r="DT151"/>
  <c r="DT153"/>
  <c r="DT169"/>
  <c r="DT185"/>
  <c r="DT215"/>
  <c r="DT224"/>
  <c r="DT231"/>
  <c r="DT138"/>
  <c r="DT146"/>
  <c r="DT166"/>
  <c r="DT202"/>
  <c r="DT139"/>
  <c r="DT140"/>
  <c r="DT154"/>
  <c r="DT161"/>
  <c r="DT170"/>
  <c r="DT186"/>
  <c r="DT205"/>
  <c r="DT220"/>
  <c r="DT228"/>
  <c r="DT236"/>
  <c r="DT196"/>
  <c r="DT204"/>
  <c r="DT212"/>
  <c r="DT230"/>
  <c r="DT137"/>
  <c r="DT192"/>
  <c r="DT200"/>
  <c r="DT208"/>
  <c r="DT216"/>
  <c r="DT222"/>
  <c r="DP144"/>
  <c r="M357" s="1"/>
  <c r="DP148"/>
  <c r="FO148" s="1"/>
  <c r="DP178"/>
  <c r="FO178" s="1"/>
  <c r="DP186"/>
  <c r="FO186" s="1"/>
  <c r="DP232"/>
  <c r="FO232" s="1"/>
  <c r="DP234"/>
  <c r="FO234" s="1"/>
  <c r="DP163"/>
  <c r="FO163" s="1"/>
  <c r="DP177"/>
  <c r="M390" s="1"/>
  <c r="DP183"/>
  <c r="M396" s="1"/>
  <c r="DP191"/>
  <c r="FO191" s="1"/>
  <c r="DP219"/>
  <c r="FO219" s="1"/>
  <c r="DP235"/>
  <c r="FO235" s="1"/>
  <c r="FJ204"/>
  <c r="H417"/>
  <c r="FI204"/>
  <c r="G417"/>
  <c r="FM204"/>
  <c r="K417"/>
  <c r="F417"/>
  <c r="FH204"/>
  <c r="FL204"/>
  <c r="J417"/>
  <c r="I417"/>
  <c r="FK204"/>
  <c r="M420"/>
  <c r="FO141"/>
  <c r="FO143"/>
  <c r="FO139"/>
  <c r="FO147"/>
  <c r="FO157"/>
  <c r="FO167"/>
  <c r="FO171"/>
  <c r="FO189"/>
  <c r="FO193"/>
  <c r="FO203"/>
  <c r="FO207"/>
  <c r="FO211"/>
  <c r="FO215"/>
  <c r="FO153"/>
  <c r="FO179"/>
  <c r="FO183"/>
  <c r="FO165"/>
  <c r="FO187"/>
  <c r="FO197"/>
  <c r="FO144"/>
  <c r="FO142"/>
  <c r="FO138"/>
  <c r="BQ130"/>
  <c r="M383"/>
  <c r="FN170"/>
  <c r="BS134"/>
  <c r="T134"/>
  <c r="BR236"/>
  <c r="N449" s="1"/>
  <c r="BR235"/>
  <c r="BR234"/>
  <c r="BR233"/>
  <c r="N446" s="1"/>
  <c r="BR232"/>
  <c r="BR231"/>
  <c r="N444" s="1"/>
  <c r="BR230"/>
  <c r="N443" s="1"/>
  <c r="BR229"/>
  <c r="N442" s="1"/>
  <c r="BR228"/>
  <c r="N441" s="1"/>
  <c r="BR227"/>
  <c r="N440" s="1"/>
  <c r="BR226"/>
  <c r="N439" s="1"/>
  <c r="BR225"/>
  <c r="N438" s="1"/>
  <c r="BR224"/>
  <c r="N437" s="1"/>
  <c r="BR223"/>
  <c r="N436" s="1"/>
  <c r="BR222"/>
  <c r="N435" s="1"/>
  <c r="BR221"/>
  <c r="N434" s="1"/>
  <c r="BR220"/>
  <c r="N433" s="1"/>
  <c r="BR219"/>
  <c r="BR218"/>
  <c r="N431" s="1"/>
  <c r="BR217"/>
  <c r="N430" s="1"/>
  <c r="BR216"/>
  <c r="N429" s="1"/>
  <c r="BR215"/>
  <c r="N428" s="1"/>
  <c r="BR214"/>
  <c r="N427" s="1"/>
  <c r="BR213"/>
  <c r="BR212"/>
  <c r="N425" s="1"/>
  <c r="BR211"/>
  <c r="N424" s="1"/>
  <c r="BR210"/>
  <c r="BR209"/>
  <c r="N422" s="1"/>
  <c r="BR208"/>
  <c r="N421" s="1"/>
  <c r="BR207"/>
  <c r="N420" s="1"/>
  <c r="BR206"/>
  <c r="N419" s="1"/>
  <c r="BR205"/>
  <c r="N418" s="1"/>
  <c r="BR204"/>
  <c r="N417" s="1"/>
  <c r="BR203"/>
  <c r="N416" s="1"/>
  <c r="BR202"/>
  <c r="N415" s="1"/>
  <c r="BR201"/>
  <c r="N414" s="1"/>
  <c r="BR200"/>
  <c r="N413" s="1"/>
  <c r="BR199"/>
  <c r="N412" s="1"/>
  <c r="BR198"/>
  <c r="N411" s="1"/>
  <c r="BR197"/>
  <c r="N410" s="1"/>
  <c r="BR196"/>
  <c r="N409" s="1"/>
  <c r="BR195"/>
  <c r="N408" s="1"/>
  <c r="BR194"/>
  <c r="N407" s="1"/>
  <c r="BR193"/>
  <c r="N406" s="1"/>
  <c r="BR192"/>
  <c r="N405" s="1"/>
  <c r="BR191"/>
  <c r="BR190"/>
  <c r="N403" s="1"/>
  <c r="BR189"/>
  <c r="N402" s="1"/>
  <c r="BR188"/>
  <c r="BR187"/>
  <c r="N400" s="1"/>
  <c r="BR186"/>
  <c r="BR185"/>
  <c r="N398" s="1"/>
  <c r="BR184"/>
  <c r="N397" s="1"/>
  <c r="BR183"/>
  <c r="BR182"/>
  <c r="N395" s="1"/>
  <c r="BR181"/>
  <c r="N394" s="1"/>
  <c r="BR180"/>
  <c r="N393" s="1"/>
  <c r="BR179"/>
  <c r="N392" s="1"/>
  <c r="BR178"/>
  <c r="BR177"/>
  <c r="BR176"/>
  <c r="N389" s="1"/>
  <c r="BR175"/>
  <c r="N388" s="1"/>
  <c r="BR174"/>
  <c r="N387" s="1"/>
  <c r="BR173"/>
  <c r="N386" s="1"/>
  <c r="BR172"/>
  <c r="N385" s="1"/>
  <c r="BR171"/>
  <c r="N384" s="1"/>
  <c r="BR170"/>
  <c r="BR169"/>
  <c r="N382" s="1"/>
  <c r="BR168"/>
  <c r="N381" s="1"/>
  <c r="BR167"/>
  <c r="N380" s="1"/>
  <c r="BR166"/>
  <c r="N379" s="1"/>
  <c r="BR165"/>
  <c r="N378" s="1"/>
  <c r="BR164"/>
  <c r="N377" s="1"/>
  <c r="BR163"/>
  <c r="BR162"/>
  <c r="BR161"/>
  <c r="N374" s="1"/>
  <c r="BR160"/>
  <c r="N373" s="1"/>
  <c r="BR159"/>
  <c r="N372" s="1"/>
  <c r="BR158"/>
  <c r="N371" s="1"/>
  <c r="BR156"/>
  <c r="N369" s="1"/>
  <c r="BR154"/>
  <c r="N367" s="1"/>
  <c r="BR152"/>
  <c r="N365" s="1"/>
  <c r="BR150"/>
  <c r="N363" s="1"/>
  <c r="BR148"/>
  <c r="BR146"/>
  <c r="N359" s="1"/>
  <c r="BR145"/>
  <c r="N358" s="1"/>
  <c r="BR144"/>
  <c r="BR143"/>
  <c r="N356" s="1"/>
  <c r="BR142"/>
  <c r="N355" s="1"/>
  <c r="BR141"/>
  <c r="N354" s="1"/>
  <c r="BR140"/>
  <c r="N353" s="1"/>
  <c r="BR139"/>
  <c r="N352" s="1"/>
  <c r="BR138"/>
  <c r="N351" s="1"/>
  <c r="BR137"/>
  <c r="N350" s="1"/>
  <c r="BR157"/>
  <c r="N370" s="1"/>
  <c r="BR155"/>
  <c r="N368" s="1"/>
  <c r="BR153"/>
  <c r="N366" s="1"/>
  <c r="BR151"/>
  <c r="N364" s="1"/>
  <c r="BR149"/>
  <c r="N362" s="1"/>
  <c r="BR147"/>
  <c r="N360" s="1"/>
  <c r="DU134"/>
  <c r="FP236"/>
  <c r="FP228"/>
  <c r="FP226"/>
  <c r="FP224"/>
  <c r="FP222"/>
  <c r="FP220"/>
  <c r="FP233"/>
  <c r="FP231"/>
  <c r="FP229"/>
  <c r="FP217"/>
  <c r="FP215"/>
  <c r="FP211"/>
  <c r="FP209"/>
  <c r="FP207"/>
  <c r="FP200"/>
  <c r="FP198"/>
  <c r="FP196"/>
  <c r="FP204"/>
  <c r="FP202"/>
  <c r="FP194"/>
  <c r="FP192"/>
  <c r="FP190"/>
  <c r="FP184"/>
  <c r="FP182"/>
  <c r="FP180"/>
  <c r="FP174"/>
  <c r="FP172"/>
  <c r="FP167"/>
  <c r="FP176"/>
  <c r="FP169"/>
  <c r="FP158"/>
  <c r="FP153"/>
  <c r="FP143"/>
  <c r="FP146"/>
  <c r="O31"/>
  <c r="FP227"/>
  <c r="FP225"/>
  <c r="FP223"/>
  <c r="FP221"/>
  <c r="FP230"/>
  <c r="FP218"/>
  <c r="FP216"/>
  <c r="FP214"/>
  <c r="FP212"/>
  <c r="FP208"/>
  <c r="FP205"/>
  <c r="FP199"/>
  <c r="FP197"/>
  <c r="FP195"/>
  <c r="FP187"/>
  <c r="FP185"/>
  <c r="FP203"/>
  <c r="FP201"/>
  <c r="FP193"/>
  <c r="FP189"/>
  <c r="FP181"/>
  <c r="FP179"/>
  <c r="FP168"/>
  <c r="FP175"/>
  <c r="FP159"/>
  <c r="FP151"/>
  <c r="FP150"/>
  <c r="FP142"/>
  <c r="FP147"/>
  <c r="FP139"/>
  <c r="A166" i="23"/>
  <c r="B167"/>
  <c r="FO177" i="21" l="1"/>
  <c r="M361"/>
  <c r="DP132"/>
  <c r="M448"/>
  <c r="M432"/>
  <c r="M404"/>
  <c r="M376"/>
  <c r="M447"/>
  <c r="M445"/>
  <c r="M399"/>
  <c r="M391"/>
  <c r="DU211"/>
  <c r="DU201"/>
  <c r="DU175"/>
  <c r="DU167"/>
  <c r="DU159"/>
  <c r="DU151"/>
  <c r="DU143"/>
  <c r="DU139"/>
  <c r="DU153"/>
  <c r="DU157"/>
  <c r="DU161"/>
  <c r="DU165"/>
  <c r="DU169"/>
  <c r="DU173"/>
  <c r="DU181"/>
  <c r="DU185"/>
  <c r="DU189"/>
  <c r="DU207"/>
  <c r="DU209"/>
  <c r="DU217"/>
  <c r="DU221"/>
  <c r="DU223"/>
  <c r="DU225"/>
  <c r="DU197"/>
  <c r="DU199"/>
  <c r="DU205"/>
  <c r="DU213"/>
  <c r="DU215"/>
  <c r="DU229"/>
  <c r="DU233"/>
  <c r="DU145"/>
  <c r="DU179"/>
  <c r="DU193"/>
  <c r="DU195"/>
  <c r="DU190"/>
  <c r="DU194"/>
  <c r="DU198"/>
  <c r="DU202"/>
  <c r="DU206"/>
  <c r="DU210"/>
  <c r="DU214"/>
  <c r="DU216"/>
  <c r="DU222"/>
  <c r="DU224"/>
  <c r="DU230"/>
  <c r="DU138"/>
  <c r="DU140"/>
  <c r="DU142"/>
  <c r="DU227"/>
  <c r="DU231"/>
  <c r="DU141"/>
  <c r="DU149"/>
  <c r="DU155"/>
  <c r="DU171"/>
  <c r="DU187"/>
  <c r="DU192"/>
  <c r="DU196"/>
  <c r="DU200"/>
  <c r="DU204"/>
  <c r="DU208"/>
  <c r="DU212"/>
  <c r="DU218"/>
  <c r="DU220"/>
  <c r="DU226"/>
  <c r="DU228"/>
  <c r="DU236"/>
  <c r="DU146"/>
  <c r="DU150"/>
  <c r="DU152"/>
  <c r="DU154"/>
  <c r="DU156"/>
  <c r="DU158"/>
  <c r="DU160"/>
  <c r="DU164"/>
  <c r="DU166"/>
  <c r="DU168"/>
  <c r="DU170"/>
  <c r="DU172"/>
  <c r="DU174"/>
  <c r="DU176"/>
  <c r="DU180"/>
  <c r="DU184"/>
  <c r="DU186"/>
  <c r="DU137"/>
  <c r="DQ144"/>
  <c r="N357" s="1"/>
  <c r="DQ162"/>
  <c r="FP162" s="1"/>
  <c r="DQ178"/>
  <c r="FP178" s="1"/>
  <c r="DQ186"/>
  <c r="FP186" s="1"/>
  <c r="DQ188"/>
  <c r="FP188" s="1"/>
  <c r="DQ232"/>
  <c r="FP232" s="1"/>
  <c r="DQ234"/>
  <c r="FP234" s="1"/>
  <c r="DQ148"/>
  <c r="FP148" s="1"/>
  <c r="DQ163"/>
  <c r="FP163" s="1"/>
  <c r="DQ177"/>
  <c r="N390" s="1"/>
  <c r="DQ183"/>
  <c r="FP183" s="1"/>
  <c r="DQ191"/>
  <c r="FP191" s="1"/>
  <c r="DQ219"/>
  <c r="FP219" s="1"/>
  <c r="DQ235"/>
  <c r="FP235" s="1"/>
  <c r="FQ210"/>
  <c r="FP210"/>
  <c r="FJ207"/>
  <c r="H420"/>
  <c r="FN207"/>
  <c r="L420"/>
  <c r="FI207"/>
  <c r="G420"/>
  <c r="K420"/>
  <c r="FM207"/>
  <c r="N423"/>
  <c r="F420"/>
  <c r="FH207"/>
  <c r="FL207"/>
  <c r="J420"/>
  <c r="FK207"/>
  <c r="I420"/>
  <c r="FP154"/>
  <c r="FP157"/>
  <c r="FP160"/>
  <c r="FP164"/>
  <c r="FP137"/>
  <c r="FP145"/>
  <c r="FP156"/>
  <c r="FP161"/>
  <c r="FP165"/>
  <c r="FP177"/>
  <c r="FP173"/>
  <c r="FP141"/>
  <c r="FP152"/>
  <c r="FP171"/>
  <c r="FP138"/>
  <c r="FP149"/>
  <c r="FP155"/>
  <c r="BR130"/>
  <c r="N383"/>
  <c r="DQ132"/>
  <c r="FO170"/>
  <c r="BS236"/>
  <c r="O449" s="1"/>
  <c r="BS235"/>
  <c r="BS234"/>
  <c r="BS233"/>
  <c r="O446" s="1"/>
  <c r="BS232"/>
  <c r="BS231"/>
  <c r="O444" s="1"/>
  <c r="BS230"/>
  <c r="O443" s="1"/>
  <c r="BS229"/>
  <c r="O442" s="1"/>
  <c r="BS228"/>
  <c r="O441" s="1"/>
  <c r="BS227"/>
  <c r="O440" s="1"/>
  <c r="BS226"/>
  <c r="O439" s="1"/>
  <c r="BS225"/>
  <c r="O438" s="1"/>
  <c r="BS224"/>
  <c r="O437" s="1"/>
  <c r="BS223"/>
  <c r="O436" s="1"/>
  <c r="BS222"/>
  <c r="O435" s="1"/>
  <c r="BS221"/>
  <c r="O434" s="1"/>
  <c r="BS220"/>
  <c r="O433" s="1"/>
  <c r="BS219"/>
  <c r="BS218"/>
  <c r="O431" s="1"/>
  <c r="BS217"/>
  <c r="O430" s="1"/>
  <c r="BS216"/>
  <c r="O429" s="1"/>
  <c r="BS215"/>
  <c r="O428" s="1"/>
  <c r="BS214"/>
  <c r="O427" s="1"/>
  <c r="BS213"/>
  <c r="BS212"/>
  <c r="O425" s="1"/>
  <c r="BS211"/>
  <c r="O424" s="1"/>
  <c r="BS210"/>
  <c r="O423" s="1"/>
  <c r="BS209"/>
  <c r="O422" s="1"/>
  <c r="BS208"/>
  <c r="O421" s="1"/>
  <c r="BS207"/>
  <c r="O420" s="1"/>
  <c r="BS206"/>
  <c r="O419" s="1"/>
  <c r="BS205"/>
  <c r="O418" s="1"/>
  <c r="BS204"/>
  <c r="O417" s="1"/>
  <c r="BS203"/>
  <c r="O416" s="1"/>
  <c r="BS202"/>
  <c r="BS201"/>
  <c r="O414" s="1"/>
  <c r="BS200"/>
  <c r="O413" s="1"/>
  <c r="BS199"/>
  <c r="O412" s="1"/>
  <c r="BS198"/>
  <c r="O411" s="1"/>
  <c r="BS197"/>
  <c r="O410" s="1"/>
  <c r="BS196"/>
  <c r="O409" s="1"/>
  <c r="BS195"/>
  <c r="O408" s="1"/>
  <c r="BS194"/>
  <c r="O407" s="1"/>
  <c r="BS193"/>
  <c r="O406" s="1"/>
  <c r="BS192"/>
  <c r="O405" s="1"/>
  <c r="BS191"/>
  <c r="BS190"/>
  <c r="O403" s="1"/>
  <c r="BS189"/>
  <c r="O402" s="1"/>
  <c r="BS188"/>
  <c r="BS186"/>
  <c r="BS185"/>
  <c r="O398" s="1"/>
  <c r="BS184"/>
  <c r="O397" s="1"/>
  <c r="BS183"/>
  <c r="BS182"/>
  <c r="O395" s="1"/>
  <c r="BS181"/>
  <c r="O394" s="1"/>
  <c r="BS180"/>
  <c r="O393" s="1"/>
  <c r="BS179"/>
  <c r="O392" s="1"/>
  <c r="BS178"/>
  <c r="BS177"/>
  <c r="BS176"/>
  <c r="O389" s="1"/>
  <c r="BS175"/>
  <c r="O388" s="1"/>
  <c r="BS174"/>
  <c r="O387" s="1"/>
  <c r="BS173"/>
  <c r="O386" s="1"/>
  <c r="BS172"/>
  <c r="O385" s="1"/>
  <c r="BS171"/>
  <c r="O384" s="1"/>
  <c r="BS170"/>
  <c r="BS169"/>
  <c r="O382" s="1"/>
  <c r="BS168"/>
  <c r="O381" s="1"/>
  <c r="BS167"/>
  <c r="O380" s="1"/>
  <c r="BS166"/>
  <c r="O379" s="1"/>
  <c r="BS165"/>
  <c r="O378" s="1"/>
  <c r="BS164"/>
  <c r="O377" s="1"/>
  <c r="BS163"/>
  <c r="BS162"/>
  <c r="BS161"/>
  <c r="O374" s="1"/>
  <c r="BS160"/>
  <c r="O373" s="1"/>
  <c r="BS159"/>
  <c r="O372" s="1"/>
  <c r="BS158"/>
  <c r="O371" s="1"/>
  <c r="BS157"/>
  <c r="O370" s="1"/>
  <c r="BS156"/>
  <c r="O369" s="1"/>
  <c r="BS155"/>
  <c r="O368" s="1"/>
  <c r="BS154"/>
  <c r="O367" s="1"/>
  <c r="BS153"/>
  <c r="O366" s="1"/>
  <c r="BS152"/>
  <c r="O365" s="1"/>
  <c r="BS151"/>
  <c r="O364" s="1"/>
  <c r="BS150"/>
  <c r="O363" s="1"/>
  <c r="BS149"/>
  <c r="O362" s="1"/>
  <c r="BS148"/>
  <c r="BS147"/>
  <c r="O360" s="1"/>
  <c r="BS187"/>
  <c r="O400" s="1"/>
  <c r="BS146"/>
  <c r="O359" s="1"/>
  <c r="BS145"/>
  <c r="O358" s="1"/>
  <c r="BS144"/>
  <c r="BS143"/>
  <c r="O356" s="1"/>
  <c r="BS142"/>
  <c r="O355" s="1"/>
  <c r="BS141"/>
  <c r="O354" s="1"/>
  <c r="BS140"/>
  <c r="O353" s="1"/>
  <c r="BS139"/>
  <c r="O352" s="1"/>
  <c r="BS138"/>
  <c r="O351" s="1"/>
  <c r="BS137"/>
  <c r="O350" s="1"/>
  <c r="BT134"/>
  <c r="U134"/>
  <c r="FP166"/>
  <c r="FP140"/>
  <c r="FP206"/>
  <c r="DV134"/>
  <c r="FQ230"/>
  <c r="FQ218"/>
  <c r="FQ216"/>
  <c r="FQ214"/>
  <c r="FQ212"/>
  <c r="FQ208"/>
  <c r="FQ236"/>
  <c r="FQ228"/>
  <c r="FQ226"/>
  <c r="FQ224"/>
  <c r="FQ222"/>
  <c r="FQ220"/>
  <c r="FQ204"/>
  <c r="FQ194"/>
  <c r="FQ192"/>
  <c r="FQ190"/>
  <c r="FQ184"/>
  <c r="FQ199"/>
  <c r="FQ197"/>
  <c r="FQ195"/>
  <c r="FQ187"/>
  <c r="FQ185"/>
  <c r="FQ175"/>
  <c r="FQ165"/>
  <c r="FQ159"/>
  <c r="FQ182"/>
  <c r="FQ180"/>
  <c r="FQ174"/>
  <c r="FQ172"/>
  <c r="FQ167"/>
  <c r="FQ160"/>
  <c r="FQ156"/>
  <c r="FQ154"/>
  <c r="FQ150"/>
  <c r="FQ158"/>
  <c r="FQ152"/>
  <c r="FQ146"/>
  <c r="FQ142"/>
  <c r="P31"/>
  <c r="FQ233"/>
  <c r="FQ231"/>
  <c r="FQ229"/>
  <c r="FQ217"/>
  <c r="FQ215"/>
  <c r="FQ211"/>
  <c r="FQ209"/>
  <c r="FQ207"/>
  <c r="FQ227"/>
  <c r="FQ225"/>
  <c r="FQ223"/>
  <c r="FQ221"/>
  <c r="FQ205"/>
  <c r="FQ203"/>
  <c r="FQ201"/>
  <c r="FQ193"/>
  <c r="FQ189"/>
  <c r="FQ200"/>
  <c r="FQ198"/>
  <c r="FQ196"/>
  <c r="FQ176"/>
  <c r="FQ171"/>
  <c r="FQ169"/>
  <c r="FQ164"/>
  <c r="FQ161"/>
  <c r="FQ181"/>
  <c r="FQ179"/>
  <c r="FQ173"/>
  <c r="FQ168"/>
  <c r="FQ166"/>
  <c r="FQ155"/>
  <c r="FQ153"/>
  <c r="FQ149"/>
  <c r="FQ157"/>
  <c r="FQ151"/>
  <c r="FQ147"/>
  <c r="FQ145"/>
  <c r="FQ139"/>
  <c r="FQ137"/>
  <c r="FQ143"/>
  <c r="FQ141"/>
  <c r="A167" i="23"/>
  <c r="B168"/>
  <c r="FP144" i="21" l="1"/>
  <c r="N448"/>
  <c r="N432"/>
  <c r="N404"/>
  <c r="N396"/>
  <c r="N376"/>
  <c r="N361"/>
  <c r="N447"/>
  <c r="N445"/>
  <c r="N401"/>
  <c r="N399"/>
  <c r="N391"/>
  <c r="N375"/>
  <c r="DV213"/>
  <c r="DV185"/>
  <c r="DV169"/>
  <c r="DV161"/>
  <c r="DV153"/>
  <c r="DV149"/>
  <c r="DV145"/>
  <c r="DV141"/>
  <c r="DV154"/>
  <c r="DV170"/>
  <c r="DV186"/>
  <c r="DV212"/>
  <c r="DV216"/>
  <c r="DV155"/>
  <c r="DV159"/>
  <c r="DV158"/>
  <c r="DV174"/>
  <c r="DV196"/>
  <c r="DV200"/>
  <c r="DV204"/>
  <c r="DV224"/>
  <c r="DV167"/>
  <c r="DV171"/>
  <c r="DV175"/>
  <c r="DV179"/>
  <c r="DV187"/>
  <c r="DV201"/>
  <c r="DV209"/>
  <c r="DV217"/>
  <c r="DV193"/>
  <c r="DV195"/>
  <c r="DV199"/>
  <c r="DV205"/>
  <c r="DV211"/>
  <c r="DV215"/>
  <c r="DV221"/>
  <c r="DV223"/>
  <c r="DV225"/>
  <c r="DV229"/>
  <c r="DV233"/>
  <c r="DV140"/>
  <c r="DV160"/>
  <c r="DV176"/>
  <c r="DV138"/>
  <c r="DV139"/>
  <c r="DV146"/>
  <c r="DV156"/>
  <c r="DV157"/>
  <c r="DV172"/>
  <c r="DV173"/>
  <c r="DV197"/>
  <c r="DV208"/>
  <c r="DV222"/>
  <c r="DV230"/>
  <c r="DV231"/>
  <c r="DV152"/>
  <c r="DV168"/>
  <c r="DV184"/>
  <c r="DV192"/>
  <c r="DV142"/>
  <c r="DV143"/>
  <c r="DV150"/>
  <c r="DV151"/>
  <c r="DV164"/>
  <c r="DV165"/>
  <c r="DV180"/>
  <c r="DV181"/>
  <c r="DV189"/>
  <c r="DV207"/>
  <c r="DV218"/>
  <c r="DV226"/>
  <c r="DV194"/>
  <c r="DV202"/>
  <c r="DV210"/>
  <c r="DV228"/>
  <c r="DV190"/>
  <c r="DV198"/>
  <c r="DV206"/>
  <c r="DV214"/>
  <c r="DV220"/>
  <c r="DV236"/>
  <c r="DV137"/>
  <c r="DR148"/>
  <c r="FQ148" s="1"/>
  <c r="DR162"/>
  <c r="FQ162" s="1"/>
  <c r="DR178"/>
  <c r="FQ178" s="1"/>
  <c r="DR186"/>
  <c r="FQ186" s="1"/>
  <c r="DR191"/>
  <c r="FQ191" s="1"/>
  <c r="DR219"/>
  <c r="FQ219" s="1"/>
  <c r="DR235"/>
  <c r="FQ235" s="1"/>
  <c r="DR144"/>
  <c r="FQ144" s="1"/>
  <c r="DR163"/>
  <c r="O376" s="1"/>
  <c r="DR177"/>
  <c r="FQ177" s="1"/>
  <c r="DR183"/>
  <c r="FQ183" s="1"/>
  <c r="DR188"/>
  <c r="FQ188" s="1"/>
  <c r="DR202"/>
  <c r="FQ202" s="1"/>
  <c r="DR232"/>
  <c r="FQ232" s="1"/>
  <c r="DR234"/>
  <c r="FQ234" s="1"/>
  <c r="FQ213"/>
  <c r="FJ210"/>
  <c r="H423"/>
  <c r="FN210"/>
  <c r="L423"/>
  <c r="FI210"/>
  <c r="G423"/>
  <c r="FM210"/>
  <c r="K423"/>
  <c r="F423"/>
  <c r="FH210"/>
  <c r="FL210"/>
  <c r="J423"/>
  <c r="FK210"/>
  <c r="I423"/>
  <c r="FO210"/>
  <c r="M423"/>
  <c r="O426"/>
  <c r="FQ138"/>
  <c r="FQ140"/>
  <c r="BS130"/>
  <c r="O383"/>
  <c r="DR132"/>
  <c r="FP170"/>
  <c r="BU134"/>
  <c r="V134"/>
  <c r="BT236"/>
  <c r="P449" s="1"/>
  <c r="BT235"/>
  <c r="BT234"/>
  <c r="BT233"/>
  <c r="P446" s="1"/>
  <c r="BT232"/>
  <c r="BT231"/>
  <c r="P444" s="1"/>
  <c r="BT230"/>
  <c r="P443" s="1"/>
  <c r="BT229"/>
  <c r="P442" s="1"/>
  <c r="BT228"/>
  <c r="P441" s="1"/>
  <c r="BT227"/>
  <c r="P440" s="1"/>
  <c r="BT226"/>
  <c r="P439" s="1"/>
  <c r="BT225"/>
  <c r="P438" s="1"/>
  <c r="BT224"/>
  <c r="P437" s="1"/>
  <c r="BT223"/>
  <c r="P436" s="1"/>
  <c r="BT222"/>
  <c r="P435" s="1"/>
  <c r="BT221"/>
  <c r="P434" s="1"/>
  <c r="BT220"/>
  <c r="P433" s="1"/>
  <c r="BT219"/>
  <c r="BT218"/>
  <c r="P431" s="1"/>
  <c r="BT217"/>
  <c r="P430" s="1"/>
  <c r="BT216"/>
  <c r="P429" s="1"/>
  <c r="BT215"/>
  <c r="P428" s="1"/>
  <c r="BT214"/>
  <c r="P427" s="1"/>
  <c r="BT213"/>
  <c r="P426" s="1"/>
  <c r="BT212"/>
  <c r="P425" s="1"/>
  <c r="BT211"/>
  <c r="P424" s="1"/>
  <c r="BT210"/>
  <c r="P423" s="1"/>
  <c r="BT209"/>
  <c r="P422" s="1"/>
  <c r="BT208"/>
  <c r="P421" s="1"/>
  <c r="BT207"/>
  <c r="P420" s="1"/>
  <c r="BT206"/>
  <c r="P419" s="1"/>
  <c r="BT205"/>
  <c r="P418" s="1"/>
  <c r="BT204"/>
  <c r="P417" s="1"/>
  <c r="BT203"/>
  <c r="BT202"/>
  <c r="BT201"/>
  <c r="P414" s="1"/>
  <c r="BT200"/>
  <c r="P413" s="1"/>
  <c r="BT199"/>
  <c r="P412" s="1"/>
  <c r="BT198"/>
  <c r="P411" s="1"/>
  <c r="BT197"/>
  <c r="P410" s="1"/>
  <c r="BT196"/>
  <c r="P409" s="1"/>
  <c r="BT195"/>
  <c r="P408" s="1"/>
  <c r="BT194"/>
  <c r="P407" s="1"/>
  <c r="BT193"/>
  <c r="P406" s="1"/>
  <c r="BT192"/>
  <c r="P405" s="1"/>
  <c r="BT191"/>
  <c r="BT190"/>
  <c r="P403" s="1"/>
  <c r="BT189"/>
  <c r="P402" s="1"/>
  <c r="BT188"/>
  <c r="BT187"/>
  <c r="P400" s="1"/>
  <c r="BT186"/>
  <c r="P399" s="1"/>
  <c r="BT185"/>
  <c r="P398" s="1"/>
  <c r="BT184"/>
  <c r="P397" s="1"/>
  <c r="BT183"/>
  <c r="BT182"/>
  <c r="P395" s="1"/>
  <c r="BT181"/>
  <c r="P394" s="1"/>
  <c r="BT180"/>
  <c r="P393" s="1"/>
  <c r="BT179"/>
  <c r="P392" s="1"/>
  <c r="BT178"/>
  <c r="BT177"/>
  <c r="BT176"/>
  <c r="P389" s="1"/>
  <c r="BT175"/>
  <c r="P388" s="1"/>
  <c r="BT174"/>
  <c r="P387" s="1"/>
  <c r="BT173"/>
  <c r="P386" s="1"/>
  <c r="BT172"/>
  <c r="P385" s="1"/>
  <c r="BT171"/>
  <c r="P384" s="1"/>
  <c r="BT170"/>
  <c r="BT169"/>
  <c r="P382" s="1"/>
  <c r="BT168"/>
  <c r="P381" s="1"/>
  <c r="BT167"/>
  <c r="P380" s="1"/>
  <c r="BT166"/>
  <c r="P379" s="1"/>
  <c r="BT165"/>
  <c r="P378" s="1"/>
  <c r="BT164"/>
  <c r="P377" s="1"/>
  <c r="BT163"/>
  <c r="BT162"/>
  <c r="BT161"/>
  <c r="P374" s="1"/>
  <c r="BT160"/>
  <c r="P373" s="1"/>
  <c r="BT159"/>
  <c r="P372" s="1"/>
  <c r="BT158"/>
  <c r="P371" s="1"/>
  <c r="BT157"/>
  <c r="P370" s="1"/>
  <c r="BT155"/>
  <c r="P368" s="1"/>
  <c r="BT153"/>
  <c r="P366" s="1"/>
  <c r="BT151"/>
  <c r="P364" s="1"/>
  <c r="BT149"/>
  <c r="P362" s="1"/>
  <c r="BT147"/>
  <c r="BT146"/>
  <c r="P359" s="1"/>
  <c r="BT145"/>
  <c r="P358" s="1"/>
  <c r="BT144"/>
  <c r="BT143"/>
  <c r="P356" s="1"/>
  <c r="BT142"/>
  <c r="P355" s="1"/>
  <c r="BT141"/>
  <c r="P354" s="1"/>
  <c r="BT140"/>
  <c r="P353" s="1"/>
  <c r="BT139"/>
  <c r="P352" s="1"/>
  <c r="BT138"/>
  <c r="P351" s="1"/>
  <c r="BT137"/>
  <c r="P350" s="1"/>
  <c r="BT156"/>
  <c r="P369" s="1"/>
  <c r="BT154"/>
  <c r="P367" s="1"/>
  <c r="BT152"/>
  <c r="P365" s="1"/>
  <c r="BT150"/>
  <c r="P363" s="1"/>
  <c r="BT148"/>
  <c r="FQ163"/>
  <c r="FQ206"/>
  <c r="DW134"/>
  <c r="FR236"/>
  <c r="FR226"/>
  <c r="FR224"/>
  <c r="FR222"/>
  <c r="FR220"/>
  <c r="FR206"/>
  <c r="FR230"/>
  <c r="FR218"/>
  <c r="FR216"/>
  <c r="FR214"/>
  <c r="FR212"/>
  <c r="FR210"/>
  <c r="FR208"/>
  <c r="FR200"/>
  <c r="FR198"/>
  <c r="FR196"/>
  <c r="FR186"/>
  <c r="FR192"/>
  <c r="FR190"/>
  <c r="FR184"/>
  <c r="FR180"/>
  <c r="FR174"/>
  <c r="FR172"/>
  <c r="FR167"/>
  <c r="FR175"/>
  <c r="FR165"/>
  <c r="FR160"/>
  <c r="FR158"/>
  <c r="FR155"/>
  <c r="FR153"/>
  <c r="FR143"/>
  <c r="FR141"/>
  <c r="FR146"/>
  <c r="Q31"/>
  <c r="FR227"/>
  <c r="FR225"/>
  <c r="FR223"/>
  <c r="FR221"/>
  <c r="FR205"/>
  <c r="FR233"/>
  <c r="FR231"/>
  <c r="FR229"/>
  <c r="FR217"/>
  <c r="FR215"/>
  <c r="FR213"/>
  <c r="FR211"/>
  <c r="FR209"/>
  <c r="FR207"/>
  <c r="FR199"/>
  <c r="FR197"/>
  <c r="FR195"/>
  <c r="FR187"/>
  <c r="FR185"/>
  <c r="FR201"/>
  <c r="FR193"/>
  <c r="FR189"/>
  <c r="FR181"/>
  <c r="FR179"/>
  <c r="FR173"/>
  <c r="FR168"/>
  <c r="FR166"/>
  <c r="FR176"/>
  <c r="FR171"/>
  <c r="FR169"/>
  <c r="FR164"/>
  <c r="FR161"/>
  <c r="FR151"/>
  <c r="FR150"/>
  <c r="FR142"/>
  <c r="FR145"/>
  <c r="FR139"/>
  <c r="FR137"/>
  <c r="A168" i="23"/>
  <c r="B169"/>
  <c r="O361" i="21" l="1"/>
  <c r="O447"/>
  <c r="O445"/>
  <c r="O415"/>
  <c r="O401"/>
  <c r="O396"/>
  <c r="O390"/>
  <c r="O357"/>
  <c r="O448"/>
  <c r="O432"/>
  <c r="O404"/>
  <c r="O399"/>
  <c r="O391"/>
  <c r="O375"/>
  <c r="DW193"/>
  <c r="DW187"/>
  <c r="DW179"/>
  <c r="DW171"/>
  <c r="DW155"/>
  <c r="DW151"/>
  <c r="DW143"/>
  <c r="DW139"/>
  <c r="DW153"/>
  <c r="DW157"/>
  <c r="DW195"/>
  <c r="DW197"/>
  <c r="DW199"/>
  <c r="DW205"/>
  <c r="DW211"/>
  <c r="DW213"/>
  <c r="DW215"/>
  <c r="DW221"/>
  <c r="DW223"/>
  <c r="DW161"/>
  <c r="DW165"/>
  <c r="DW169"/>
  <c r="DW173"/>
  <c r="DW181"/>
  <c r="DW185"/>
  <c r="DW189"/>
  <c r="DW201"/>
  <c r="DW207"/>
  <c r="DW231"/>
  <c r="DW141"/>
  <c r="DW149"/>
  <c r="DW167"/>
  <c r="DW217"/>
  <c r="DW192"/>
  <c r="DW196"/>
  <c r="DW200"/>
  <c r="DW204"/>
  <c r="DW208"/>
  <c r="DW212"/>
  <c r="DW218"/>
  <c r="DW220"/>
  <c r="DW226"/>
  <c r="DW228"/>
  <c r="DW236"/>
  <c r="DW229"/>
  <c r="DW233"/>
  <c r="DW145"/>
  <c r="DW159"/>
  <c r="DW175"/>
  <c r="DW209"/>
  <c r="DW190"/>
  <c r="DW194"/>
  <c r="DW198"/>
  <c r="DW202"/>
  <c r="DW206"/>
  <c r="DW210"/>
  <c r="DW214"/>
  <c r="DW216"/>
  <c r="DW222"/>
  <c r="DW224"/>
  <c r="DW230"/>
  <c r="DW138"/>
  <c r="DW140"/>
  <c r="DW142"/>
  <c r="DW146"/>
  <c r="DW150"/>
  <c r="DW152"/>
  <c r="DW154"/>
  <c r="DW156"/>
  <c r="DW158"/>
  <c r="DW160"/>
  <c r="DW164"/>
  <c r="DW168"/>
  <c r="DW170"/>
  <c r="DW172"/>
  <c r="DW174"/>
  <c r="DW176"/>
  <c r="DW180"/>
  <c r="DW184"/>
  <c r="DW186"/>
  <c r="DW137"/>
  <c r="DS147"/>
  <c r="FR147" s="1"/>
  <c r="DS162"/>
  <c r="FR162" s="1"/>
  <c r="DS178"/>
  <c r="FR178" s="1"/>
  <c r="DS188"/>
  <c r="FR188" s="1"/>
  <c r="DS202"/>
  <c r="FR202" s="1"/>
  <c r="DS232"/>
  <c r="FR232" s="1"/>
  <c r="DS234"/>
  <c r="FR234" s="1"/>
  <c r="DS148"/>
  <c r="P361" s="1"/>
  <c r="DS144"/>
  <c r="P357" s="1"/>
  <c r="DS163"/>
  <c r="FR163" s="1"/>
  <c r="DS177"/>
  <c r="FR177" s="1"/>
  <c r="DS183"/>
  <c r="FR183" s="1"/>
  <c r="DS191"/>
  <c r="FR191" s="1"/>
  <c r="DS203"/>
  <c r="FR203" s="1"/>
  <c r="DS219"/>
  <c r="FR219" s="1"/>
  <c r="DS235"/>
  <c r="FR235" s="1"/>
  <c r="FO213"/>
  <c r="M426"/>
  <c r="FM213"/>
  <c r="K426"/>
  <c r="F426"/>
  <c r="FH213"/>
  <c r="FL213"/>
  <c r="J426"/>
  <c r="FP213"/>
  <c r="N426"/>
  <c r="FK213"/>
  <c r="I426"/>
  <c r="FI213"/>
  <c r="G426"/>
  <c r="FJ213"/>
  <c r="H426"/>
  <c r="FN213"/>
  <c r="L426"/>
  <c r="FR159"/>
  <c r="FR157"/>
  <c r="FR149"/>
  <c r="FR138"/>
  <c r="FR156"/>
  <c r="FR140"/>
  <c r="FR152"/>
  <c r="FQ170"/>
  <c r="BV134"/>
  <c r="W134"/>
  <c r="BT130"/>
  <c r="P383"/>
  <c r="BU236"/>
  <c r="Q449" s="1"/>
  <c r="BU235"/>
  <c r="BU234"/>
  <c r="BU233"/>
  <c r="Q446" s="1"/>
  <c r="BU232"/>
  <c r="BU231"/>
  <c r="Q444" s="1"/>
  <c r="BU230"/>
  <c r="Q443" s="1"/>
  <c r="BU229"/>
  <c r="Q442" s="1"/>
  <c r="BU228"/>
  <c r="Q441" s="1"/>
  <c r="BU227"/>
  <c r="Q440" s="1"/>
  <c r="BU226"/>
  <c r="Q439" s="1"/>
  <c r="BU225"/>
  <c r="Q438" s="1"/>
  <c r="BU224"/>
  <c r="Q437" s="1"/>
  <c r="BU223"/>
  <c r="Q436" s="1"/>
  <c r="BU222"/>
  <c r="Q435" s="1"/>
  <c r="BU221"/>
  <c r="Q434" s="1"/>
  <c r="BU220"/>
  <c r="Q433" s="1"/>
  <c r="BU219"/>
  <c r="BU218"/>
  <c r="Q431" s="1"/>
  <c r="BU217"/>
  <c r="Q430" s="1"/>
  <c r="BU216"/>
  <c r="Q429" s="1"/>
  <c r="BU215"/>
  <c r="Q428" s="1"/>
  <c r="BU214"/>
  <c r="Q427" s="1"/>
  <c r="BU213"/>
  <c r="Q426" s="1"/>
  <c r="BU212"/>
  <c r="Q425" s="1"/>
  <c r="BU211"/>
  <c r="Q424" s="1"/>
  <c r="BU210"/>
  <c r="Q423" s="1"/>
  <c r="BU209"/>
  <c r="Q422" s="1"/>
  <c r="BU208"/>
  <c r="Q421" s="1"/>
  <c r="BU207"/>
  <c r="Q420" s="1"/>
  <c r="BU206"/>
  <c r="Q419" s="1"/>
  <c r="BU205"/>
  <c r="Q418" s="1"/>
  <c r="BU204"/>
  <c r="Q417" s="1"/>
  <c r="BU203"/>
  <c r="BU202"/>
  <c r="Q415" s="1"/>
  <c r="BU201"/>
  <c r="Q414" s="1"/>
  <c r="BU200"/>
  <c r="Q413" s="1"/>
  <c r="BU199"/>
  <c r="Q412" s="1"/>
  <c r="BU198"/>
  <c r="Q411" s="1"/>
  <c r="BU197"/>
  <c r="Q410" s="1"/>
  <c r="BU196"/>
  <c r="Q409" s="1"/>
  <c r="BU195"/>
  <c r="Q408" s="1"/>
  <c r="BU194"/>
  <c r="Q407" s="1"/>
  <c r="BU193"/>
  <c r="Q406" s="1"/>
  <c r="BU192"/>
  <c r="Q405" s="1"/>
  <c r="BU191"/>
  <c r="BU190"/>
  <c r="Q403" s="1"/>
  <c r="BU189"/>
  <c r="Q402" s="1"/>
  <c r="BU188"/>
  <c r="BU187"/>
  <c r="Q400" s="1"/>
  <c r="BU186"/>
  <c r="Q399" s="1"/>
  <c r="BU185"/>
  <c r="Q398" s="1"/>
  <c r="BU184"/>
  <c r="Q397" s="1"/>
  <c r="BU183"/>
  <c r="BU182"/>
  <c r="BU181"/>
  <c r="Q394" s="1"/>
  <c r="BU180"/>
  <c r="Q393" s="1"/>
  <c r="BU179"/>
  <c r="Q392" s="1"/>
  <c r="BU178"/>
  <c r="BU177"/>
  <c r="BU176"/>
  <c r="Q389" s="1"/>
  <c r="BU175"/>
  <c r="Q388" s="1"/>
  <c r="BU174"/>
  <c r="Q387" s="1"/>
  <c r="BU173"/>
  <c r="Q386" s="1"/>
  <c r="BU172"/>
  <c r="Q385" s="1"/>
  <c r="BU171"/>
  <c r="Q384" s="1"/>
  <c r="BU170"/>
  <c r="BU169"/>
  <c r="Q382" s="1"/>
  <c r="BU168"/>
  <c r="Q381" s="1"/>
  <c r="BU167"/>
  <c r="Q380" s="1"/>
  <c r="BU166"/>
  <c r="Q379" s="1"/>
  <c r="BU165"/>
  <c r="Q378" s="1"/>
  <c r="BU164"/>
  <c r="Q377" s="1"/>
  <c r="BU163"/>
  <c r="BU162"/>
  <c r="BU161"/>
  <c r="Q374" s="1"/>
  <c r="BU160"/>
  <c r="Q373" s="1"/>
  <c r="BU159"/>
  <c r="Q372" s="1"/>
  <c r="BU158"/>
  <c r="Q371" s="1"/>
  <c r="BU157"/>
  <c r="Q370" s="1"/>
  <c r="BU156"/>
  <c r="Q369" s="1"/>
  <c r="BU155"/>
  <c r="Q368" s="1"/>
  <c r="BU154"/>
  <c r="Q367" s="1"/>
  <c r="BU153"/>
  <c r="Q366" s="1"/>
  <c r="BU152"/>
  <c r="Q365" s="1"/>
  <c r="BU151"/>
  <c r="Q364" s="1"/>
  <c r="BU150"/>
  <c r="Q363" s="1"/>
  <c r="BU149"/>
  <c r="Q362" s="1"/>
  <c r="BU148"/>
  <c r="BU147"/>
  <c r="BU146"/>
  <c r="Q359" s="1"/>
  <c r="BU145"/>
  <c r="Q358" s="1"/>
  <c r="BU144"/>
  <c r="BU143"/>
  <c r="Q356" s="1"/>
  <c r="BU142"/>
  <c r="Q355" s="1"/>
  <c r="BU141"/>
  <c r="Q354" s="1"/>
  <c r="BU140"/>
  <c r="Q353" s="1"/>
  <c r="BU139"/>
  <c r="Q352" s="1"/>
  <c r="BU138"/>
  <c r="Q351" s="1"/>
  <c r="BU137"/>
  <c r="Q350" s="1"/>
  <c r="FR154"/>
  <c r="FR182"/>
  <c r="FR194"/>
  <c r="FR204"/>
  <c r="FR228"/>
  <c r="DX134"/>
  <c r="FS230"/>
  <c r="FS218"/>
  <c r="FS216"/>
  <c r="FS214"/>
  <c r="FS212"/>
  <c r="FS210"/>
  <c r="FS208"/>
  <c r="FS236"/>
  <c r="FS226"/>
  <c r="FS224"/>
  <c r="FS222"/>
  <c r="FS220"/>
  <c r="FS206"/>
  <c r="FS202"/>
  <c r="FS192"/>
  <c r="FS190"/>
  <c r="FS184"/>
  <c r="FS199"/>
  <c r="FS197"/>
  <c r="FS195"/>
  <c r="FS187"/>
  <c r="FS185"/>
  <c r="FS175"/>
  <c r="FS165"/>
  <c r="FS181"/>
  <c r="FS179"/>
  <c r="FS173"/>
  <c r="FS168"/>
  <c r="FS166"/>
  <c r="FS159"/>
  <c r="FS156"/>
  <c r="FS150"/>
  <c r="FS158"/>
  <c r="FS152"/>
  <c r="FS146"/>
  <c r="FS138"/>
  <c r="FS142"/>
  <c r="R31"/>
  <c r="FS233"/>
  <c r="FS231"/>
  <c r="FS229"/>
  <c r="FS217"/>
  <c r="FS215"/>
  <c r="FS213"/>
  <c r="FS211"/>
  <c r="FS209"/>
  <c r="FS207"/>
  <c r="FS227"/>
  <c r="FS225"/>
  <c r="FS223"/>
  <c r="FS221"/>
  <c r="FS205"/>
  <c r="FS201"/>
  <c r="FS193"/>
  <c r="FS189"/>
  <c r="FS200"/>
  <c r="FS198"/>
  <c r="FS196"/>
  <c r="FS186"/>
  <c r="FS176"/>
  <c r="FS171"/>
  <c r="FS169"/>
  <c r="FS160"/>
  <c r="FS180"/>
  <c r="FS174"/>
  <c r="FS172"/>
  <c r="FS167"/>
  <c r="FS161"/>
  <c r="FS155"/>
  <c r="FS153"/>
  <c r="FS149"/>
  <c r="FS157"/>
  <c r="FS151"/>
  <c r="FS145"/>
  <c r="FS143"/>
  <c r="FS141"/>
  <c r="A169" i="23"/>
  <c r="B170"/>
  <c r="P391" i="21" l="1"/>
  <c r="P375"/>
  <c r="P360"/>
  <c r="DS132"/>
  <c r="FR148"/>
  <c r="FR144"/>
  <c r="P448"/>
  <c r="P432"/>
  <c r="P416"/>
  <c r="P404"/>
  <c r="P396"/>
  <c r="P390"/>
  <c r="P376"/>
  <c r="P447"/>
  <c r="P445"/>
  <c r="P415"/>
  <c r="P401"/>
  <c r="DX233"/>
  <c r="DX229"/>
  <c r="DX215"/>
  <c r="DX205"/>
  <c r="DX189"/>
  <c r="DX181"/>
  <c r="DX173"/>
  <c r="DX165"/>
  <c r="DX157"/>
  <c r="DX149"/>
  <c r="DX145"/>
  <c r="DX141"/>
  <c r="DX152"/>
  <c r="DX160"/>
  <c r="DX176"/>
  <c r="DX184"/>
  <c r="DX210"/>
  <c r="DX222"/>
  <c r="DX230"/>
  <c r="DX156"/>
  <c r="DX164"/>
  <c r="DX172"/>
  <c r="DX180"/>
  <c r="DX194"/>
  <c r="DX202"/>
  <c r="DX206"/>
  <c r="DX155"/>
  <c r="DX159"/>
  <c r="DX193"/>
  <c r="DX195"/>
  <c r="DX197"/>
  <c r="DX211"/>
  <c r="DX213"/>
  <c r="DX221"/>
  <c r="DX223"/>
  <c r="DX167"/>
  <c r="DX171"/>
  <c r="DX175"/>
  <c r="DX179"/>
  <c r="DX187"/>
  <c r="DX201"/>
  <c r="DX207"/>
  <c r="DX209"/>
  <c r="DX217"/>
  <c r="DX138"/>
  <c r="DX146"/>
  <c r="DX140"/>
  <c r="DX143"/>
  <c r="DX151"/>
  <c r="DX161"/>
  <c r="DX199"/>
  <c r="DX220"/>
  <c r="DX228"/>
  <c r="DX236"/>
  <c r="DX142"/>
  <c r="DX150"/>
  <c r="DX154"/>
  <c r="DX170"/>
  <c r="DX186"/>
  <c r="DX214"/>
  <c r="DX139"/>
  <c r="DX153"/>
  <c r="DX158"/>
  <c r="DX169"/>
  <c r="DX174"/>
  <c r="DX185"/>
  <c r="DX190"/>
  <c r="DX198"/>
  <c r="DX231"/>
  <c r="DX224"/>
  <c r="DX192"/>
  <c r="DX208"/>
  <c r="DX216"/>
  <c r="DX226"/>
  <c r="DX137"/>
  <c r="DX196"/>
  <c r="DX204"/>
  <c r="DX212"/>
  <c r="DX218"/>
  <c r="DT147"/>
  <c r="FS147" s="1"/>
  <c r="DT163"/>
  <c r="FS163" s="1"/>
  <c r="DT177"/>
  <c r="FS177" s="1"/>
  <c r="DT183"/>
  <c r="FS183" s="1"/>
  <c r="DT191"/>
  <c r="FS191" s="1"/>
  <c r="DT203"/>
  <c r="FS203" s="1"/>
  <c r="DT219"/>
  <c r="FS219" s="1"/>
  <c r="DT235"/>
  <c r="FS235" s="1"/>
  <c r="DT144"/>
  <c r="Q357" s="1"/>
  <c r="DT148"/>
  <c r="FS148" s="1"/>
  <c r="DT162"/>
  <c r="Q375" s="1"/>
  <c r="DT178"/>
  <c r="FS178" s="1"/>
  <c r="DT182"/>
  <c r="Q395" s="1"/>
  <c r="DT188"/>
  <c r="FS188" s="1"/>
  <c r="DT232"/>
  <c r="FS232" s="1"/>
  <c r="DT234"/>
  <c r="FS234" s="1"/>
  <c r="FS137"/>
  <c r="FS139"/>
  <c r="BU130"/>
  <c r="Q383"/>
  <c r="BV236"/>
  <c r="R449" s="1"/>
  <c r="BV235"/>
  <c r="BV234"/>
  <c r="BV233"/>
  <c r="R446" s="1"/>
  <c r="BV232"/>
  <c r="BV231"/>
  <c r="R444" s="1"/>
  <c r="BV230"/>
  <c r="R443" s="1"/>
  <c r="BV229"/>
  <c r="R442" s="1"/>
  <c r="BV228"/>
  <c r="R441" s="1"/>
  <c r="BV227"/>
  <c r="R440" s="1"/>
  <c r="BV226"/>
  <c r="R439" s="1"/>
  <c r="BV225"/>
  <c r="R438" s="1"/>
  <c r="BV224"/>
  <c r="R437" s="1"/>
  <c r="BV223"/>
  <c r="R436" s="1"/>
  <c r="BV222"/>
  <c r="R435" s="1"/>
  <c r="BV221"/>
  <c r="R434" s="1"/>
  <c r="BV220"/>
  <c r="R433" s="1"/>
  <c r="BV219"/>
  <c r="BV218"/>
  <c r="R431" s="1"/>
  <c r="BV217"/>
  <c r="R430" s="1"/>
  <c r="BV216"/>
  <c r="R429" s="1"/>
  <c r="BV215"/>
  <c r="R428" s="1"/>
  <c r="BV214"/>
  <c r="R427" s="1"/>
  <c r="BV213"/>
  <c r="R426" s="1"/>
  <c r="BV212"/>
  <c r="R425" s="1"/>
  <c r="BV211"/>
  <c r="R424" s="1"/>
  <c r="BV210"/>
  <c r="R423" s="1"/>
  <c r="BV209"/>
  <c r="R422" s="1"/>
  <c r="BV208"/>
  <c r="R421" s="1"/>
  <c r="BV207"/>
  <c r="R420" s="1"/>
  <c r="BV206"/>
  <c r="R419" s="1"/>
  <c r="BV205"/>
  <c r="R418" s="1"/>
  <c r="BV204"/>
  <c r="R417" s="1"/>
  <c r="BV203"/>
  <c r="BV202"/>
  <c r="R415" s="1"/>
  <c r="BV201"/>
  <c r="R414" s="1"/>
  <c r="BV200"/>
  <c r="R413" s="1"/>
  <c r="BV199"/>
  <c r="R412" s="1"/>
  <c r="BV198"/>
  <c r="R411" s="1"/>
  <c r="BV197"/>
  <c r="R410" s="1"/>
  <c r="BV196"/>
  <c r="R409" s="1"/>
  <c r="BV195"/>
  <c r="R408" s="1"/>
  <c r="BV194"/>
  <c r="R407" s="1"/>
  <c r="BV193"/>
  <c r="R406" s="1"/>
  <c r="BV192"/>
  <c r="R405" s="1"/>
  <c r="BV191"/>
  <c r="BV190"/>
  <c r="R403" s="1"/>
  <c r="BV189"/>
  <c r="R402" s="1"/>
  <c r="BV188"/>
  <c r="BV187"/>
  <c r="R400" s="1"/>
  <c r="BV186"/>
  <c r="R399" s="1"/>
  <c r="BV185"/>
  <c r="R398" s="1"/>
  <c r="BV184"/>
  <c r="R397" s="1"/>
  <c r="BV183"/>
  <c r="BV182"/>
  <c r="BV181"/>
  <c r="R394" s="1"/>
  <c r="BV180"/>
  <c r="R393" s="1"/>
  <c r="BV179"/>
  <c r="R392" s="1"/>
  <c r="BV178"/>
  <c r="BV177"/>
  <c r="BV176"/>
  <c r="R389" s="1"/>
  <c r="BV175"/>
  <c r="R388" s="1"/>
  <c r="BV174"/>
  <c r="R387" s="1"/>
  <c r="BV173"/>
  <c r="R386" s="1"/>
  <c r="BV172"/>
  <c r="R385" s="1"/>
  <c r="BV171"/>
  <c r="R384" s="1"/>
  <c r="BV170"/>
  <c r="BV169"/>
  <c r="R382" s="1"/>
  <c r="BV168"/>
  <c r="R381" s="1"/>
  <c r="BV167"/>
  <c r="R380" s="1"/>
  <c r="BV166"/>
  <c r="R379" s="1"/>
  <c r="BV165"/>
  <c r="R378" s="1"/>
  <c r="BV164"/>
  <c r="R377" s="1"/>
  <c r="BV163"/>
  <c r="BV162"/>
  <c r="BV161"/>
  <c r="R374" s="1"/>
  <c r="BV160"/>
  <c r="R373" s="1"/>
  <c r="BV159"/>
  <c r="R372" s="1"/>
  <c r="BV158"/>
  <c r="R371" s="1"/>
  <c r="BV157"/>
  <c r="R370" s="1"/>
  <c r="BV156"/>
  <c r="R369" s="1"/>
  <c r="BV154"/>
  <c r="R367" s="1"/>
  <c r="BV152"/>
  <c r="R365" s="1"/>
  <c r="BV150"/>
  <c r="R363" s="1"/>
  <c r="BV148"/>
  <c r="BV146"/>
  <c r="R359" s="1"/>
  <c r="BV145"/>
  <c r="R358" s="1"/>
  <c r="BV144"/>
  <c r="BV143"/>
  <c r="R356" s="1"/>
  <c r="BV142"/>
  <c r="R355" s="1"/>
  <c r="BV141"/>
  <c r="R354" s="1"/>
  <c r="BV140"/>
  <c r="R353" s="1"/>
  <c r="BV139"/>
  <c r="R352" s="1"/>
  <c r="BV138"/>
  <c r="R351" s="1"/>
  <c r="BV137"/>
  <c r="R350" s="1"/>
  <c r="BV155"/>
  <c r="R368" s="1"/>
  <c r="BV153"/>
  <c r="R366" s="1"/>
  <c r="BV151"/>
  <c r="R364" s="1"/>
  <c r="BV149"/>
  <c r="R362" s="1"/>
  <c r="BV147"/>
  <c r="BW134"/>
  <c r="X134"/>
  <c r="FR170"/>
  <c r="FS162"/>
  <c r="FS182"/>
  <c r="FS164"/>
  <c r="FS140"/>
  <c r="FS154"/>
  <c r="FS194"/>
  <c r="FS204"/>
  <c r="FS228"/>
  <c r="DY134"/>
  <c r="FT236"/>
  <c r="FT228"/>
  <c r="FT224"/>
  <c r="FT220"/>
  <c r="FT233"/>
  <c r="FT231"/>
  <c r="FT229"/>
  <c r="FT215"/>
  <c r="FT211"/>
  <c r="FT207"/>
  <c r="FT200"/>
  <c r="FT186"/>
  <c r="FT193"/>
  <c r="FT172"/>
  <c r="FT153"/>
  <c r="S31"/>
  <c r="FT227"/>
  <c r="FT225"/>
  <c r="FT223"/>
  <c r="FT221"/>
  <c r="FT218"/>
  <c r="FT214"/>
  <c r="FT210"/>
  <c r="FT205"/>
  <c r="FT187"/>
  <c r="FT202"/>
  <c r="FT184"/>
  <c r="FT173"/>
  <c r="FT150"/>
  <c r="FT139"/>
  <c r="A170" i="23"/>
  <c r="B171"/>
  <c r="DT132" i="21" l="1"/>
  <c r="FS144"/>
  <c r="Q447"/>
  <c r="Q445"/>
  <c r="Q401"/>
  <c r="Q391"/>
  <c r="Q361"/>
  <c r="Q448"/>
  <c r="Q432"/>
  <c r="Q416"/>
  <c r="Q404"/>
  <c r="Q396"/>
  <c r="Q390"/>
  <c r="Q376"/>
  <c r="Q360"/>
  <c r="DU148"/>
  <c r="FT148" s="1"/>
  <c r="DU162"/>
  <c r="R375" s="1"/>
  <c r="DU178"/>
  <c r="FT178" s="1"/>
  <c r="DU182"/>
  <c r="R395" s="1"/>
  <c r="DU188"/>
  <c r="R401" s="1"/>
  <c r="DU232"/>
  <c r="FT232" s="1"/>
  <c r="DU234"/>
  <c r="FT234" s="1"/>
  <c r="DY221"/>
  <c r="DY195"/>
  <c r="DY175"/>
  <c r="DY159"/>
  <c r="DY151"/>
  <c r="DY143"/>
  <c r="DY139"/>
  <c r="DY153"/>
  <c r="DY157"/>
  <c r="DY161"/>
  <c r="DY165"/>
  <c r="DY169"/>
  <c r="DY173"/>
  <c r="DY181"/>
  <c r="DY185"/>
  <c r="DY189"/>
  <c r="DY207"/>
  <c r="DY197"/>
  <c r="DY199"/>
  <c r="DY205"/>
  <c r="DY209"/>
  <c r="DY213"/>
  <c r="DY215"/>
  <c r="DY217"/>
  <c r="DY229"/>
  <c r="DY233"/>
  <c r="DY145"/>
  <c r="DY155"/>
  <c r="DY171"/>
  <c r="DY187"/>
  <c r="DY201"/>
  <c r="DY190"/>
  <c r="DY194"/>
  <c r="DY198"/>
  <c r="DY202"/>
  <c r="DY206"/>
  <c r="DY210"/>
  <c r="DY214"/>
  <c r="DY216"/>
  <c r="DY222"/>
  <c r="DY224"/>
  <c r="DY230"/>
  <c r="DY232"/>
  <c r="DY138"/>
  <c r="DY140"/>
  <c r="DY142"/>
  <c r="DY231"/>
  <c r="DY141"/>
  <c r="DY149"/>
  <c r="DY179"/>
  <c r="DY193"/>
  <c r="DY223"/>
  <c r="DY192"/>
  <c r="DY196"/>
  <c r="DY204"/>
  <c r="DY218"/>
  <c r="DY220"/>
  <c r="DY226"/>
  <c r="DY228"/>
  <c r="DY236"/>
  <c r="DY150"/>
  <c r="DY152"/>
  <c r="DY154"/>
  <c r="DY156"/>
  <c r="DY158"/>
  <c r="DY160"/>
  <c r="DY164"/>
  <c r="DY172"/>
  <c r="DY174"/>
  <c r="DY176"/>
  <c r="DY180"/>
  <c r="DY184"/>
  <c r="DY186"/>
  <c r="DY137"/>
  <c r="DY146"/>
  <c r="DU147"/>
  <c r="R360" s="1"/>
  <c r="DU144"/>
  <c r="R357" s="1"/>
  <c r="DU163"/>
  <c r="FT163" s="1"/>
  <c r="DU177"/>
  <c r="R390" s="1"/>
  <c r="DU183"/>
  <c r="R396" s="1"/>
  <c r="DU191"/>
  <c r="R404" s="1"/>
  <c r="DU203"/>
  <c r="R416" s="1"/>
  <c r="DU219"/>
  <c r="FT219" s="1"/>
  <c r="DU235"/>
  <c r="FT235" s="1"/>
  <c r="FT142"/>
  <c r="FT159"/>
  <c r="FT175"/>
  <c r="FT181"/>
  <c r="FT197"/>
  <c r="FT171"/>
  <c r="FT167"/>
  <c r="FT189"/>
  <c r="FT151"/>
  <c r="FT140"/>
  <c r="FT144"/>
  <c r="FT154"/>
  <c r="FT157"/>
  <c r="FT161"/>
  <c r="FT165"/>
  <c r="FT179"/>
  <c r="FT185"/>
  <c r="FT195"/>
  <c r="FT199"/>
  <c r="FT138"/>
  <c r="FT146"/>
  <c r="FT155"/>
  <c r="FT169"/>
  <c r="FT201"/>
  <c r="FT209"/>
  <c r="FT213"/>
  <c r="FT217"/>
  <c r="FT192"/>
  <c r="FT208"/>
  <c r="FT212"/>
  <c r="FT216"/>
  <c r="FT230"/>
  <c r="FT162"/>
  <c r="FT180"/>
  <c r="FT196"/>
  <c r="FT222"/>
  <c r="FT226"/>
  <c r="FT190"/>
  <c r="FT143"/>
  <c r="FT158"/>
  <c r="FT176"/>
  <c r="FT174"/>
  <c r="FT182"/>
  <c r="FT188"/>
  <c r="FT198"/>
  <c r="FT168"/>
  <c r="FT137"/>
  <c r="FT145"/>
  <c r="FT156"/>
  <c r="FT141"/>
  <c r="FT149"/>
  <c r="FT152"/>
  <c r="FT160"/>
  <c r="BW236"/>
  <c r="S449" s="1"/>
  <c r="BW235"/>
  <c r="BW234"/>
  <c r="BW233"/>
  <c r="S446" s="1"/>
  <c r="BW232"/>
  <c r="BW231"/>
  <c r="S444" s="1"/>
  <c r="BW230"/>
  <c r="S443" s="1"/>
  <c r="BW229"/>
  <c r="S442" s="1"/>
  <c r="BW228"/>
  <c r="S441" s="1"/>
  <c r="BW227"/>
  <c r="BW226"/>
  <c r="S439" s="1"/>
  <c r="BW225"/>
  <c r="S438" s="1"/>
  <c r="BW224"/>
  <c r="S437" s="1"/>
  <c r="BW223"/>
  <c r="S436" s="1"/>
  <c r="BW222"/>
  <c r="S435" s="1"/>
  <c r="BW221"/>
  <c r="S434" s="1"/>
  <c r="BW220"/>
  <c r="S433" s="1"/>
  <c r="BW219"/>
  <c r="BW218"/>
  <c r="S431" s="1"/>
  <c r="BW217"/>
  <c r="S430" s="1"/>
  <c r="BW216"/>
  <c r="S429" s="1"/>
  <c r="BW215"/>
  <c r="S428" s="1"/>
  <c r="BW214"/>
  <c r="S427" s="1"/>
  <c r="BW213"/>
  <c r="S426" s="1"/>
  <c r="BW212"/>
  <c r="S425" s="1"/>
  <c r="BW211"/>
  <c r="S424" s="1"/>
  <c r="BW210"/>
  <c r="S423" s="1"/>
  <c r="BW209"/>
  <c r="S422" s="1"/>
  <c r="BW208"/>
  <c r="S421" s="1"/>
  <c r="BW207"/>
  <c r="S420" s="1"/>
  <c r="BW206"/>
  <c r="S419" s="1"/>
  <c r="BW205"/>
  <c r="S418" s="1"/>
  <c r="BW204"/>
  <c r="S417" s="1"/>
  <c r="BW203"/>
  <c r="BW202"/>
  <c r="S415" s="1"/>
  <c r="BW201"/>
  <c r="S414" s="1"/>
  <c r="BW200"/>
  <c r="S413" s="1"/>
  <c r="BW199"/>
  <c r="S412" s="1"/>
  <c r="BW198"/>
  <c r="S411" s="1"/>
  <c r="BW197"/>
  <c r="S410" s="1"/>
  <c r="BW196"/>
  <c r="S409" s="1"/>
  <c r="BW195"/>
  <c r="S408" s="1"/>
  <c r="BW194"/>
  <c r="S407" s="1"/>
  <c r="BW193"/>
  <c r="S406" s="1"/>
  <c r="BW192"/>
  <c r="S405" s="1"/>
  <c r="BW191"/>
  <c r="BW190"/>
  <c r="S403" s="1"/>
  <c r="BW189"/>
  <c r="S402" s="1"/>
  <c r="BW188"/>
  <c r="BW186"/>
  <c r="S399" s="1"/>
  <c r="BW185"/>
  <c r="S398" s="1"/>
  <c r="BW184"/>
  <c r="S397" s="1"/>
  <c r="BW183"/>
  <c r="BW182"/>
  <c r="BW181"/>
  <c r="S394" s="1"/>
  <c r="BW180"/>
  <c r="S393" s="1"/>
  <c r="BW179"/>
  <c r="S392" s="1"/>
  <c r="BW178"/>
  <c r="BW177"/>
  <c r="BW176"/>
  <c r="S389" s="1"/>
  <c r="BW175"/>
  <c r="S388" s="1"/>
  <c r="BW174"/>
  <c r="S387" s="1"/>
  <c r="BW173"/>
  <c r="S386" s="1"/>
  <c r="BW172"/>
  <c r="S385" s="1"/>
  <c r="BW171"/>
  <c r="S384" s="1"/>
  <c r="BW170"/>
  <c r="BW169"/>
  <c r="S382" s="1"/>
  <c r="BW168"/>
  <c r="S381" s="1"/>
  <c r="BW167"/>
  <c r="S380" s="1"/>
  <c r="BW166"/>
  <c r="BW165"/>
  <c r="S378" s="1"/>
  <c r="BW164"/>
  <c r="S377" s="1"/>
  <c r="BW163"/>
  <c r="BW162"/>
  <c r="BW161"/>
  <c r="S374" s="1"/>
  <c r="BW160"/>
  <c r="S373" s="1"/>
  <c r="BW159"/>
  <c r="S372" s="1"/>
  <c r="BW158"/>
  <c r="S371" s="1"/>
  <c r="BW157"/>
  <c r="S370" s="1"/>
  <c r="BW156"/>
  <c r="S369" s="1"/>
  <c r="BW155"/>
  <c r="S368" s="1"/>
  <c r="BW154"/>
  <c r="S367" s="1"/>
  <c r="BW153"/>
  <c r="S366" s="1"/>
  <c r="BW152"/>
  <c r="S365" s="1"/>
  <c r="BW151"/>
  <c r="S364" s="1"/>
  <c r="BW150"/>
  <c r="S363" s="1"/>
  <c r="BW149"/>
  <c r="S362" s="1"/>
  <c r="BW148"/>
  <c r="BW147"/>
  <c r="BW146"/>
  <c r="S359" s="1"/>
  <c r="BW187"/>
  <c r="S400" s="1"/>
  <c r="BW145"/>
  <c r="S358" s="1"/>
  <c r="BW144"/>
  <c r="BW143"/>
  <c r="S356" s="1"/>
  <c r="BW142"/>
  <c r="S355" s="1"/>
  <c r="BW141"/>
  <c r="S354" s="1"/>
  <c r="BW140"/>
  <c r="S353" s="1"/>
  <c r="BW139"/>
  <c r="S352" s="1"/>
  <c r="BW138"/>
  <c r="S351" s="1"/>
  <c r="BW137"/>
  <c r="S350" s="1"/>
  <c r="BV130"/>
  <c r="R383"/>
  <c r="BX134"/>
  <c r="Y134"/>
  <c r="FS170"/>
  <c r="FT166"/>
  <c r="FT194"/>
  <c r="FT204"/>
  <c r="FT164"/>
  <c r="FT206"/>
  <c r="DZ134"/>
  <c r="FU230"/>
  <c r="FU216"/>
  <c r="FU212"/>
  <c r="FU208"/>
  <c r="FU236"/>
  <c r="FU228"/>
  <c r="FU224"/>
  <c r="FU220"/>
  <c r="FU202"/>
  <c r="FU192"/>
  <c r="FU184"/>
  <c r="FU197"/>
  <c r="FU185"/>
  <c r="FU175"/>
  <c r="FU159"/>
  <c r="FU180"/>
  <c r="FU172"/>
  <c r="FU156"/>
  <c r="FU150"/>
  <c r="FU152"/>
  <c r="FU146"/>
  <c r="T31"/>
  <c r="FU233"/>
  <c r="FU231"/>
  <c r="FU229"/>
  <c r="FU217"/>
  <c r="FU215"/>
  <c r="FU213"/>
  <c r="FU211"/>
  <c r="FU209"/>
  <c r="FU225"/>
  <c r="FU223"/>
  <c r="FU221"/>
  <c r="FU205"/>
  <c r="FU201"/>
  <c r="FU200"/>
  <c r="FU196"/>
  <c r="FU186"/>
  <c r="FU176"/>
  <c r="FU169"/>
  <c r="FU164"/>
  <c r="FU161"/>
  <c r="FU181"/>
  <c r="FU173"/>
  <c r="FU168"/>
  <c r="FU155"/>
  <c r="FU149"/>
  <c r="FU151"/>
  <c r="FU145"/>
  <c r="FU143"/>
  <c r="A171" i="23"/>
  <c r="B172"/>
  <c r="FT147" i="21" l="1"/>
  <c r="FT183"/>
  <c r="FT191"/>
  <c r="DZ207"/>
  <c r="DZ197"/>
  <c r="DZ185"/>
  <c r="DZ169"/>
  <c r="DZ161"/>
  <c r="DZ153"/>
  <c r="DZ149"/>
  <c r="DZ145"/>
  <c r="DZ141"/>
  <c r="DZ158"/>
  <c r="DZ174"/>
  <c r="DZ216"/>
  <c r="DZ220"/>
  <c r="DZ228"/>
  <c r="DZ155"/>
  <c r="DZ159"/>
  <c r="DZ154"/>
  <c r="DZ170"/>
  <c r="DZ186"/>
  <c r="DZ192"/>
  <c r="DZ196"/>
  <c r="DZ236"/>
  <c r="DZ171"/>
  <c r="DZ175"/>
  <c r="DZ179"/>
  <c r="DZ187"/>
  <c r="DZ199"/>
  <c r="DZ201"/>
  <c r="DZ205"/>
  <c r="DZ209"/>
  <c r="DZ215"/>
  <c r="DZ217"/>
  <c r="DZ193"/>
  <c r="DZ195"/>
  <c r="DZ221"/>
  <c r="DZ223"/>
  <c r="DZ231"/>
  <c r="DZ156"/>
  <c r="DZ172"/>
  <c r="DZ139"/>
  <c r="DZ142"/>
  <c r="DZ150"/>
  <c r="DZ160"/>
  <c r="DZ165"/>
  <c r="DZ176"/>
  <c r="DZ181"/>
  <c r="DZ189"/>
  <c r="DZ218"/>
  <c r="DZ226"/>
  <c r="DZ229"/>
  <c r="DZ233"/>
  <c r="DZ140"/>
  <c r="DZ164"/>
  <c r="DZ180"/>
  <c r="DZ204"/>
  <c r="DZ138"/>
  <c r="DZ143"/>
  <c r="DZ146"/>
  <c r="DZ151"/>
  <c r="DZ152"/>
  <c r="DZ157"/>
  <c r="DZ173"/>
  <c r="DZ184"/>
  <c r="DZ213"/>
  <c r="DZ222"/>
  <c r="DZ230"/>
  <c r="DZ190"/>
  <c r="DZ198"/>
  <c r="DZ206"/>
  <c r="DZ214"/>
  <c r="DZ224"/>
  <c r="DZ194"/>
  <c r="DZ202"/>
  <c r="DZ210"/>
  <c r="DZ232"/>
  <c r="DZ137"/>
  <c r="DV148"/>
  <c r="S361" s="1"/>
  <c r="DV162"/>
  <c r="FU162" s="1"/>
  <c r="DV166"/>
  <c r="S379" s="1"/>
  <c r="DV178"/>
  <c r="S391" s="1"/>
  <c r="DV182"/>
  <c r="S395" s="1"/>
  <c r="DV191"/>
  <c r="FU191" s="1"/>
  <c r="DV203"/>
  <c r="S416" s="1"/>
  <c r="DV219"/>
  <c r="FU219" s="1"/>
  <c r="DV227"/>
  <c r="FU227" s="1"/>
  <c r="DV235"/>
  <c r="FU235" s="1"/>
  <c r="DU132"/>
  <c r="FT177"/>
  <c r="FT203"/>
  <c r="R448"/>
  <c r="R432"/>
  <c r="R376"/>
  <c r="R447"/>
  <c r="R445"/>
  <c r="R391"/>
  <c r="R361"/>
  <c r="DV144"/>
  <c r="S357" s="1"/>
  <c r="DV147"/>
  <c r="S360" s="1"/>
  <c r="DV163"/>
  <c r="S376" s="1"/>
  <c r="DV177"/>
  <c r="S390" s="1"/>
  <c r="DV183"/>
  <c r="S396" s="1"/>
  <c r="DV188"/>
  <c r="S401" s="1"/>
  <c r="DV232"/>
  <c r="S445" s="1"/>
  <c r="DV234"/>
  <c r="FU234" s="1"/>
  <c r="FU140"/>
  <c r="FU141"/>
  <c r="FU139"/>
  <c r="FU189"/>
  <c r="FU193"/>
  <c r="FU203"/>
  <c r="FU207"/>
  <c r="FU148"/>
  <c r="FU158"/>
  <c r="FU154"/>
  <c r="FU160"/>
  <c r="FU174"/>
  <c r="FU195"/>
  <c r="FU199"/>
  <c r="FU137"/>
  <c r="FU147"/>
  <c r="FU157"/>
  <c r="FU153"/>
  <c r="FU179"/>
  <c r="FU171"/>
  <c r="FU198"/>
  <c r="FU142"/>
  <c r="FU138"/>
  <c r="FU167"/>
  <c r="FU165"/>
  <c r="FU190"/>
  <c r="FU194"/>
  <c r="FU204"/>
  <c r="FU222"/>
  <c r="FU226"/>
  <c r="FU210"/>
  <c r="FU214"/>
  <c r="FU218"/>
  <c r="DV132"/>
  <c r="BY134"/>
  <c r="Z134"/>
  <c r="BX236"/>
  <c r="T449" s="1"/>
  <c r="BX235"/>
  <c r="BX234"/>
  <c r="BX233"/>
  <c r="T446" s="1"/>
  <c r="BX232"/>
  <c r="BX231"/>
  <c r="T444" s="1"/>
  <c r="BX230"/>
  <c r="T443" s="1"/>
  <c r="BX229"/>
  <c r="T442" s="1"/>
  <c r="BX228"/>
  <c r="T441" s="1"/>
  <c r="BX227"/>
  <c r="BX226"/>
  <c r="T439" s="1"/>
  <c r="BX225"/>
  <c r="BX224"/>
  <c r="T437" s="1"/>
  <c r="BX223"/>
  <c r="T436" s="1"/>
  <c r="BX222"/>
  <c r="T435" s="1"/>
  <c r="BX221"/>
  <c r="T434" s="1"/>
  <c r="BX220"/>
  <c r="T433" s="1"/>
  <c r="BX219"/>
  <c r="BX218"/>
  <c r="T431" s="1"/>
  <c r="BX217"/>
  <c r="T430" s="1"/>
  <c r="BX216"/>
  <c r="T429" s="1"/>
  <c r="BX215"/>
  <c r="T428" s="1"/>
  <c r="BX214"/>
  <c r="T427" s="1"/>
  <c r="BX213"/>
  <c r="T426" s="1"/>
  <c r="BX212"/>
  <c r="T425" s="1"/>
  <c r="BX211"/>
  <c r="T424" s="1"/>
  <c r="BX210"/>
  <c r="T423" s="1"/>
  <c r="BX209"/>
  <c r="T422" s="1"/>
  <c r="BX208"/>
  <c r="T421" s="1"/>
  <c r="BX207"/>
  <c r="T420" s="1"/>
  <c r="BX206"/>
  <c r="T419" s="1"/>
  <c r="BX205"/>
  <c r="T418" s="1"/>
  <c r="BX204"/>
  <c r="T417" s="1"/>
  <c r="BX203"/>
  <c r="BX202"/>
  <c r="T415" s="1"/>
  <c r="BX201"/>
  <c r="T414" s="1"/>
  <c r="BX200"/>
  <c r="T413" s="1"/>
  <c r="BX199"/>
  <c r="T412" s="1"/>
  <c r="BX198"/>
  <c r="T411" s="1"/>
  <c r="BX197"/>
  <c r="T410" s="1"/>
  <c r="BX196"/>
  <c r="T409" s="1"/>
  <c r="BX195"/>
  <c r="T408" s="1"/>
  <c r="BX194"/>
  <c r="T407" s="1"/>
  <c r="BX193"/>
  <c r="T406" s="1"/>
  <c r="BX192"/>
  <c r="T405" s="1"/>
  <c r="BX191"/>
  <c r="BX190"/>
  <c r="T403" s="1"/>
  <c r="BX189"/>
  <c r="T402" s="1"/>
  <c r="BX188"/>
  <c r="BX187"/>
  <c r="T400" s="1"/>
  <c r="BX186"/>
  <c r="T399" s="1"/>
  <c r="BX185"/>
  <c r="T398" s="1"/>
  <c r="BX184"/>
  <c r="T397" s="1"/>
  <c r="BX183"/>
  <c r="BX182"/>
  <c r="BX181"/>
  <c r="T394" s="1"/>
  <c r="BX180"/>
  <c r="T393" s="1"/>
  <c r="BX179"/>
  <c r="T392" s="1"/>
  <c r="BX178"/>
  <c r="BX177"/>
  <c r="BX176"/>
  <c r="T389" s="1"/>
  <c r="BX175"/>
  <c r="T388" s="1"/>
  <c r="BX174"/>
  <c r="T387" s="1"/>
  <c r="BX173"/>
  <c r="T386" s="1"/>
  <c r="BX172"/>
  <c r="T385" s="1"/>
  <c r="BX171"/>
  <c r="T384" s="1"/>
  <c r="BX170"/>
  <c r="BX169"/>
  <c r="T382" s="1"/>
  <c r="BX168"/>
  <c r="T381" s="1"/>
  <c r="BX167"/>
  <c r="T380" s="1"/>
  <c r="BX166"/>
  <c r="BX165"/>
  <c r="T378" s="1"/>
  <c r="BX164"/>
  <c r="T377" s="1"/>
  <c r="BX163"/>
  <c r="BX162"/>
  <c r="BX161"/>
  <c r="T374" s="1"/>
  <c r="BX160"/>
  <c r="T373" s="1"/>
  <c r="BX159"/>
  <c r="T372" s="1"/>
  <c r="BX158"/>
  <c r="T371" s="1"/>
  <c r="BX157"/>
  <c r="T370" s="1"/>
  <c r="BX155"/>
  <c r="T368" s="1"/>
  <c r="BX153"/>
  <c r="T366" s="1"/>
  <c r="BX151"/>
  <c r="T364" s="1"/>
  <c r="BX149"/>
  <c r="T362" s="1"/>
  <c r="BX147"/>
  <c r="BX145"/>
  <c r="T358" s="1"/>
  <c r="BX144"/>
  <c r="BX143"/>
  <c r="T356" s="1"/>
  <c r="BX142"/>
  <c r="T355" s="1"/>
  <c r="BX141"/>
  <c r="T354" s="1"/>
  <c r="BX140"/>
  <c r="T353" s="1"/>
  <c r="BX139"/>
  <c r="T352" s="1"/>
  <c r="BX138"/>
  <c r="T351" s="1"/>
  <c r="BX137"/>
  <c r="T350" s="1"/>
  <c r="BX156"/>
  <c r="T369" s="1"/>
  <c r="BX154"/>
  <c r="T367" s="1"/>
  <c r="BX152"/>
  <c r="T365" s="1"/>
  <c r="BX150"/>
  <c r="T363" s="1"/>
  <c r="BX148"/>
  <c r="BX146"/>
  <c r="T359" s="1"/>
  <c r="FT170"/>
  <c r="BW130"/>
  <c r="S383"/>
  <c r="FU163"/>
  <c r="FU187"/>
  <c r="FU206"/>
  <c r="EA134"/>
  <c r="FV236"/>
  <c r="FV226"/>
  <c r="FV224"/>
  <c r="FV222"/>
  <c r="FV220"/>
  <c r="FV230"/>
  <c r="FV218"/>
  <c r="FV216"/>
  <c r="FV214"/>
  <c r="FV208"/>
  <c r="FV198"/>
  <c r="FV202"/>
  <c r="FV190"/>
  <c r="FV180"/>
  <c r="FV172"/>
  <c r="FV175"/>
  <c r="FV158"/>
  <c r="FV143"/>
  <c r="FV140"/>
  <c r="U31"/>
  <c r="FV221"/>
  <c r="FV205"/>
  <c r="FV231"/>
  <c r="FV217"/>
  <c r="FV209"/>
  <c r="FV195"/>
  <c r="FV201"/>
  <c r="FV168"/>
  <c r="FV171"/>
  <c r="FV157"/>
  <c r="FV156"/>
  <c r="FV142"/>
  <c r="FV139"/>
  <c r="A172" i="23"/>
  <c r="B173"/>
  <c r="FU177" i="21" l="1"/>
  <c r="FU188"/>
  <c r="FU183"/>
  <c r="FU144"/>
  <c r="FU166"/>
  <c r="EA217"/>
  <c r="EA209"/>
  <c r="EA193"/>
  <c r="EA187"/>
  <c r="EA179"/>
  <c r="EA171"/>
  <c r="EA155"/>
  <c r="EA151"/>
  <c r="EA143"/>
  <c r="EA139"/>
  <c r="EA153"/>
  <c r="EA157"/>
  <c r="EA161"/>
  <c r="EA197"/>
  <c r="EA199"/>
  <c r="EA201"/>
  <c r="EA205"/>
  <c r="EA213"/>
  <c r="EA215"/>
  <c r="EA165"/>
  <c r="EA169"/>
  <c r="EA173"/>
  <c r="EA181"/>
  <c r="EA185"/>
  <c r="EA189"/>
  <c r="EA195"/>
  <c r="EA207"/>
  <c r="EA221"/>
  <c r="EA223"/>
  <c r="EA231"/>
  <c r="EA141"/>
  <c r="EA149"/>
  <c r="EA159"/>
  <c r="EA175"/>
  <c r="EA192"/>
  <c r="EA196"/>
  <c r="EA204"/>
  <c r="EA218"/>
  <c r="EA220"/>
  <c r="EA226"/>
  <c r="EA228"/>
  <c r="EA236"/>
  <c r="EA229"/>
  <c r="EA233"/>
  <c r="EA145"/>
  <c r="EA190"/>
  <c r="EA194"/>
  <c r="EA198"/>
  <c r="EA202"/>
  <c r="EA206"/>
  <c r="EA210"/>
  <c r="EA214"/>
  <c r="EA216"/>
  <c r="EA222"/>
  <c r="EA224"/>
  <c r="EA230"/>
  <c r="EA232"/>
  <c r="EA138"/>
  <c r="EA140"/>
  <c r="EA142"/>
  <c r="EA146"/>
  <c r="EA150"/>
  <c r="EA152"/>
  <c r="EA154"/>
  <c r="EA156"/>
  <c r="EA158"/>
  <c r="EA160"/>
  <c r="EA164"/>
  <c r="EA170"/>
  <c r="EA172"/>
  <c r="EA174"/>
  <c r="EA176"/>
  <c r="EA180"/>
  <c r="EA184"/>
  <c r="EA186"/>
  <c r="EA137"/>
  <c r="DW148"/>
  <c r="T361" s="1"/>
  <c r="DW144"/>
  <c r="T357" s="1"/>
  <c r="DW147"/>
  <c r="T360" s="1"/>
  <c r="DW162"/>
  <c r="FV162" s="1"/>
  <c r="DW166"/>
  <c r="T379" s="1"/>
  <c r="DW178"/>
  <c r="FV178" s="1"/>
  <c r="DW182"/>
  <c r="T395" s="1"/>
  <c r="DW188"/>
  <c r="FV188" s="1"/>
  <c r="DW232"/>
  <c r="FV232" s="1"/>
  <c r="DW234"/>
  <c r="FV234" s="1"/>
  <c r="FU232"/>
  <c r="FU182"/>
  <c r="FU178"/>
  <c r="S447"/>
  <c r="S448"/>
  <c r="S440"/>
  <c r="S432"/>
  <c r="S404"/>
  <c r="S375"/>
  <c r="DW163"/>
  <c r="T376" s="1"/>
  <c r="DW177"/>
  <c r="T390" s="1"/>
  <c r="DW183"/>
  <c r="FV183" s="1"/>
  <c r="DW191"/>
  <c r="T404" s="1"/>
  <c r="DW203"/>
  <c r="T416" s="1"/>
  <c r="DW219"/>
  <c r="T432" s="1"/>
  <c r="DW225"/>
  <c r="FV225" s="1"/>
  <c r="DW227"/>
  <c r="T440" s="1"/>
  <c r="DW235"/>
  <c r="FV235" s="1"/>
  <c r="FV154"/>
  <c r="FV161"/>
  <c r="FV179"/>
  <c r="FV191"/>
  <c r="FV185"/>
  <c r="FV199"/>
  <c r="FV213"/>
  <c r="FV153"/>
  <c r="FV137"/>
  <c r="FV145"/>
  <c r="FV150"/>
  <c r="FV159"/>
  <c r="FV169"/>
  <c r="FV173"/>
  <c r="FV181"/>
  <c r="FV189"/>
  <c r="FV193"/>
  <c r="FV187"/>
  <c r="FV197"/>
  <c r="FV207"/>
  <c r="FV211"/>
  <c r="FV215"/>
  <c r="FV229"/>
  <c r="FV233"/>
  <c r="FV223"/>
  <c r="FV141"/>
  <c r="FV149"/>
  <c r="FV165"/>
  <c r="FV177"/>
  <c r="FV167"/>
  <c r="FV212"/>
  <c r="FV147"/>
  <c r="FV144"/>
  <c r="FV151"/>
  <c r="FV176"/>
  <c r="FV166"/>
  <c r="FV155"/>
  <c r="FV160"/>
  <c r="FV174"/>
  <c r="FV184"/>
  <c r="FV192"/>
  <c r="FV186"/>
  <c r="FV196"/>
  <c r="FV200"/>
  <c r="FV210"/>
  <c r="FV206"/>
  <c r="FV148"/>
  <c r="FV152"/>
  <c r="FV146"/>
  <c r="BZ134"/>
  <c r="AA134"/>
  <c r="BX130"/>
  <c r="T383"/>
  <c r="BY236"/>
  <c r="U449" s="1"/>
  <c r="BY235"/>
  <c r="BY234"/>
  <c r="BY233"/>
  <c r="U446" s="1"/>
  <c r="BY232"/>
  <c r="BY231"/>
  <c r="U444" s="1"/>
  <c r="BY230"/>
  <c r="U443" s="1"/>
  <c r="BY229"/>
  <c r="U442" s="1"/>
  <c r="BY228"/>
  <c r="U441" s="1"/>
  <c r="BY227"/>
  <c r="BY226"/>
  <c r="U439" s="1"/>
  <c r="BY225"/>
  <c r="BY224"/>
  <c r="U437" s="1"/>
  <c r="BY223"/>
  <c r="U436" s="1"/>
  <c r="BY222"/>
  <c r="U435" s="1"/>
  <c r="BY221"/>
  <c r="U434" s="1"/>
  <c r="BY220"/>
  <c r="U433" s="1"/>
  <c r="BY219"/>
  <c r="BY218"/>
  <c r="U431" s="1"/>
  <c r="BY217"/>
  <c r="U430" s="1"/>
  <c r="BY216"/>
  <c r="U429" s="1"/>
  <c r="BY215"/>
  <c r="U428" s="1"/>
  <c r="BY214"/>
  <c r="U427" s="1"/>
  <c r="BY213"/>
  <c r="U426" s="1"/>
  <c r="BY212"/>
  <c r="U425" s="1"/>
  <c r="BY211"/>
  <c r="U424" s="1"/>
  <c r="BY210"/>
  <c r="U423" s="1"/>
  <c r="BY209"/>
  <c r="U422" s="1"/>
  <c r="BY208"/>
  <c r="U421" s="1"/>
  <c r="BY207"/>
  <c r="U420" s="1"/>
  <c r="BY206"/>
  <c r="U419" s="1"/>
  <c r="BY205"/>
  <c r="U418" s="1"/>
  <c r="BY204"/>
  <c r="U417" s="1"/>
  <c r="BY203"/>
  <c r="BY202"/>
  <c r="U415" s="1"/>
  <c r="BY201"/>
  <c r="U414" s="1"/>
  <c r="BY200"/>
  <c r="BY199"/>
  <c r="U412" s="1"/>
  <c r="BY198"/>
  <c r="U411" s="1"/>
  <c r="BY197"/>
  <c r="U410" s="1"/>
  <c r="BY196"/>
  <c r="U409" s="1"/>
  <c r="BY195"/>
  <c r="U408" s="1"/>
  <c r="BY194"/>
  <c r="U407" s="1"/>
  <c r="BY193"/>
  <c r="U406" s="1"/>
  <c r="BY192"/>
  <c r="U405" s="1"/>
  <c r="BY191"/>
  <c r="BY190"/>
  <c r="U403" s="1"/>
  <c r="BY189"/>
  <c r="U402" s="1"/>
  <c r="BY188"/>
  <c r="BY187"/>
  <c r="U400" s="1"/>
  <c r="BY186"/>
  <c r="U399" s="1"/>
  <c r="BY185"/>
  <c r="U398" s="1"/>
  <c r="BY184"/>
  <c r="U397" s="1"/>
  <c r="BY183"/>
  <c r="BY182"/>
  <c r="BY181"/>
  <c r="U394" s="1"/>
  <c r="BY180"/>
  <c r="U393" s="1"/>
  <c r="BY179"/>
  <c r="U392" s="1"/>
  <c r="BY178"/>
  <c r="BY177"/>
  <c r="BY176"/>
  <c r="U389" s="1"/>
  <c r="BY175"/>
  <c r="U388" s="1"/>
  <c r="BY174"/>
  <c r="U387" s="1"/>
  <c r="BY173"/>
  <c r="U386" s="1"/>
  <c r="BY172"/>
  <c r="U385" s="1"/>
  <c r="BY171"/>
  <c r="U384" s="1"/>
  <c r="BY170"/>
  <c r="BY169"/>
  <c r="U382" s="1"/>
  <c r="BY168"/>
  <c r="BY167"/>
  <c r="U380" s="1"/>
  <c r="BY166"/>
  <c r="BY165"/>
  <c r="U378" s="1"/>
  <c r="BY164"/>
  <c r="U377" s="1"/>
  <c r="BY163"/>
  <c r="BY162"/>
  <c r="BY161"/>
  <c r="U374" s="1"/>
  <c r="BY160"/>
  <c r="U373" s="1"/>
  <c r="BY159"/>
  <c r="U372" s="1"/>
  <c r="BY158"/>
  <c r="U371" s="1"/>
  <c r="BY157"/>
  <c r="U370" s="1"/>
  <c r="BY156"/>
  <c r="U369" s="1"/>
  <c r="BY155"/>
  <c r="U368" s="1"/>
  <c r="BY154"/>
  <c r="U367" s="1"/>
  <c r="BY153"/>
  <c r="U366" s="1"/>
  <c r="BY152"/>
  <c r="U365" s="1"/>
  <c r="BY151"/>
  <c r="U364" s="1"/>
  <c r="BY150"/>
  <c r="U363" s="1"/>
  <c r="BY149"/>
  <c r="U362" s="1"/>
  <c r="BY148"/>
  <c r="BY147"/>
  <c r="BY146"/>
  <c r="U359" s="1"/>
  <c r="BY145"/>
  <c r="U358" s="1"/>
  <c r="BY144"/>
  <c r="BY143"/>
  <c r="U356" s="1"/>
  <c r="BY142"/>
  <c r="U355" s="1"/>
  <c r="BY141"/>
  <c r="U354" s="1"/>
  <c r="BY140"/>
  <c r="U353" s="1"/>
  <c r="BY139"/>
  <c r="U352" s="1"/>
  <c r="BY138"/>
  <c r="U351" s="1"/>
  <c r="BY137"/>
  <c r="U350" s="1"/>
  <c r="FU170"/>
  <c r="FV164"/>
  <c r="FV138"/>
  <c r="FV182"/>
  <c r="FV194"/>
  <c r="FV204"/>
  <c r="FV228"/>
  <c r="EB134"/>
  <c r="FW230"/>
  <c r="FW218"/>
  <c r="FW216"/>
  <c r="FW214"/>
  <c r="FW212"/>
  <c r="FW210"/>
  <c r="FW208"/>
  <c r="FW236"/>
  <c r="FW228"/>
  <c r="FW226"/>
  <c r="FW224"/>
  <c r="FW222"/>
  <c r="FW220"/>
  <c r="FW206"/>
  <c r="FW204"/>
  <c r="FW202"/>
  <c r="FW194"/>
  <c r="FW190"/>
  <c r="FW199"/>
  <c r="FW195"/>
  <c r="FW185"/>
  <c r="FW175"/>
  <c r="FW181"/>
  <c r="FW173"/>
  <c r="FW159"/>
  <c r="FW156"/>
  <c r="FW138"/>
  <c r="V31"/>
  <c r="FW231"/>
  <c r="FW217"/>
  <c r="FW213"/>
  <c r="FW209"/>
  <c r="FW221"/>
  <c r="FW205"/>
  <c r="FW201"/>
  <c r="FW198"/>
  <c r="FW196"/>
  <c r="FW164"/>
  <c r="FW174"/>
  <c r="FW157"/>
  <c r="A173" i="23"/>
  <c r="B174"/>
  <c r="DW132" i="21" l="1"/>
  <c r="FV163"/>
  <c r="FV227"/>
  <c r="FV219"/>
  <c r="FV203"/>
  <c r="T448"/>
  <c r="T438"/>
  <c r="T396"/>
  <c r="EB199"/>
  <c r="EB189"/>
  <c r="EB181"/>
  <c r="EB173"/>
  <c r="EB165"/>
  <c r="EB157"/>
  <c r="EB149"/>
  <c r="EB145"/>
  <c r="EB141"/>
  <c r="EB156"/>
  <c r="EB164"/>
  <c r="EB172"/>
  <c r="EB180"/>
  <c r="EB202"/>
  <c r="EB206"/>
  <c r="EB214"/>
  <c r="EB152"/>
  <c r="EB160"/>
  <c r="EB176"/>
  <c r="EB184"/>
  <c r="EB190"/>
  <c r="EB198"/>
  <c r="EB218"/>
  <c r="EB226"/>
  <c r="EB155"/>
  <c r="EB159"/>
  <c r="EB193"/>
  <c r="EB195"/>
  <c r="EB207"/>
  <c r="EB221"/>
  <c r="EB223"/>
  <c r="EB171"/>
  <c r="EB175"/>
  <c r="EB179"/>
  <c r="EB187"/>
  <c r="EB197"/>
  <c r="EB201"/>
  <c r="EB209"/>
  <c r="EB213"/>
  <c r="EB217"/>
  <c r="EB231"/>
  <c r="EB142"/>
  <c r="EB150"/>
  <c r="EB194"/>
  <c r="EB143"/>
  <c r="EB151"/>
  <c r="EB153"/>
  <c r="EB154"/>
  <c r="EB169"/>
  <c r="EB170"/>
  <c r="EB185"/>
  <c r="EB186"/>
  <c r="EB205"/>
  <c r="EB210"/>
  <c r="EB224"/>
  <c r="EB232"/>
  <c r="EB229"/>
  <c r="EB233"/>
  <c r="EB138"/>
  <c r="EB146"/>
  <c r="EB158"/>
  <c r="EB174"/>
  <c r="EB139"/>
  <c r="EB140"/>
  <c r="EB161"/>
  <c r="EB215"/>
  <c r="EB220"/>
  <c r="EB228"/>
  <c r="EB236"/>
  <c r="EB196"/>
  <c r="EB204"/>
  <c r="EB222"/>
  <c r="EB137"/>
  <c r="EB192"/>
  <c r="EB216"/>
  <c r="EB230"/>
  <c r="DX147"/>
  <c r="U360" s="1"/>
  <c r="DX163"/>
  <c r="FW163" s="1"/>
  <c r="DX177"/>
  <c r="U390" s="1"/>
  <c r="DX183"/>
  <c r="U396" s="1"/>
  <c r="DX191"/>
  <c r="FW191" s="1"/>
  <c r="DX203"/>
  <c r="U416" s="1"/>
  <c r="DX219"/>
  <c r="U432" s="1"/>
  <c r="DX225"/>
  <c r="FW225" s="1"/>
  <c r="DX227"/>
  <c r="U440" s="1"/>
  <c r="DX235"/>
  <c r="FW235" s="1"/>
  <c r="T447"/>
  <c r="T445"/>
  <c r="T401"/>
  <c r="T391"/>
  <c r="T375"/>
  <c r="DX144"/>
  <c r="U357" s="1"/>
  <c r="DX148"/>
  <c r="U361" s="1"/>
  <c r="DX162"/>
  <c r="FW162" s="1"/>
  <c r="DX166"/>
  <c r="FW166" s="1"/>
  <c r="DX168"/>
  <c r="U381" s="1"/>
  <c r="DX178"/>
  <c r="FW178" s="1"/>
  <c r="DX182"/>
  <c r="FW182" s="1"/>
  <c r="DX188"/>
  <c r="FW188" s="1"/>
  <c r="DX200"/>
  <c r="FW200" s="1"/>
  <c r="DX232"/>
  <c r="FW232" s="1"/>
  <c r="DX234"/>
  <c r="FW234" s="1"/>
  <c r="FW153"/>
  <c r="FW167"/>
  <c r="FW169"/>
  <c r="FW139"/>
  <c r="FW152"/>
  <c r="FW143"/>
  <c r="FW141"/>
  <c r="FW137"/>
  <c r="FW145"/>
  <c r="FW151"/>
  <c r="FW149"/>
  <c r="FW155"/>
  <c r="FW161"/>
  <c r="FW171"/>
  <c r="FW189"/>
  <c r="FW193"/>
  <c r="FW203"/>
  <c r="FW223"/>
  <c r="FW207"/>
  <c r="FW211"/>
  <c r="FW215"/>
  <c r="FW229"/>
  <c r="FW233"/>
  <c r="FW179"/>
  <c r="FW183"/>
  <c r="FW165"/>
  <c r="FW177"/>
  <c r="FW187"/>
  <c r="FW197"/>
  <c r="FW142"/>
  <c r="FW146"/>
  <c r="FW150"/>
  <c r="DX132"/>
  <c r="FW172"/>
  <c r="FW180"/>
  <c r="FW160"/>
  <c r="FW176"/>
  <c r="FW186"/>
  <c r="FW144"/>
  <c r="FW140"/>
  <c r="FW148"/>
  <c r="FW158"/>
  <c r="FW154"/>
  <c r="FW184"/>
  <c r="FW192"/>
  <c r="CA134"/>
  <c r="AB134"/>
  <c r="BY130"/>
  <c r="U383"/>
  <c r="BZ236"/>
  <c r="V449" s="1"/>
  <c r="BZ235"/>
  <c r="DY235" s="1"/>
  <c r="BZ234"/>
  <c r="BZ233"/>
  <c r="V446" s="1"/>
  <c r="BZ232"/>
  <c r="V445" s="1"/>
  <c r="BZ231"/>
  <c r="V444" s="1"/>
  <c r="BZ230"/>
  <c r="V443" s="1"/>
  <c r="BZ229"/>
  <c r="V442" s="1"/>
  <c r="BZ228"/>
  <c r="V441" s="1"/>
  <c r="BZ227"/>
  <c r="BZ226"/>
  <c r="V439" s="1"/>
  <c r="BZ225"/>
  <c r="BZ224"/>
  <c r="V437" s="1"/>
  <c r="BZ223"/>
  <c r="V436" s="1"/>
  <c r="BZ222"/>
  <c r="V435" s="1"/>
  <c r="BZ221"/>
  <c r="V434" s="1"/>
  <c r="BZ220"/>
  <c r="V433" s="1"/>
  <c r="BZ219"/>
  <c r="BZ218"/>
  <c r="V431" s="1"/>
  <c r="BZ217"/>
  <c r="V430" s="1"/>
  <c r="BZ216"/>
  <c r="V429" s="1"/>
  <c r="BZ215"/>
  <c r="V428" s="1"/>
  <c r="BZ214"/>
  <c r="V427" s="1"/>
  <c r="BZ213"/>
  <c r="V426" s="1"/>
  <c r="BZ212"/>
  <c r="BZ211"/>
  <c r="BZ210"/>
  <c r="V423" s="1"/>
  <c r="BZ209"/>
  <c r="V422" s="1"/>
  <c r="BZ208"/>
  <c r="BZ206"/>
  <c r="V419" s="1"/>
  <c r="BZ205"/>
  <c r="V418" s="1"/>
  <c r="BZ204"/>
  <c r="V417" s="1"/>
  <c r="BZ203"/>
  <c r="BZ202"/>
  <c r="V415" s="1"/>
  <c r="BZ201"/>
  <c r="V414" s="1"/>
  <c r="BZ200"/>
  <c r="BZ199"/>
  <c r="V412" s="1"/>
  <c r="BZ198"/>
  <c r="V411" s="1"/>
  <c r="BZ197"/>
  <c r="V410" s="1"/>
  <c r="BZ196"/>
  <c r="V409" s="1"/>
  <c r="BZ195"/>
  <c r="V408" s="1"/>
  <c r="BZ194"/>
  <c r="V407" s="1"/>
  <c r="BZ193"/>
  <c r="V406" s="1"/>
  <c r="BZ192"/>
  <c r="V405" s="1"/>
  <c r="BZ191"/>
  <c r="BZ190"/>
  <c r="V403" s="1"/>
  <c r="BZ189"/>
  <c r="V402" s="1"/>
  <c r="BZ188"/>
  <c r="BZ187"/>
  <c r="V400" s="1"/>
  <c r="BZ207"/>
  <c r="V420" s="1"/>
  <c r="BZ186"/>
  <c r="V399" s="1"/>
  <c r="BZ185"/>
  <c r="V398" s="1"/>
  <c r="BZ184"/>
  <c r="V397" s="1"/>
  <c r="BZ183"/>
  <c r="BZ182"/>
  <c r="BZ181"/>
  <c r="V394" s="1"/>
  <c r="BZ180"/>
  <c r="V393" s="1"/>
  <c r="BZ179"/>
  <c r="V392" s="1"/>
  <c r="BZ178"/>
  <c r="BZ177"/>
  <c r="BZ176"/>
  <c r="V389" s="1"/>
  <c r="BZ175"/>
  <c r="V388" s="1"/>
  <c r="BZ174"/>
  <c r="V387" s="1"/>
  <c r="BZ173"/>
  <c r="V386" s="1"/>
  <c r="BZ172"/>
  <c r="V385" s="1"/>
  <c r="BZ171"/>
  <c r="V384" s="1"/>
  <c r="BZ170"/>
  <c r="DY170" s="1"/>
  <c r="BZ169"/>
  <c r="V382" s="1"/>
  <c r="BZ168"/>
  <c r="BZ167"/>
  <c r="BZ166"/>
  <c r="BZ165"/>
  <c r="V378" s="1"/>
  <c r="BZ164"/>
  <c r="V377" s="1"/>
  <c r="BZ163"/>
  <c r="BZ162"/>
  <c r="BZ161"/>
  <c r="V374" s="1"/>
  <c r="BZ160"/>
  <c r="V373" s="1"/>
  <c r="BZ159"/>
  <c r="V372" s="1"/>
  <c r="BZ158"/>
  <c r="V371" s="1"/>
  <c r="BZ157"/>
  <c r="V370" s="1"/>
  <c r="BZ156"/>
  <c r="V369" s="1"/>
  <c r="BZ154"/>
  <c r="V367" s="1"/>
  <c r="BZ152"/>
  <c r="V365" s="1"/>
  <c r="BZ150"/>
  <c r="V363" s="1"/>
  <c r="BZ148"/>
  <c r="BZ146"/>
  <c r="V359" s="1"/>
  <c r="BZ145"/>
  <c r="V358" s="1"/>
  <c r="BZ144"/>
  <c r="BZ143"/>
  <c r="V356" s="1"/>
  <c r="BZ142"/>
  <c r="V355" s="1"/>
  <c r="BZ141"/>
  <c r="V354" s="1"/>
  <c r="BZ140"/>
  <c r="V353" s="1"/>
  <c r="BZ139"/>
  <c r="V352" s="1"/>
  <c r="BZ138"/>
  <c r="V351" s="1"/>
  <c r="BZ137"/>
  <c r="V350" s="1"/>
  <c r="BZ155"/>
  <c r="V368" s="1"/>
  <c r="BZ153"/>
  <c r="V366" s="1"/>
  <c r="BZ151"/>
  <c r="V364" s="1"/>
  <c r="BZ149"/>
  <c r="V362" s="1"/>
  <c r="BZ147"/>
  <c r="FV170"/>
  <c r="EC134"/>
  <c r="FX236"/>
  <c r="FX228"/>
  <c r="FX226"/>
  <c r="FX224"/>
  <c r="FX222"/>
  <c r="FX220"/>
  <c r="FX206"/>
  <c r="FX231"/>
  <c r="FX217"/>
  <c r="FX209"/>
  <c r="FX186"/>
  <c r="FX201"/>
  <c r="FX193"/>
  <c r="FX189"/>
  <c r="FX180"/>
  <c r="FX174"/>
  <c r="FX172"/>
  <c r="FX176"/>
  <c r="FX164"/>
  <c r="FX160"/>
  <c r="FX158"/>
  <c r="FX152"/>
  <c r="FX155"/>
  <c r="FX143"/>
  <c r="FX141"/>
  <c r="FX146"/>
  <c r="W31"/>
  <c r="FX223"/>
  <c r="FX232"/>
  <c r="FX230"/>
  <c r="FX218"/>
  <c r="FX216"/>
  <c r="FX214"/>
  <c r="FX210"/>
  <c r="FX205"/>
  <c r="FX199"/>
  <c r="FX197"/>
  <c r="FX195"/>
  <c r="FX187"/>
  <c r="FX184"/>
  <c r="FX161"/>
  <c r="FX156"/>
  <c r="FX145"/>
  <c r="FX139"/>
  <c r="FX137"/>
  <c r="A174" i="23"/>
  <c r="B175"/>
  <c r="FW168" i="21" l="1"/>
  <c r="FW227"/>
  <c r="FW219"/>
  <c r="FW147"/>
  <c r="U447"/>
  <c r="U445"/>
  <c r="U413"/>
  <c r="U401"/>
  <c r="U395"/>
  <c r="U391"/>
  <c r="U379"/>
  <c r="U375"/>
  <c r="EC201"/>
  <c r="EC175"/>
  <c r="EC159"/>
  <c r="EC151"/>
  <c r="EC143"/>
  <c r="EC139"/>
  <c r="EC153"/>
  <c r="EC157"/>
  <c r="EC161"/>
  <c r="EC165"/>
  <c r="EC169"/>
  <c r="EC173"/>
  <c r="EC181"/>
  <c r="EC185"/>
  <c r="EC189"/>
  <c r="EC207"/>
  <c r="EC209"/>
  <c r="EC217"/>
  <c r="EC197"/>
  <c r="EC199"/>
  <c r="EC205"/>
  <c r="EC213"/>
  <c r="EC215"/>
  <c r="EC221"/>
  <c r="EC223"/>
  <c r="EC229"/>
  <c r="EC233"/>
  <c r="EC145"/>
  <c r="EC179"/>
  <c r="EC193"/>
  <c r="EC186"/>
  <c r="EC190"/>
  <c r="EC194"/>
  <c r="EC198"/>
  <c r="EC202"/>
  <c r="EC206"/>
  <c r="EC210"/>
  <c r="EC214"/>
  <c r="EC216"/>
  <c r="EC222"/>
  <c r="EC224"/>
  <c r="EC230"/>
  <c r="EC232"/>
  <c r="EC138"/>
  <c r="EC140"/>
  <c r="EC142"/>
  <c r="EC231"/>
  <c r="EC141"/>
  <c r="EC149"/>
  <c r="EC155"/>
  <c r="EC171"/>
  <c r="EC187"/>
  <c r="EC195"/>
  <c r="EC192"/>
  <c r="EC196"/>
  <c r="EC204"/>
  <c r="EC218"/>
  <c r="EC220"/>
  <c r="EC228"/>
  <c r="EC236"/>
  <c r="EC146"/>
  <c r="EC150"/>
  <c r="EC152"/>
  <c r="EC154"/>
  <c r="EC156"/>
  <c r="EC158"/>
  <c r="EC160"/>
  <c r="EC164"/>
  <c r="EC170"/>
  <c r="EC172"/>
  <c r="EC174"/>
  <c r="EC176"/>
  <c r="EC180"/>
  <c r="EC184"/>
  <c r="EC137"/>
  <c r="DY148"/>
  <c r="FX148" s="1"/>
  <c r="DY162"/>
  <c r="FX162" s="1"/>
  <c r="DY166"/>
  <c r="FX166" s="1"/>
  <c r="DY168"/>
  <c r="FX168" s="1"/>
  <c r="DY178"/>
  <c r="FX178" s="1"/>
  <c r="DY182"/>
  <c r="FX182" s="1"/>
  <c r="DY191"/>
  <c r="FX191" s="1"/>
  <c r="DY203"/>
  <c r="FX203" s="1"/>
  <c r="DY208"/>
  <c r="FX208" s="1"/>
  <c r="DY212"/>
  <c r="FX212" s="1"/>
  <c r="DY234"/>
  <c r="FX234" s="1"/>
  <c r="U448"/>
  <c r="U438"/>
  <c r="U404"/>
  <c r="U376"/>
  <c r="DY147"/>
  <c r="V360" s="1"/>
  <c r="DY144"/>
  <c r="FX144" s="1"/>
  <c r="DY163"/>
  <c r="V376" s="1"/>
  <c r="DY167"/>
  <c r="V380" s="1"/>
  <c r="DY177"/>
  <c r="V390" s="1"/>
  <c r="DY183"/>
  <c r="V396" s="1"/>
  <c r="DY188"/>
  <c r="V401" s="1"/>
  <c r="DY200"/>
  <c r="V413" s="1"/>
  <c r="DY211"/>
  <c r="V424" s="1"/>
  <c r="DY219"/>
  <c r="FX219" s="1"/>
  <c r="DY225"/>
  <c r="V438" s="1"/>
  <c r="DY227"/>
  <c r="FX227" s="1"/>
  <c r="FX153"/>
  <c r="FX235"/>
  <c r="V448"/>
  <c r="FX202"/>
  <c r="FX196"/>
  <c r="FX213"/>
  <c r="FX154"/>
  <c r="FX157"/>
  <c r="FX165"/>
  <c r="FX179"/>
  <c r="FX192"/>
  <c r="FX185"/>
  <c r="FX221"/>
  <c r="FX138"/>
  <c r="FX171"/>
  <c r="FX200"/>
  <c r="FX215"/>
  <c r="FX229"/>
  <c r="FX233"/>
  <c r="FX142"/>
  <c r="FX150"/>
  <c r="FX159"/>
  <c r="FX175"/>
  <c r="FX173"/>
  <c r="FX181"/>
  <c r="FX190"/>
  <c r="FX194"/>
  <c r="FX204"/>
  <c r="FX140"/>
  <c r="FX169"/>
  <c r="FX183"/>
  <c r="FX198"/>
  <c r="FX207"/>
  <c r="FX151"/>
  <c r="FX149"/>
  <c r="DY132"/>
  <c r="BZ130"/>
  <c r="V383"/>
  <c r="CA236"/>
  <c r="W449" s="1"/>
  <c r="CA235"/>
  <c r="CA234"/>
  <c r="CA233"/>
  <c r="W446" s="1"/>
  <c r="CA232"/>
  <c r="W445" s="1"/>
  <c r="CA231"/>
  <c r="W444" s="1"/>
  <c r="CA230"/>
  <c r="W443" s="1"/>
  <c r="CA229"/>
  <c r="W442" s="1"/>
  <c r="CA228"/>
  <c r="W441" s="1"/>
  <c r="CA227"/>
  <c r="CA226"/>
  <c r="W439" s="1"/>
  <c r="CA225"/>
  <c r="CA224"/>
  <c r="W437" s="1"/>
  <c r="CA223"/>
  <c r="W436" s="1"/>
  <c r="CA222"/>
  <c r="W435" s="1"/>
  <c r="CA221"/>
  <c r="W434" s="1"/>
  <c r="CA220"/>
  <c r="W433" s="1"/>
  <c r="CA219"/>
  <c r="CA218"/>
  <c r="W431" s="1"/>
  <c r="CA217"/>
  <c r="W430" s="1"/>
  <c r="CA216"/>
  <c r="W429" s="1"/>
  <c r="CA215"/>
  <c r="W428" s="1"/>
  <c r="CA214"/>
  <c r="W427" s="1"/>
  <c r="CA213"/>
  <c r="W426" s="1"/>
  <c r="CA212"/>
  <c r="CA211"/>
  <c r="CA210"/>
  <c r="W423" s="1"/>
  <c r="CA209"/>
  <c r="W422" s="1"/>
  <c r="CA208"/>
  <c r="CA207"/>
  <c r="W420" s="1"/>
  <c r="CA206"/>
  <c r="W419" s="1"/>
  <c r="CA205"/>
  <c r="W418" s="1"/>
  <c r="CA204"/>
  <c r="W417" s="1"/>
  <c r="CA203"/>
  <c r="CA202"/>
  <c r="W415" s="1"/>
  <c r="CA201"/>
  <c r="W414" s="1"/>
  <c r="CA200"/>
  <c r="CA199"/>
  <c r="W412" s="1"/>
  <c r="CA198"/>
  <c r="W411" s="1"/>
  <c r="CA197"/>
  <c r="W410" s="1"/>
  <c r="CA196"/>
  <c r="W409" s="1"/>
  <c r="CA195"/>
  <c r="W408" s="1"/>
  <c r="CA194"/>
  <c r="W407" s="1"/>
  <c r="CA193"/>
  <c r="W406" s="1"/>
  <c r="CA192"/>
  <c r="W405" s="1"/>
  <c r="CA191"/>
  <c r="CA190"/>
  <c r="W403" s="1"/>
  <c r="CA189"/>
  <c r="W402" s="1"/>
  <c r="CA188"/>
  <c r="CA186"/>
  <c r="W399" s="1"/>
  <c r="CA185"/>
  <c r="W398" s="1"/>
  <c r="CA184"/>
  <c r="W397" s="1"/>
  <c r="CA183"/>
  <c r="CA182"/>
  <c r="CA181"/>
  <c r="W394" s="1"/>
  <c r="CA180"/>
  <c r="W393" s="1"/>
  <c r="CA179"/>
  <c r="W392" s="1"/>
  <c r="CA178"/>
  <c r="CA177"/>
  <c r="CA176"/>
  <c r="W389" s="1"/>
  <c r="CA175"/>
  <c r="W388" s="1"/>
  <c r="CA174"/>
  <c r="W387" s="1"/>
  <c r="CA173"/>
  <c r="W386" s="1"/>
  <c r="CA172"/>
  <c r="W385" s="1"/>
  <c r="CA171"/>
  <c r="W384" s="1"/>
  <c r="CA170"/>
  <c r="CA169"/>
  <c r="W382" s="1"/>
  <c r="CA168"/>
  <c r="CA167"/>
  <c r="CA166"/>
  <c r="CA165"/>
  <c r="W378" s="1"/>
  <c r="CA164"/>
  <c r="W377" s="1"/>
  <c r="CA163"/>
  <c r="CA162"/>
  <c r="CA161"/>
  <c r="W374" s="1"/>
  <c r="CA160"/>
  <c r="W373" s="1"/>
  <c r="CA159"/>
  <c r="W372" s="1"/>
  <c r="CA158"/>
  <c r="W371" s="1"/>
  <c r="CA157"/>
  <c r="W370" s="1"/>
  <c r="CA156"/>
  <c r="W369" s="1"/>
  <c r="CA155"/>
  <c r="W368" s="1"/>
  <c r="CA154"/>
  <c r="W367" s="1"/>
  <c r="CA153"/>
  <c r="W366" s="1"/>
  <c r="CA152"/>
  <c r="W365" s="1"/>
  <c r="CA151"/>
  <c r="W364" s="1"/>
  <c r="CA150"/>
  <c r="W363" s="1"/>
  <c r="CA149"/>
  <c r="W362" s="1"/>
  <c r="CA148"/>
  <c r="CA147"/>
  <c r="CA146"/>
  <c r="W359" s="1"/>
  <c r="CA187"/>
  <c r="W400" s="1"/>
  <c r="CA145"/>
  <c r="W358" s="1"/>
  <c r="CA144"/>
  <c r="CA143"/>
  <c r="W356" s="1"/>
  <c r="CA142"/>
  <c r="W355" s="1"/>
  <c r="CA141"/>
  <c r="W354" s="1"/>
  <c r="CA140"/>
  <c r="W353" s="1"/>
  <c r="CA139"/>
  <c r="W352" s="1"/>
  <c r="CA138"/>
  <c r="W351" s="1"/>
  <c r="CA137"/>
  <c r="W350" s="1"/>
  <c r="CB134"/>
  <c r="AC134"/>
  <c r="FW170"/>
  <c r="ED134"/>
  <c r="FY232"/>
  <c r="FY218"/>
  <c r="FY214"/>
  <c r="FY210"/>
  <c r="FY236"/>
  <c r="FY226"/>
  <c r="FY222"/>
  <c r="FY206"/>
  <c r="FY202"/>
  <c r="FY192"/>
  <c r="FY199"/>
  <c r="FY195"/>
  <c r="FY165"/>
  <c r="FY159"/>
  <c r="FY174"/>
  <c r="FY156"/>
  <c r="FY150"/>
  <c r="FY152"/>
  <c r="FY146"/>
  <c r="X31"/>
  <c r="FY233"/>
  <c r="FY231"/>
  <c r="FY229"/>
  <c r="FY217"/>
  <c r="FY213"/>
  <c r="FY209"/>
  <c r="FY223"/>
  <c r="FY221"/>
  <c r="FY205"/>
  <c r="FY201"/>
  <c r="FY196"/>
  <c r="FY186"/>
  <c r="FY176"/>
  <c r="FY171"/>
  <c r="FY161"/>
  <c r="FY181"/>
  <c r="FY173"/>
  <c r="FY155"/>
  <c r="FY149"/>
  <c r="FY151"/>
  <c r="FY145"/>
  <c r="FY137"/>
  <c r="FY141"/>
  <c r="A175" i="23"/>
  <c r="B176"/>
  <c r="FX147" i="21" l="1"/>
  <c r="FX163"/>
  <c r="FX177"/>
  <c r="DZ144"/>
  <c r="W357" s="1"/>
  <c r="DZ147"/>
  <c r="W360" s="1"/>
  <c r="ED213"/>
  <c r="ED185"/>
  <c r="ED169"/>
  <c r="ED161"/>
  <c r="ED153"/>
  <c r="ED149"/>
  <c r="ED145"/>
  <c r="ED141"/>
  <c r="ED154"/>
  <c r="ED170"/>
  <c r="ED196"/>
  <c r="ED204"/>
  <c r="ED224"/>
  <c r="ED155"/>
  <c r="ED159"/>
  <c r="ED158"/>
  <c r="ED174"/>
  <c r="ED232"/>
  <c r="ED171"/>
  <c r="ED175"/>
  <c r="ED179"/>
  <c r="ED187"/>
  <c r="ED201"/>
  <c r="ED209"/>
  <c r="ED217"/>
  <c r="ED193"/>
  <c r="ED195"/>
  <c r="ED199"/>
  <c r="ED205"/>
  <c r="ED215"/>
  <c r="ED221"/>
  <c r="ED223"/>
  <c r="ED229"/>
  <c r="ED140"/>
  <c r="ED152"/>
  <c r="ED184"/>
  <c r="ED138"/>
  <c r="ED139"/>
  <c r="ED146"/>
  <c r="ED157"/>
  <c r="ED164"/>
  <c r="ED173"/>
  <c r="ED180"/>
  <c r="ED207"/>
  <c r="ED222"/>
  <c r="ED230"/>
  <c r="ED231"/>
  <c r="ED160"/>
  <c r="ED176"/>
  <c r="ED216"/>
  <c r="ED142"/>
  <c r="ED143"/>
  <c r="ED150"/>
  <c r="ED151"/>
  <c r="ED156"/>
  <c r="ED165"/>
  <c r="ED172"/>
  <c r="ED181"/>
  <c r="ED189"/>
  <c r="ED192"/>
  <c r="ED197"/>
  <c r="ED218"/>
  <c r="ED234"/>
  <c r="ED186"/>
  <c r="ED194"/>
  <c r="ED202"/>
  <c r="ED210"/>
  <c r="ED220"/>
  <c r="ED236"/>
  <c r="ED190"/>
  <c r="ED198"/>
  <c r="ED206"/>
  <c r="ED214"/>
  <c r="ED228"/>
  <c r="ED137"/>
  <c r="DZ148"/>
  <c r="W361" s="1"/>
  <c r="DZ162"/>
  <c r="W375" s="1"/>
  <c r="DZ166"/>
  <c r="FY166" s="1"/>
  <c r="DZ168"/>
  <c r="W381" s="1"/>
  <c r="DZ178"/>
  <c r="W391" s="1"/>
  <c r="DZ182"/>
  <c r="FY182" s="1"/>
  <c r="DZ191"/>
  <c r="FY191" s="1"/>
  <c r="DZ203"/>
  <c r="W416" s="1"/>
  <c r="DZ211"/>
  <c r="W424" s="1"/>
  <c r="DZ219"/>
  <c r="W432" s="1"/>
  <c r="DZ225"/>
  <c r="FY225" s="1"/>
  <c r="DZ227"/>
  <c r="FY227" s="1"/>
  <c r="DZ235"/>
  <c r="FY235" s="1"/>
  <c r="FX188"/>
  <c r="FX167"/>
  <c r="FX211"/>
  <c r="FX225"/>
  <c r="V440"/>
  <c r="V432"/>
  <c r="V357"/>
  <c r="V447"/>
  <c r="V425"/>
  <c r="V421"/>
  <c r="V416"/>
  <c r="V404"/>
  <c r="V395"/>
  <c r="V391"/>
  <c r="V381"/>
  <c r="V379"/>
  <c r="V375"/>
  <c r="V361"/>
  <c r="DZ163"/>
  <c r="W376" s="1"/>
  <c r="DZ167"/>
  <c r="W380" s="1"/>
  <c r="DZ177"/>
  <c r="FY177" s="1"/>
  <c r="DZ183"/>
  <c r="W396" s="1"/>
  <c r="DZ188"/>
  <c r="W401" s="1"/>
  <c r="DZ200"/>
  <c r="FY200" s="1"/>
  <c r="DZ208"/>
  <c r="W421" s="1"/>
  <c r="DZ212"/>
  <c r="W425" s="1"/>
  <c r="DZ234"/>
  <c r="W447" s="1"/>
  <c r="FY142"/>
  <c r="FY187"/>
  <c r="FY140"/>
  <c r="FY157"/>
  <c r="FY153"/>
  <c r="FY179"/>
  <c r="FY169"/>
  <c r="FY188"/>
  <c r="FY198"/>
  <c r="FY144"/>
  <c r="FY163"/>
  <c r="FY175"/>
  <c r="FY185"/>
  <c r="FY190"/>
  <c r="FY194"/>
  <c r="FY204"/>
  <c r="FY220"/>
  <c r="FY224"/>
  <c r="FY228"/>
  <c r="FY216"/>
  <c r="FY230"/>
  <c r="FY143"/>
  <c r="FY139"/>
  <c r="FY162"/>
  <c r="FY168"/>
  <c r="FY164"/>
  <c r="FY189"/>
  <c r="FY193"/>
  <c r="FY203"/>
  <c r="FY207"/>
  <c r="FY215"/>
  <c r="FY158"/>
  <c r="FY154"/>
  <c r="FY160"/>
  <c r="FY172"/>
  <c r="FY180"/>
  <c r="FY197"/>
  <c r="FY184"/>
  <c r="FY138"/>
  <c r="DZ132"/>
  <c r="CC134"/>
  <c r="AD134"/>
  <c r="CB236"/>
  <c r="X449" s="1"/>
  <c r="CB235"/>
  <c r="EA235" s="1"/>
  <c r="CB234"/>
  <c r="CB233"/>
  <c r="X446" s="1"/>
  <c r="CB232"/>
  <c r="X445" s="1"/>
  <c r="CB231"/>
  <c r="X444" s="1"/>
  <c r="CB230"/>
  <c r="X443" s="1"/>
  <c r="CB229"/>
  <c r="X442" s="1"/>
  <c r="CB228"/>
  <c r="X441" s="1"/>
  <c r="CB227"/>
  <c r="CB226"/>
  <c r="X439" s="1"/>
  <c r="CB225"/>
  <c r="CB224"/>
  <c r="X437" s="1"/>
  <c r="CB223"/>
  <c r="X436" s="1"/>
  <c r="CB222"/>
  <c r="X435" s="1"/>
  <c r="CB221"/>
  <c r="X434" s="1"/>
  <c r="CB220"/>
  <c r="X433" s="1"/>
  <c r="CB219"/>
  <c r="CB218"/>
  <c r="X431" s="1"/>
  <c r="CB217"/>
  <c r="X430" s="1"/>
  <c r="CB216"/>
  <c r="X429" s="1"/>
  <c r="CB215"/>
  <c r="X428" s="1"/>
  <c r="CB214"/>
  <c r="X427" s="1"/>
  <c r="CB213"/>
  <c r="X426" s="1"/>
  <c r="CB212"/>
  <c r="CB211"/>
  <c r="CB210"/>
  <c r="X423" s="1"/>
  <c r="CB209"/>
  <c r="X422" s="1"/>
  <c r="CB208"/>
  <c r="CB207"/>
  <c r="X420" s="1"/>
  <c r="CB206"/>
  <c r="X419" s="1"/>
  <c r="CB205"/>
  <c r="X418" s="1"/>
  <c r="CB204"/>
  <c r="X417" s="1"/>
  <c r="CB203"/>
  <c r="CB202"/>
  <c r="X415" s="1"/>
  <c r="CB201"/>
  <c r="X414" s="1"/>
  <c r="CB200"/>
  <c r="CB199"/>
  <c r="X412" s="1"/>
  <c r="CB198"/>
  <c r="X411" s="1"/>
  <c r="CB197"/>
  <c r="X410" s="1"/>
  <c r="CB196"/>
  <c r="X409" s="1"/>
  <c r="CB195"/>
  <c r="X408" s="1"/>
  <c r="CB194"/>
  <c r="X407" s="1"/>
  <c r="CB193"/>
  <c r="X406" s="1"/>
  <c r="CB192"/>
  <c r="X405" s="1"/>
  <c r="CB191"/>
  <c r="CB190"/>
  <c r="X403" s="1"/>
  <c r="CB189"/>
  <c r="X402" s="1"/>
  <c r="CB188"/>
  <c r="CB187"/>
  <c r="X400" s="1"/>
  <c r="CB186"/>
  <c r="X399" s="1"/>
  <c r="CB185"/>
  <c r="X398" s="1"/>
  <c r="CB184"/>
  <c r="X397" s="1"/>
  <c r="CB183"/>
  <c r="CB182"/>
  <c r="CB181"/>
  <c r="X394" s="1"/>
  <c r="CB180"/>
  <c r="X393" s="1"/>
  <c r="CB179"/>
  <c r="X392" s="1"/>
  <c r="CB178"/>
  <c r="CB177"/>
  <c r="CB176"/>
  <c r="X389" s="1"/>
  <c r="CB175"/>
  <c r="X388" s="1"/>
  <c r="CB174"/>
  <c r="X387" s="1"/>
  <c r="CB173"/>
  <c r="X386" s="1"/>
  <c r="CB172"/>
  <c r="X385" s="1"/>
  <c r="CB171"/>
  <c r="X384" s="1"/>
  <c r="CB170"/>
  <c r="CB169"/>
  <c r="X382" s="1"/>
  <c r="CB168"/>
  <c r="CB167"/>
  <c r="CB166"/>
  <c r="CB165"/>
  <c r="X378" s="1"/>
  <c r="CB164"/>
  <c r="X377" s="1"/>
  <c r="CB163"/>
  <c r="CB162"/>
  <c r="CB161"/>
  <c r="X374" s="1"/>
  <c r="CB160"/>
  <c r="X373" s="1"/>
  <c r="CB159"/>
  <c r="X372" s="1"/>
  <c r="CB158"/>
  <c r="X371" s="1"/>
  <c r="CB157"/>
  <c r="X370" s="1"/>
  <c r="CB155"/>
  <c r="X368" s="1"/>
  <c r="CB153"/>
  <c r="X366" s="1"/>
  <c r="CB151"/>
  <c r="X364" s="1"/>
  <c r="CB149"/>
  <c r="X362" s="1"/>
  <c r="CB147"/>
  <c r="CB145"/>
  <c r="X358" s="1"/>
  <c r="CB144"/>
  <c r="CB143"/>
  <c r="X356" s="1"/>
  <c r="CB142"/>
  <c r="X355" s="1"/>
  <c r="CB141"/>
  <c r="X354" s="1"/>
  <c r="CB140"/>
  <c r="X353" s="1"/>
  <c r="CB139"/>
  <c r="X352" s="1"/>
  <c r="CB138"/>
  <c r="X351" s="1"/>
  <c r="CB137"/>
  <c r="X350" s="1"/>
  <c r="CB156"/>
  <c r="X369" s="1"/>
  <c r="CB154"/>
  <c r="X367" s="1"/>
  <c r="CB152"/>
  <c r="X365" s="1"/>
  <c r="CB150"/>
  <c r="X363" s="1"/>
  <c r="CB148"/>
  <c r="CB146"/>
  <c r="X359" s="1"/>
  <c r="CA130"/>
  <c r="W383"/>
  <c r="FX170"/>
  <c r="EE134"/>
  <c r="FZ236"/>
  <c r="FZ228"/>
  <c r="FZ226"/>
  <c r="FZ224"/>
  <c r="FZ222"/>
  <c r="FZ220"/>
  <c r="FZ206"/>
  <c r="FZ232"/>
  <c r="FZ230"/>
  <c r="FZ218"/>
  <c r="FZ216"/>
  <c r="FZ214"/>
  <c r="FZ210"/>
  <c r="FZ198"/>
  <c r="FZ196"/>
  <c r="FZ186"/>
  <c r="FZ204"/>
  <c r="FZ202"/>
  <c r="FZ194"/>
  <c r="FZ192"/>
  <c r="FZ190"/>
  <c r="FZ184"/>
  <c r="FZ180"/>
  <c r="FZ174"/>
  <c r="FZ172"/>
  <c r="FZ175"/>
  <c r="FZ160"/>
  <c r="FZ158"/>
  <c r="FZ155"/>
  <c r="FZ141"/>
  <c r="FZ140"/>
  <c r="Y31"/>
  <c r="FZ223"/>
  <c r="FZ233"/>
  <c r="FZ229"/>
  <c r="FZ215"/>
  <c r="FZ199"/>
  <c r="FZ185"/>
  <c r="FZ179"/>
  <c r="FZ176"/>
  <c r="FZ164"/>
  <c r="FZ151"/>
  <c r="FZ156"/>
  <c r="FZ142"/>
  <c r="FZ139"/>
  <c r="A176" i="23"/>
  <c r="B177"/>
  <c r="FY148" i="21" l="1"/>
  <c r="FY178"/>
  <c r="FY212"/>
  <c r="FY183"/>
  <c r="FY147"/>
  <c r="EA148"/>
  <c r="X361" s="1"/>
  <c r="EA144"/>
  <c r="FZ144" s="1"/>
  <c r="EA147"/>
  <c r="FZ147" s="1"/>
  <c r="EA162"/>
  <c r="FZ162" s="1"/>
  <c r="EA166"/>
  <c r="FZ166" s="1"/>
  <c r="EA168"/>
  <c r="FZ168" s="1"/>
  <c r="EA178"/>
  <c r="FZ178" s="1"/>
  <c r="EA182"/>
  <c r="FZ182" s="1"/>
  <c r="EA188"/>
  <c r="FZ188" s="1"/>
  <c r="EA200"/>
  <c r="FZ200" s="1"/>
  <c r="EA208"/>
  <c r="FZ208" s="1"/>
  <c r="EA212"/>
  <c r="FZ212" s="1"/>
  <c r="EA234"/>
  <c r="FZ234" s="1"/>
  <c r="FY211"/>
  <c r="FY219"/>
  <c r="FY234"/>
  <c r="FY208"/>
  <c r="FY167"/>
  <c r="W413"/>
  <c r="W390"/>
  <c r="W448"/>
  <c r="W440"/>
  <c r="W438"/>
  <c r="W404"/>
  <c r="W395"/>
  <c r="W379"/>
  <c r="EE193"/>
  <c r="EE187"/>
  <c r="EE179"/>
  <c r="EE171"/>
  <c r="EE155"/>
  <c r="EE151"/>
  <c r="EE143"/>
  <c r="EE139"/>
  <c r="EE153"/>
  <c r="EE157"/>
  <c r="EE161"/>
  <c r="EE195"/>
  <c r="EE197"/>
  <c r="EE205"/>
  <c r="EE213"/>
  <c r="EE215"/>
  <c r="EE221"/>
  <c r="EE223"/>
  <c r="EE165"/>
  <c r="EE169"/>
  <c r="EE173"/>
  <c r="EE181"/>
  <c r="EE185"/>
  <c r="EE189"/>
  <c r="EE201"/>
  <c r="EE207"/>
  <c r="EE231"/>
  <c r="EE235"/>
  <c r="EE141"/>
  <c r="EE149"/>
  <c r="EE209"/>
  <c r="EE192"/>
  <c r="EE196"/>
  <c r="EE204"/>
  <c r="EE218"/>
  <c r="EE220"/>
  <c r="EE228"/>
  <c r="EE234"/>
  <c r="EE236"/>
  <c r="EE229"/>
  <c r="EE145"/>
  <c r="EE159"/>
  <c r="EE175"/>
  <c r="EE217"/>
  <c r="EE186"/>
  <c r="EE190"/>
  <c r="EE194"/>
  <c r="EE198"/>
  <c r="EE202"/>
  <c r="EE206"/>
  <c r="EE210"/>
  <c r="EE214"/>
  <c r="EE216"/>
  <c r="EE222"/>
  <c r="EE224"/>
  <c r="EE230"/>
  <c r="EE232"/>
  <c r="EE138"/>
  <c r="EE140"/>
  <c r="EE142"/>
  <c r="EE146"/>
  <c r="EE150"/>
  <c r="EE152"/>
  <c r="EE154"/>
  <c r="EE156"/>
  <c r="EE158"/>
  <c r="EE160"/>
  <c r="EE164"/>
  <c r="EE166"/>
  <c r="EE170"/>
  <c r="EE172"/>
  <c r="EE174"/>
  <c r="EE176"/>
  <c r="EE184"/>
  <c r="EE137"/>
  <c r="EA163"/>
  <c r="X376" s="1"/>
  <c r="EA167"/>
  <c r="X380" s="1"/>
  <c r="EA177"/>
  <c r="X390" s="1"/>
  <c r="EA183"/>
  <c r="X396" s="1"/>
  <c r="EA191"/>
  <c r="FZ191" s="1"/>
  <c r="EA203"/>
  <c r="X416" s="1"/>
  <c r="EA211"/>
  <c r="X424" s="1"/>
  <c r="EA219"/>
  <c r="FZ219" s="1"/>
  <c r="EA225"/>
  <c r="X438" s="1"/>
  <c r="EA227"/>
  <c r="FZ227" s="1"/>
  <c r="FZ154"/>
  <c r="FZ235"/>
  <c r="X448"/>
  <c r="FZ159"/>
  <c r="FZ171"/>
  <c r="FZ183"/>
  <c r="FZ201"/>
  <c r="FZ195"/>
  <c r="FZ209"/>
  <c r="FZ217"/>
  <c r="FZ231"/>
  <c r="FZ205"/>
  <c r="FZ221"/>
  <c r="FZ149"/>
  <c r="FZ152"/>
  <c r="FZ213"/>
  <c r="FZ137"/>
  <c r="FZ145"/>
  <c r="FZ150"/>
  <c r="FZ157"/>
  <c r="FZ161"/>
  <c r="FZ169"/>
  <c r="FZ173"/>
  <c r="FZ181"/>
  <c r="FZ189"/>
  <c r="FZ193"/>
  <c r="FZ187"/>
  <c r="FZ197"/>
  <c r="FZ207"/>
  <c r="FZ146"/>
  <c r="FZ143"/>
  <c r="FZ153"/>
  <c r="FZ165"/>
  <c r="FZ167"/>
  <c r="FZ138"/>
  <c r="FZ148"/>
  <c r="EA132"/>
  <c r="CD134"/>
  <c r="AE134"/>
  <c r="CB130"/>
  <c r="X383"/>
  <c r="CC236"/>
  <c r="Y449" s="1"/>
  <c r="CC235"/>
  <c r="CC234"/>
  <c r="CC233"/>
  <c r="Y446" s="1"/>
  <c r="CC232"/>
  <c r="Y445" s="1"/>
  <c r="CC231"/>
  <c r="Y444" s="1"/>
  <c r="CC230"/>
  <c r="Y443" s="1"/>
  <c r="CC229"/>
  <c r="Y442" s="1"/>
  <c r="CC228"/>
  <c r="Y441" s="1"/>
  <c r="CC227"/>
  <c r="CC226"/>
  <c r="Y439" s="1"/>
  <c r="CC225"/>
  <c r="CC224"/>
  <c r="Y437" s="1"/>
  <c r="CC223"/>
  <c r="Y436" s="1"/>
  <c r="CC222"/>
  <c r="Y435" s="1"/>
  <c r="CC221"/>
  <c r="Y434" s="1"/>
  <c r="CC220"/>
  <c r="Y433" s="1"/>
  <c r="CC219"/>
  <c r="CC218"/>
  <c r="Y431" s="1"/>
  <c r="CC217"/>
  <c r="Y430" s="1"/>
  <c r="CC216"/>
  <c r="Y429" s="1"/>
  <c r="CC215"/>
  <c r="Y428" s="1"/>
  <c r="CC214"/>
  <c r="Y427" s="1"/>
  <c r="CC213"/>
  <c r="Y426" s="1"/>
  <c r="CC212"/>
  <c r="CC211"/>
  <c r="CC210"/>
  <c r="Y423" s="1"/>
  <c r="CC209"/>
  <c r="Y422" s="1"/>
  <c r="CC208"/>
  <c r="CC207"/>
  <c r="Y420" s="1"/>
  <c r="CC206"/>
  <c r="Y419" s="1"/>
  <c r="CC205"/>
  <c r="Y418" s="1"/>
  <c r="CC204"/>
  <c r="Y417" s="1"/>
  <c r="CC203"/>
  <c r="CC202"/>
  <c r="Y415" s="1"/>
  <c r="CC201"/>
  <c r="Y414" s="1"/>
  <c r="CC200"/>
  <c r="CC199"/>
  <c r="Y412" s="1"/>
  <c r="CC198"/>
  <c r="Y411" s="1"/>
  <c r="CC197"/>
  <c r="Y410" s="1"/>
  <c r="CC196"/>
  <c r="Y409" s="1"/>
  <c r="CC195"/>
  <c r="Y408" s="1"/>
  <c r="CC194"/>
  <c r="Y407" s="1"/>
  <c r="CC193"/>
  <c r="Y406" s="1"/>
  <c r="CC192"/>
  <c r="Y405" s="1"/>
  <c r="CC191"/>
  <c r="CC190"/>
  <c r="Y403" s="1"/>
  <c r="CC189"/>
  <c r="Y402" s="1"/>
  <c r="CC188"/>
  <c r="CC187"/>
  <c r="Y400" s="1"/>
  <c r="CC186"/>
  <c r="Y399" s="1"/>
  <c r="CC185"/>
  <c r="Y398" s="1"/>
  <c r="CC184"/>
  <c r="Y397" s="1"/>
  <c r="CC183"/>
  <c r="CC182"/>
  <c r="CC181"/>
  <c r="Y394" s="1"/>
  <c r="CC180"/>
  <c r="Y393" s="1"/>
  <c r="CC179"/>
  <c r="Y392" s="1"/>
  <c r="CC178"/>
  <c r="CC177"/>
  <c r="CC176"/>
  <c r="Y389" s="1"/>
  <c r="CC175"/>
  <c r="Y388" s="1"/>
  <c r="CC174"/>
  <c r="Y387" s="1"/>
  <c r="CC173"/>
  <c r="Y386" s="1"/>
  <c r="CC172"/>
  <c r="Y385" s="1"/>
  <c r="CC171"/>
  <c r="Y384" s="1"/>
  <c r="CC170"/>
  <c r="CC169"/>
  <c r="Y382" s="1"/>
  <c r="CC168"/>
  <c r="CC167"/>
  <c r="CC166"/>
  <c r="CC165"/>
  <c r="Y378" s="1"/>
  <c r="CC164"/>
  <c r="Y377" s="1"/>
  <c r="CC163"/>
  <c r="CC162"/>
  <c r="CC161"/>
  <c r="Y374" s="1"/>
  <c r="CC160"/>
  <c r="Y373" s="1"/>
  <c r="CC159"/>
  <c r="Y372" s="1"/>
  <c r="CC158"/>
  <c r="Y371" s="1"/>
  <c r="CC157"/>
  <c r="Y370" s="1"/>
  <c r="CC156"/>
  <c r="Y369" s="1"/>
  <c r="CC155"/>
  <c r="Y368" s="1"/>
  <c r="CC154"/>
  <c r="Y367" s="1"/>
  <c r="CC153"/>
  <c r="Y366" s="1"/>
  <c r="CC152"/>
  <c r="Y365" s="1"/>
  <c r="CC151"/>
  <c r="Y364" s="1"/>
  <c r="CC150"/>
  <c r="Y363" s="1"/>
  <c r="CC149"/>
  <c r="Y362" s="1"/>
  <c r="CC148"/>
  <c r="CC147"/>
  <c r="CC146"/>
  <c r="Y359" s="1"/>
  <c r="CC145"/>
  <c r="Y358" s="1"/>
  <c r="CC144"/>
  <c r="CC143"/>
  <c r="Y356" s="1"/>
  <c r="CC142"/>
  <c r="Y355" s="1"/>
  <c r="CC141"/>
  <c r="Y354" s="1"/>
  <c r="CC140"/>
  <c r="Y353" s="1"/>
  <c r="CC139"/>
  <c r="Y352" s="1"/>
  <c r="CC138"/>
  <c r="Y351" s="1"/>
  <c r="CC137"/>
  <c r="Y350" s="1"/>
  <c r="FY170"/>
  <c r="EF134"/>
  <c r="GA232"/>
  <c r="GA230"/>
  <c r="GA218"/>
  <c r="GA216"/>
  <c r="GA214"/>
  <c r="GA210"/>
  <c r="GA236"/>
  <c r="GA228"/>
  <c r="GA226"/>
  <c r="GA224"/>
  <c r="GA222"/>
  <c r="GA220"/>
  <c r="GA206"/>
  <c r="GA204"/>
  <c r="GA202"/>
  <c r="GA194"/>
  <c r="GA192"/>
  <c r="GA190"/>
  <c r="GA184"/>
  <c r="GA198"/>
  <c r="GA196"/>
  <c r="GA186"/>
  <c r="GA176"/>
  <c r="GA169"/>
  <c r="GA164"/>
  <c r="GA160"/>
  <c r="GA179"/>
  <c r="GA159"/>
  <c r="GA156"/>
  <c r="GA154"/>
  <c r="GA150"/>
  <c r="GA158"/>
  <c r="GA152"/>
  <c r="GA146"/>
  <c r="GA142"/>
  <c r="Z31"/>
  <c r="GA233"/>
  <c r="GA231"/>
  <c r="GA229"/>
  <c r="GA217"/>
  <c r="GA215"/>
  <c r="GA213"/>
  <c r="GA209"/>
  <c r="GA207"/>
  <c r="GA223"/>
  <c r="GA221"/>
  <c r="GA205"/>
  <c r="GA201"/>
  <c r="GA197"/>
  <c r="GA187"/>
  <c r="GA165"/>
  <c r="GA180"/>
  <c r="GA174"/>
  <c r="GA172"/>
  <c r="GA153"/>
  <c r="GA157"/>
  <c r="GA139"/>
  <c r="A177" i="23"/>
  <c r="B178"/>
  <c r="FZ177" i="21" l="1"/>
  <c r="FZ163"/>
  <c r="FZ225"/>
  <c r="FZ211"/>
  <c r="FZ203"/>
  <c r="X440"/>
  <c r="X432"/>
  <c r="X404"/>
  <c r="EF235"/>
  <c r="EF231"/>
  <c r="EF205"/>
  <c r="EF189"/>
  <c r="EF181"/>
  <c r="EF173"/>
  <c r="EF165"/>
  <c r="EF157"/>
  <c r="EF149"/>
  <c r="EF145"/>
  <c r="EF141"/>
  <c r="EF152"/>
  <c r="EF160"/>
  <c r="EF168"/>
  <c r="EF176"/>
  <c r="EF184"/>
  <c r="EF186"/>
  <c r="EF194"/>
  <c r="EF202"/>
  <c r="EF214"/>
  <c r="EF156"/>
  <c r="EF172"/>
  <c r="EF198"/>
  <c r="EF210"/>
  <c r="EF222"/>
  <c r="EF230"/>
  <c r="EF155"/>
  <c r="EF159"/>
  <c r="EF193"/>
  <c r="EF195"/>
  <c r="EF197"/>
  <c r="EF213"/>
  <c r="EF221"/>
  <c r="EF223"/>
  <c r="EF175"/>
  <c r="EF179"/>
  <c r="EF187"/>
  <c r="EF201"/>
  <c r="EF207"/>
  <c r="EF209"/>
  <c r="EF217"/>
  <c r="EF138"/>
  <c r="EF146"/>
  <c r="EF154"/>
  <c r="EF170"/>
  <c r="EF140"/>
  <c r="EF143"/>
  <c r="EF151"/>
  <c r="EF158"/>
  <c r="EF161"/>
  <c r="EF174"/>
  <c r="EF229"/>
  <c r="EF220"/>
  <c r="EF228"/>
  <c r="EF236"/>
  <c r="EF142"/>
  <c r="EF150"/>
  <c r="EF162"/>
  <c r="EF190"/>
  <c r="EF206"/>
  <c r="EF139"/>
  <c r="EF153"/>
  <c r="EF166"/>
  <c r="EF169"/>
  <c r="EF185"/>
  <c r="EF224"/>
  <c r="EF232"/>
  <c r="EF192"/>
  <c r="EF216"/>
  <c r="EF218"/>
  <c r="EF234"/>
  <c r="EF137"/>
  <c r="EF196"/>
  <c r="EF204"/>
  <c r="EB147"/>
  <c r="GA147" s="1"/>
  <c r="EB163"/>
  <c r="Y376" s="1"/>
  <c r="EB167"/>
  <c r="GA167" s="1"/>
  <c r="EB177"/>
  <c r="GA177" s="1"/>
  <c r="EB183"/>
  <c r="GA183" s="1"/>
  <c r="EB191"/>
  <c r="GA191" s="1"/>
  <c r="EB203"/>
  <c r="GA203" s="1"/>
  <c r="EB211"/>
  <c r="GA211" s="1"/>
  <c r="EB219"/>
  <c r="GA219" s="1"/>
  <c r="EB225"/>
  <c r="GA225" s="1"/>
  <c r="EB227"/>
  <c r="GA227" s="1"/>
  <c r="EB235"/>
  <c r="GA235" s="1"/>
  <c r="X447"/>
  <c r="X425"/>
  <c r="X421"/>
  <c r="X413"/>
  <c r="X401"/>
  <c r="X395"/>
  <c r="X391"/>
  <c r="X381"/>
  <c r="X379"/>
  <c r="X375"/>
  <c r="X360"/>
  <c r="X357"/>
  <c r="EB144"/>
  <c r="GA144" s="1"/>
  <c r="EB148"/>
  <c r="GA148" s="1"/>
  <c r="EB162"/>
  <c r="GA162" s="1"/>
  <c r="EB166"/>
  <c r="GA166" s="1"/>
  <c r="EB168"/>
  <c r="GA168" s="1"/>
  <c r="EB178"/>
  <c r="GA178" s="1"/>
  <c r="EB182"/>
  <c r="GA182" s="1"/>
  <c r="EB188"/>
  <c r="GA188" s="1"/>
  <c r="EB200"/>
  <c r="GA200" s="1"/>
  <c r="EB208"/>
  <c r="GA208" s="1"/>
  <c r="EB212"/>
  <c r="GA212" s="1"/>
  <c r="EB234"/>
  <c r="GA234" s="1"/>
  <c r="GA140"/>
  <c r="GA143"/>
  <c r="GA138"/>
  <c r="GA141"/>
  <c r="GA137"/>
  <c r="GA145"/>
  <c r="GA151"/>
  <c r="GA149"/>
  <c r="GA155"/>
  <c r="GA161"/>
  <c r="GA163"/>
  <c r="GA175"/>
  <c r="GA185"/>
  <c r="GA195"/>
  <c r="GA199"/>
  <c r="GA189"/>
  <c r="GA193"/>
  <c r="GA173"/>
  <c r="GA181"/>
  <c r="GA171"/>
  <c r="EB132"/>
  <c r="CE134"/>
  <c r="AF134"/>
  <c r="CC130"/>
  <c r="Y383"/>
  <c r="CD236"/>
  <c r="Z449" s="1"/>
  <c r="CD235"/>
  <c r="CD234"/>
  <c r="CD233"/>
  <c r="Z446" s="1"/>
  <c r="CD232"/>
  <c r="Z445" s="1"/>
  <c r="CD231"/>
  <c r="Z444" s="1"/>
  <c r="CD230"/>
  <c r="Z443" s="1"/>
  <c r="CD229"/>
  <c r="Z442" s="1"/>
  <c r="CD228"/>
  <c r="Z441" s="1"/>
  <c r="CD227"/>
  <c r="CD226"/>
  <c r="CD225"/>
  <c r="CD224"/>
  <c r="Z437" s="1"/>
  <c r="CD223"/>
  <c r="Z436" s="1"/>
  <c r="CD222"/>
  <c r="Z435" s="1"/>
  <c r="CD221"/>
  <c r="Z434" s="1"/>
  <c r="CD220"/>
  <c r="Z433" s="1"/>
  <c r="CD219"/>
  <c r="CD218"/>
  <c r="Z431" s="1"/>
  <c r="CD217"/>
  <c r="Z430" s="1"/>
  <c r="CD216"/>
  <c r="Z429" s="1"/>
  <c r="CD215"/>
  <c r="Z428" s="1"/>
  <c r="CD214"/>
  <c r="Z427" s="1"/>
  <c r="CD213"/>
  <c r="Z426" s="1"/>
  <c r="CD212"/>
  <c r="CD211"/>
  <c r="CD210"/>
  <c r="Z423" s="1"/>
  <c r="CD209"/>
  <c r="Z422" s="1"/>
  <c r="CD208"/>
  <c r="CD206"/>
  <c r="Z419" s="1"/>
  <c r="CD205"/>
  <c r="Z418" s="1"/>
  <c r="CD204"/>
  <c r="Z417" s="1"/>
  <c r="CD203"/>
  <c r="CD202"/>
  <c r="Z415" s="1"/>
  <c r="CD201"/>
  <c r="Z414" s="1"/>
  <c r="CD200"/>
  <c r="CD199"/>
  <c r="Z412" s="1"/>
  <c r="CD198"/>
  <c r="Z411" s="1"/>
  <c r="CD197"/>
  <c r="Z410" s="1"/>
  <c r="CD196"/>
  <c r="Z409" s="1"/>
  <c r="CD195"/>
  <c r="Z408" s="1"/>
  <c r="CD194"/>
  <c r="Z407" s="1"/>
  <c r="CD193"/>
  <c r="Z406" s="1"/>
  <c r="CD192"/>
  <c r="Z405" s="1"/>
  <c r="CD191"/>
  <c r="CD190"/>
  <c r="Z403" s="1"/>
  <c r="CD189"/>
  <c r="Z402" s="1"/>
  <c r="CD188"/>
  <c r="CD187"/>
  <c r="Z400" s="1"/>
  <c r="CD207"/>
  <c r="Z420" s="1"/>
  <c r="CD186"/>
  <c r="Z399" s="1"/>
  <c r="CD185"/>
  <c r="Z398" s="1"/>
  <c r="CD184"/>
  <c r="Z397" s="1"/>
  <c r="CD183"/>
  <c r="CD182"/>
  <c r="CD181"/>
  <c r="Z394" s="1"/>
  <c r="CD180"/>
  <c r="Z393" s="1"/>
  <c r="CD179"/>
  <c r="Z392" s="1"/>
  <c r="CD178"/>
  <c r="CD177"/>
  <c r="CD176"/>
  <c r="Z389" s="1"/>
  <c r="CD175"/>
  <c r="Z388" s="1"/>
  <c r="CD174"/>
  <c r="Z387" s="1"/>
  <c r="CD173"/>
  <c r="Z386" s="1"/>
  <c r="CD172"/>
  <c r="Z385" s="1"/>
  <c r="CD171"/>
  <c r="Z384" s="1"/>
  <c r="CD170"/>
  <c r="CD169"/>
  <c r="Z382" s="1"/>
  <c r="CD168"/>
  <c r="CD167"/>
  <c r="CD166"/>
  <c r="CD165"/>
  <c r="Z378" s="1"/>
  <c r="CD164"/>
  <c r="Z377" s="1"/>
  <c r="CD163"/>
  <c r="CD162"/>
  <c r="CD161"/>
  <c r="Z374" s="1"/>
  <c r="CD160"/>
  <c r="Z373" s="1"/>
  <c r="CD159"/>
  <c r="Z372" s="1"/>
  <c r="CD158"/>
  <c r="Z371" s="1"/>
  <c r="CD157"/>
  <c r="Z370" s="1"/>
  <c r="CD156"/>
  <c r="Z369" s="1"/>
  <c r="CD154"/>
  <c r="Z367" s="1"/>
  <c r="CD152"/>
  <c r="Z365" s="1"/>
  <c r="CD150"/>
  <c r="Z363" s="1"/>
  <c r="CD148"/>
  <c r="CD146"/>
  <c r="Z359" s="1"/>
  <c r="CD145"/>
  <c r="Z358" s="1"/>
  <c r="CD144"/>
  <c r="CD143"/>
  <c r="Z356" s="1"/>
  <c r="CD142"/>
  <c r="Z355" s="1"/>
  <c r="CD141"/>
  <c r="Z354" s="1"/>
  <c r="CD140"/>
  <c r="Z353" s="1"/>
  <c r="CD139"/>
  <c r="Z352" s="1"/>
  <c r="CD138"/>
  <c r="Z351" s="1"/>
  <c r="CD137"/>
  <c r="Z350" s="1"/>
  <c r="CD155"/>
  <c r="Z368" s="1"/>
  <c r="CD153"/>
  <c r="Z366" s="1"/>
  <c r="CD151"/>
  <c r="Z364" s="1"/>
  <c r="CD149"/>
  <c r="Z362" s="1"/>
  <c r="CD147"/>
  <c r="FZ170"/>
  <c r="EG134"/>
  <c r="GB236"/>
  <c r="GB228"/>
  <c r="GB224"/>
  <c r="GB222"/>
  <c r="GB220"/>
  <c r="GB233"/>
  <c r="GB231"/>
  <c r="GB229"/>
  <c r="GB217"/>
  <c r="GB215"/>
  <c r="GB213"/>
  <c r="GB207"/>
  <c r="GB198"/>
  <c r="GB202"/>
  <c r="GB192"/>
  <c r="GB174"/>
  <c r="GB176"/>
  <c r="GB171"/>
  <c r="GB158"/>
  <c r="GB143"/>
  <c r="GB140"/>
  <c r="AA31"/>
  <c r="GB223"/>
  <c r="GB221"/>
  <c r="GB232"/>
  <c r="GB230"/>
  <c r="GB218"/>
  <c r="GB216"/>
  <c r="GB199"/>
  <c r="GB195"/>
  <c r="GB201"/>
  <c r="GB179"/>
  <c r="GB175"/>
  <c r="GB159"/>
  <c r="GB156"/>
  <c r="GB150"/>
  <c r="GB145"/>
  <c r="GB137"/>
  <c r="A178" i="23"/>
  <c r="B179"/>
  <c r="Y447" i="21" l="1"/>
  <c r="Y425"/>
  <c r="Y421"/>
  <c r="Y413"/>
  <c r="Y401"/>
  <c r="Y395"/>
  <c r="Y391"/>
  <c r="Y381"/>
  <c r="Y379"/>
  <c r="Y375"/>
  <c r="Y361"/>
  <c r="Y357"/>
  <c r="Y448"/>
  <c r="Y440"/>
  <c r="Y438"/>
  <c r="Y432"/>
  <c r="Y424"/>
  <c r="Y416"/>
  <c r="Y404"/>
  <c r="Y396"/>
  <c r="Y390"/>
  <c r="Y380"/>
  <c r="Y360"/>
  <c r="EG223"/>
  <c r="EG195"/>
  <c r="EG175"/>
  <c r="EG167"/>
  <c r="EG159"/>
  <c r="EG151"/>
  <c r="EG143"/>
  <c r="EG139"/>
  <c r="EG153"/>
  <c r="EG157"/>
  <c r="EG161"/>
  <c r="EG165"/>
  <c r="EG169"/>
  <c r="EG173"/>
  <c r="EG181"/>
  <c r="EG185"/>
  <c r="EG189"/>
  <c r="EG207"/>
  <c r="EG197"/>
  <c r="EG205"/>
  <c r="EG209"/>
  <c r="EG213"/>
  <c r="EG217"/>
  <c r="EG229"/>
  <c r="EG145"/>
  <c r="EG155"/>
  <c r="EG187"/>
  <c r="EG221"/>
  <c r="EG186"/>
  <c r="EG190"/>
  <c r="EG194"/>
  <c r="EG198"/>
  <c r="EG202"/>
  <c r="EG206"/>
  <c r="EG210"/>
  <c r="EG214"/>
  <c r="EG216"/>
  <c r="EG222"/>
  <c r="EG224"/>
  <c r="EG230"/>
  <c r="EG232"/>
  <c r="EG138"/>
  <c r="EG140"/>
  <c r="EG142"/>
  <c r="EG231"/>
  <c r="EG235"/>
  <c r="EG141"/>
  <c r="EG149"/>
  <c r="EG179"/>
  <c r="EG193"/>
  <c r="EG201"/>
  <c r="EG192"/>
  <c r="EG196"/>
  <c r="EG204"/>
  <c r="EG218"/>
  <c r="EG228"/>
  <c r="EG234"/>
  <c r="EG236"/>
  <c r="EG150"/>
  <c r="EG152"/>
  <c r="EG154"/>
  <c r="EG156"/>
  <c r="EG158"/>
  <c r="EG160"/>
  <c r="EG162"/>
  <c r="EG166"/>
  <c r="EG168"/>
  <c r="EG170"/>
  <c r="EG172"/>
  <c r="EG174"/>
  <c r="EG176"/>
  <c r="EG178"/>
  <c r="EG184"/>
  <c r="EG137"/>
  <c r="EG146"/>
  <c r="EC147"/>
  <c r="Z360" s="1"/>
  <c r="EC144"/>
  <c r="Z357" s="1"/>
  <c r="EC163"/>
  <c r="GB163" s="1"/>
  <c r="EC167"/>
  <c r="GB167" s="1"/>
  <c r="EC177"/>
  <c r="Z390" s="1"/>
  <c r="EC183"/>
  <c r="GB183" s="1"/>
  <c r="EC188"/>
  <c r="GB188" s="1"/>
  <c r="EC200"/>
  <c r="Z413" s="1"/>
  <c r="EC211"/>
  <c r="GB211" s="1"/>
  <c r="EC219"/>
  <c r="GB219" s="1"/>
  <c r="EC225"/>
  <c r="GB225" s="1"/>
  <c r="EC227"/>
  <c r="GB227" s="1"/>
  <c r="EC235"/>
  <c r="GB235" s="1"/>
  <c r="EC148"/>
  <c r="GB148" s="1"/>
  <c r="EC162"/>
  <c r="GB162" s="1"/>
  <c r="EC166"/>
  <c r="Z379" s="1"/>
  <c r="EC168"/>
  <c r="GB168" s="1"/>
  <c r="EC178"/>
  <c r="Z391" s="1"/>
  <c r="EC182"/>
  <c r="GB182" s="1"/>
  <c r="EC191"/>
  <c r="GB191" s="1"/>
  <c r="EC203"/>
  <c r="Z416" s="1"/>
  <c r="EC208"/>
  <c r="GB208" s="1"/>
  <c r="EC212"/>
  <c r="GB212" s="1"/>
  <c r="EC226"/>
  <c r="GB226" s="1"/>
  <c r="EC234"/>
  <c r="GB234" s="1"/>
  <c r="GB154"/>
  <c r="GB157"/>
  <c r="GB161"/>
  <c r="GB165"/>
  <c r="GB173"/>
  <c r="GB181"/>
  <c r="GB185"/>
  <c r="GB146"/>
  <c r="GB155"/>
  <c r="GB169"/>
  <c r="GB190"/>
  <c r="GB194"/>
  <c r="GB204"/>
  <c r="GB196"/>
  <c r="GB200"/>
  <c r="GB209"/>
  <c r="GB206"/>
  <c r="GB153"/>
  <c r="GB144"/>
  <c r="GB142"/>
  <c r="GB138"/>
  <c r="GB151"/>
  <c r="GB139"/>
  <c r="GB166"/>
  <c r="GB189"/>
  <c r="GB193"/>
  <c r="GB187"/>
  <c r="GB197"/>
  <c r="GB205"/>
  <c r="GB210"/>
  <c r="GB214"/>
  <c r="GB141"/>
  <c r="GB149"/>
  <c r="GB152"/>
  <c r="GB160"/>
  <c r="GB164"/>
  <c r="GB178"/>
  <c r="GB172"/>
  <c r="GB180"/>
  <c r="GB184"/>
  <c r="GB186"/>
  <c r="CF134"/>
  <c r="AG134"/>
  <c r="CD130"/>
  <c r="Z383"/>
  <c r="CE236"/>
  <c r="AA449" s="1"/>
  <c r="CE235"/>
  <c r="CE234"/>
  <c r="AA447" s="1"/>
  <c r="CE233"/>
  <c r="CE232"/>
  <c r="AA445" s="1"/>
  <c r="CE231"/>
  <c r="AA444" s="1"/>
  <c r="CE230"/>
  <c r="AA443" s="1"/>
  <c r="CE229"/>
  <c r="AA442" s="1"/>
  <c r="CE228"/>
  <c r="AA441" s="1"/>
  <c r="CE227"/>
  <c r="CE226"/>
  <c r="CE225"/>
  <c r="CE224"/>
  <c r="AA437" s="1"/>
  <c r="CE223"/>
  <c r="AA436" s="1"/>
  <c r="CE222"/>
  <c r="AA435" s="1"/>
  <c r="CE221"/>
  <c r="AA434" s="1"/>
  <c r="CE220"/>
  <c r="AA433" s="1"/>
  <c r="CE219"/>
  <c r="CE218"/>
  <c r="AA431" s="1"/>
  <c r="CE217"/>
  <c r="AA430" s="1"/>
  <c r="CE216"/>
  <c r="AA429" s="1"/>
  <c r="CE215"/>
  <c r="AA428" s="1"/>
  <c r="CE214"/>
  <c r="AA427" s="1"/>
  <c r="CE213"/>
  <c r="AA426" s="1"/>
  <c r="CE212"/>
  <c r="CE211"/>
  <c r="CE210"/>
  <c r="AA423" s="1"/>
  <c r="CE209"/>
  <c r="AA422" s="1"/>
  <c r="CE208"/>
  <c r="CE207"/>
  <c r="AA420" s="1"/>
  <c r="CE206"/>
  <c r="AA419" s="1"/>
  <c r="CE205"/>
  <c r="AA418" s="1"/>
  <c r="CE204"/>
  <c r="AA417" s="1"/>
  <c r="CE203"/>
  <c r="CE202"/>
  <c r="AA415" s="1"/>
  <c r="CE201"/>
  <c r="AA414" s="1"/>
  <c r="CE200"/>
  <c r="CE199"/>
  <c r="AA412" s="1"/>
  <c r="CE198"/>
  <c r="AA411" s="1"/>
  <c r="CE197"/>
  <c r="AA410" s="1"/>
  <c r="CE196"/>
  <c r="AA409" s="1"/>
  <c r="CE195"/>
  <c r="AA408" s="1"/>
  <c r="CE194"/>
  <c r="AA407" s="1"/>
  <c r="CE193"/>
  <c r="AA406" s="1"/>
  <c r="CE192"/>
  <c r="AA405" s="1"/>
  <c r="CE191"/>
  <c r="CE190"/>
  <c r="AA403" s="1"/>
  <c r="CE189"/>
  <c r="AA402" s="1"/>
  <c r="CE188"/>
  <c r="CE186"/>
  <c r="AA399" s="1"/>
  <c r="CE185"/>
  <c r="AA398" s="1"/>
  <c r="CE184"/>
  <c r="AA397" s="1"/>
  <c r="CE183"/>
  <c r="CE182"/>
  <c r="CE181"/>
  <c r="AA394" s="1"/>
  <c r="CE180"/>
  <c r="AA393" s="1"/>
  <c r="CE179"/>
  <c r="AA392" s="1"/>
  <c r="CE178"/>
  <c r="CE177"/>
  <c r="CE176"/>
  <c r="AA389" s="1"/>
  <c r="CE175"/>
  <c r="AA388" s="1"/>
  <c r="CE174"/>
  <c r="AA387" s="1"/>
  <c r="CE173"/>
  <c r="AA386" s="1"/>
  <c r="CE172"/>
  <c r="AA385" s="1"/>
  <c r="CE171"/>
  <c r="AA384" s="1"/>
  <c r="CE170"/>
  <c r="CE169"/>
  <c r="AA382" s="1"/>
  <c r="CE168"/>
  <c r="CE167"/>
  <c r="CE166"/>
  <c r="CE165"/>
  <c r="AA378" s="1"/>
  <c r="CE164"/>
  <c r="AA377" s="1"/>
  <c r="CE163"/>
  <c r="CE162"/>
  <c r="CE161"/>
  <c r="AA374" s="1"/>
  <c r="CE160"/>
  <c r="AA373" s="1"/>
  <c r="CE159"/>
  <c r="AA372" s="1"/>
  <c r="CE158"/>
  <c r="AA371" s="1"/>
  <c r="CE157"/>
  <c r="AA370" s="1"/>
  <c r="CE156"/>
  <c r="AA369" s="1"/>
  <c r="CE155"/>
  <c r="AA368" s="1"/>
  <c r="CE154"/>
  <c r="AA367" s="1"/>
  <c r="CE153"/>
  <c r="AA366" s="1"/>
  <c r="CE152"/>
  <c r="AA365" s="1"/>
  <c r="CE151"/>
  <c r="AA364" s="1"/>
  <c r="CE150"/>
  <c r="AA363" s="1"/>
  <c r="CE149"/>
  <c r="AA362" s="1"/>
  <c r="CE148"/>
  <c r="CE147"/>
  <c r="CE146"/>
  <c r="AA359" s="1"/>
  <c r="CE187"/>
  <c r="AA400" s="1"/>
  <c r="CE145"/>
  <c r="AA358" s="1"/>
  <c r="CE144"/>
  <c r="CE143"/>
  <c r="AA356" s="1"/>
  <c r="CE142"/>
  <c r="AA355" s="1"/>
  <c r="CE141"/>
  <c r="AA354" s="1"/>
  <c r="CE140"/>
  <c r="AA353" s="1"/>
  <c r="CE139"/>
  <c r="AA352" s="1"/>
  <c r="CE138"/>
  <c r="AA351" s="1"/>
  <c r="CE137"/>
  <c r="AA350" s="1"/>
  <c r="GA170"/>
  <c r="EH134"/>
  <c r="GC232"/>
  <c r="GC218"/>
  <c r="GC214"/>
  <c r="GC236"/>
  <c r="GC228"/>
  <c r="GC224"/>
  <c r="GC222"/>
  <c r="GC220"/>
  <c r="GC206"/>
  <c r="GC204"/>
  <c r="GC202"/>
  <c r="GC192"/>
  <c r="GC184"/>
  <c r="GC198"/>
  <c r="GC196"/>
  <c r="GC186"/>
  <c r="GC176"/>
  <c r="GC171"/>
  <c r="GC164"/>
  <c r="GC180"/>
  <c r="GC174"/>
  <c r="GC172"/>
  <c r="GC160"/>
  <c r="GC156"/>
  <c r="GC154"/>
  <c r="GC150"/>
  <c r="GC158"/>
  <c r="GC152"/>
  <c r="GC146"/>
  <c r="AB31"/>
  <c r="GC234"/>
  <c r="GC230"/>
  <c r="GC216"/>
  <c r="GC210"/>
  <c r="GC231"/>
  <c r="GC229"/>
  <c r="GC217"/>
  <c r="GC215"/>
  <c r="GC213"/>
  <c r="GC209"/>
  <c r="GC207"/>
  <c r="GC223"/>
  <c r="GC221"/>
  <c r="GC205"/>
  <c r="GC201"/>
  <c r="GC193"/>
  <c r="GC189"/>
  <c r="GC199"/>
  <c r="GC197"/>
  <c r="GC195"/>
  <c r="GC185"/>
  <c r="GC175"/>
  <c r="GC181"/>
  <c r="GC173"/>
  <c r="GC155"/>
  <c r="GC149"/>
  <c r="GC151"/>
  <c r="GC145"/>
  <c r="GC139"/>
  <c r="GC143"/>
  <c r="A179" i="23"/>
  <c r="B180"/>
  <c r="GB147" i="21" l="1"/>
  <c r="GB177"/>
  <c r="EC132"/>
  <c r="GB203"/>
  <c r="Z395"/>
  <c r="Z381"/>
  <c r="Z375"/>
  <c r="Z361"/>
  <c r="Z448"/>
  <c r="Z440"/>
  <c r="Z438"/>
  <c r="Z432"/>
  <c r="Z424"/>
  <c r="Z401"/>
  <c r="Z396"/>
  <c r="Z380"/>
  <c r="Z376"/>
  <c r="EH207"/>
  <c r="EH197"/>
  <c r="EH185"/>
  <c r="EH169"/>
  <c r="EH161"/>
  <c r="EH153"/>
  <c r="EH149"/>
  <c r="EH145"/>
  <c r="EH141"/>
  <c r="EH158"/>
  <c r="EH166"/>
  <c r="EH174"/>
  <c r="EH192"/>
  <c r="EH204"/>
  <c r="EH228"/>
  <c r="EH151"/>
  <c r="EH155"/>
  <c r="EH159"/>
  <c r="EH154"/>
  <c r="EH162"/>
  <c r="EH170"/>
  <c r="EH178"/>
  <c r="EH216"/>
  <c r="EH236"/>
  <c r="EH167"/>
  <c r="EH175"/>
  <c r="EH179"/>
  <c r="EH187"/>
  <c r="EH201"/>
  <c r="EH205"/>
  <c r="EH209"/>
  <c r="EH217"/>
  <c r="EH193"/>
  <c r="EH195"/>
  <c r="EH221"/>
  <c r="EH223"/>
  <c r="EH231"/>
  <c r="EH235"/>
  <c r="EH139"/>
  <c r="EH142"/>
  <c r="EH150"/>
  <c r="EH152"/>
  <c r="EH165"/>
  <c r="EH168"/>
  <c r="EH181"/>
  <c r="EH184"/>
  <c r="EH189"/>
  <c r="EH213"/>
  <c r="EH218"/>
  <c r="EH234"/>
  <c r="EH229"/>
  <c r="EH140"/>
  <c r="EH172"/>
  <c r="EH138"/>
  <c r="EH143"/>
  <c r="EH146"/>
  <c r="EH157"/>
  <c r="EH160"/>
  <c r="EH173"/>
  <c r="EH176"/>
  <c r="EH222"/>
  <c r="EH230"/>
  <c r="EH190"/>
  <c r="EH198"/>
  <c r="EH206"/>
  <c r="EH214"/>
  <c r="EH232"/>
  <c r="EH186"/>
  <c r="EH194"/>
  <c r="EH202"/>
  <c r="EH210"/>
  <c r="EH224"/>
  <c r="EH137"/>
  <c r="ED148"/>
  <c r="GC148" s="1"/>
  <c r="ED162"/>
  <c r="GC162" s="1"/>
  <c r="ED166"/>
  <c r="GC166" s="1"/>
  <c r="ED168"/>
  <c r="GC168" s="1"/>
  <c r="ED178"/>
  <c r="GC178" s="1"/>
  <c r="ED182"/>
  <c r="GC182" s="1"/>
  <c r="ED191"/>
  <c r="GC191" s="1"/>
  <c r="ED203"/>
  <c r="GC203" s="1"/>
  <c r="ED211"/>
  <c r="GC211" s="1"/>
  <c r="ED219"/>
  <c r="GC219" s="1"/>
  <c r="ED225"/>
  <c r="GC225" s="1"/>
  <c r="ED227"/>
  <c r="GC227" s="1"/>
  <c r="ED233"/>
  <c r="GC233" s="1"/>
  <c r="ED235"/>
  <c r="GC235" s="1"/>
  <c r="Z447"/>
  <c r="Z439"/>
  <c r="Z425"/>
  <c r="Z421"/>
  <c r="Z404"/>
  <c r="ED144"/>
  <c r="AA357" s="1"/>
  <c r="ED147"/>
  <c r="AA360" s="1"/>
  <c r="ED163"/>
  <c r="GC163" s="1"/>
  <c r="ED167"/>
  <c r="GC167" s="1"/>
  <c r="ED177"/>
  <c r="AA390" s="1"/>
  <c r="ED183"/>
  <c r="AA396" s="1"/>
  <c r="ED188"/>
  <c r="GC188" s="1"/>
  <c r="ED200"/>
  <c r="GC200" s="1"/>
  <c r="ED208"/>
  <c r="GC208" s="1"/>
  <c r="ED212"/>
  <c r="GC212" s="1"/>
  <c r="ED226"/>
  <c r="GC226" s="1"/>
  <c r="GC142"/>
  <c r="GC138"/>
  <c r="GC147"/>
  <c r="GC157"/>
  <c r="GC153"/>
  <c r="GC179"/>
  <c r="GC159"/>
  <c r="GC165"/>
  <c r="GC187"/>
  <c r="GC183"/>
  <c r="GC140"/>
  <c r="GC161"/>
  <c r="GC169"/>
  <c r="GC190"/>
  <c r="GC194"/>
  <c r="GC141"/>
  <c r="GC137"/>
  <c r="CG134"/>
  <c r="AH134"/>
  <c r="CF236"/>
  <c r="AB449" s="1"/>
  <c r="CF235"/>
  <c r="AB448" s="1"/>
  <c r="CF234"/>
  <c r="AB447" s="1"/>
  <c r="CF233"/>
  <c r="CF232"/>
  <c r="AB445" s="1"/>
  <c r="CF231"/>
  <c r="AB444" s="1"/>
  <c r="CF230"/>
  <c r="AB443" s="1"/>
  <c r="CF229"/>
  <c r="AB442" s="1"/>
  <c r="CF228"/>
  <c r="AB441" s="1"/>
  <c r="CF227"/>
  <c r="CF226"/>
  <c r="CF225"/>
  <c r="CF224"/>
  <c r="AB437" s="1"/>
  <c r="CF223"/>
  <c r="AB436" s="1"/>
  <c r="CF222"/>
  <c r="AB435" s="1"/>
  <c r="CF221"/>
  <c r="AB434" s="1"/>
  <c r="CF220"/>
  <c r="AB433" s="1"/>
  <c r="CF219"/>
  <c r="CF218"/>
  <c r="AB431" s="1"/>
  <c r="CF217"/>
  <c r="AB430" s="1"/>
  <c r="CF216"/>
  <c r="AB429" s="1"/>
  <c r="CF215"/>
  <c r="AB428" s="1"/>
  <c r="CF214"/>
  <c r="AB427" s="1"/>
  <c r="CF213"/>
  <c r="AB426" s="1"/>
  <c r="CF212"/>
  <c r="CF211"/>
  <c r="CF210"/>
  <c r="AB423" s="1"/>
  <c r="CF209"/>
  <c r="AB422" s="1"/>
  <c r="CF208"/>
  <c r="CF207"/>
  <c r="AB420" s="1"/>
  <c r="CF206"/>
  <c r="AB419" s="1"/>
  <c r="CF205"/>
  <c r="AB418" s="1"/>
  <c r="CF204"/>
  <c r="AB417" s="1"/>
  <c r="CF203"/>
  <c r="CF202"/>
  <c r="AB415" s="1"/>
  <c r="CF201"/>
  <c r="AB414" s="1"/>
  <c r="CF200"/>
  <c r="CF199"/>
  <c r="CF198"/>
  <c r="AB411" s="1"/>
  <c r="CF197"/>
  <c r="AB410" s="1"/>
  <c r="CF196"/>
  <c r="AB409" s="1"/>
  <c r="CF195"/>
  <c r="AB408" s="1"/>
  <c r="CF194"/>
  <c r="AB407" s="1"/>
  <c r="CF193"/>
  <c r="AB406" s="1"/>
  <c r="CF192"/>
  <c r="AB405" s="1"/>
  <c r="CF191"/>
  <c r="CF190"/>
  <c r="AB403" s="1"/>
  <c r="CF189"/>
  <c r="AB402" s="1"/>
  <c r="CF188"/>
  <c r="CF187"/>
  <c r="AB400" s="1"/>
  <c r="CF186"/>
  <c r="AB399" s="1"/>
  <c r="CF185"/>
  <c r="AB398" s="1"/>
  <c r="CF184"/>
  <c r="AB397" s="1"/>
  <c r="CF183"/>
  <c r="CF182"/>
  <c r="CF181"/>
  <c r="AB394" s="1"/>
  <c r="CF180"/>
  <c r="CF179"/>
  <c r="AB392" s="1"/>
  <c r="CF178"/>
  <c r="CF177"/>
  <c r="CF176"/>
  <c r="AB389" s="1"/>
  <c r="CF175"/>
  <c r="AB388" s="1"/>
  <c r="CF174"/>
  <c r="AB387" s="1"/>
  <c r="CF173"/>
  <c r="AB386" s="1"/>
  <c r="CF172"/>
  <c r="AB385" s="1"/>
  <c r="CF171"/>
  <c r="AB384" s="1"/>
  <c r="CF170"/>
  <c r="CF169"/>
  <c r="AB382" s="1"/>
  <c r="CF168"/>
  <c r="CF167"/>
  <c r="CF166"/>
  <c r="AB379" s="1"/>
  <c r="CF165"/>
  <c r="AB378" s="1"/>
  <c r="CF164"/>
  <c r="AB377" s="1"/>
  <c r="CF163"/>
  <c r="CF162"/>
  <c r="CF161"/>
  <c r="AB374" s="1"/>
  <c r="CF160"/>
  <c r="AB373" s="1"/>
  <c r="CF159"/>
  <c r="AB372" s="1"/>
  <c r="CF158"/>
  <c r="AB371" s="1"/>
  <c r="CF157"/>
  <c r="AB370" s="1"/>
  <c r="CF155"/>
  <c r="AB368" s="1"/>
  <c r="CF153"/>
  <c r="AB366" s="1"/>
  <c r="CF151"/>
  <c r="AB364" s="1"/>
  <c r="CF149"/>
  <c r="AB362" s="1"/>
  <c r="CF147"/>
  <c r="CF145"/>
  <c r="AB358" s="1"/>
  <c r="CF144"/>
  <c r="CF143"/>
  <c r="AB356" s="1"/>
  <c r="CF142"/>
  <c r="AB355" s="1"/>
  <c r="CF141"/>
  <c r="AB354" s="1"/>
  <c r="CF140"/>
  <c r="AB353" s="1"/>
  <c r="CF139"/>
  <c r="AB352" s="1"/>
  <c r="CF138"/>
  <c r="AB351" s="1"/>
  <c r="CF137"/>
  <c r="AB350" s="1"/>
  <c r="CF156"/>
  <c r="AB369" s="1"/>
  <c r="CF154"/>
  <c r="AB367" s="1"/>
  <c r="CF152"/>
  <c r="AB365" s="1"/>
  <c r="CF150"/>
  <c r="AB363" s="1"/>
  <c r="CF148"/>
  <c r="CF146"/>
  <c r="AB359" s="1"/>
  <c r="CE130"/>
  <c r="AA383"/>
  <c r="GB170"/>
  <c r="EI134"/>
  <c r="GD236"/>
  <c r="GD228"/>
  <c r="GD224"/>
  <c r="GD222"/>
  <c r="GD220"/>
  <c r="GD234"/>
  <c r="GD232"/>
  <c r="GD230"/>
  <c r="GD218"/>
  <c r="GD216"/>
  <c r="GD214"/>
  <c r="GD198"/>
  <c r="GD204"/>
  <c r="GD194"/>
  <c r="GD190"/>
  <c r="GD174"/>
  <c r="GD175"/>
  <c r="GD158"/>
  <c r="GD149"/>
  <c r="GD141"/>
  <c r="GD140"/>
  <c r="AC31"/>
  <c r="GD235"/>
  <c r="GD221"/>
  <c r="GD205"/>
  <c r="GD231"/>
  <c r="GD217"/>
  <c r="GD213"/>
  <c r="GD209"/>
  <c r="GD195"/>
  <c r="GD185"/>
  <c r="GD201"/>
  <c r="GD179"/>
  <c r="GD171"/>
  <c r="GD159"/>
  <c r="GD156"/>
  <c r="GD139"/>
  <c r="A180" i="23"/>
  <c r="B181"/>
  <c r="GC177" i="21" l="1"/>
  <c r="GC144"/>
  <c r="AA439"/>
  <c r="AA425"/>
  <c r="AA421"/>
  <c r="AA413"/>
  <c r="AA401"/>
  <c r="AA380"/>
  <c r="AA376"/>
  <c r="EE148"/>
  <c r="AB361" s="1"/>
  <c r="EI217"/>
  <c r="EI209"/>
  <c r="EI193"/>
  <c r="EI187"/>
  <c r="EI179"/>
  <c r="EI155"/>
  <c r="EI143"/>
  <c r="EI139"/>
  <c r="EI153"/>
  <c r="EI157"/>
  <c r="EI161"/>
  <c r="EI197"/>
  <c r="EI201"/>
  <c r="EI205"/>
  <c r="EI213"/>
  <c r="EI165"/>
  <c r="EI169"/>
  <c r="EI173"/>
  <c r="EI181"/>
  <c r="EI185"/>
  <c r="EI195"/>
  <c r="EI207"/>
  <c r="EI221"/>
  <c r="EI223"/>
  <c r="EI231"/>
  <c r="EI235"/>
  <c r="EI141"/>
  <c r="EI149"/>
  <c r="EI159"/>
  <c r="EI175"/>
  <c r="EI192"/>
  <c r="EI204"/>
  <c r="EI218"/>
  <c r="EI228"/>
  <c r="EI234"/>
  <c r="EI236"/>
  <c r="EI229"/>
  <c r="EI145"/>
  <c r="EI151"/>
  <c r="EI167"/>
  <c r="EI186"/>
  <c r="EI190"/>
  <c r="EI194"/>
  <c r="EI198"/>
  <c r="EI202"/>
  <c r="EI206"/>
  <c r="EI210"/>
  <c r="EI214"/>
  <c r="EI216"/>
  <c r="EI222"/>
  <c r="EI224"/>
  <c r="EI230"/>
  <c r="EI232"/>
  <c r="EI138"/>
  <c r="EI140"/>
  <c r="EI142"/>
  <c r="EI146"/>
  <c r="EI150"/>
  <c r="EI152"/>
  <c r="EI154"/>
  <c r="EI158"/>
  <c r="EI160"/>
  <c r="EI162"/>
  <c r="EI166"/>
  <c r="EI168"/>
  <c r="EI170"/>
  <c r="EI172"/>
  <c r="EI174"/>
  <c r="EI176"/>
  <c r="EI178"/>
  <c r="EI184"/>
  <c r="EI137"/>
  <c r="EE163"/>
  <c r="GD163" s="1"/>
  <c r="EE167"/>
  <c r="AB380" s="1"/>
  <c r="EE177"/>
  <c r="AB390" s="1"/>
  <c r="EE183"/>
  <c r="GD183" s="1"/>
  <c r="EE191"/>
  <c r="GD191" s="1"/>
  <c r="EE199"/>
  <c r="GD199" s="1"/>
  <c r="EE203"/>
  <c r="AB416" s="1"/>
  <c r="EE211"/>
  <c r="AB424" s="1"/>
  <c r="EE219"/>
  <c r="AB432" s="1"/>
  <c r="EE225"/>
  <c r="GD225" s="1"/>
  <c r="EE227"/>
  <c r="AB440" s="1"/>
  <c r="EE233"/>
  <c r="AB446" s="1"/>
  <c r="ED132"/>
  <c r="AA448"/>
  <c r="AA446"/>
  <c r="AA440"/>
  <c r="AA438"/>
  <c r="AA432"/>
  <c r="AA424"/>
  <c r="AA416"/>
  <c r="AA404"/>
  <c r="AA395"/>
  <c r="AA391"/>
  <c r="AA381"/>
  <c r="AA379"/>
  <c r="AA375"/>
  <c r="AA361"/>
  <c r="EE144"/>
  <c r="GD144" s="1"/>
  <c r="EE147"/>
  <c r="GD147" s="1"/>
  <c r="EE162"/>
  <c r="GD162" s="1"/>
  <c r="EE168"/>
  <c r="GD168" s="1"/>
  <c r="EE178"/>
  <c r="GD178" s="1"/>
  <c r="EE180"/>
  <c r="AB393" s="1"/>
  <c r="EE182"/>
  <c r="GD182" s="1"/>
  <c r="EE188"/>
  <c r="GD188" s="1"/>
  <c r="EE200"/>
  <c r="AB413" s="1"/>
  <c r="EE208"/>
  <c r="GD208" s="1"/>
  <c r="EE212"/>
  <c r="AB425" s="1"/>
  <c r="EE226"/>
  <c r="GD226" s="1"/>
  <c r="GD154"/>
  <c r="GD142"/>
  <c r="GD151"/>
  <c r="GD164"/>
  <c r="GD176"/>
  <c r="GD166"/>
  <c r="GD138"/>
  <c r="GD155"/>
  <c r="GD160"/>
  <c r="GD172"/>
  <c r="GD180"/>
  <c r="GD184"/>
  <c r="GD192"/>
  <c r="GD202"/>
  <c r="GD186"/>
  <c r="GD196"/>
  <c r="GD210"/>
  <c r="GD206"/>
  <c r="GD152"/>
  <c r="GD137"/>
  <c r="GD145"/>
  <c r="GD150"/>
  <c r="GD157"/>
  <c r="GD161"/>
  <c r="GD169"/>
  <c r="GD173"/>
  <c r="GD181"/>
  <c r="GD189"/>
  <c r="GD193"/>
  <c r="GD203"/>
  <c r="GD187"/>
  <c r="GD197"/>
  <c r="GD207"/>
  <c r="GD215"/>
  <c r="GD229"/>
  <c r="GD233"/>
  <c r="GD219"/>
  <c r="GD223"/>
  <c r="GD227"/>
  <c r="GD143"/>
  <c r="GD153"/>
  <c r="GD165"/>
  <c r="GD177"/>
  <c r="GD167"/>
  <c r="GD146"/>
  <c r="GD148"/>
  <c r="EE132"/>
  <c r="CF130"/>
  <c r="AB383"/>
  <c r="CG236"/>
  <c r="AC449" s="1"/>
  <c r="CG235"/>
  <c r="AC448" s="1"/>
  <c r="CG234"/>
  <c r="AC447" s="1"/>
  <c r="CG233"/>
  <c r="CG232"/>
  <c r="AC445" s="1"/>
  <c r="CG231"/>
  <c r="AC444" s="1"/>
  <c r="CG230"/>
  <c r="AC443" s="1"/>
  <c r="CG229"/>
  <c r="AC442" s="1"/>
  <c r="CG228"/>
  <c r="AC441" s="1"/>
  <c r="CG227"/>
  <c r="CG226"/>
  <c r="CG225"/>
  <c r="CG224"/>
  <c r="AC437" s="1"/>
  <c r="CG223"/>
  <c r="AC436" s="1"/>
  <c r="CG222"/>
  <c r="AC435" s="1"/>
  <c r="CG221"/>
  <c r="AC434" s="1"/>
  <c r="CG220"/>
  <c r="AC433" s="1"/>
  <c r="CG219"/>
  <c r="CG218"/>
  <c r="AC431" s="1"/>
  <c r="CG217"/>
  <c r="AC430" s="1"/>
  <c r="CG216"/>
  <c r="AC429" s="1"/>
  <c r="CG215"/>
  <c r="CG214"/>
  <c r="AC427" s="1"/>
  <c r="CG213"/>
  <c r="AC426" s="1"/>
  <c r="CG212"/>
  <c r="CG211"/>
  <c r="CG210"/>
  <c r="AC423" s="1"/>
  <c r="CG209"/>
  <c r="AC422" s="1"/>
  <c r="CG208"/>
  <c r="CG207"/>
  <c r="AC420" s="1"/>
  <c r="CG206"/>
  <c r="AC419" s="1"/>
  <c r="CG205"/>
  <c r="AC418" s="1"/>
  <c r="CG204"/>
  <c r="AC417" s="1"/>
  <c r="CG203"/>
  <c r="CG202"/>
  <c r="AC415" s="1"/>
  <c r="CG201"/>
  <c r="AC414" s="1"/>
  <c r="CG200"/>
  <c r="CG199"/>
  <c r="CG198"/>
  <c r="AC411" s="1"/>
  <c r="CG197"/>
  <c r="AC410" s="1"/>
  <c r="CG196"/>
  <c r="AC409" s="1"/>
  <c r="CG195"/>
  <c r="AC408" s="1"/>
  <c r="CG194"/>
  <c r="AC407" s="1"/>
  <c r="CG193"/>
  <c r="AC406" s="1"/>
  <c r="CG192"/>
  <c r="AC405" s="1"/>
  <c r="CG191"/>
  <c r="CG190"/>
  <c r="AC403" s="1"/>
  <c r="CG189"/>
  <c r="AC402" s="1"/>
  <c r="CG188"/>
  <c r="CG187"/>
  <c r="AC400" s="1"/>
  <c r="CG186"/>
  <c r="AC399" s="1"/>
  <c r="CG185"/>
  <c r="AC398" s="1"/>
  <c r="CG184"/>
  <c r="AC397" s="1"/>
  <c r="CG183"/>
  <c r="CG182"/>
  <c r="CG181"/>
  <c r="AC394" s="1"/>
  <c r="CG180"/>
  <c r="CG179"/>
  <c r="AC392" s="1"/>
  <c r="CG178"/>
  <c r="CG177"/>
  <c r="CG176"/>
  <c r="AC389" s="1"/>
  <c r="CG175"/>
  <c r="AC388" s="1"/>
  <c r="CG174"/>
  <c r="AC387" s="1"/>
  <c r="CG173"/>
  <c r="AC386" s="1"/>
  <c r="CG172"/>
  <c r="AC385" s="1"/>
  <c r="CG171"/>
  <c r="CG170"/>
  <c r="CG169"/>
  <c r="AC382" s="1"/>
  <c r="CG168"/>
  <c r="AC381" s="1"/>
  <c r="CG167"/>
  <c r="CG166"/>
  <c r="AC379" s="1"/>
  <c r="CG165"/>
  <c r="AC378" s="1"/>
  <c r="CG164"/>
  <c r="CG163"/>
  <c r="CG162"/>
  <c r="AC375" s="1"/>
  <c r="CG161"/>
  <c r="AC374" s="1"/>
  <c r="CG160"/>
  <c r="AC373" s="1"/>
  <c r="CG159"/>
  <c r="AC372" s="1"/>
  <c r="CG158"/>
  <c r="AC371" s="1"/>
  <c r="CG157"/>
  <c r="AC370" s="1"/>
  <c r="CG156"/>
  <c r="AC369" s="1"/>
  <c r="CG155"/>
  <c r="AC368" s="1"/>
  <c r="CG154"/>
  <c r="AC367" s="1"/>
  <c r="CG153"/>
  <c r="AC366" s="1"/>
  <c r="CG152"/>
  <c r="AC365" s="1"/>
  <c r="CG151"/>
  <c r="AC364" s="1"/>
  <c r="CG150"/>
  <c r="AC363" s="1"/>
  <c r="CG149"/>
  <c r="AC362" s="1"/>
  <c r="CG148"/>
  <c r="CG147"/>
  <c r="CG146"/>
  <c r="AC359" s="1"/>
  <c r="CG145"/>
  <c r="AC358" s="1"/>
  <c r="CG144"/>
  <c r="CG143"/>
  <c r="AC356" s="1"/>
  <c r="CG142"/>
  <c r="AC355" s="1"/>
  <c r="CG141"/>
  <c r="AC354" s="1"/>
  <c r="CG140"/>
  <c r="AC353" s="1"/>
  <c r="CG139"/>
  <c r="AC352" s="1"/>
  <c r="CG138"/>
  <c r="AC351" s="1"/>
  <c r="CG137"/>
  <c r="AC350" s="1"/>
  <c r="CH134"/>
  <c r="AI134"/>
  <c r="GC170"/>
  <c r="EJ134"/>
  <c r="GE236"/>
  <c r="GE224"/>
  <c r="GE222"/>
  <c r="GE220"/>
  <c r="GE206"/>
  <c r="GE202"/>
  <c r="GE192"/>
  <c r="GE190"/>
  <c r="GE184"/>
  <c r="GE198"/>
  <c r="GE196"/>
  <c r="GE176"/>
  <c r="GE169"/>
  <c r="GE160"/>
  <c r="GE181"/>
  <c r="GE179"/>
  <c r="GE173"/>
  <c r="GE168"/>
  <c r="GE159"/>
  <c r="GE150"/>
  <c r="GE152"/>
  <c r="GE138"/>
  <c r="AD31"/>
  <c r="GE234"/>
  <c r="GE232"/>
  <c r="GE230"/>
  <c r="GE218"/>
  <c r="GE216"/>
  <c r="GE214"/>
  <c r="GE210"/>
  <c r="GE231"/>
  <c r="GE229"/>
  <c r="GE217"/>
  <c r="GE213"/>
  <c r="GE209"/>
  <c r="GE207"/>
  <c r="GE235"/>
  <c r="GE223"/>
  <c r="GE221"/>
  <c r="GE205"/>
  <c r="GE201"/>
  <c r="GE193"/>
  <c r="GE189"/>
  <c r="GE197"/>
  <c r="GE195"/>
  <c r="GE187"/>
  <c r="GE185"/>
  <c r="GE175"/>
  <c r="GE165"/>
  <c r="GE174"/>
  <c r="GE172"/>
  <c r="GE161"/>
  <c r="GE162"/>
  <c r="GE155"/>
  <c r="GE153"/>
  <c r="GE149"/>
  <c r="GE157"/>
  <c r="GE151"/>
  <c r="GE141"/>
  <c r="A181" i="23"/>
  <c r="B182"/>
  <c r="AB360" i="21" l="1"/>
  <c r="AB357"/>
  <c r="GD211"/>
  <c r="GD200"/>
  <c r="GD212"/>
  <c r="AB439"/>
  <c r="AB421"/>
  <c r="AB401"/>
  <c r="AB395"/>
  <c r="AB391"/>
  <c r="AB381"/>
  <c r="AB375"/>
  <c r="EJ181"/>
  <c r="EJ173"/>
  <c r="EJ165"/>
  <c r="EJ157"/>
  <c r="EJ149"/>
  <c r="EJ141"/>
  <c r="EJ172"/>
  <c r="EJ190"/>
  <c r="EJ194"/>
  <c r="EJ198"/>
  <c r="EJ218"/>
  <c r="EJ152"/>
  <c r="EJ160"/>
  <c r="EJ168"/>
  <c r="EJ176"/>
  <c r="EJ184"/>
  <c r="EJ206"/>
  <c r="EJ210"/>
  <c r="EJ214"/>
  <c r="EJ234"/>
  <c r="EJ151"/>
  <c r="EJ155"/>
  <c r="EJ159"/>
  <c r="EJ193"/>
  <c r="EJ195"/>
  <c r="EJ207"/>
  <c r="EJ221"/>
  <c r="EJ223"/>
  <c r="EJ163"/>
  <c r="EJ167"/>
  <c r="EJ175"/>
  <c r="EJ179"/>
  <c r="EJ187"/>
  <c r="EJ197"/>
  <c r="EJ201"/>
  <c r="EJ209"/>
  <c r="EJ213"/>
  <c r="EJ217"/>
  <c r="EJ229"/>
  <c r="EJ142"/>
  <c r="EJ150"/>
  <c r="EJ158"/>
  <c r="EJ174"/>
  <c r="EJ186"/>
  <c r="EJ143"/>
  <c r="EJ153"/>
  <c r="EJ162"/>
  <c r="EJ169"/>
  <c r="EJ178"/>
  <c r="EJ185"/>
  <c r="EJ224"/>
  <c r="EJ232"/>
  <c r="EJ231"/>
  <c r="EJ235"/>
  <c r="EJ138"/>
  <c r="EJ146"/>
  <c r="EJ166"/>
  <c r="EJ139"/>
  <c r="EJ140"/>
  <c r="EJ147"/>
  <c r="EJ154"/>
  <c r="EJ161"/>
  <c r="EJ170"/>
  <c r="EJ202"/>
  <c r="EJ205"/>
  <c r="EJ228"/>
  <c r="EJ236"/>
  <c r="EJ204"/>
  <c r="EJ230"/>
  <c r="EJ137"/>
  <c r="EJ192"/>
  <c r="EJ216"/>
  <c r="EJ222"/>
  <c r="EF147"/>
  <c r="GE147" s="1"/>
  <c r="EF163"/>
  <c r="GE163" s="1"/>
  <c r="EF167"/>
  <c r="GE167" s="1"/>
  <c r="EF171"/>
  <c r="GE171" s="1"/>
  <c r="EF177"/>
  <c r="GE177" s="1"/>
  <c r="EF183"/>
  <c r="GE183" s="1"/>
  <c r="EF191"/>
  <c r="GE191" s="1"/>
  <c r="EF199"/>
  <c r="GE199" s="1"/>
  <c r="EF203"/>
  <c r="GE203" s="1"/>
  <c r="EF211"/>
  <c r="GE211" s="1"/>
  <c r="EF215"/>
  <c r="GE215" s="1"/>
  <c r="EF219"/>
  <c r="GE219" s="1"/>
  <c r="EF225"/>
  <c r="GE225" s="1"/>
  <c r="EF227"/>
  <c r="GE227" s="1"/>
  <c r="EF233"/>
  <c r="GE233" s="1"/>
  <c r="AB438"/>
  <c r="AB412"/>
  <c r="AB404"/>
  <c r="AB396"/>
  <c r="AB376"/>
  <c r="EF144"/>
  <c r="AC357" s="1"/>
  <c r="EF148"/>
  <c r="AC361" s="1"/>
  <c r="EF164"/>
  <c r="AC377" s="1"/>
  <c r="EF178"/>
  <c r="GE178" s="1"/>
  <c r="EF180"/>
  <c r="GE180" s="1"/>
  <c r="EF182"/>
  <c r="GE182" s="1"/>
  <c r="EF188"/>
  <c r="GE188" s="1"/>
  <c r="EF200"/>
  <c r="GE200" s="1"/>
  <c r="EF208"/>
  <c r="GE208" s="1"/>
  <c r="EF212"/>
  <c r="GE212" s="1"/>
  <c r="EF226"/>
  <c r="GE226" s="1"/>
  <c r="GE139"/>
  <c r="GE142"/>
  <c r="GE146"/>
  <c r="GE158"/>
  <c r="GE156"/>
  <c r="GE166"/>
  <c r="GE143"/>
  <c r="GE145"/>
  <c r="GE137"/>
  <c r="EF132"/>
  <c r="GE140"/>
  <c r="GE148"/>
  <c r="GE154"/>
  <c r="GE186"/>
  <c r="GE194"/>
  <c r="GE204"/>
  <c r="GE228"/>
  <c r="CI134"/>
  <c r="AJ134"/>
  <c r="CH236"/>
  <c r="AD449" s="1"/>
  <c r="CH235"/>
  <c r="AD448" s="1"/>
  <c r="CH234"/>
  <c r="AD447" s="1"/>
  <c r="CH233"/>
  <c r="CH232"/>
  <c r="AD445" s="1"/>
  <c r="CH231"/>
  <c r="AD444" s="1"/>
  <c r="CH230"/>
  <c r="AD443" s="1"/>
  <c r="CH229"/>
  <c r="AD442" s="1"/>
  <c r="CH228"/>
  <c r="AD441" s="1"/>
  <c r="CH227"/>
  <c r="CH226"/>
  <c r="CH225"/>
  <c r="CH224"/>
  <c r="AD437" s="1"/>
  <c r="CH223"/>
  <c r="AD436" s="1"/>
  <c r="CH222"/>
  <c r="AD435" s="1"/>
  <c r="CH221"/>
  <c r="AD434" s="1"/>
  <c r="CH220"/>
  <c r="CH219"/>
  <c r="CH218"/>
  <c r="AD431" s="1"/>
  <c r="CH217"/>
  <c r="AD430" s="1"/>
  <c r="CH216"/>
  <c r="AD429" s="1"/>
  <c r="CH215"/>
  <c r="CH214"/>
  <c r="AD427" s="1"/>
  <c r="CH213"/>
  <c r="AD426" s="1"/>
  <c r="CH212"/>
  <c r="CH211"/>
  <c r="CH210"/>
  <c r="AD423" s="1"/>
  <c r="CH209"/>
  <c r="AD422" s="1"/>
  <c r="CH208"/>
  <c r="CH206"/>
  <c r="AD419" s="1"/>
  <c r="CH205"/>
  <c r="AD418" s="1"/>
  <c r="CH204"/>
  <c r="AD417" s="1"/>
  <c r="CH203"/>
  <c r="CH202"/>
  <c r="AD415" s="1"/>
  <c r="CH201"/>
  <c r="AD414" s="1"/>
  <c r="CH200"/>
  <c r="CH199"/>
  <c r="CH198"/>
  <c r="AD411" s="1"/>
  <c r="CH197"/>
  <c r="AD410" s="1"/>
  <c r="CH196"/>
  <c r="AD409" s="1"/>
  <c r="CH195"/>
  <c r="AD408" s="1"/>
  <c r="CH194"/>
  <c r="AD407" s="1"/>
  <c r="CH193"/>
  <c r="AD406" s="1"/>
  <c r="CH192"/>
  <c r="AD405" s="1"/>
  <c r="CH191"/>
  <c r="CH190"/>
  <c r="AD403" s="1"/>
  <c r="CH189"/>
  <c r="AD402" s="1"/>
  <c r="CH188"/>
  <c r="CH187"/>
  <c r="AD400" s="1"/>
  <c r="CH207"/>
  <c r="AD420" s="1"/>
  <c r="CH186"/>
  <c r="AD399" s="1"/>
  <c r="CH185"/>
  <c r="AD398" s="1"/>
  <c r="CH184"/>
  <c r="AD397" s="1"/>
  <c r="CH183"/>
  <c r="CH182"/>
  <c r="CH181"/>
  <c r="AD394" s="1"/>
  <c r="CH180"/>
  <c r="CH179"/>
  <c r="AD392" s="1"/>
  <c r="CH178"/>
  <c r="AD391" s="1"/>
  <c r="CH177"/>
  <c r="CH176"/>
  <c r="AD389" s="1"/>
  <c r="CH175"/>
  <c r="AD388" s="1"/>
  <c r="CH174"/>
  <c r="AD387" s="1"/>
  <c r="CH173"/>
  <c r="AD386" s="1"/>
  <c r="CH172"/>
  <c r="AD385" s="1"/>
  <c r="CH171"/>
  <c r="CH170"/>
  <c r="CH169"/>
  <c r="AD382" s="1"/>
  <c r="CH168"/>
  <c r="AD381" s="1"/>
  <c r="CH167"/>
  <c r="AD380" s="1"/>
  <c r="CH166"/>
  <c r="AD379" s="1"/>
  <c r="CH165"/>
  <c r="AD378" s="1"/>
  <c r="CH164"/>
  <c r="CH163"/>
  <c r="CH162"/>
  <c r="AD375" s="1"/>
  <c r="CH161"/>
  <c r="AD374" s="1"/>
  <c r="CH160"/>
  <c r="AD373" s="1"/>
  <c r="CH159"/>
  <c r="AD372" s="1"/>
  <c r="CH158"/>
  <c r="AD371" s="1"/>
  <c r="CH157"/>
  <c r="AD370" s="1"/>
  <c r="CH156"/>
  <c r="AD369" s="1"/>
  <c r="CH154"/>
  <c r="AD367" s="1"/>
  <c r="CH152"/>
  <c r="AD365" s="1"/>
  <c r="CH150"/>
  <c r="AD363" s="1"/>
  <c r="CH148"/>
  <c r="CH146"/>
  <c r="AD359" s="1"/>
  <c r="CH145"/>
  <c r="AD358" s="1"/>
  <c r="CH144"/>
  <c r="CH143"/>
  <c r="AD356" s="1"/>
  <c r="CH142"/>
  <c r="AD355" s="1"/>
  <c r="CH141"/>
  <c r="AD354" s="1"/>
  <c r="CH140"/>
  <c r="AD353" s="1"/>
  <c r="CH139"/>
  <c r="AD352" s="1"/>
  <c r="CH138"/>
  <c r="AD351" s="1"/>
  <c r="CH137"/>
  <c r="AD350" s="1"/>
  <c r="CH155"/>
  <c r="AD368" s="1"/>
  <c r="CH153"/>
  <c r="AD366" s="1"/>
  <c r="CH151"/>
  <c r="AD364" s="1"/>
  <c r="CH149"/>
  <c r="AD362" s="1"/>
  <c r="CH147"/>
  <c r="CG130"/>
  <c r="AC383"/>
  <c r="GD170"/>
  <c r="EK134"/>
  <c r="GF236"/>
  <c r="GF228"/>
  <c r="GF224"/>
  <c r="GF222"/>
  <c r="GF206"/>
  <c r="GF231"/>
  <c r="GF229"/>
  <c r="GF217"/>
  <c r="GF213"/>
  <c r="GF209"/>
  <c r="GF207"/>
  <c r="GF198"/>
  <c r="GF196"/>
  <c r="GF186"/>
  <c r="GF204"/>
  <c r="GF202"/>
  <c r="GF194"/>
  <c r="GF192"/>
  <c r="GF190"/>
  <c r="GF184"/>
  <c r="GF174"/>
  <c r="GF172"/>
  <c r="GF167"/>
  <c r="GF178"/>
  <c r="GF176"/>
  <c r="GF169"/>
  <c r="GF162"/>
  <c r="GF160"/>
  <c r="GF158"/>
  <c r="GF152"/>
  <c r="GF155"/>
  <c r="GF143"/>
  <c r="GF141"/>
  <c r="GF146"/>
  <c r="AE31"/>
  <c r="GF235"/>
  <c r="GF223"/>
  <c r="GF221"/>
  <c r="GF234"/>
  <c r="GF232"/>
  <c r="GF230"/>
  <c r="GF218"/>
  <c r="GF216"/>
  <c r="GF214"/>
  <c r="GF210"/>
  <c r="GF205"/>
  <c r="GF197"/>
  <c r="GF195"/>
  <c r="GF187"/>
  <c r="GF185"/>
  <c r="GF201"/>
  <c r="GF193"/>
  <c r="GF189"/>
  <c r="GF181"/>
  <c r="GF179"/>
  <c r="GF173"/>
  <c r="GF168"/>
  <c r="GF166"/>
  <c r="GF175"/>
  <c r="GF165"/>
  <c r="GF161"/>
  <c r="GF159"/>
  <c r="GF157"/>
  <c r="GF151"/>
  <c r="GF156"/>
  <c r="GF150"/>
  <c r="GF142"/>
  <c r="GF145"/>
  <c r="GF139"/>
  <c r="A182" i="23"/>
  <c r="B183"/>
  <c r="GE144" i="21" l="1"/>
  <c r="GE164"/>
  <c r="AC439"/>
  <c r="AC425"/>
  <c r="AC421"/>
  <c r="AC413"/>
  <c r="AC401"/>
  <c r="AC395"/>
  <c r="AC393"/>
  <c r="AC391"/>
  <c r="EG147"/>
  <c r="AD360" s="1"/>
  <c r="EG148"/>
  <c r="GF148" s="1"/>
  <c r="EG164"/>
  <c r="GF164" s="1"/>
  <c r="EG180"/>
  <c r="GF180" s="1"/>
  <c r="EG182"/>
  <c r="GF182" s="1"/>
  <c r="EG191"/>
  <c r="GF191" s="1"/>
  <c r="EG199"/>
  <c r="GF199" s="1"/>
  <c r="EG203"/>
  <c r="GF203" s="1"/>
  <c r="EG208"/>
  <c r="GF208" s="1"/>
  <c r="EG212"/>
  <c r="GF212" s="1"/>
  <c r="EG220"/>
  <c r="GF220" s="1"/>
  <c r="EG226"/>
  <c r="GF226" s="1"/>
  <c r="AC446"/>
  <c r="AC440"/>
  <c r="AC438"/>
  <c r="AC432"/>
  <c r="AC428"/>
  <c r="AC424"/>
  <c r="AC416"/>
  <c r="AC412"/>
  <c r="AC404"/>
  <c r="AC396"/>
  <c r="AC390"/>
  <c r="AC384"/>
  <c r="AC380"/>
  <c r="AC376"/>
  <c r="AC360"/>
  <c r="EK201"/>
  <c r="EK175"/>
  <c r="EK167"/>
  <c r="EK159"/>
  <c r="EK151"/>
  <c r="EK147"/>
  <c r="EK143"/>
  <c r="EK139"/>
  <c r="EK153"/>
  <c r="EK157"/>
  <c r="EK161"/>
  <c r="EK165"/>
  <c r="EK169"/>
  <c r="EK173"/>
  <c r="EK181"/>
  <c r="EK185"/>
  <c r="EK207"/>
  <c r="EK209"/>
  <c r="EK217"/>
  <c r="EK221"/>
  <c r="EK223"/>
  <c r="EK225"/>
  <c r="EK197"/>
  <c r="EK205"/>
  <c r="EK213"/>
  <c r="EK229"/>
  <c r="EK163"/>
  <c r="EK179"/>
  <c r="EK193"/>
  <c r="EK195"/>
  <c r="EK186"/>
  <c r="EK190"/>
  <c r="EK194"/>
  <c r="EK198"/>
  <c r="EK202"/>
  <c r="EK210"/>
  <c r="EK214"/>
  <c r="EK216"/>
  <c r="EK222"/>
  <c r="EK224"/>
  <c r="EK230"/>
  <c r="EK232"/>
  <c r="EK138"/>
  <c r="EK140"/>
  <c r="EK142"/>
  <c r="EK231"/>
  <c r="EK235"/>
  <c r="EK141"/>
  <c r="EK149"/>
  <c r="EK155"/>
  <c r="EK187"/>
  <c r="EK192"/>
  <c r="EK196"/>
  <c r="EK204"/>
  <c r="EK218"/>
  <c r="EK228"/>
  <c r="EK234"/>
  <c r="EK236"/>
  <c r="EK146"/>
  <c r="EK150"/>
  <c r="EK152"/>
  <c r="EK154"/>
  <c r="EK158"/>
  <c r="EK160"/>
  <c r="EK162"/>
  <c r="EK166"/>
  <c r="EK168"/>
  <c r="EK170"/>
  <c r="EK172"/>
  <c r="EK174"/>
  <c r="EK178"/>
  <c r="EK137"/>
  <c r="EG144"/>
  <c r="GF144" s="1"/>
  <c r="EG163"/>
  <c r="GF163" s="1"/>
  <c r="EG171"/>
  <c r="GF171" s="1"/>
  <c r="EG177"/>
  <c r="GF177" s="1"/>
  <c r="EG183"/>
  <c r="GF183" s="1"/>
  <c r="EG188"/>
  <c r="GF188" s="1"/>
  <c r="EG200"/>
  <c r="GF200" s="1"/>
  <c r="EG211"/>
  <c r="GF211" s="1"/>
  <c r="EG215"/>
  <c r="GF215" s="1"/>
  <c r="EG219"/>
  <c r="GF219" s="1"/>
  <c r="EG225"/>
  <c r="GF225" s="1"/>
  <c r="EG227"/>
  <c r="GF227" s="1"/>
  <c r="EG233"/>
  <c r="GF233" s="1"/>
  <c r="GF137"/>
  <c r="GF153"/>
  <c r="GF138"/>
  <c r="GF149"/>
  <c r="EG132"/>
  <c r="GF154"/>
  <c r="GF140"/>
  <c r="CJ134"/>
  <c r="AK134"/>
  <c r="CH130"/>
  <c r="AD383"/>
  <c r="CI236"/>
  <c r="AE449" s="1"/>
  <c r="CI235"/>
  <c r="AE448" s="1"/>
  <c r="CI234"/>
  <c r="AE447" s="1"/>
  <c r="CI233"/>
  <c r="CI232"/>
  <c r="AE445" s="1"/>
  <c r="CI231"/>
  <c r="AE444" s="1"/>
  <c r="CI230"/>
  <c r="AE443" s="1"/>
  <c r="CI229"/>
  <c r="AE442" s="1"/>
  <c r="CI228"/>
  <c r="AE441" s="1"/>
  <c r="CI227"/>
  <c r="CI226"/>
  <c r="CI225"/>
  <c r="CI224"/>
  <c r="AE437" s="1"/>
  <c r="CI223"/>
  <c r="AE436" s="1"/>
  <c r="CI222"/>
  <c r="AE435" s="1"/>
  <c r="CI221"/>
  <c r="AE434" s="1"/>
  <c r="CI220"/>
  <c r="CI219"/>
  <c r="CI218"/>
  <c r="AE431" s="1"/>
  <c r="CI217"/>
  <c r="AE430" s="1"/>
  <c r="CI216"/>
  <c r="AE429" s="1"/>
  <c r="CI215"/>
  <c r="CI214"/>
  <c r="AE427" s="1"/>
  <c r="CI213"/>
  <c r="AE426" s="1"/>
  <c r="CI212"/>
  <c r="CI211"/>
  <c r="CI210"/>
  <c r="AE423" s="1"/>
  <c r="CI209"/>
  <c r="AE422" s="1"/>
  <c r="CI208"/>
  <c r="CI207"/>
  <c r="AE420" s="1"/>
  <c r="CI206"/>
  <c r="AE419" s="1"/>
  <c r="CI205"/>
  <c r="AE418" s="1"/>
  <c r="CI204"/>
  <c r="AE417" s="1"/>
  <c r="CI203"/>
  <c r="CI202"/>
  <c r="AE415" s="1"/>
  <c r="CI201"/>
  <c r="AE414" s="1"/>
  <c r="CI200"/>
  <c r="CI199"/>
  <c r="CI198"/>
  <c r="AE411" s="1"/>
  <c r="CI197"/>
  <c r="AE410" s="1"/>
  <c r="CI196"/>
  <c r="CI195"/>
  <c r="AE408" s="1"/>
  <c r="CI194"/>
  <c r="AE407" s="1"/>
  <c r="CI193"/>
  <c r="AE406" s="1"/>
  <c r="CI192"/>
  <c r="AE405" s="1"/>
  <c r="CI191"/>
  <c r="CI190"/>
  <c r="AE403" s="1"/>
  <c r="CI189"/>
  <c r="AE402" s="1"/>
  <c r="CI188"/>
  <c r="CI186"/>
  <c r="AE399" s="1"/>
  <c r="CI185"/>
  <c r="AE398" s="1"/>
  <c r="CI184"/>
  <c r="AE397" s="1"/>
  <c r="CI183"/>
  <c r="CI182"/>
  <c r="CI181"/>
  <c r="AE394" s="1"/>
  <c r="CI180"/>
  <c r="CI179"/>
  <c r="AE392" s="1"/>
  <c r="CI178"/>
  <c r="AE391" s="1"/>
  <c r="CI177"/>
  <c r="CI176"/>
  <c r="AE389" s="1"/>
  <c r="CI175"/>
  <c r="AE388" s="1"/>
  <c r="CI174"/>
  <c r="AE387" s="1"/>
  <c r="CI173"/>
  <c r="AE386" s="1"/>
  <c r="CI172"/>
  <c r="AE385" s="1"/>
  <c r="CI171"/>
  <c r="CI170"/>
  <c r="CI169"/>
  <c r="AE382" s="1"/>
  <c r="CI168"/>
  <c r="AE381" s="1"/>
  <c r="CI167"/>
  <c r="AE380" s="1"/>
  <c r="CI166"/>
  <c r="AE379" s="1"/>
  <c r="CI165"/>
  <c r="AE378" s="1"/>
  <c r="CI164"/>
  <c r="CI163"/>
  <c r="CI162"/>
  <c r="AE375" s="1"/>
  <c r="CI161"/>
  <c r="AE374" s="1"/>
  <c r="CI160"/>
  <c r="AE373" s="1"/>
  <c r="CI159"/>
  <c r="AE372" s="1"/>
  <c r="CI158"/>
  <c r="AE371" s="1"/>
  <c r="CI157"/>
  <c r="AE370" s="1"/>
  <c r="CI156"/>
  <c r="CI155"/>
  <c r="AE368" s="1"/>
  <c r="CI154"/>
  <c r="AE367" s="1"/>
  <c r="CI153"/>
  <c r="AE366" s="1"/>
  <c r="CI152"/>
  <c r="AE365" s="1"/>
  <c r="CI151"/>
  <c r="AE364" s="1"/>
  <c r="CI150"/>
  <c r="AE363" s="1"/>
  <c r="CI149"/>
  <c r="AE362" s="1"/>
  <c r="CI148"/>
  <c r="CI147"/>
  <c r="CI146"/>
  <c r="AE359" s="1"/>
  <c r="CI187"/>
  <c r="AE400" s="1"/>
  <c r="CI145"/>
  <c r="AE358" s="1"/>
  <c r="CI144"/>
  <c r="CI143"/>
  <c r="AE356" s="1"/>
  <c r="CI142"/>
  <c r="AE355" s="1"/>
  <c r="CI141"/>
  <c r="AE354" s="1"/>
  <c r="CI140"/>
  <c r="AE353" s="1"/>
  <c r="CI139"/>
  <c r="AE352" s="1"/>
  <c r="CI138"/>
  <c r="AE351" s="1"/>
  <c r="CI137"/>
  <c r="AE350" s="1"/>
  <c r="GE170"/>
  <c r="EL134"/>
  <c r="GG234"/>
  <c r="GG232"/>
  <c r="GG230"/>
  <c r="GG218"/>
  <c r="GG216"/>
  <c r="GG214"/>
  <c r="GG210"/>
  <c r="GG236"/>
  <c r="GG228"/>
  <c r="GG224"/>
  <c r="GG222"/>
  <c r="GG206"/>
  <c r="GG204"/>
  <c r="GG202"/>
  <c r="GG194"/>
  <c r="GG192"/>
  <c r="GG190"/>
  <c r="GG184"/>
  <c r="GG198"/>
  <c r="GG186"/>
  <c r="GG178"/>
  <c r="GG176"/>
  <c r="GG169"/>
  <c r="GG161"/>
  <c r="GG174"/>
  <c r="GG172"/>
  <c r="GG167"/>
  <c r="GG160"/>
  <c r="GG154"/>
  <c r="GG150"/>
  <c r="GG158"/>
  <c r="GG152"/>
  <c r="GG146"/>
  <c r="AF31"/>
  <c r="GG231"/>
  <c r="GG229"/>
  <c r="GG217"/>
  <c r="GG213"/>
  <c r="GG209"/>
  <c r="GG207"/>
  <c r="GG235"/>
  <c r="GG223"/>
  <c r="GG221"/>
  <c r="GG205"/>
  <c r="GG201"/>
  <c r="GG193"/>
  <c r="GG189"/>
  <c r="GG197"/>
  <c r="GG195"/>
  <c r="GG187"/>
  <c r="GG185"/>
  <c r="GG175"/>
  <c r="GG165"/>
  <c r="GG159"/>
  <c r="GG181"/>
  <c r="GG179"/>
  <c r="GG173"/>
  <c r="GG168"/>
  <c r="GG166"/>
  <c r="GG162"/>
  <c r="GG155"/>
  <c r="GG153"/>
  <c r="GG149"/>
  <c r="GG157"/>
  <c r="GG151"/>
  <c r="GG145"/>
  <c r="GG137"/>
  <c r="GG143"/>
  <c r="GG141"/>
  <c r="A183" i="23"/>
  <c r="B184"/>
  <c r="GF147" i="21" l="1"/>
  <c r="AD376"/>
  <c r="AD357"/>
  <c r="AD446"/>
  <c r="AD440"/>
  <c r="AD438"/>
  <c r="AD432"/>
  <c r="AD428"/>
  <c r="AD424"/>
  <c r="AD413"/>
  <c r="AD401"/>
  <c r="AD396"/>
  <c r="AD390"/>
  <c r="AD384"/>
  <c r="EL213"/>
  <c r="EL185"/>
  <c r="EL169"/>
  <c r="EL161"/>
  <c r="EL153"/>
  <c r="EL149"/>
  <c r="EL141"/>
  <c r="EL154"/>
  <c r="EL162"/>
  <c r="EL170"/>
  <c r="EL178"/>
  <c r="EL224"/>
  <c r="EL151"/>
  <c r="EL155"/>
  <c r="EL159"/>
  <c r="EL166"/>
  <c r="EL174"/>
  <c r="EL196"/>
  <c r="EL204"/>
  <c r="EL216"/>
  <c r="EL232"/>
  <c r="EL163"/>
  <c r="EL167"/>
  <c r="EL175"/>
  <c r="EL179"/>
  <c r="EL187"/>
  <c r="EL201"/>
  <c r="EL217"/>
  <c r="EL193"/>
  <c r="EL195"/>
  <c r="EL205"/>
  <c r="EL221"/>
  <c r="EL223"/>
  <c r="EL225"/>
  <c r="EL229"/>
  <c r="EL140"/>
  <c r="EL160"/>
  <c r="EL192"/>
  <c r="EL138"/>
  <c r="EL139"/>
  <c r="EL146"/>
  <c r="EL147"/>
  <c r="EL157"/>
  <c r="EL172"/>
  <c r="EL173"/>
  <c r="EL197"/>
  <c r="EL222"/>
  <c r="EL230"/>
  <c r="EL231"/>
  <c r="EL235"/>
  <c r="EL152"/>
  <c r="EL168"/>
  <c r="EL142"/>
  <c r="EL143"/>
  <c r="EL150"/>
  <c r="EL165"/>
  <c r="EL181"/>
  <c r="EL207"/>
  <c r="EL218"/>
  <c r="EL234"/>
  <c r="EL186"/>
  <c r="EL194"/>
  <c r="EL202"/>
  <c r="EL210"/>
  <c r="EL228"/>
  <c r="EL190"/>
  <c r="EL198"/>
  <c r="EL214"/>
  <c r="EL236"/>
  <c r="EL137"/>
  <c r="EH148"/>
  <c r="GG148" s="1"/>
  <c r="EH156"/>
  <c r="GG156" s="1"/>
  <c r="EH164"/>
  <c r="GG164" s="1"/>
  <c r="EH180"/>
  <c r="GG180" s="1"/>
  <c r="EH182"/>
  <c r="GG182" s="1"/>
  <c r="EH191"/>
  <c r="GG191" s="1"/>
  <c r="EH199"/>
  <c r="GG199" s="1"/>
  <c r="EH203"/>
  <c r="GG203" s="1"/>
  <c r="EH211"/>
  <c r="GG211" s="1"/>
  <c r="EH215"/>
  <c r="GG215" s="1"/>
  <c r="EH219"/>
  <c r="GG219" s="1"/>
  <c r="EH225"/>
  <c r="GG225" s="1"/>
  <c r="EH227"/>
  <c r="GG227" s="1"/>
  <c r="EH233"/>
  <c r="GG233" s="1"/>
  <c r="AD439"/>
  <c r="AD433"/>
  <c r="AD425"/>
  <c r="AD421"/>
  <c r="AD416"/>
  <c r="AD412"/>
  <c r="AD404"/>
  <c r="AD395"/>
  <c r="AD393"/>
  <c r="AD377"/>
  <c r="AD361"/>
  <c r="EH144"/>
  <c r="AE357" s="1"/>
  <c r="EH147"/>
  <c r="GG147" s="1"/>
  <c r="EH163"/>
  <c r="GG163" s="1"/>
  <c r="EH171"/>
  <c r="GG171" s="1"/>
  <c r="EH177"/>
  <c r="GG177" s="1"/>
  <c r="EH183"/>
  <c r="GG183" s="1"/>
  <c r="EH188"/>
  <c r="GG188" s="1"/>
  <c r="EH196"/>
  <c r="GG196" s="1"/>
  <c r="EH200"/>
  <c r="GG200" s="1"/>
  <c r="EH208"/>
  <c r="GG208" s="1"/>
  <c r="EH212"/>
  <c r="GG212" s="1"/>
  <c r="EH220"/>
  <c r="GG220" s="1"/>
  <c r="EH226"/>
  <c r="GG226" s="1"/>
  <c r="GG139"/>
  <c r="GG140"/>
  <c r="EH132"/>
  <c r="CJ236"/>
  <c r="AF449" s="1"/>
  <c r="CJ235"/>
  <c r="AF448" s="1"/>
  <c r="CJ234"/>
  <c r="AF447" s="1"/>
  <c r="CJ233"/>
  <c r="CJ232"/>
  <c r="AF445" s="1"/>
  <c r="CJ231"/>
  <c r="AF444" s="1"/>
  <c r="CJ230"/>
  <c r="AF443" s="1"/>
  <c r="CJ229"/>
  <c r="AF442" s="1"/>
  <c r="CJ228"/>
  <c r="AF441" s="1"/>
  <c r="CJ227"/>
  <c r="CJ226"/>
  <c r="CJ225"/>
  <c r="CJ224"/>
  <c r="AF437" s="1"/>
  <c r="CJ223"/>
  <c r="AF436" s="1"/>
  <c r="CJ222"/>
  <c r="AF435" s="1"/>
  <c r="CJ221"/>
  <c r="AF434" s="1"/>
  <c r="CJ220"/>
  <c r="CJ219"/>
  <c r="CJ218"/>
  <c r="AF431" s="1"/>
  <c r="CJ217"/>
  <c r="AF430" s="1"/>
  <c r="CJ216"/>
  <c r="AF429" s="1"/>
  <c r="CJ215"/>
  <c r="CJ214"/>
  <c r="AF427" s="1"/>
  <c r="CJ213"/>
  <c r="AF426" s="1"/>
  <c r="CJ212"/>
  <c r="CJ211"/>
  <c r="CJ210"/>
  <c r="AF423" s="1"/>
  <c r="CJ209"/>
  <c r="AF422" s="1"/>
  <c r="CJ208"/>
  <c r="CJ207"/>
  <c r="AF420" s="1"/>
  <c r="CJ206"/>
  <c r="AF419" s="1"/>
  <c r="CJ205"/>
  <c r="AF418" s="1"/>
  <c r="CJ204"/>
  <c r="AF417" s="1"/>
  <c r="CJ203"/>
  <c r="CJ202"/>
  <c r="AF415" s="1"/>
  <c r="CJ201"/>
  <c r="AF414" s="1"/>
  <c r="CJ200"/>
  <c r="CJ199"/>
  <c r="CJ198"/>
  <c r="AF411" s="1"/>
  <c r="CJ197"/>
  <c r="AF410" s="1"/>
  <c r="CJ196"/>
  <c r="CJ195"/>
  <c r="AF408" s="1"/>
  <c r="CJ194"/>
  <c r="AF407" s="1"/>
  <c r="CJ193"/>
  <c r="AF406" s="1"/>
  <c r="CJ192"/>
  <c r="AF405" s="1"/>
  <c r="CJ191"/>
  <c r="CJ190"/>
  <c r="AF403" s="1"/>
  <c r="CJ189"/>
  <c r="CJ188"/>
  <c r="CJ187"/>
  <c r="AF400" s="1"/>
  <c r="CJ186"/>
  <c r="AF399" s="1"/>
  <c r="CJ185"/>
  <c r="AF398" s="1"/>
  <c r="CJ184"/>
  <c r="AF397" s="1"/>
  <c r="CJ183"/>
  <c r="CJ182"/>
  <c r="CJ181"/>
  <c r="AF394" s="1"/>
  <c r="CJ180"/>
  <c r="CJ179"/>
  <c r="AF392" s="1"/>
  <c r="CJ178"/>
  <c r="AF391" s="1"/>
  <c r="CJ177"/>
  <c r="CJ176"/>
  <c r="AF389" s="1"/>
  <c r="CJ175"/>
  <c r="AF388" s="1"/>
  <c r="CJ174"/>
  <c r="AF387" s="1"/>
  <c r="CJ173"/>
  <c r="AF386" s="1"/>
  <c r="CJ172"/>
  <c r="AF385" s="1"/>
  <c r="CJ171"/>
  <c r="CJ170"/>
  <c r="CJ169"/>
  <c r="AF382" s="1"/>
  <c r="CJ168"/>
  <c r="AF381" s="1"/>
  <c r="CJ167"/>
  <c r="AF380" s="1"/>
  <c r="CJ166"/>
  <c r="AF379" s="1"/>
  <c r="CJ165"/>
  <c r="AF378" s="1"/>
  <c r="CJ164"/>
  <c r="CJ163"/>
  <c r="CJ162"/>
  <c r="AF375" s="1"/>
  <c r="CJ161"/>
  <c r="AF374" s="1"/>
  <c r="CJ160"/>
  <c r="AF373" s="1"/>
  <c r="CJ159"/>
  <c r="AF372" s="1"/>
  <c r="CJ158"/>
  <c r="AF371" s="1"/>
  <c r="CJ157"/>
  <c r="AF370" s="1"/>
  <c r="CJ155"/>
  <c r="AF368" s="1"/>
  <c r="CJ153"/>
  <c r="AF366" s="1"/>
  <c r="CJ151"/>
  <c r="AF364" s="1"/>
  <c r="CJ149"/>
  <c r="AF362" s="1"/>
  <c r="CJ147"/>
  <c r="CJ145"/>
  <c r="AF358" s="1"/>
  <c r="CJ144"/>
  <c r="CJ143"/>
  <c r="AF356" s="1"/>
  <c r="CJ142"/>
  <c r="AF355" s="1"/>
  <c r="CJ141"/>
  <c r="AF354" s="1"/>
  <c r="CJ140"/>
  <c r="AF353" s="1"/>
  <c r="CJ139"/>
  <c r="AF352" s="1"/>
  <c r="CJ138"/>
  <c r="AF351" s="1"/>
  <c r="CJ137"/>
  <c r="AF350" s="1"/>
  <c r="CJ156"/>
  <c r="CJ154"/>
  <c r="AF367" s="1"/>
  <c r="CJ152"/>
  <c r="AF365" s="1"/>
  <c r="CJ150"/>
  <c r="AF363" s="1"/>
  <c r="CJ148"/>
  <c r="CJ146"/>
  <c r="AF359" s="1"/>
  <c r="CK134"/>
  <c r="AL134"/>
  <c r="CI130"/>
  <c r="AE383"/>
  <c r="GF170"/>
  <c r="GG142"/>
  <c r="GG138"/>
  <c r="EM134"/>
  <c r="GH236"/>
  <c r="GH228"/>
  <c r="GH224"/>
  <c r="GH222"/>
  <c r="GH234"/>
  <c r="GH232"/>
  <c r="GH230"/>
  <c r="GH218"/>
  <c r="GH216"/>
  <c r="GH214"/>
  <c r="GH210"/>
  <c r="GH198"/>
  <c r="GH204"/>
  <c r="GH194"/>
  <c r="GH190"/>
  <c r="GH167"/>
  <c r="GH175"/>
  <c r="GH160"/>
  <c r="GH152"/>
  <c r="GH149"/>
  <c r="GH141"/>
  <c r="GH140"/>
  <c r="AG31"/>
  <c r="GH235"/>
  <c r="GH223"/>
  <c r="GH221"/>
  <c r="GH205"/>
  <c r="GH231"/>
  <c r="GH229"/>
  <c r="GH217"/>
  <c r="GH213"/>
  <c r="GH209"/>
  <c r="GH207"/>
  <c r="GH197"/>
  <c r="GH195"/>
  <c r="GH187"/>
  <c r="GH201"/>
  <c r="GH193"/>
  <c r="GH181"/>
  <c r="GH173"/>
  <c r="GH166"/>
  <c r="GH176"/>
  <c r="GH169"/>
  <c r="GH159"/>
  <c r="GH142"/>
  <c r="GH139"/>
  <c r="A184" i="23"/>
  <c r="B185"/>
  <c r="GG144" i="21" l="1"/>
  <c r="AE376"/>
  <c r="AE360"/>
  <c r="AE439"/>
  <c r="AE433"/>
  <c r="AE425"/>
  <c r="AE421"/>
  <c r="AE413"/>
  <c r="AE409"/>
  <c r="AE401"/>
  <c r="AE396"/>
  <c r="AE390"/>
  <c r="AE384"/>
  <c r="EI148"/>
  <c r="AF361" s="1"/>
  <c r="EI156"/>
  <c r="GH156" s="1"/>
  <c r="EM193"/>
  <c r="EM187"/>
  <c r="EM179"/>
  <c r="EM163"/>
  <c r="EM155"/>
  <c r="EM147"/>
  <c r="EM143"/>
  <c r="EM139"/>
  <c r="EM153"/>
  <c r="EM157"/>
  <c r="EM161"/>
  <c r="EM195"/>
  <c r="EM197"/>
  <c r="EM205"/>
  <c r="EM213"/>
  <c r="EM221"/>
  <c r="EM223"/>
  <c r="EM225"/>
  <c r="EM165"/>
  <c r="EM169"/>
  <c r="EM173"/>
  <c r="EM181"/>
  <c r="EM185"/>
  <c r="EM207"/>
  <c r="EM231"/>
  <c r="EM235"/>
  <c r="EM141"/>
  <c r="EM149"/>
  <c r="EM151"/>
  <c r="EM167"/>
  <c r="EM183"/>
  <c r="EM217"/>
  <c r="EM192"/>
  <c r="EM196"/>
  <c r="EM204"/>
  <c r="EM218"/>
  <c r="EM228"/>
  <c r="EM234"/>
  <c r="EM236"/>
  <c r="EM229"/>
  <c r="EM159"/>
  <c r="EM175"/>
  <c r="EM186"/>
  <c r="EM190"/>
  <c r="EM194"/>
  <c r="EM198"/>
  <c r="EM202"/>
  <c r="EM210"/>
  <c r="EM214"/>
  <c r="EM216"/>
  <c r="EM222"/>
  <c r="EM224"/>
  <c r="EM230"/>
  <c r="EM232"/>
  <c r="EM138"/>
  <c r="EM140"/>
  <c r="EM142"/>
  <c r="EM146"/>
  <c r="EM150"/>
  <c r="EM152"/>
  <c r="EM154"/>
  <c r="EM160"/>
  <c r="EM162"/>
  <c r="EM166"/>
  <c r="EM168"/>
  <c r="EM170"/>
  <c r="EM172"/>
  <c r="EM174"/>
  <c r="EM178"/>
  <c r="EM137"/>
  <c r="EI163"/>
  <c r="GH163" s="1"/>
  <c r="EI171"/>
  <c r="AF384" s="1"/>
  <c r="EI177"/>
  <c r="AF390" s="1"/>
  <c r="EI183"/>
  <c r="AF396" s="1"/>
  <c r="EI189"/>
  <c r="GH189" s="1"/>
  <c r="EI191"/>
  <c r="GH191" s="1"/>
  <c r="EI199"/>
  <c r="GH199" s="1"/>
  <c r="EI203"/>
  <c r="GH203" s="1"/>
  <c r="EI211"/>
  <c r="GH211" s="1"/>
  <c r="EI215"/>
  <c r="GH215" s="1"/>
  <c r="EI219"/>
  <c r="GH219" s="1"/>
  <c r="EI225"/>
  <c r="GH225" s="1"/>
  <c r="EI227"/>
  <c r="GH227" s="1"/>
  <c r="EI233"/>
  <c r="GH233" s="1"/>
  <c r="AE446"/>
  <c r="AE440"/>
  <c r="AE438"/>
  <c r="AE432"/>
  <c r="AE428"/>
  <c r="AE424"/>
  <c r="AE416"/>
  <c r="AE412"/>
  <c r="AE404"/>
  <c r="AE395"/>
  <c r="AE393"/>
  <c r="AE377"/>
  <c r="AE369"/>
  <c r="AE361"/>
  <c r="EI144"/>
  <c r="AF357" s="1"/>
  <c r="EI147"/>
  <c r="AF360" s="1"/>
  <c r="EI164"/>
  <c r="AF377" s="1"/>
  <c r="EI180"/>
  <c r="AF393" s="1"/>
  <c r="EI182"/>
  <c r="GH182" s="1"/>
  <c r="EI188"/>
  <c r="GH188" s="1"/>
  <c r="EI196"/>
  <c r="AF409" s="1"/>
  <c r="EI200"/>
  <c r="AF413" s="1"/>
  <c r="EI208"/>
  <c r="GH208" s="1"/>
  <c r="EI212"/>
  <c r="GH212" s="1"/>
  <c r="EI220"/>
  <c r="GH220" s="1"/>
  <c r="EI226"/>
  <c r="GH226" s="1"/>
  <c r="GH137"/>
  <c r="GH145"/>
  <c r="GH154"/>
  <c r="GH157"/>
  <c r="GH161"/>
  <c r="GH171"/>
  <c r="GH179"/>
  <c r="GH183"/>
  <c r="GH185"/>
  <c r="GH143"/>
  <c r="GH153"/>
  <c r="GH165"/>
  <c r="GH177"/>
  <c r="GH150"/>
  <c r="GH174"/>
  <c r="GH147"/>
  <c r="GH151"/>
  <c r="GH178"/>
  <c r="GH168"/>
  <c r="GH138"/>
  <c r="GH155"/>
  <c r="GH158"/>
  <c r="GH162"/>
  <c r="GH172"/>
  <c r="GH184"/>
  <c r="GH192"/>
  <c r="GH202"/>
  <c r="GH186"/>
  <c r="GH196"/>
  <c r="GH206"/>
  <c r="GH146"/>
  <c r="GH148"/>
  <c r="EI132"/>
  <c r="CK236"/>
  <c r="AG449" s="1"/>
  <c r="CK235"/>
  <c r="CK234"/>
  <c r="AG447" s="1"/>
  <c r="CK233"/>
  <c r="CK232"/>
  <c r="AG445" s="1"/>
  <c r="CK231"/>
  <c r="AG444" s="1"/>
  <c r="CK230"/>
  <c r="AG443" s="1"/>
  <c r="CK229"/>
  <c r="AG442" s="1"/>
  <c r="CK228"/>
  <c r="AG441" s="1"/>
  <c r="CK227"/>
  <c r="CK226"/>
  <c r="CK225"/>
  <c r="CK224"/>
  <c r="AG437" s="1"/>
  <c r="CK223"/>
  <c r="AG436" s="1"/>
  <c r="CK222"/>
  <c r="AG435" s="1"/>
  <c r="CK221"/>
  <c r="AG434" s="1"/>
  <c r="CK220"/>
  <c r="CK219"/>
  <c r="CK218"/>
  <c r="AG431" s="1"/>
  <c r="CK217"/>
  <c r="AG430" s="1"/>
  <c r="CK216"/>
  <c r="AG429" s="1"/>
  <c r="CK215"/>
  <c r="CK214"/>
  <c r="AG427" s="1"/>
  <c r="CK213"/>
  <c r="AG426" s="1"/>
  <c r="CK212"/>
  <c r="CK211"/>
  <c r="CK210"/>
  <c r="AG423" s="1"/>
  <c r="CK209"/>
  <c r="AG422" s="1"/>
  <c r="CK208"/>
  <c r="CK207"/>
  <c r="AG420" s="1"/>
  <c r="CK206"/>
  <c r="AG419" s="1"/>
  <c r="CK205"/>
  <c r="AG418" s="1"/>
  <c r="CK204"/>
  <c r="AG417" s="1"/>
  <c r="CK203"/>
  <c r="CK202"/>
  <c r="AG415" s="1"/>
  <c r="CK201"/>
  <c r="AG414" s="1"/>
  <c r="CK200"/>
  <c r="CK199"/>
  <c r="CK198"/>
  <c r="AG411" s="1"/>
  <c r="CK197"/>
  <c r="AG410" s="1"/>
  <c r="CK196"/>
  <c r="CK195"/>
  <c r="AG408" s="1"/>
  <c r="CK194"/>
  <c r="AG407" s="1"/>
  <c r="CK193"/>
  <c r="AG406" s="1"/>
  <c r="CK192"/>
  <c r="AG405" s="1"/>
  <c r="CK191"/>
  <c r="CK190"/>
  <c r="AG403" s="1"/>
  <c r="CK189"/>
  <c r="CK188"/>
  <c r="CK187"/>
  <c r="AG400" s="1"/>
  <c r="CK186"/>
  <c r="AG399" s="1"/>
  <c r="CK185"/>
  <c r="AG398" s="1"/>
  <c r="CK184"/>
  <c r="AG397" s="1"/>
  <c r="CK183"/>
  <c r="CK182"/>
  <c r="CK181"/>
  <c r="AG394" s="1"/>
  <c r="CK180"/>
  <c r="CK179"/>
  <c r="AG392" s="1"/>
  <c r="CK178"/>
  <c r="AG391" s="1"/>
  <c r="CK177"/>
  <c r="CK176"/>
  <c r="AG389" s="1"/>
  <c r="CK175"/>
  <c r="AG388" s="1"/>
  <c r="CK174"/>
  <c r="AG387" s="1"/>
  <c r="CK173"/>
  <c r="AG386" s="1"/>
  <c r="CK172"/>
  <c r="AG385" s="1"/>
  <c r="CK171"/>
  <c r="CK170"/>
  <c r="CK169"/>
  <c r="AG382" s="1"/>
  <c r="CK168"/>
  <c r="AG381" s="1"/>
  <c r="CK167"/>
  <c r="AG380" s="1"/>
  <c r="CK166"/>
  <c r="AG379" s="1"/>
  <c r="CK165"/>
  <c r="AG378" s="1"/>
  <c r="CK164"/>
  <c r="CK163"/>
  <c r="AG376" s="1"/>
  <c r="CK162"/>
  <c r="AG375" s="1"/>
  <c r="CK161"/>
  <c r="AG374" s="1"/>
  <c r="CK160"/>
  <c r="AG373" s="1"/>
  <c r="CK159"/>
  <c r="AG372" s="1"/>
  <c r="CK158"/>
  <c r="AG371" s="1"/>
  <c r="CK157"/>
  <c r="AG370" s="1"/>
  <c r="CK156"/>
  <c r="CK155"/>
  <c r="AG368" s="1"/>
  <c r="CK154"/>
  <c r="AG367" s="1"/>
  <c r="CK153"/>
  <c r="AG366" s="1"/>
  <c r="CK152"/>
  <c r="AG365" s="1"/>
  <c r="CK151"/>
  <c r="AG364" s="1"/>
  <c r="CK150"/>
  <c r="AG363" s="1"/>
  <c r="CK149"/>
  <c r="AG362" s="1"/>
  <c r="CK148"/>
  <c r="CK147"/>
  <c r="AG360" s="1"/>
  <c r="CK146"/>
  <c r="AG359" s="1"/>
  <c r="CK145"/>
  <c r="CK144"/>
  <c r="CK143"/>
  <c r="AG356" s="1"/>
  <c r="CK142"/>
  <c r="AG355" s="1"/>
  <c r="CK141"/>
  <c r="AG354" s="1"/>
  <c r="CK140"/>
  <c r="AG353" s="1"/>
  <c r="CK139"/>
  <c r="AG352" s="1"/>
  <c r="CK138"/>
  <c r="AG351" s="1"/>
  <c r="CK137"/>
  <c r="AG350" s="1"/>
  <c r="CJ130"/>
  <c r="AF383"/>
  <c r="CL134"/>
  <c r="AM134"/>
  <c r="GG170"/>
  <c r="EN134"/>
  <c r="GI236"/>
  <c r="GI231"/>
  <c r="GI217"/>
  <c r="GI213"/>
  <c r="GI209"/>
  <c r="GI228"/>
  <c r="GI224"/>
  <c r="GI222"/>
  <c r="GI206"/>
  <c r="GI204"/>
  <c r="GI202"/>
  <c r="GI194"/>
  <c r="GI192"/>
  <c r="GI190"/>
  <c r="GI184"/>
  <c r="GI198"/>
  <c r="GI186"/>
  <c r="GI178"/>
  <c r="GI176"/>
  <c r="GI169"/>
  <c r="GI160"/>
  <c r="GI168"/>
  <c r="GI166"/>
  <c r="GI159"/>
  <c r="GI154"/>
  <c r="GI150"/>
  <c r="GI158"/>
  <c r="GI152"/>
  <c r="GI142"/>
  <c r="AH31"/>
  <c r="GI234"/>
  <c r="GI232"/>
  <c r="GI230"/>
  <c r="GI218"/>
  <c r="GI216"/>
  <c r="GI214"/>
  <c r="GI210"/>
  <c r="GI223"/>
  <c r="GI195"/>
  <c r="GI175"/>
  <c r="GI174"/>
  <c r="GI172"/>
  <c r="GI161"/>
  <c r="GI162"/>
  <c r="GI155"/>
  <c r="GI151"/>
  <c r="A185" i="23"/>
  <c r="B186"/>
  <c r="GH200" i="21" l="1"/>
  <c r="GH180"/>
  <c r="GH164"/>
  <c r="GH144"/>
  <c r="AF439"/>
  <c r="AF433"/>
  <c r="AF425"/>
  <c r="AF421"/>
  <c r="AF401"/>
  <c r="AF395"/>
  <c r="AF446"/>
  <c r="AF440"/>
  <c r="AF438"/>
  <c r="AF432"/>
  <c r="AF428"/>
  <c r="AF424"/>
  <c r="AF416"/>
  <c r="AF412"/>
  <c r="AF404"/>
  <c r="AF402"/>
  <c r="AF376"/>
  <c r="AF369"/>
  <c r="EN229"/>
  <c r="EN205"/>
  <c r="EN181"/>
  <c r="EN173"/>
  <c r="EN165"/>
  <c r="EN157"/>
  <c r="EN149"/>
  <c r="EN141"/>
  <c r="EN152"/>
  <c r="EN160"/>
  <c r="EN168"/>
  <c r="EN210"/>
  <c r="EN172"/>
  <c r="EN186"/>
  <c r="EN194"/>
  <c r="EN202"/>
  <c r="EN222"/>
  <c r="EN151"/>
  <c r="EN155"/>
  <c r="EN159"/>
  <c r="EN195"/>
  <c r="EN197"/>
  <c r="EN213"/>
  <c r="EN221"/>
  <c r="EN223"/>
  <c r="EN225"/>
  <c r="EN163"/>
  <c r="EN167"/>
  <c r="EN175"/>
  <c r="EN179"/>
  <c r="EN183"/>
  <c r="EN187"/>
  <c r="EN193"/>
  <c r="EN207"/>
  <c r="EN217"/>
  <c r="EN138"/>
  <c r="EN146"/>
  <c r="EN162"/>
  <c r="EN178"/>
  <c r="EN198"/>
  <c r="EN140"/>
  <c r="EN143"/>
  <c r="EN161"/>
  <c r="EN166"/>
  <c r="EN190"/>
  <c r="EN214"/>
  <c r="EN231"/>
  <c r="EN228"/>
  <c r="EN236"/>
  <c r="EN142"/>
  <c r="EN150"/>
  <c r="EN154"/>
  <c r="EN170"/>
  <c r="EN139"/>
  <c r="EN147"/>
  <c r="EN153"/>
  <c r="EN169"/>
  <c r="EN174"/>
  <c r="EN185"/>
  <c r="EN235"/>
  <c r="EN224"/>
  <c r="EN232"/>
  <c r="EN192"/>
  <c r="EN216"/>
  <c r="EN137"/>
  <c r="EN196"/>
  <c r="EN204"/>
  <c r="EN218"/>
  <c r="EN234"/>
  <c r="EJ145"/>
  <c r="AG358" s="1"/>
  <c r="EJ171"/>
  <c r="AG384" s="1"/>
  <c r="EJ177"/>
  <c r="AG390" s="1"/>
  <c r="EJ183"/>
  <c r="AG396" s="1"/>
  <c r="EJ189"/>
  <c r="GI189" s="1"/>
  <c r="EJ191"/>
  <c r="AG404" s="1"/>
  <c r="EJ199"/>
  <c r="AG412" s="1"/>
  <c r="EJ203"/>
  <c r="GI203" s="1"/>
  <c r="EJ211"/>
  <c r="AG424" s="1"/>
  <c r="EJ215"/>
  <c r="AG428" s="1"/>
  <c r="EJ219"/>
  <c r="GI219" s="1"/>
  <c r="EJ225"/>
  <c r="AG438" s="1"/>
  <c r="EJ227"/>
  <c r="GI227" s="1"/>
  <c r="EJ233"/>
  <c r="AG446" s="1"/>
  <c r="EJ144"/>
  <c r="AG357" s="1"/>
  <c r="EJ148"/>
  <c r="GI148" s="1"/>
  <c r="EJ156"/>
  <c r="GI156" s="1"/>
  <c r="EJ164"/>
  <c r="GI164" s="1"/>
  <c r="EJ180"/>
  <c r="GI180" s="1"/>
  <c r="EJ182"/>
  <c r="GI182" s="1"/>
  <c r="EJ188"/>
  <c r="GI188" s="1"/>
  <c r="EJ196"/>
  <c r="GI196" s="1"/>
  <c r="EJ200"/>
  <c r="GI200" s="1"/>
  <c r="EJ208"/>
  <c r="GI208" s="1"/>
  <c r="EJ212"/>
  <c r="GI212" s="1"/>
  <c r="EJ220"/>
  <c r="GI220" s="1"/>
  <c r="EJ226"/>
  <c r="GI226" s="1"/>
  <c r="GI235"/>
  <c r="AG448"/>
  <c r="GI138"/>
  <c r="GI144"/>
  <c r="GI146"/>
  <c r="GI149"/>
  <c r="GI163"/>
  <c r="GI185"/>
  <c r="GI199"/>
  <c r="GI193"/>
  <c r="GI179"/>
  <c r="GI137"/>
  <c r="GI141"/>
  <c r="GI145"/>
  <c r="GI143"/>
  <c r="GI139"/>
  <c r="GI147"/>
  <c r="GI157"/>
  <c r="GI153"/>
  <c r="GI167"/>
  <c r="GI165"/>
  <c r="GI177"/>
  <c r="GI187"/>
  <c r="GI197"/>
  <c r="GI183"/>
  <c r="GI201"/>
  <c r="GI205"/>
  <c r="GI221"/>
  <c r="GI173"/>
  <c r="GI181"/>
  <c r="GI171"/>
  <c r="GI207"/>
  <c r="GI211"/>
  <c r="GI229"/>
  <c r="GI140"/>
  <c r="EJ132"/>
  <c r="CM134"/>
  <c r="AN134"/>
  <c r="CL236"/>
  <c r="AH449" s="1"/>
  <c r="CL235"/>
  <c r="AH448" s="1"/>
  <c r="CL234"/>
  <c r="AH447" s="1"/>
  <c r="CL233"/>
  <c r="CL232"/>
  <c r="AH445" s="1"/>
  <c r="CL231"/>
  <c r="AH444" s="1"/>
  <c r="CL230"/>
  <c r="AH443" s="1"/>
  <c r="CL229"/>
  <c r="AH442" s="1"/>
  <c r="CL228"/>
  <c r="AH441" s="1"/>
  <c r="CL227"/>
  <c r="CL226"/>
  <c r="CL225"/>
  <c r="AH438" s="1"/>
  <c r="CL224"/>
  <c r="AH437" s="1"/>
  <c r="CL223"/>
  <c r="AH436" s="1"/>
  <c r="CL222"/>
  <c r="AH435" s="1"/>
  <c r="CL221"/>
  <c r="AH434" s="1"/>
  <c r="CL220"/>
  <c r="CL219"/>
  <c r="CL218"/>
  <c r="AH431" s="1"/>
  <c r="CL217"/>
  <c r="AH430" s="1"/>
  <c r="CL216"/>
  <c r="AH429" s="1"/>
  <c r="CL215"/>
  <c r="CL214"/>
  <c r="AH427" s="1"/>
  <c r="CL213"/>
  <c r="AH426" s="1"/>
  <c r="CL212"/>
  <c r="CL211"/>
  <c r="CL210"/>
  <c r="AH423" s="1"/>
  <c r="CL209"/>
  <c r="AH422" s="1"/>
  <c r="CL208"/>
  <c r="CL207"/>
  <c r="AH420" s="1"/>
  <c r="CL206"/>
  <c r="CL205"/>
  <c r="AH418" s="1"/>
  <c r="CL204"/>
  <c r="AH417" s="1"/>
  <c r="CL203"/>
  <c r="CL202"/>
  <c r="AH415" s="1"/>
  <c r="CL201"/>
  <c r="AH414" s="1"/>
  <c r="CL200"/>
  <c r="CL199"/>
  <c r="CL198"/>
  <c r="AH411" s="1"/>
  <c r="CL197"/>
  <c r="AH410" s="1"/>
  <c r="CL196"/>
  <c r="AH409" s="1"/>
  <c r="CL195"/>
  <c r="AH408" s="1"/>
  <c r="CL194"/>
  <c r="AH407" s="1"/>
  <c r="CL193"/>
  <c r="AH406" s="1"/>
  <c r="CL192"/>
  <c r="AH405" s="1"/>
  <c r="CL191"/>
  <c r="CL190"/>
  <c r="AH403" s="1"/>
  <c r="CL189"/>
  <c r="CL188"/>
  <c r="CL187"/>
  <c r="AH400" s="1"/>
  <c r="CL186"/>
  <c r="AH399" s="1"/>
  <c r="CL185"/>
  <c r="AH398" s="1"/>
  <c r="CL184"/>
  <c r="CL183"/>
  <c r="CL182"/>
  <c r="CL181"/>
  <c r="AH394" s="1"/>
  <c r="CL180"/>
  <c r="CL179"/>
  <c r="AH392" s="1"/>
  <c r="CL178"/>
  <c r="AH391" s="1"/>
  <c r="CL177"/>
  <c r="CL176"/>
  <c r="CL175"/>
  <c r="AH388" s="1"/>
  <c r="CL174"/>
  <c r="AH387" s="1"/>
  <c r="CL173"/>
  <c r="AH386" s="1"/>
  <c r="CL172"/>
  <c r="AH385" s="1"/>
  <c r="CL171"/>
  <c r="CL170"/>
  <c r="CL169"/>
  <c r="AH382" s="1"/>
  <c r="CL168"/>
  <c r="AH381" s="1"/>
  <c r="CL167"/>
  <c r="AH380" s="1"/>
  <c r="CL166"/>
  <c r="AH379" s="1"/>
  <c r="CL165"/>
  <c r="AH378" s="1"/>
  <c r="CL164"/>
  <c r="CL163"/>
  <c r="AH376" s="1"/>
  <c r="CL162"/>
  <c r="AH375" s="1"/>
  <c r="CL161"/>
  <c r="AH374" s="1"/>
  <c r="CL160"/>
  <c r="AH373" s="1"/>
  <c r="CL159"/>
  <c r="AH372" s="1"/>
  <c r="CL158"/>
  <c r="AH371" s="1"/>
  <c r="CL157"/>
  <c r="AH370" s="1"/>
  <c r="CL156"/>
  <c r="CL154"/>
  <c r="AH367" s="1"/>
  <c r="CL152"/>
  <c r="AH365" s="1"/>
  <c r="CL150"/>
  <c r="AH363" s="1"/>
  <c r="CL148"/>
  <c r="CL146"/>
  <c r="AH359" s="1"/>
  <c r="CL145"/>
  <c r="CL144"/>
  <c r="CL143"/>
  <c r="AH356" s="1"/>
  <c r="CL142"/>
  <c r="AH355" s="1"/>
  <c r="CL141"/>
  <c r="AH354" s="1"/>
  <c r="CL140"/>
  <c r="AH353" s="1"/>
  <c r="CL139"/>
  <c r="AH352" s="1"/>
  <c r="CL138"/>
  <c r="AH351" s="1"/>
  <c r="CL137"/>
  <c r="AH350" s="1"/>
  <c r="CL155"/>
  <c r="AH368" s="1"/>
  <c r="CL153"/>
  <c r="AH366" s="1"/>
  <c r="CL151"/>
  <c r="AH364" s="1"/>
  <c r="CL149"/>
  <c r="AH362" s="1"/>
  <c r="CL147"/>
  <c r="AH360" s="1"/>
  <c r="CK130"/>
  <c r="AG383"/>
  <c r="GH170"/>
  <c r="EO134"/>
  <c r="GJ228"/>
  <c r="GJ224"/>
  <c r="GJ234"/>
  <c r="GJ230"/>
  <c r="GJ216"/>
  <c r="GJ198"/>
  <c r="GJ204"/>
  <c r="GJ194"/>
  <c r="GJ190"/>
  <c r="GJ174"/>
  <c r="GJ169"/>
  <c r="GJ158"/>
  <c r="GJ153"/>
  <c r="GJ146"/>
  <c r="AI31"/>
  <c r="GJ235"/>
  <c r="GJ225"/>
  <c r="GJ223"/>
  <c r="GJ221"/>
  <c r="GJ205"/>
  <c r="GJ231"/>
  <c r="GJ229"/>
  <c r="GJ217"/>
  <c r="GJ213"/>
  <c r="GJ209"/>
  <c r="GJ207"/>
  <c r="GJ197"/>
  <c r="GJ195"/>
  <c r="GJ185"/>
  <c r="GJ201"/>
  <c r="GJ179"/>
  <c r="GJ166"/>
  <c r="GJ175"/>
  <c r="GJ163"/>
  <c r="GJ159"/>
  <c r="GJ150"/>
  <c r="GJ142"/>
  <c r="GJ139"/>
  <c r="A186" i="23"/>
  <c r="B187"/>
  <c r="GI233" i="21" l="1"/>
  <c r="GI215"/>
  <c r="GI225"/>
  <c r="GI191"/>
  <c r="AG439"/>
  <c r="AG433"/>
  <c r="AG425"/>
  <c r="AG421"/>
  <c r="AG413"/>
  <c r="AG409"/>
  <c r="AG401"/>
  <c r="AG395"/>
  <c r="AG393"/>
  <c r="AG377"/>
  <c r="AG369"/>
  <c r="AG361"/>
  <c r="AG440"/>
  <c r="AG432"/>
  <c r="AG416"/>
  <c r="AG402"/>
  <c r="EK145"/>
  <c r="AH358" s="1"/>
  <c r="EK148"/>
  <c r="AH361" s="1"/>
  <c r="EK156"/>
  <c r="AH369" s="1"/>
  <c r="EK164"/>
  <c r="AH377" s="1"/>
  <c r="EK176"/>
  <c r="AH389" s="1"/>
  <c r="EK180"/>
  <c r="AH393" s="1"/>
  <c r="EK182"/>
  <c r="AH395" s="1"/>
  <c r="EK184"/>
  <c r="AH397" s="1"/>
  <c r="EK188"/>
  <c r="GJ188" s="1"/>
  <c r="EK200"/>
  <c r="AH413" s="1"/>
  <c r="EK206"/>
  <c r="AH419" s="1"/>
  <c r="EK208"/>
  <c r="GJ208" s="1"/>
  <c r="EK212"/>
  <c r="GJ212" s="1"/>
  <c r="EK220"/>
  <c r="GJ220" s="1"/>
  <c r="EK226"/>
  <c r="AH439" s="1"/>
  <c r="EO225"/>
  <c r="EO221"/>
  <c r="EO195"/>
  <c r="EO183"/>
  <c r="EO175"/>
  <c r="EO167"/>
  <c r="EO159"/>
  <c r="EO151"/>
  <c r="EO147"/>
  <c r="EO143"/>
  <c r="EO139"/>
  <c r="EO153"/>
  <c r="EO157"/>
  <c r="EO161"/>
  <c r="EO165"/>
  <c r="EO169"/>
  <c r="EO173"/>
  <c r="EO181"/>
  <c r="EO185"/>
  <c r="EO193"/>
  <c r="EO207"/>
  <c r="EO197"/>
  <c r="EO205"/>
  <c r="EO213"/>
  <c r="EO217"/>
  <c r="EO229"/>
  <c r="EO145"/>
  <c r="EO155"/>
  <c r="EO187"/>
  <c r="EO223"/>
  <c r="EO186"/>
  <c r="EO190"/>
  <c r="EO194"/>
  <c r="EO198"/>
  <c r="EO202"/>
  <c r="EO210"/>
  <c r="EO216"/>
  <c r="EO222"/>
  <c r="EO224"/>
  <c r="EO232"/>
  <c r="EO138"/>
  <c r="EO140"/>
  <c r="EO142"/>
  <c r="EO231"/>
  <c r="EO235"/>
  <c r="EO141"/>
  <c r="EO149"/>
  <c r="EO163"/>
  <c r="EO179"/>
  <c r="EO211"/>
  <c r="EO192"/>
  <c r="EO196"/>
  <c r="EO204"/>
  <c r="EO218"/>
  <c r="EO228"/>
  <c r="EO234"/>
  <c r="EO236"/>
  <c r="EO150"/>
  <c r="EO152"/>
  <c r="EO154"/>
  <c r="EO160"/>
  <c r="EO162"/>
  <c r="EO166"/>
  <c r="EO168"/>
  <c r="EO170"/>
  <c r="EO172"/>
  <c r="EO174"/>
  <c r="EO178"/>
  <c r="EO137"/>
  <c r="EO146"/>
  <c r="EK144"/>
  <c r="AH357" s="1"/>
  <c r="EK171"/>
  <c r="AH384" s="1"/>
  <c r="EK177"/>
  <c r="AH390" s="1"/>
  <c r="EK183"/>
  <c r="GJ183" s="1"/>
  <c r="EK189"/>
  <c r="AH402" s="1"/>
  <c r="EK191"/>
  <c r="GJ191" s="1"/>
  <c r="EK199"/>
  <c r="GJ199" s="1"/>
  <c r="EK203"/>
  <c r="GJ203" s="1"/>
  <c r="EK211"/>
  <c r="GJ211" s="1"/>
  <c r="EK215"/>
  <c r="GJ215" s="1"/>
  <c r="EK219"/>
  <c r="GJ219" s="1"/>
  <c r="EK227"/>
  <c r="GJ227" s="1"/>
  <c r="EK233"/>
  <c r="GJ233" s="1"/>
  <c r="GJ148"/>
  <c r="GJ162"/>
  <c r="GJ176"/>
  <c r="GJ155"/>
  <c r="GJ151"/>
  <c r="GJ138"/>
  <c r="GJ147"/>
  <c r="GJ154"/>
  <c r="GJ157"/>
  <c r="GJ161"/>
  <c r="GJ165"/>
  <c r="GJ177"/>
  <c r="GJ173"/>
  <c r="GJ181"/>
  <c r="GJ193"/>
  <c r="GJ187"/>
  <c r="GJ140"/>
  <c r="GJ167"/>
  <c r="GJ141"/>
  <c r="GJ137"/>
  <c r="GJ156"/>
  <c r="GJ168"/>
  <c r="GJ143"/>
  <c r="GJ152"/>
  <c r="GJ160"/>
  <c r="GJ164"/>
  <c r="GJ178"/>
  <c r="GJ172"/>
  <c r="GJ180"/>
  <c r="GJ184"/>
  <c r="GJ192"/>
  <c r="GJ202"/>
  <c r="GJ186"/>
  <c r="GJ196"/>
  <c r="GJ200"/>
  <c r="GJ210"/>
  <c r="GJ214"/>
  <c r="GJ218"/>
  <c r="GJ232"/>
  <c r="GJ222"/>
  <c r="GJ236"/>
  <c r="GJ149"/>
  <c r="EK132"/>
  <c r="CN134"/>
  <c r="AO134"/>
  <c r="CL130"/>
  <c r="AH383"/>
  <c r="CM236"/>
  <c r="AI449" s="1"/>
  <c r="CM235"/>
  <c r="CM234"/>
  <c r="AI447" s="1"/>
  <c r="CM233"/>
  <c r="CM232"/>
  <c r="AI445" s="1"/>
  <c r="CM231"/>
  <c r="AI444" s="1"/>
  <c r="CM230"/>
  <c r="AI443" s="1"/>
  <c r="CM229"/>
  <c r="AI442" s="1"/>
  <c r="CM228"/>
  <c r="AI441" s="1"/>
  <c r="CM227"/>
  <c r="CM226"/>
  <c r="CM225"/>
  <c r="AI438" s="1"/>
  <c r="CM224"/>
  <c r="AI437" s="1"/>
  <c r="CM223"/>
  <c r="AI436" s="1"/>
  <c r="CM222"/>
  <c r="AI435" s="1"/>
  <c r="CM221"/>
  <c r="AI434" s="1"/>
  <c r="CM220"/>
  <c r="CM219"/>
  <c r="CM218"/>
  <c r="AI431" s="1"/>
  <c r="CM217"/>
  <c r="AI430" s="1"/>
  <c r="CM216"/>
  <c r="AI429" s="1"/>
  <c r="CM215"/>
  <c r="CM214"/>
  <c r="AI427" s="1"/>
  <c r="CM213"/>
  <c r="AI426" s="1"/>
  <c r="CM212"/>
  <c r="CM211"/>
  <c r="CM210"/>
  <c r="AI423" s="1"/>
  <c r="CM209"/>
  <c r="CM208"/>
  <c r="CM207"/>
  <c r="AI420" s="1"/>
  <c r="CM206"/>
  <c r="CM205"/>
  <c r="AI418" s="1"/>
  <c r="CM204"/>
  <c r="AI417" s="1"/>
  <c r="CM203"/>
  <c r="CM202"/>
  <c r="AI415" s="1"/>
  <c r="CM201"/>
  <c r="AI414" s="1"/>
  <c r="CM200"/>
  <c r="CM199"/>
  <c r="CM198"/>
  <c r="AI411" s="1"/>
  <c r="CM197"/>
  <c r="AI410" s="1"/>
  <c r="CM196"/>
  <c r="AI409" s="1"/>
  <c r="CM195"/>
  <c r="AI408" s="1"/>
  <c r="CM194"/>
  <c r="AI407" s="1"/>
  <c r="CM193"/>
  <c r="AI406" s="1"/>
  <c r="CM192"/>
  <c r="AI405" s="1"/>
  <c r="CM191"/>
  <c r="CM190"/>
  <c r="AI403" s="1"/>
  <c r="CM189"/>
  <c r="CM188"/>
  <c r="CM187"/>
  <c r="AI400" s="1"/>
  <c r="CM186"/>
  <c r="AI399" s="1"/>
  <c r="CM185"/>
  <c r="AI398" s="1"/>
  <c r="CM184"/>
  <c r="CM183"/>
  <c r="CM182"/>
  <c r="CM181"/>
  <c r="AI394" s="1"/>
  <c r="CM180"/>
  <c r="CM179"/>
  <c r="AI392" s="1"/>
  <c r="CM178"/>
  <c r="AI391" s="1"/>
  <c r="CM177"/>
  <c r="CM176"/>
  <c r="CM175"/>
  <c r="AI388" s="1"/>
  <c r="CM174"/>
  <c r="AI387" s="1"/>
  <c r="CM173"/>
  <c r="AI386" s="1"/>
  <c r="CM172"/>
  <c r="AI385" s="1"/>
  <c r="CM171"/>
  <c r="CM170"/>
  <c r="CM169"/>
  <c r="AI382" s="1"/>
  <c r="CM168"/>
  <c r="AI381" s="1"/>
  <c r="CM167"/>
  <c r="AI380" s="1"/>
  <c r="CM166"/>
  <c r="AI379" s="1"/>
  <c r="CM165"/>
  <c r="AI378" s="1"/>
  <c r="CM164"/>
  <c r="CM163"/>
  <c r="AI376" s="1"/>
  <c r="CM162"/>
  <c r="AI375" s="1"/>
  <c r="CM161"/>
  <c r="AI374" s="1"/>
  <c r="CM160"/>
  <c r="AI373" s="1"/>
  <c r="CM159"/>
  <c r="AI372" s="1"/>
  <c r="CM158"/>
  <c r="CM157"/>
  <c r="AI370" s="1"/>
  <c r="CM156"/>
  <c r="CM155"/>
  <c r="AI368" s="1"/>
  <c r="CM154"/>
  <c r="AI367" s="1"/>
  <c r="CM153"/>
  <c r="AI366" s="1"/>
  <c r="CM152"/>
  <c r="AI365" s="1"/>
  <c r="CM151"/>
  <c r="AI364" s="1"/>
  <c r="CM150"/>
  <c r="AI363" s="1"/>
  <c r="CM149"/>
  <c r="AI362" s="1"/>
  <c r="CM148"/>
  <c r="CM147"/>
  <c r="AI360" s="1"/>
  <c r="CM146"/>
  <c r="AI359" s="1"/>
  <c r="CM145"/>
  <c r="CM144"/>
  <c r="CM143"/>
  <c r="AI356" s="1"/>
  <c r="CM142"/>
  <c r="AI355" s="1"/>
  <c r="CM141"/>
  <c r="AI354" s="1"/>
  <c r="CM140"/>
  <c r="AI353" s="1"/>
  <c r="CM139"/>
  <c r="AI352" s="1"/>
  <c r="CM138"/>
  <c r="AI351" s="1"/>
  <c r="CM137"/>
  <c r="AI350" s="1"/>
  <c r="GI170"/>
  <c r="EP134"/>
  <c r="GK234"/>
  <c r="GK232"/>
  <c r="GK230"/>
  <c r="GK218"/>
  <c r="GK214"/>
  <c r="GK210"/>
  <c r="GK236"/>
  <c r="GK228"/>
  <c r="GK224"/>
  <c r="GK222"/>
  <c r="GK202"/>
  <c r="GK192"/>
  <c r="GK198"/>
  <c r="GK178"/>
  <c r="GK174"/>
  <c r="GK167"/>
  <c r="GK152"/>
  <c r="AJ31"/>
  <c r="GK217"/>
  <c r="GK225"/>
  <c r="GK205"/>
  <c r="GK197"/>
  <c r="GK159"/>
  <c r="GK166"/>
  <c r="GK157"/>
  <c r="A187" i="23"/>
  <c r="B188"/>
  <c r="GJ226" i="21" l="1"/>
  <c r="GJ206"/>
  <c r="GJ145"/>
  <c r="GJ182"/>
  <c r="GJ171"/>
  <c r="GJ189"/>
  <c r="GJ144"/>
  <c r="AH446"/>
  <c r="AH440"/>
  <c r="AH432"/>
  <c r="AH428"/>
  <c r="AH424"/>
  <c r="AH416"/>
  <c r="AH412"/>
  <c r="AH404"/>
  <c r="AH396"/>
  <c r="AH433"/>
  <c r="AH425"/>
  <c r="AH421"/>
  <c r="AH401"/>
  <c r="EL144"/>
  <c r="AI357" s="1"/>
  <c r="EL148"/>
  <c r="AI361" s="1"/>
  <c r="EL156"/>
  <c r="GK156" s="1"/>
  <c r="EL158"/>
  <c r="AI371" s="1"/>
  <c r="EL164"/>
  <c r="GK164" s="1"/>
  <c r="EL176"/>
  <c r="AI389" s="1"/>
  <c r="EL180"/>
  <c r="AI393" s="1"/>
  <c r="EL182"/>
  <c r="GK182" s="1"/>
  <c r="EL184"/>
  <c r="AI397" s="1"/>
  <c r="EL188"/>
  <c r="GK188" s="1"/>
  <c r="EL200"/>
  <c r="AI413" s="1"/>
  <c r="EL206"/>
  <c r="GK206" s="1"/>
  <c r="EL208"/>
  <c r="AI421" s="1"/>
  <c r="EL212"/>
  <c r="AI425" s="1"/>
  <c r="EL220"/>
  <c r="GK220" s="1"/>
  <c r="EL226"/>
  <c r="GK226" s="1"/>
  <c r="EP207"/>
  <c r="EP197"/>
  <c r="EP185"/>
  <c r="EP169"/>
  <c r="EP161"/>
  <c r="EP153"/>
  <c r="EP149"/>
  <c r="EP145"/>
  <c r="EP141"/>
  <c r="EP166"/>
  <c r="EP174"/>
  <c r="EP196"/>
  <c r="EP216"/>
  <c r="EP228"/>
  <c r="EP236"/>
  <c r="EP151"/>
  <c r="EP155"/>
  <c r="EP159"/>
  <c r="EP154"/>
  <c r="EP162"/>
  <c r="EP170"/>
  <c r="EP178"/>
  <c r="EP192"/>
  <c r="EP163"/>
  <c r="EP167"/>
  <c r="EP175"/>
  <c r="EP179"/>
  <c r="EP183"/>
  <c r="EP187"/>
  <c r="EP193"/>
  <c r="EP201"/>
  <c r="EP205"/>
  <c r="EP217"/>
  <c r="EP195"/>
  <c r="EP211"/>
  <c r="EP221"/>
  <c r="EP223"/>
  <c r="EP225"/>
  <c r="EP231"/>
  <c r="EP235"/>
  <c r="EP172"/>
  <c r="EP139"/>
  <c r="EP142"/>
  <c r="EP147"/>
  <c r="EP150"/>
  <c r="EP160"/>
  <c r="EP165"/>
  <c r="EP181"/>
  <c r="EP218"/>
  <c r="EP234"/>
  <c r="EP229"/>
  <c r="EP140"/>
  <c r="EP138"/>
  <c r="EP143"/>
  <c r="EP146"/>
  <c r="EP152"/>
  <c r="EP157"/>
  <c r="EP168"/>
  <c r="EP173"/>
  <c r="EP204"/>
  <c r="EP213"/>
  <c r="EP222"/>
  <c r="EP190"/>
  <c r="EP198"/>
  <c r="EP224"/>
  <c r="EP186"/>
  <c r="EP194"/>
  <c r="EP202"/>
  <c r="EP210"/>
  <c r="EP232"/>
  <c r="EP137"/>
  <c r="EL145"/>
  <c r="AI358" s="1"/>
  <c r="EL171"/>
  <c r="GK171" s="1"/>
  <c r="EL177"/>
  <c r="GK177" s="1"/>
  <c r="EL183"/>
  <c r="AI396" s="1"/>
  <c r="EL189"/>
  <c r="AI402" s="1"/>
  <c r="EL191"/>
  <c r="GK191" s="1"/>
  <c r="EL199"/>
  <c r="AI412" s="1"/>
  <c r="EL203"/>
  <c r="AI416" s="1"/>
  <c r="EL209"/>
  <c r="GK209" s="1"/>
  <c r="EL211"/>
  <c r="AI424" s="1"/>
  <c r="EL215"/>
  <c r="AI428" s="1"/>
  <c r="EL219"/>
  <c r="AI432" s="1"/>
  <c r="EL227"/>
  <c r="AI440" s="1"/>
  <c r="EL233"/>
  <c r="AI446" s="1"/>
  <c r="GK235"/>
  <c r="AI448"/>
  <c r="GK138"/>
  <c r="GK146"/>
  <c r="GK150"/>
  <c r="GK139"/>
  <c r="GK143"/>
  <c r="GK147"/>
  <c r="GK153"/>
  <c r="GK179"/>
  <c r="GK165"/>
  <c r="GK187"/>
  <c r="GK201"/>
  <c r="GK221"/>
  <c r="GK213"/>
  <c r="GK231"/>
  <c r="GK141"/>
  <c r="GK137"/>
  <c r="GK145"/>
  <c r="GK151"/>
  <c r="GK149"/>
  <c r="GK155"/>
  <c r="GK173"/>
  <c r="GK181"/>
  <c r="GK163"/>
  <c r="GK175"/>
  <c r="GK185"/>
  <c r="GK195"/>
  <c r="GK199"/>
  <c r="GK193"/>
  <c r="GK223"/>
  <c r="GK227"/>
  <c r="GK207"/>
  <c r="GK229"/>
  <c r="GK161"/>
  <c r="GK169"/>
  <c r="GK142"/>
  <c r="GK162"/>
  <c r="GK168"/>
  <c r="GK140"/>
  <c r="GK148"/>
  <c r="GK158"/>
  <c r="GK154"/>
  <c r="GK160"/>
  <c r="GK172"/>
  <c r="GK180"/>
  <c r="GK176"/>
  <c r="GK186"/>
  <c r="GK196"/>
  <c r="GK200"/>
  <c r="GK190"/>
  <c r="GK194"/>
  <c r="GK204"/>
  <c r="GK208"/>
  <c r="GK212"/>
  <c r="GK216"/>
  <c r="CO134"/>
  <c r="AP134"/>
  <c r="CM130"/>
  <c r="AI383"/>
  <c r="CN236"/>
  <c r="AJ449" s="1"/>
  <c r="CN235"/>
  <c r="AJ448" s="1"/>
  <c r="CN234"/>
  <c r="AJ447" s="1"/>
  <c r="CN233"/>
  <c r="CN232"/>
  <c r="AJ445" s="1"/>
  <c r="CN231"/>
  <c r="AJ444" s="1"/>
  <c r="CN230"/>
  <c r="AJ443" s="1"/>
  <c r="CN229"/>
  <c r="AJ442" s="1"/>
  <c r="CN228"/>
  <c r="AJ441" s="1"/>
  <c r="CN227"/>
  <c r="CN226"/>
  <c r="CN225"/>
  <c r="AJ438" s="1"/>
  <c r="CN224"/>
  <c r="AJ437" s="1"/>
  <c r="CN223"/>
  <c r="AJ436" s="1"/>
  <c r="CN222"/>
  <c r="AJ435" s="1"/>
  <c r="CN221"/>
  <c r="AJ434" s="1"/>
  <c r="CN220"/>
  <c r="CN219"/>
  <c r="CN218"/>
  <c r="AJ431" s="1"/>
  <c r="CN217"/>
  <c r="AJ430" s="1"/>
  <c r="CN216"/>
  <c r="AJ429" s="1"/>
  <c r="CN215"/>
  <c r="CN214"/>
  <c r="AJ427" s="1"/>
  <c r="CN213"/>
  <c r="AJ426" s="1"/>
  <c r="CN212"/>
  <c r="CN211"/>
  <c r="CN210"/>
  <c r="AJ423" s="1"/>
  <c r="CN209"/>
  <c r="CN208"/>
  <c r="CN207"/>
  <c r="AJ420" s="1"/>
  <c r="CN206"/>
  <c r="CN205"/>
  <c r="AJ418" s="1"/>
  <c r="CN204"/>
  <c r="AJ417" s="1"/>
  <c r="CN203"/>
  <c r="CN202"/>
  <c r="AJ415" s="1"/>
  <c r="CN201"/>
  <c r="CN200"/>
  <c r="CN199"/>
  <c r="CN198"/>
  <c r="AJ411" s="1"/>
  <c r="CN197"/>
  <c r="AJ410" s="1"/>
  <c r="CN196"/>
  <c r="AJ409" s="1"/>
  <c r="CN195"/>
  <c r="AJ408" s="1"/>
  <c r="CN194"/>
  <c r="AJ407" s="1"/>
  <c r="CN193"/>
  <c r="AJ406" s="1"/>
  <c r="CN192"/>
  <c r="AJ405" s="1"/>
  <c r="CN191"/>
  <c r="CN190"/>
  <c r="AJ403" s="1"/>
  <c r="CN189"/>
  <c r="CN188"/>
  <c r="CN187"/>
  <c r="AJ400" s="1"/>
  <c r="CN186"/>
  <c r="AJ399" s="1"/>
  <c r="CN185"/>
  <c r="AJ398" s="1"/>
  <c r="CN184"/>
  <c r="CN183"/>
  <c r="AJ396" s="1"/>
  <c r="CN182"/>
  <c r="CN181"/>
  <c r="AJ394" s="1"/>
  <c r="CN180"/>
  <c r="CN179"/>
  <c r="AJ392" s="1"/>
  <c r="CN178"/>
  <c r="AJ391" s="1"/>
  <c r="CN177"/>
  <c r="CN176"/>
  <c r="CN175"/>
  <c r="AJ388" s="1"/>
  <c r="CN174"/>
  <c r="AJ387" s="1"/>
  <c r="CN173"/>
  <c r="AJ386" s="1"/>
  <c r="CN172"/>
  <c r="AJ385" s="1"/>
  <c r="CN171"/>
  <c r="CN170"/>
  <c r="CN169"/>
  <c r="AJ382" s="1"/>
  <c r="CN168"/>
  <c r="AJ381" s="1"/>
  <c r="CN167"/>
  <c r="AJ380" s="1"/>
  <c r="CN166"/>
  <c r="AJ379" s="1"/>
  <c r="CN165"/>
  <c r="AJ378" s="1"/>
  <c r="CN164"/>
  <c r="CN163"/>
  <c r="AJ376" s="1"/>
  <c r="CN162"/>
  <c r="AJ375" s="1"/>
  <c r="CN161"/>
  <c r="AJ374" s="1"/>
  <c r="CN160"/>
  <c r="AJ373" s="1"/>
  <c r="CN159"/>
  <c r="AJ372" s="1"/>
  <c r="CN158"/>
  <c r="CN157"/>
  <c r="AJ370" s="1"/>
  <c r="CN155"/>
  <c r="AJ368" s="1"/>
  <c r="CN153"/>
  <c r="AJ366" s="1"/>
  <c r="CN151"/>
  <c r="AJ364" s="1"/>
  <c r="CN149"/>
  <c r="AJ362" s="1"/>
  <c r="CN147"/>
  <c r="AJ360" s="1"/>
  <c r="CN145"/>
  <c r="CN144"/>
  <c r="CN143"/>
  <c r="AJ356" s="1"/>
  <c r="CN142"/>
  <c r="AJ355" s="1"/>
  <c r="CN141"/>
  <c r="AJ354" s="1"/>
  <c r="CN140"/>
  <c r="AJ353" s="1"/>
  <c r="CN139"/>
  <c r="AJ352" s="1"/>
  <c r="CN138"/>
  <c r="AJ351" s="1"/>
  <c r="CN137"/>
  <c r="AJ350" s="1"/>
  <c r="CN156"/>
  <c r="CN154"/>
  <c r="AJ367" s="1"/>
  <c r="CN152"/>
  <c r="AJ365" s="1"/>
  <c r="CN150"/>
  <c r="AJ363" s="1"/>
  <c r="CN148"/>
  <c r="CN146"/>
  <c r="AJ359" s="1"/>
  <c r="EL132"/>
  <c r="GJ170"/>
  <c r="EQ134"/>
  <c r="GL228"/>
  <c r="GL224"/>
  <c r="GL234"/>
  <c r="GL230"/>
  <c r="GL216"/>
  <c r="GL198"/>
  <c r="GL204"/>
  <c r="GL194"/>
  <c r="GL165"/>
  <c r="GL149"/>
  <c r="AK31"/>
  <c r="GL235"/>
  <c r="GL223"/>
  <c r="GL231"/>
  <c r="GL207"/>
  <c r="GL197"/>
  <c r="GL187"/>
  <c r="GL193"/>
  <c r="GL181"/>
  <c r="GL166"/>
  <c r="GL169"/>
  <c r="GL154"/>
  <c r="GL142"/>
  <c r="A188" i="23"/>
  <c r="B189"/>
  <c r="GK211" i="21" l="1"/>
  <c r="GK219"/>
  <c r="GK184"/>
  <c r="GK144"/>
  <c r="GK233"/>
  <c r="GK215"/>
  <c r="GK203"/>
  <c r="GK189"/>
  <c r="GK183"/>
  <c r="AI422"/>
  <c r="AI404"/>
  <c r="AI390"/>
  <c r="AI384"/>
  <c r="AI439"/>
  <c r="AI433"/>
  <c r="AI419"/>
  <c r="AI401"/>
  <c r="AI395"/>
  <c r="AI377"/>
  <c r="AI369"/>
  <c r="EM145"/>
  <c r="GL145" s="1"/>
  <c r="EM171"/>
  <c r="AJ384" s="1"/>
  <c r="EM177"/>
  <c r="AJ390" s="1"/>
  <c r="EM189"/>
  <c r="GL189" s="1"/>
  <c r="EM191"/>
  <c r="AJ404" s="1"/>
  <c r="EM199"/>
  <c r="AJ412" s="1"/>
  <c r="EM201"/>
  <c r="AJ414" s="1"/>
  <c r="EM203"/>
  <c r="GL203" s="1"/>
  <c r="EM209"/>
  <c r="AJ422" s="1"/>
  <c r="EM211"/>
  <c r="GL211" s="1"/>
  <c r="EM215"/>
  <c r="GL215" s="1"/>
  <c r="EM219"/>
  <c r="GL219" s="1"/>
  <c r="EM227"/>
  <c r="GL227" s="1"/>
  <c r="EM233"/>
  <c r="GL233" s="1"/>
  <c r="EQ217"/>
  <c r="EQ187"/>
  <c r="EQ179"/>
  <c r="EQ163"/>
  <c r="EQ155"/>
  <c r="EQ147"/>
  <c r="EQ143"/>
  <c r="EQ139"/>
  <c r="EQ153"/>
  <c r="EQ157"/>
  <c r="EQ161"/>
  <c r="EQ197"/>
  <c r="EQ201"/>
  <c r="EQ205"/>
  <c r="EQ213"/>
  <c r="EQ215"/>
  <c r="EQ165"/>
  <c r="EQ169"/>
  <c r="EQ173"/>
  <c r="EQ181"/>
  <c r="EQ185"/>
  <c r="EQ195"/>
  <c r="EQ207"/>
  <c r="EQ211"/>
  <c r="EQ221"/>
  <c r="EQ223"/>
  <c r="EQ225"/>
  <c r="EQ231"/>
  <c r="EQ235"/>
  <c r="EQ141"/>
  <c r="EQ149"/>
  <c r="EQ159"/>
  <c r="EQ175"/>
  <c r="EQ192"/>
  <c r="EQ196"/>
  <c r="EQ204"/>
  <c r="EQ218"/>
  <c r="EQ228"/>
  <c r="EQ234"/>
  <c r="EQ236"/>
  <c r="EQ229"/>
  <c r="EQ145"/>
  <c r="EQ151"/>
  <c r="EQ167"/>
  <c r="EQ183"/>
  <c r="EQ186"/>
  <c r="EQ190"/>
  <c r="EQ194"/>
  <c r="EQ198"/>
  <c r="EQ202"/>
  <c r="EQ210"/>
  <c r="EQ216"/>
  <c r="EQ222"/>
  <c r="EQ224"/>
  <c r="EQ230"/>
  <c r="EQ232"/>
  <c r="EQ138"/>
  <c r="EQ140"/>
  <c r="EQ142"/>
  <c r="EQ146"/>
  <c r="EQ150"/>
  <c r="EQ152"/>
  <c r="EQ154"/>
  <c r="EQ160"/>
  <c r="EQ162"/>
  <c r="EQ166"/>
  <c r="EQ168"/>
  <c r="EQ170"/>
  <c r="EQ172"/>
  <c r="EQ174"/>
  <c r="EQ176"/>
  <c r="EQ178"/>
  <c r="EQ137"/>
  <c r="EM148"/>
  <c r="AJ361" s="1"/>
  <c r="EM156"/>
  <c r="AJ369" s="1"/>
  <c r="EM144"/>
  <c r="AJ357" s="1"/>
  <c r="EM158"/>
  <c r="AJ371" s="1"/>
  <c r="EM164"/>
  <c r="AJ377" s="1"/>
  <c r="EM176"/>
  <c r="AJ389" s="1"/>
  <c r="EM180"/>
  <c r="AJ393" s="1"/>
  <c r="EM182"/>
  <c r="GL182" s="1"/>
  <c r="EM184"/>
  <c r="AJ397" s="1"/>
  <c r="EM188"/>
  <c r="GL188" s="1"/>
  <c r="EM200"/>
  <c r="AJ413" s="1"/>
  <c r="EM206"/>
  <c r="AJ419" s="1"/>
  <c r="EM208"/>
  <c r="GL208" s="1"/>
  <c r="EM212"/>
  <c r="GL212" s="1"/>
  <c r="EM220"/>
  <c r="GL220" s="1"/>
  <c r="EM226"/>
  <c r="AJ439" s="1"/>
  <c r="GL152"/>
  <c r="GL140"/>
  <c r="GL155"/>
  <c r="GL160"/>
  <c r="GL174"/>
  <c r="GL190"/>
  <c r="GL137"/>
  <c r="GL159"/>
  <c r="GL173"/>
  <c r="GL141"/>
  <c r="GL229"/>
  <c r="GL139"/>
  <c r="GL157"/>
  <c r="GL161"/>
  <c r="GL171"/>
  <c r="GL179"/>
  <c r="GL183"/>
  <c r="GL201"/>
  <c r="GL185"/>
  <c r="GL195"/>
  <c r="GL199"/>
  <c r="GL209"/>
  <c r="GL213"/>
  <c r="GL217"/>
  <c r="GL205"/>
  <c r="GL221"/>
  <c r="GL225"/>
  <c r="GL143"/>
  <c r="GL153"/>
  <c r="GL163"/>
  <c r="GL175"/>
  <c r="GL167"/>
  <c r="GL150"/>
  <c r="GL146"/>
  <c r="GL147"/>
  <c r="GL151"/>
  <c r="GL178"/>
  <c r="GL168"/>
  <c r="GL138"/>
  <c r="GL158"/>
  <c r="GL162"/>
  <c r="GL172"/>
  <c r="GL184"/>
  <c r="GL192"/>
  <c r="GL202"/>
  <c r="GL186"/>
  <c r="GL196"/>
  <c r="GL210"/>
  <c r="GL214"/>
  <c r="GL218"/>
  <c r="GL232"/>
  <c r="GL206"/>
  <c r="GL222"/>
  <c r="GL226"/>
  <c r="GL236"/>
  <c r="CP134"/>
  <c r="AQ134"/>
  <c r="CN130"/>
  <c r="AJ383"/>
  <c r="CO236"/>
  <c r="AK449" s="1"/>
  <c r="CO235"/>
  <c r="AK448" s="1"/>
  <c r="CO234"/>
  <c r="AK447" s="1"/>
  <c r="CO233"/>
  <c r="CO232"/>
  <c r="AK445" s="1"/>
  <c r="CO231"/>
  <c r="AK444" s="1"/>
  <c r="CO230"/>
  <c r="CO229"/>
  <c r="AK442" s="1"/>
  <c r="CO228"/>
  <c r="AK441" s="1"/>
  <c r="CO227"/>
  <c r="CO226"/>
  <c r="CO225"/>
  <c r="AK438" s="1"/>
  <c r="CO224"/>
  <c r="AK437" s="1"/>
  <c r="CO223"/>
  <c r="AK436" s="1"/>
  <c r="CO222"/>
  <c r="AK435" s="1"/>
  <c r="CO221"/>
  <c r="AK434" s="1"/>
  <c r="CO220"/>
  <c r="CO219"/>
  <c r="CO218"/>
  <c r="AK431" s="1"/>
  <c r="CO217"/>
  <c r="AK430" s="1"/>
  <c r="CO216"/>
  <c r="AK429" s="1"/>
  <c r="CO215"/>
  <c r="CO214"/>
  <c r="AK427" s="1"/>
  <c r="CO213"/>
  <c r="AK426" s="1"/>
  <c r="CO212"/>
  <c r="CO211"/>
  <c r="CO210"/>
  <c r="AK423" s="1"/>
  <c r="CO209"/>
  <c r="CO208"/>
  <c r="CO207"/>
  <c r="AK420" s="1"/>
  <c r="CO206"/>
  <c r="CO205"/>
  <c r="AK418" s="1"/>
  <c r="CO204"/>
  <c r="AK417" s="1"/>
  <c r="CO203"/>
  <c r="CO202"/>
  <c r="AK415" s="1"/>
  <c r="CO201"/>
  <c r="CO200"/>
  <c r="CO199"/>
  <c r="CO198"/>
  <c r="AK411" s="1"/>
  <c r="CO197"/>
  <c r="AK410" s="1"/>
  <c r="CO196"/>
  <c r="AK409" s="1"/>
  <c r="CO195"/>
  <c r="AK408" s="1"/>
  <c r="CO194"/>
  <c r="AK407" s="1"/>
  <c r="CO193"/>
  <c r="AK406" s="1"/>
  <c r="CO192"/>
  <c r="AK405" s="1"/>
  <c r="CO191"/>
  <c r="CO190"/>
  <c r="AK403" s="1"/>
  <c r="CO189"/>
  <c r="CO188"/>
  <c r="CO187"/>
  <c r="AK400" s="1"/>
  <c r="CO186"/>
  <c r="AK399" s="1"/>
  <c r="CO185"/>
  <c r="AK398" s="1"/>
  <c r="CO184"/>
  <c r="CO183"/>
  <c r="AK396" s="1"/>
  <c r="CO182"/>
  <c r="CO181"/>
  <c r="AK394" s="1"/>
  <c r="CO180"/>
  <c r="CO179"/>
  <c r="AK392" s="1"/>
  <c r="CO178"/>
  <c r="AK391" s="1"/>
  <c r="CO177"/>
  <c r="CO176"/>
  <c r="CO175"/>
  <c r="AK388" s="1"/>
  <c r="CO174"/>
  <c r="AK387" s="1"/>
  <c r="CO173"/>
  <c r="AK386" s="1"/>
  <c r="CO172"/>
  <c r="AK385" s="1"/>
  <c r="CO171"/>
  <c r="CO170"/>
  <c r="CO169"/>
  <c r="AK382" s="1"/>
  <c r="CO168"/>
  <c r="AK381" s="1"/>
  <c r="CO167"/>
  <c r="AK380" s="1"/>
  <c r="CO166"/>
  <c r="AK379" s="1"/>
  <c r="CO165"/>
  <c r="AK378" s="1"/>
  <c r="CO164"/>
  <c r="CO163"/>
  <c r="AK376" s="1"/>
  <c r="CO162"/>
  <c r="AK375" s="1"/>
  <c r="CO161"/>
  <c r="AK374" s="1"/>
  <c r="CO160"/>
  <c r="AK373" s="1"/>
  <c r="CO159"/>
  <c r="AK372" s="1"/>
  <c r="CO158"/>
  <c r="CO157"/>
  <c r="AK370" s="1"/>
  <c r="CO156"/>
  <c r="CO155"/>
  <c r="AK368" s="1"/>
  <c r="CO154"/>
  <c r="AK367" s="1"/>
  <c r="CO153"/>
  <c r="AK366" s="1"/>
  <c r="CO152"/>
  <c r="AK365" s="1"/>
  <c r="CO151"/>
  <c r="AK364" s="1"/>
  <c r="CO150"/>
  <c r="AK363" s="1"/>
  <c r="CO149"/>
  <c r="AK362" s="1"/>
  <c r="CO148"/>
  <c r="CO147"/>
  <c r="AK360" s="1"/>
  <c r="CO146"/>
  <c r="AK359" s="1"/>
  <c r="CO145"/>
  <c r="CO144"/>
  <c r="CO143"/>
  <c r="AK356" s="1"/>
  <c r="CO142"/>
  <c r="AK355" s="1"/>
  <c r="CO141"/>
  <c r="AK354" s="1"/>
  <c r="CO140"/>
  <c r="AK353" s="1"/>
  <c r="CO139"/>
  <c r="AK352" s="1"/>
  <c r="CO138"/>
  <c r="AK351" s="1"/>
  <c r="CO137"/>
  <c r="AK350" s="1"/>
  <c r="EM132"/>
  <c r="GK170"/>
  <c r="ER134"/>
  <c r="GM236"/>
  <c r="GM231"/>
  <c r="GM217"/>
  <c r="GM213"/>
  <c r="GM228"/>
  <c r="GM224"/>
  <c r="GM222"/>
  <c r="GM204"/>
  <c r="GM202"/>
  <c r="GM194"/>
  <c r="GM192"/>
  <c r="GM190"/>
  <c r="GM198"/>
  <c r="GM196"/>
  <c r="GM186"/>
  <c r="GM178"/>
  <c r="GM169"/>
  <c r="GM168"/>
  <c r="GM166"/>
  <c r="GM159"/>
  <c r="GM154"/>
  <c r="AL31"/>
  <c r="GM234"/>
  <c r="GM232"/>
  <c r="GM218"/>
  <c r="GM216"/>
  <c r="GM214"/>
  <c r="GM210"/>
  <c r="GM235"/>
  <c r="GM225"/>
  <c r="GM221"/>
  <c r="GM205"/>
  <c r="GM183"/>
  <c r="GM197"/>
  <c r="GM187"/>
  <c r="GM165"/>
  <c r="GM174"/>
  <c r="GM172"/>
  <c r="GM151"/>
  <c r="A189" i="23"/>
  <c r="B190"/>
  <c r="GL200" i="21" l="1"/>
  <c r="GL180"/>
  <c r="GL148"/>
  <c r="GL164"/>
  <c r="GL144"/>
  <c r="GL156"/>
  <c r="GL191"/>
  <c r="GL177"/>
  <c r="GL176"/>
  <c r="AJ401"/>
  <c r="AJ395"/>
  <c r="AJ433"/>
  <c r="AJ425"/>
  <c r="AJ421"/>
  <c r="AJ446"/>
  <c r="AJ440"/>
  <c r="AJ432"/>
  <c r="AJ428"/>
  <c r="AJ424"/>
  <c r="AJ416"/>
  <c r="AJ402"/>
  <c r="AJ358"/>
  <c r="ER181"/>
  <c r="ER173"/>
  <c r="ER165"/>
  <c r="ER157"/>
  <c r="ER149"/>
  <c r="ER145"/>
  <c r="ER141"/>
  <c r="ER156"/>
  <c r="ER172"/>
  <c r="ER218"/>
  <c r="ER234"/>
  <c r="ER152"/>
  <c r="ER160"/>
  <c r="ER168"/>
  <c r="ER176"/>
  <c r="ER190"/>
  <c r="ER198"/>
  <c r="ER202"/>
  <c r="ER151"/>
  <c r="ER155"/>
  <c r="ER159"/>
  <c r="ER195"/>
  <c r="ER207"/>
  <c r="ER211"/>
  <c r="ER221"/>
  <c r="ER223"/>
  <c r="ER225"/>
  <c r="ER163"/>
  <c r="ER167"/>
  <c r="ER175"/>
  <c r="ER183"/>
  <c r="ER187"/>
  <c r="ER193"/>
  <c r="ER197"/>
  <c r="ER201"/>
  <c r="ER213"/>
  <c r="ER217"/>
  <c r="ER231"/>
  <c r="ER235"/>
  <c r="ER142"/>
  <c r="ER150"/>
  <c r="ER166"/>
  <c r="ER210"/>
  <c r="ER143"/>
  <c r="ER153"/>
  <c r="ER154"/>
  <c r="ER169"/>
  <c r="ER170"/>
  <c r="ER185"/>
  <c r="ER194"/>
  <c r="ER205"/>
  <c r="ER224"/>
  <c r="ER232"/>
  <c r="ER229"/>
  <c r="ER138"/>
  <c r="ER146"/>
  <c r="ER174"/>
  <c r="ER139"/>
  <c r="ER140"/>
  <c r="ER147"/>
  <c r="ER161"/>
  <c r="ER162"/>
  <c r="ER178"/>
  <c r="ER186"/>
  <c r="ER215"/>
  <c r="ER228"/>
  <c r="ER236"/>
  <c r="ER196"/>
  <c r="ER204"/>
  <c r="ER222"/>
  <c r="ER137"/>
  <c r="ER192"/>
  <c r="ER216"/>
  <c r="ER230"/>
  <c r="EN144"/>
  <c r="GM144" s="1"/>
  <c r="EN148"/>
  <c r="GM148" s="1"/>
  <c r="EN156"/>
  <c r="AK369" s="1"/>
  <c r="EN158"/>
  <c r="AK371" s="1"/>
  <c r="EN164"/>
  <c r="AK377" s="1"/>
  <c r="EN176"/>
  <c r="GM176" s="1"/>
  <c r="EN180"/>
  <c r="GM180" s="1"/>
  <c r="EN182"/>
  <c r="GM182" s="1"/>
  <c r="EN184"/>
  <c r="GM184" s="1"/>
  <c r="EN188"/>
  <c r="GM188" s="1"/>
  <c r="EN200"/>
  <c r="GM200" s="1"/>
  <c r="EN206"/>
  <c r="GM206" s="1"/>
  <c r="EN208"/>
  <c r="GM208" s="1"/>
  <c r="EN212"/>
  <c r="GM212" s="1"/>
  <c r="EN220"/>
  <c r="GM220" s="1"/>
  <c r="EN226"/>
  <c r="GM226" s="1"/>
  <c r="EN230"/>
  <c r="GM230" s="1"/>
  <c r="EN145"/>
  <c r="AK358" s="1"/>
  <c r="EN171"/>
  <c r="AK384" s="1"/>
  <c r="EN177"/>
  <c r="AK390" s="1"/>
  <c r="EN189"/>
  <c r="AK402" s="1"/>
  <c r="EN191"/>
  <c r="GM191" s="1"/>
  <c r="EN199"/>
  <c r="AK412" s="1"/>
  <c r="EN201"/>
  <c r="GM201" s="1"/>
  <c r="EN203"/>
  <c r="AK416" s="1"/>
  <c r="EN209"/>
  <c r="GM209" s="1"/>
  <c r="EN211"/>
  <c r="AK424" s="1"/>
  <c r="EN215"/>
  <c r="AK428" s="1"/>
  <c r="EN219"/>
  <c r="AK432" s="1"/>
  <c r="EN227"/>
  <c r="AK440" s="1"/>
  <c r="EN233"/>
  <c r="AK446" s="1"/>
  <c r="GM137"/>
  <c r="GM155"/>
  <c r="GM179"/>
  <c r="GM141"/>
  <c r="GM145"/>
  <c r="GM149"/>
  <c r="GM167"/>
  <c r="GM175"/>
  <c r="GM185"/>
  <c r="GM195"/>
  <c r="GM193"/>
  <c r="GM223"/>
  <c r="GM227"/>
  <c r="GM173"/>
  <c r="GM181"/>
  <c r="GM207"/>
  <c r="GM215"/>
  <c r="GM229"/>
  <c r="GM143"/>
  <c r="GM139"/>
  <c r="GM147"/>
  <c r="GM157"/>
  <c r="GM153"/>
  <c r="GM161"/>
  <c r="GM163"/>
  <c r="GM140"/>
  <c r="GM158"/>
  <c r="GM160"/>
  <c r="GM162"/>
  <c r="GM142"/>
  <c r="GM138"/>
  <c r="GM146"/>
  <c r="GM152"/>
  <c r="GM150"/>
  <c r="CQ134"/>
  <c r="AR134"/>
  <c r="CO130"/>
  <c r="AK383"/>
  <c r="CP236"/>
  <c r="AL449" s="1"/>
  <c r="CP235"/>
  <c r="CP234"/>
  <c r="AL447" s="1"/>
  <c r="CP233"/>
  <c r="CP232"/>
  <c r="AL445" s="1"/>
  <c r="CP231"/>
  <c r="AL444" s="1"/>
  <c r="CP230"/>
  <c r="CP229"/>
  <c r="AL442" s="1"/>
  <c r="CP228"/>
  <c r="AL441" s="1"/>
  <c r="CP227"/>
  <c r="CP226"/>
  <c r="CP225"/>
  <c r="AL438" s="1"/>
  <c r="CP224"/>
  <c r="AL437" s="1"/>
  <c r="CP223"/>
  <c r="AL436" s="1"/>
  <c r="CP222"/>
  <c r="AL435" s="1"/>
  <c r="CP221"/>
  <c r="AL434" s="1"/>
  <c r="CP220"/>
  <c r="CP219"/>
  <c r="CP218"/>
  <c r="AL431" s="1"/>
  <c r="CP217"/>
  <c r="AL430" s="1"/>
  <c r="CP216"/>
  <c r="AL429" s="1"/>
  <c r="CP215"/>
  <c r="CP214"/>
  <c r="CP213"/>
  <c r="AL426" s="1"/>
  <c r="CP212"/>
  <c r="CP211"/>
  <c r="AL424" s="1"/>
  <c r="CP210"/>
  <c r="AL423" s="1"/>
  <c r="CP209"/>
  <c r="CP208"/>
  <c r="CP207"/>
  <c r="AL420" s="1"/>
  <c r="CP206"/>
  <c r="CP205"/>
  <c r="AL418" s="1"/>
  <c r="CP204"/>
  <c r="AL417" s="1"/>
  <c r="CP203"/>
  <c r="CP202"/>
  <c r="AL415" s="1"/>
  <c r="CP201"/>
  <c r="CP200"/>
  <c r="CP199"/>
  <c r="CP198"/>
  <c r="AL411" s="1"/>
  <c r="CP197"/>
  <c r="AL410" s="1"/>
  <c r="CP196"/>
  <c r="AL409" s="1"/>
  <c r="CP195"/>
  <c r="AL408" s="1"/>
  <c r="CP194"/>
  <c r="AL407" s="1"/>
  <c r="CP193"/>
  <c r="AL406" s="1"/>
  <c r="CP192"/>
  <c r="AL405" s="1"/>
  <c r="CP191"/>
  <c r="CP190"/>
  <c r="AL403" s="1"/>
  <c r="CP189"/>
  <c r="CP188"/>
  <c r="CP187"/>
  <c r="AL400" s="1"/>
  <c r="CP186"/>
  <c r="AL399" s="1"/>
  <c r="CP185"/>
  <c r="AL398" s="1"/>
  <c r="CP184"/>
  <c r="CP183"/>
  <c r="AL396" s="1"/>
  <c r="CP182"/>
  <c r="CP181"/>
  <c r="AL394" s="1"/>
  <c r="CP180"/>
  <c r="CP179"/>
  <c r="AL392" s="1"/>
  <c r="CP178"/>
  <c r="AL391" s="1"/>
  <c r="CP177"/>
  <c r="CP176"/>
  <c r="CP175"/>
  <c r="AL388" s="1"/>
  <c r="CP174"/>
  <c r="AL387" s="1"/>
  <c r="CP173"/>
  <c r="AL386" s="1"/>
  <c r="CP172"/>
  <c r="AL385" s="1"/>
  <c r="CP171"/>
  <c r="CP170"/>
  <c r="CP169"/>
  <c r="AL382" s="1"/>
  <c r="CP168"/>
  <c r="AL381" s="1"/>
  <c r="CP167"/>
  <c r="AL380" s="1"/>
  <c r="CP166"/>
  <c r="AL379" s="1"/>
  <c r="CP165"/>
  <c r="AL378" s="1"/>
  <c r="CP164"/>
  <c r="CP163"/>
  <c r="AL376" s="1"/>
  <c r="CP162"/>
  <c r="AL375" s="1"/>
  <c r="CP161"/>
  <c r="AL374" s="1"/>
  <c r="CP160"/>
  <c r="AL373" s="1"/>
  <c r="CP159"/>
  <c r="AL372" s="1"/>
  <c r="CP158"/>
  <c r="CP157"/>
  <c r="AL370" s="1"/>
  <c r="CP156"/>
  <c r="CP154"/>
  <c r="AL367" s="1"/>
  <c r="CP152"/>
  <c r="AL365" s="1"/>
  <c r="CP150"/>
  <c r="AL363" s="1"/>
  <c r="CP148"/>
  <c r="CP146"/>
  <c r="AL359" s="1"/>
  <c r="CP145"/>
  <c r="AL358" s="1"/>
  <c r="CP144"/>
  <c r="CP143"/>
  <c r="AL356" s="1"/>
  <c r="CP142"/>
  <c r="AL355" s="1"/>
  <c r="CP141"/>
  <c r="AL354" s="1"/>
  <c r="CP140"/>
  <c r="AL353" s="1"/>
  <c r="CP139"/>
  <c r="AL352" s="1"/>
  <c r="CP138"/>
  <c r="AL351" s="1"/>
  <c r="CP137"/>
  <c r="AL350" s="1"/>
  <c r="CP155"/>
  <c r="AL368" s="1"/>
  <c r="CP153"/>
  <c r="AL366" s="1"/>
  <c r="CP151"/>
  <c r="AL364" s="1"/>
  <c r="CP149"/>
  <c r="AL362" s="1"/>
  <c r="CP147"/>
  <c r="AL360" s="1"/>
  <c r="EN132"/>
  <c r="GL170"/>
  <c r="ES134"/>
  <c r="GN236"/>
  <c r="GN228"/>
  <c r="GN224"/>
  <c r="GN222"/>
  <c r="GN234"/>
  <c r="GN232"/>
  <c r="GN218"/>
  <c r="GN216"/>
  <c r="GN210"/>
  <c r="GN198"/>
  <c r="GN196"/>
  <c r="GN186"/>
  <c r="GN204"/>
  <c r="GN202"/>
  <c r="GN194"/>
  <c r="GN192"/>
  <c r="GN190"/>
  <c r="GN174"/>
  <c r="GN172"/>
  <c r="GN178"/>
  <c r="GN162"/>
  <c r="GN160"/>
  <c r="GN152"/>
  <c r="GN155"/>
  <c r="GN153"/>
  <c r="GN143"/>
  <c r="GN141"/>
  <c r="GN146"/>
  <c r="AM31"/>
  <c r="GN223"/>
  <c r="GN229"/>
  <c r="GN211"/>
  <c r="GN207"/>
  <c r="GN197"/>
  <c r="GN187"/>
  <c r="GN193"/>
  <c r="GN181"/>
  <c r="GN173"/>
  <c r="GN168"/>
  <c r="GN166"/>
  <c r="GN175"/>
  <c r="GN163"/>
  <c r="GN159"/>
  <c r="GN150"/>
  <c r="GN142"/>
  <c r="GN145"/>
  <c r="GN139"/>
  <c r="GN137"/>
  <c r="B191" i="23"/>
  <c r="A190"/>
  <c r="GM156" i="21" l="1"/>
  <c r="GM164"/>
  <c r="GM233"/>
  <c r="GM219"/>
  <c r="GM199"/>
  <c r="AK357"/>
  <c r="GM211"/>
  <c r="GM171"/>
  <c r="GM203"/>
  <c r="GM189"/>
  <c r="GM177"/>
  <c r="AK422"/>
  <c r="AK414"/>
  <c r="AK404"/>
  <c r="AK443"/>
  <c r="AK439"/>
  <c r="AK433"/>
  <c r="AK425"/>
  <c r="AK421"/>
  <c r="AK419"/>
  <c r="AK413"/>
  <c r="AK401"/>
  <c r="AK397"/>
  <c r="AK395"/>
  <c r="AK393"/>
  <c r="AK389"/>
  <c r="AK361"/>
  <c r="ES211"/>
  <c r="ES201"/>
  <c r="ES183"/>
  <c r="ES175"/>
  <c r="ES167"/>
  <c r="ES159"/>
  <c r="ES151"/>
  <c r="ES147"/>
  <c r="ES143"/>
  <c r="ES139"/>
  <c r="ES153"/>
  <c r="ES157"/>
  <c r="ES161"/>
  <c r="ES165"/>
  <c r="ES169"/>
  <c r="ES173"/>
  <c r="ES181"/>
  <c r="ES185"/>
  <c r="ES207"/>
  <c r="ES217"/>
  <c r="ES193"/>
  <c r="ES197"/>
  <c r="ES205"/>
  <c r="ES213"/>
  <c r="ES215"/>
  <c r="ES221"/>
  <c r="ES223"/>
  <c r="ES225"/>
  <c r="ES229"/>
  <c r="ES145"/>
  <c r="ES163"/>
  <c r="ES179"/>
  <c r="ES186"/>
  <c r="ES190"/>
  <c r="ES194"/>
  <c r="ES198"/>
  <c r="ES202"/>
  <c r="ES210"/>
  <c r="ES216"/>
  <c r="ES222"/>
  <c r="ES224"/>
  <c r="ES230"/>
  <c r="ES232"/>
  <c r="ES140"/>
  <c r="ES142"/>
  <c r="ES231"/>
  <c r="ES235"/>
  <c r="ES141"/>
  <c r="ES149"/>
  <c r="ES155"/>
  <c r="ES187"/>
  <c r="ES195"/>
  <c r="ES196"/>
  <c r="ES204"/>
  <c r="ES218"/>
  <c r="ES228"/>
  <c r="ES234"/>
  <c r="ES236"/>
  <c r="ES146"/>
  <c r="ES150"/>
  <c r="ES152"/>
  <c r="ES154"/>
  <c r="ES156"/>
  <c r="ES160"/>
  <c r="ES162"/>
  <c r="ES166"/>
  <c r="ES168"/>
  <c r="ES170"/>
  <c r="ES172"/>
  <c r="ES174"/>
  <c r="ES176"/>
  <c r="ES178"/>
  <c r="ES137"/>
  <c r="EO148"/>
  <c r="GN148" s="1"/>
  <c r="EO156"/>
  <c r="GN156" s="1"/>
  <c r="EO158"/>
  <c r="GN158" s="1"/>
  <c r="EO164"/>
  <c r="GN164" s="1"/>
  <c r="EO176"/>
  <c r="GN176" s="1"/>
  <c r="EO180"/>
  <c r="GN180" s="1"/>
  <c r="EO182"/>
  <c r="GN182" s="1"/>
  <c r="EO184"/>
  <c r="GN184" s="1"/>
  <c r="EO188"/>
  <c r="GN188" s="1"/>
  <c r="EO200"/>
  <c r="GN200" s="1"/>
  <c r="EO206"/>
  <c r="GN206" s="1"/>
  <c r="EO208"/>
  <c r="GN208" s="1"/>
  <c r="EO212"/>
  <c r="GN212" s="1"/>
  <c r="EO214"/>
  <c r="GN214" s="1"/>
  <c r="EO220"/>
  <c r="GN220" s="1"/>
  <c r="EO226"/>
  <c r="GN226" s="1"/>
  <c r="EO230"/>
  <c r="GN230" s="1"/>
  <c r="EO144"/>
  <c r="AL357" s="1"/>
  <c r="EO171"/>
  <c r="GN171" s="1"/>
  <c r="EO177"/>
  <c r="AL390" s="1"/>
  <c r="EO189"/>
  <c r="GN189" s="1"/>
  <c r="EO191"/>
  <c r="AL404" s="1"/>
  <c r="EO199"/>
  <c r="AL412" s="1"/>
  <c r="EO201"/>
  <c r="AL414" s="1"/>
  <c r="EO203"/>
  <c r="GN203" s="1"/>
  <c r="EO209"/>
  <c r="AL422" s="1"/>
  <c r="EO215"/>
  <c r="GN215" s="1"/>
  <c r="EO219"/>
  <c r="GN219" s="1"/>
  <c r="EO227"/>
  <c r="GN227" s="1"/>
  <c r="EO233"/>
  <c r="GN233" s="1"/>
  <c r="GN235"/>
  <c r="AL448"/>
  <c r="GN154"/>
  <c r="GN157"/>
  <c r="GN161"/>
  <c r="GN165"/>
  <c r="GN179"/>
  <c r="GN183"/>
  <c r="GN201"/>
  <c r="GN185"/>
  <c r="GN195"/>
  <c r="GN213"/>
  <c r="GN217"/>
  <c r="GN231"/>
  <c r="GN205"/>
  <c r="GN221"/>
  <c r="GN225"/>
  <c r="GN138"/>
  <c r="GN169"/>
  <c r="GN167"/>
  <c r="GN149"/>
  <c r="GN147"/>
  <c r="GN151"/>
  <c r="GN140"/>
  <c r="CR134"/>
  <c r="AS134"/>
  <c r="CP130"/>
  <c r="AL383"/>
  <c r="CQ236"/>
  <c r="AM449" s="1"/>
  <c r="CQ235"/>
  <c r="AM448" s="1"/>
  <c r="CQ234"/>
  <c r="AM447" s="1"/>
  <c r="CQ233"/>
  <c r="CQ232"/>
  <c r="AM445" s="1"/>
  <c r="CQ231"/>
  <c r="AM444" s="1"/>
  <c r="CQ230"/>
  <c r="CQ229"/>
  <c r="AM442" s="1"/>
  <c r="CQ228"/>
  <c r="AM441" s="1"/>
  <c r="CQ227"/>
  <c r="CQ226"/>
  <c r="CQ225"/>
  <c r="AM438" s="1"/>
  <c r="CQ224"/>
  <c r="AM437" s="1"/>
  <c r="CQ223"/>
  <c r="AM436" s="1"/>
  <c r="CQ222"/>
  <c r="AM435" s="1"/>
  <c r="CQ221"/>
  <c r="AM434" s="1"/>
  <c r="CQ220"/>
  <c r="CQ219"/>
  <c r="CQ218"/>
  <c r="AM431" s="1"/>
  <c r="CQ217"/>
  <c r="AM430" s="1"/>
  <c r="CQ216"/>
  <c r="AM429" s="1"/>
  <c r="CQ215"/>
  <c r="CQ214"/>
  <c r="CQ213"/>
  <c r="AM426" s="1"/>
  <c r="CQ212"/>
  <c r="CQ211"/>
  <c r="AM424" s="1"/>
  <c r="CQ210"/>
  <c r="AM423" s="1"/>
  <c r="CQ209"/>
  <c r="CQ208"/>
  <c r="CQ207"/>
  <c r="AM420" s="1"/>
  <c r="CQ206"/>
  <c r="CQ205"/>
  <c r="AM418" s="1"/>
  <c r="CQ204"/>
  <c r="AM417" s="1"/>
  <c r="CQ203"/>
  <c r="CQ202"/>
  <c r="AM415" s="1"/>
  <c r="CQ201"/>
  <c r="AM414" s="1"/>
  <c r="CQ200"/>
  <c r="CQ199"/>
  <c r="CQ198"/>
  <c r="AM411" s="1"/>
  <c r="CQ197"/>
  <c r="AM410" s="1"/>
  <c r="CQ196"/>
  <c r="AM409" s="1"/>
  <c r="CQ195"/>
  <c r="AM408" s="1"/>
  <c r="CQ194"/>
  <c r="AM407" s="1"/>
  <c r="CQ193"/>
  <c r="AM406" s="1"/>
  <c r="CQ192"/>
  <c r="AM405" s="1"/>
  <c r="CQ191"/>
  <c r="CQ190"/>
  <c r="AM403" s="1"/>
  <c r="CQ189"/>
  <c r="CQ188"/>
  <c r="CQ187"/>
  <c r="AM400" s="1"/>
  <c r="CQ186"/>
  <c r="AM399" s="1"/>
  <c r="CQ185"/>
  <c r="AM398" s="1"/>
  <c r="CQ184"/>
  <c r="CQ183"/>
  <c r="AM396" s="1"/>
  <c r="CQ182"/>
  <c r="CQ181"/>
  <c r="AM394" s="1"/>
  <c r="CQ180"/>
  <c r="CQ179"/>
  <c r="AM392" s="1"/>
  <c r="CQ178"/>
  <c r="AM391" s="1"/>
  <c r="CQ177"/>
  <c r="CQ176"/>
  <c r="CQ175"/>
  <c r="AM388" s="1"/>
  <c r="CQ174"/>
  <c r="AM387" s="1"/>
  <c r="CQ173"/>
  <c r="AM386" s="1"/>
  <c r="CQ172"/>
  <c r="AM385" s="1"/>
  <c r="CQ171"/>
  <c r="CQ170"/>
  <c r="CQ169"/>
  <c r="AM382" s="1"/>
  <c r="CQ168"/>
  <c r="AM381" s="1"/>
  <c r="CQ167"/>
  <c r="AM380" s="1"/>
  <c r="CQ166"/>
  <c r="AM379" s="1"/>
  <c r="CQ165"/>
  <c r="AM378" s="1"/>
  <c r="CQ164"/>
  <c r="CQ163"/>
  <c r="AM376" s="1"/>
  <c r="CQ162"/>
  <c r="AM375" s="1"/>
  <c r="CQ161"/>
  <c r="AM374" s="1"/>
  <c r="CQ160"/>
  <c r="AM373" s="1"/>
  <c r="CQ159"/>
  <c r="AM372" s="1"/>
  <c r="CQ158"/>
  <c r="CQ157"/>
  <c r="AM370" s="1"/>
  <c r="CQ156"/>
  <c r="CQ155"/>
  <c r="AM368" s="1"/>
  <c r="CQ154"/>
  <c r="AM367" s="1"/>
  <c r="CQ153"/>
  <c r="AM366" s="1"/>
  <c r="CQ152"/>
  <c r="AM365" s="1"/>
  <c r="CQ151"/>
  <c r="AM364" s="1"/>
  <c r="CQ150"/>
  <c r="AM363" s="1"/>
  <c r="CQ149"/>
  <c r="AM362" s="1"/>
  <c r="CQ148"/>
  <c r="CQ147"/>
  <c r="AM360" s="1"/>
  <c r="CQ146"/>
  <c r="AM359" s="1"/>
  <c r="CQ145"/>
  <c r="AM358" s="1"/>
  <c r="CQ144"/>
  <c r="CQ143"/>
  <c r="AM356" s="1"/>
  <c r="CQ142"/>
  <c r="AM355" s="1"/>
  <c r="CQ141"/>
  <c r="AM354" s="1"/>
  <c r="CQ140"/>
  <c r="AM353" s="1"/>
  <c r="CQ139"/>
  <c r="AM352" s="1"/>
  <c r="CQ138"/>
  <c r="AM351" s="1"/>
  <c r="CQ137"/>
  <c r="AM350" s="1"/>
  <c r="EO132"/>
  <c r="GM170"/>
  <c r="ET134"/>
  <c r="GO231"/>
  <c r="GO229"/>
  <c r="GO217"/>
  <c r="GO213"/>
  <c r="GO211"/>
  <c r="GO207"/>
  <c r="GO235"/>
  <c r="GO225"/>
  <c r="GO223"/>
  <c r="GO234"/>
  <c r="GO232"/>
  <c r="GO218"/>
  <c r="GO216"/>
  <c r="GO210"/>
  <c r="GO236"/>
  <c r="GO228"/>
  <c r="GO224"/>
  <c r="GO222"/>
  <c r="GO204"/>
  <c r="GO194"/>
  <c r="GO190"/>
  <c r="GO196"/>
  <c r="GO186"/>
  <c r="GO169"/>
  <c r="GO161"/>
  <c r="GO172"/>
  <c r="GO167"/>
  <c r="GO160"/>
  <c r="GO140"/>
  <c r="AN31"/>
  <c r="GO221"/>
  <c r="GO205"/>
  <c r="GO201"/>
  <c r="GO193"/>
  <c r="GO183"/>
  <c r="GO197"/>
  <c r="GO195"/>
  <c r="GO187"/>
  <c r="GO185"/>
  <c r="GO175"/>
  <c r="GO165"/>
  <c r="GO163"/>
  <c r="GO159"/>
  <c r="GO181"/>
  <c r="GO179"/>
  <c r="GO173"/>
  <c r="GO162"/>
  <c r="GO155"/>
  <c r="GO153"/>
  <c r="GO149"/>
  <c r="GO157"/>
  <c r="GO151"/>
  <c r="GO147"/>
  <c r="GO145"/>
  <c r="GO143"/>
  <c r="GO141"/>
  <c r="A191" i="23"/>
  <c r="B192"/>
  <c r="GN209" i="21" l="1"/>
  <c r="GN177"/>
  <c r="GN199"/>
  <c r="GN191"/>
  <c r="GN144"/>
  <c r="AL446"/>
  <c r="AL440"/>
  <c r="AL432"/>
  <c r="AL428"/>
  <c r="AL416"/>
  <c r="AL402"/>
  <c r="AL384"/>
  <c r="AL443"/>
  <c r="AL439"/>
  <c r="AL433"/>
  <c r="AL427"/>
  <c r="AL425"/>
  <c r="AL421"/>
  <c r="AL419"/>
  <c r="AL413"/>
  <c r="AL401"/>
  <c r="AL397"/>
  <c r="AL395"/>
  <c r="AL393"/>
  <c r="AL389"/>
  <c r="AL377"/>
  <c r="AL371"/>
  <c r="AL369"/>
  <c r="AL361"/>
  <c r="EP171"/>
  <c r="GO171" s="1"/>
  <c r="EP177"/>
  <c r="GO177" s="1"/>
  <c r="EP189"/>
  <c r="GO189" s="1"/>
  <c r="EP191"/>
  <c r="GO191" s="1"/>
  <c r="EP199"/>
  <c r="GO199" s="1"/>
  <c r="EP203"/>
  <c r="GO203" s="1"/>
  <c r="EP209"/>
  <c r="GO209" s="1"/>
  <c r="EP215"/>
  <c r="GO215" s="1"/>
  <c r="EP219"/>
  <c r="GO219" s="1"/>
  <c r="EP227"/>
  <c r="GO227" s="1"/>
  <c r="EP233"/>
  <c r="GO233" s="1"/>
  <c r="ET213"/>
  <c r="ET185"/>
  <c r="ET169"/>
  <c r="ET161"/>
  <c r="ET153"/>
  <c r="ET149"/>
  <c r="ET145"/>
  <c r="ET141"/>
  <c r="ET154"/>
  <c r="ET162"/>
  <c r="ET170"/>
  <c r="ET178"/>
  <c r="ET196"/>
  <c r="ET204"/>
  <c r="ET224"/>
  <c r="ET232"/>
  <c r="ET151"/>
  <c r="ET155"/>
  <c r="ET159"/>
  <c r="ET166"/>
  <c r="ET174"/>
  <c r="ET163"/>
  <c r="ET167"/>
  <c r="ET175"/>
  <c r="ET179"/>
  <c r="ET183"/>
  <c r="ET187"/>
  <c r="ET193"/>
  <c r="ET201"/>
  <c r="ET209"/>
  <c r="ET217"/>
  <c r="ET195"/>
  <c r="ET199"/>
  <c r="ET205"/>
  <c r="ET211"/>
  <c r="ET215"/>
  <c r="ET221"/>
  <c r="ET223"/>
  <c r="ET225"/>
  <c r="ET229"/>
  <c r="ET140"/>
  <c r="ET152"/>
  <c r="ET168"/>
  <c r="ET139"/>
  <c r="ET146"/>
  <c r="ET147"/>
  <c r="ET157"/>
  <c r="ET173"/>
  <c r="ET207"/>
  <c r="ET216"/>
  <c r="ET222"/>
  <c r="ET230"/>
  <c r="ET231"/>
  <c r="ET235"/>
  <c r="ET160"/>
  <c r="ET176"/>
  <c r="ET142"/>
  <c r="ET143"/>
  <c r="ET150"/>
  <c r="ET156"/>
  <c r="ET165"/>
  <c r="ET172"/>
  <c r="ET181"/>
  <c r="ET197"/>
  <c r="ET218"/>
  <c r="ET234"/>
  <c r="ET186"/>
  <c r="ET194"/>
  <c r="ET202"/>
  <c r="ET210"/>
  <c r="ET236"/>
  <c r="ET190"/>
  <c r="ET198"/>
  <c r="ET228"/>
  <c r="ET137"/>
  <c r="EP144"/>
  <c r="AM357" s="1"/>
  <c r="EP148"/>
  <c r="AM361" s="1"/>
  <c r="EP156"/>
  <c r="AM369" s="1"/>
  <c r="EP158"/>
  <c r="GO158" s="1"/>
  <c r="EP164"/>
  <c r="AM377" s="1"/>
  <c r="EP176"/>
  <c r="AM389" s="1"/>
  <c r="EP180"/>
  <c r="AM393" s="1"/>
  <c r="EP182"/>
  <c r="AM395" s="1"/>
  <c r="EP184"/>
  <c r="AM397" s="1"/>
  <c r="EP188"/>
  <c r="AM401" s="1"/>
  <c r="EP200"/>
  <c r="GO200" s="1"/>
  <c r="EP206"/>
  <c r="AM419" s="1"/>
  <c r="EP208"/>
  <c r="GO208" s="1"/>
  <c r="EP212"/>
  <c r="GO212" s="1"/>
  <c r="EP214"/>
  <c r="GO214" s="1"/>
  <c r="EP220"/>
  <c r="GO220" s="1"/>
  <c r="EP226"/>
  <c r="GO226" s="1"/>
  <c r="EP230"/>
  <c r="GO230" s="1"/>
  <c r="GO168"/>
  <c r="GO142"/>
  <c r="GO154"/>
  <c r="GO176"/>
  <c r="GO137"/>
  <c r="GO166"/>
  <c r="GO146"/>
  <c r="GO152"/>
  <c r="GO150"/>
  <c r="GO174"/>
  <c r="GO164"/>
  <c r="GO178"/>
  <c r="GO198"/>
  <c r="GO184"/>
  <c r="GO192"/>
  <c r="GO202"/>
  <c r="GO138"/>
  <c r="GO139"/>
  <c r="CS134"/>
  <c r="AT134"/>
  <c r="CQ130"/>
  <c r="AM383"/>
  <c r="CR236"/>
  <c r="AN449" s="1"/>
  <c r="CR235"/>
  <c r="AN448" s="1"/>
  <c r="CR234"/>
  <c r="AN447" s="1"/>
  <c r="CR233"/>
  <c r="CR232"/>
  <c r="AN445" s="1"/>
  <c r="CR231"/>
  <c r="AN444" s="1"/>
  <c r="CR230"/>
  <c r="AN443" s="1"/>
  <c r="CR229"/>
  <c r="AN442" s="1"/>
  <c r="CR228"/>
  <c r="AN441" s="1"/>
  <c r="CR227"/>
  <c r="CR226"/>
  <c r="CR225"/>
  <c r="AN438" s="1"/>
  <c r="CR224"/>
  <c r="AN437" s="1"/>
  <c r="CR223"/>
  <c r="AN436" s="1"/>
  <c r="CR222"/>
  <c r="AN435" s="1"/>
  <c r="CR221"/>
  <c r="AN434" s="1"/>
  <c r="CR220"/>
  <c r="CR219"/>
  <c r="CR218"/>
  <c r="AN431" s="1"/>
  <c r="CR217"/>
  <c r="AN430" s="1"/>
  <c r="CR216"/>
  <c r="AN429" s="1"/>
  <c r="CR215"/>
  <c r="AN428" s="1"/>
  <c r="CR214"/>
  <c r="CR213"/>
  <c r="AN426" s="1"/>
  <c r="CR212"/>
  <c r="CR211"/>
  <c r="AN424" s="1"/>
  <c r="CR210"/>
  <c r="AN423" s="1"/>
  <c r="CR209"/>
  <c r="CR208"/>
  <c r="CR207"/>
  <c r="AN420" s="1"/>
  <c r="CR206"/>
  <c r="CR205"/>
  <c r="AN418" s="1"/>
  <c r="CR204"/>
  <c r="AN417" s="1"/>
  <c r="CR203"/>
  <c r="CR202"/>
  <c r="AN415" s="1"/>
  <c r="CR201"/>
  <c r="AN414" s="1"/>
  <c r="CR200"/>
  <c r="CR199"/>
  <c r="CR198"/>
  <c r="AN411" s="1"/>
  <c r="CR197"/>
  <c r="AN410" s="1"/>
  <c r="CR196"/>
  <c r="AN409" s="1"/>
  <c r="CR195"/>
  <c r="AN408" s="1"/>
  <c r="CR194"/>
  <c r="AN407" s="1"/>
  <c r="CR193"/>
  <c r="CR192"/>
  <c r="AN405" s="1"/>
  <c r="CR191"/>
  <c r="CR190"/>
  <c r="AN403" s="1"/>
  <c r="CR189"/>
  <c r="CR188"/>
  <c r="CR187"/>
  <c r="AN400" s="1"/>
  <c r="CR186"/>
  <c r="AN399" s="1"/>
  <c r="CR185"/>
  <c r="AN398" s="1"/>
  <c r="CR184"/>
  <c r="CR183"/>
  <c r="AN396" s="1"/>
  <c r="CR182"/>
  <c r="CR181"/>
  <c r="AN394" s="1"/>
  <c r="CR180"/>
  <c r="CR179"/>
  <c r="AN392" s="1"/>
  <c r="CR178"/>
  <c r="AN391" s="1"/>
  <c r="CR177"/>
  <c r="CR176"/>
  <c r="AN389" s="1"/>
  <c r="CR175"/>
  <c r="AN388" s="1"/>
  <c r="CR174"/>
  <c r="AN387" s="1"/>
  <c r="CR173"/>
  <c r="AN386" s="1"/>
  <c r="CR172"/>
  <c r="AN385" s="1"/>
  <c r="CR171"/>
  <c r="CR170"/>
  <c r="CR169"/>
  <c r="AN382" s="1"/>
  <c r="CR168"/>
  <c r="AN381" s="1"/>
  <c r="CR167"/>
  <c r="AN380" s="1"/>
  <c r="CR166"/>
  <c r="AN379" s="1"/>
  <c r="CR165"/>
  <c r="AN378" s="1"/>
  <c r="CR164"/>
  <c r="CR163"/>
  <c r="AN376" s="1"/>
  <c r="CR162"/>
  <c r="AN375" s="1"/>
  <c r="CR161"/>
  <c r="AN374" s="1"/>
  <c r="CR160"/>
  <c r="AN373" s="1"/>
  <c r="CR159"/>
  <c r="AN372" s="1"/>
  <c r="CR158"/>
  <c r="CR157"/>
  <c r="AN370" s="1"/>
  <c r="CR155"/>
  <c r="AN368" s="1"/>
  <c r="CR153"/>
  <c r="AN366" s="1"/>
  <c r="CR151"/>
  <c r="AN364" s="1"/>
  <c r="CR149"/>
  <c r="AN362" s="1"/>
  <c r="CR147"/>
  <c r="AN360" s="1"/>
  <c r="CR145"/>
  <c r="AN358" s="1"/>
  <c r="CR144"/>
  <c r="CR143"/>
  <c r="AN356" s="1"/>
  <c r="CR142"/>
  <c r="AN355" s="1"/>
  <c r="CR141"/>
  <c r="AN354" s="1"/>
  <c r="CR140"/>
  <c r="AN353" s="1"/>
  <c r="CR139"/>
  <c r="AN352" s="1"/>
  <c r="CR138"/>
  <c r="AN351" s="1"/>
  <c r="CR137"/>
  <c r="AN350" s="1"/>
  <c r="CR156"/>
  <c r="CR154"/>
  <c r="AN367" s="1"/>
  <c r="CR152"/>
  <c r="AN365" s="1"/>
  <c r="CR150"/>
  <c r="AN363" s="1"/>
  <c r="CR148"/>
  <c r="CR146"/>
  <c r="AN359" s="1"/>
  <c r="EP132"/>
  <c r="GN170"/>
  <c r="EU134"/>
  <c r="GP236"/>
  <c r="GP228"/>
  <c r="GP224"/>
  <c r="GP222"/>
  <c r="GP234"/>
  <c r="GP232"/>
  <c r="GP230"/>
  <c r="GP218"/>
  <c r="GP216"/>
  <c r="GP210"/>
  <c r="GP198"/>
  <c r="GP196"/>
  <c r="GP186"/>
  <c r="GP204"/>
  <c r="GP202"/>
  <c r="GP194"/>
  <c r="GP192"/>
  <c r="GP190"/>
  <c r="GP174"/>
  <c r="GP172"/>
  <c r="GP162"/>
  <c r="GP175"/>
  <c r="GP163"/>
  <c r="GP160"/>
  <c r="GP155"/>
  <c r="GP141"/>
  <c r="AO31"/>
  <c r="GP235"/>
  <c r="GP225"/>
  <c r="GP223"/>
  <c r="GP221"/>
  <c r="GP205"/>
  <c r="GP231"/>
  <c r="GP229"/>
  <c r="GP217"/>
  <c r="GP215"/>
  <c r="GP213"/>
  <c r="GP211"/>
  <c r="GP207"/>
  <c r="GP197"/>
  <c r="GP195"/>
  <c r="GP187"/>
  <c r="GP185"/>
  <c r="GP201"/>
  <c r="GP181"/>
  <c r="GP173"/>
  <c r="GP168"/>
  <c r="GP166"/>
  <c r="GP178"/>
  <c r="GP176"/>
  <c r="GP169"/>
  <c r="GP161"/>
  <c r="GP157"/>
  <c r="GP151"/>
  <c r="GP154"/>
  <c r="GP142"/>
  <c r="GP147"/>
  <c r="GP139"/>
  <c r="A192" i="23"/>
  <c r="B193"/>
  <c r="GO188" i="21" l="1"/>
  <c r="GO206"/>
  <c r="GO182"/>
  <c r="GO156"/>
  <c r="GO144"/>
  <c r="GO180"/>
  <c r="GO148"/>
  <c r="AM371"/>
  <c r="AM443"/>
  <c r="AM439"/>
  <c r="AM433"/>
  <c r="AM427"/>
  <c r="AM425"/>
  <c r="AM421"/>
  <c r="AM413"/>
  <c r="AM446"/>
  <c r="AM440"/>
  <c r="AM432"/>
  <c r="AM428"/>
  <c r="AM422"/>
  <c r="AM416"/>
  <c r="AM412"/>
  <c r="AM404"/>
  <c r="AM402"/>
  <c r="AM390"/>
  <c r="AM384"/>
  <c r="EQ171"/>
  <c r="AN384" s="1"/>
  <c r="EQ177"/>
  <c r="AN390" s="1"/>
  <c r="EQ189"/>
  <c r="GP189" s="1"/>
  <c r="EQ191"/>
  <c r="GP191" s="1"/>
  <c r="EQ193"/>
  <c r="GP193" s="1"/>
  <c r="EQ199"/>
  <c r="GP199" s="1"/>
  <c r="EQ203"/>
  <c r="GP203" s="1"/>
  <c r="EQ209"/>
  <c r="GP209" s="1"/>
  <c r="EQ219"/>
  <c r="GP219" s="1"/>
  <c r="EQ227"/>
  <c r="GP227" s="1"/>
  <c r="EQ233"/>
  <c r="GP233" s="1"/>
  <c r="EU193"/>
  <c r="EU187"/>
  <c r="EU179"/>
  <c r="EU163"/>
  <c r="EU155"/>
  <c r="EU147"/>
  <c r="EU143"/>
  <c r="EU139"/>
  <c r="EU153"/>
  <c r="EU157"/>
  <c r="EU161"/>
  <c r="EU195"/>
  <c r="EU197"/>
  <c r="EU199"/>
  <c r="EU205"/>
  <c r="EU211"/>
  <c r="EU213"/>
  <c r="EU215"/>
  <c r="EU221"/>
  <c r="EU223"/>
  <c r="EU225"/>
  <c r="EU165"/>
  <c r="EU169"/>
  <c r="EU173"/>
  <c r="EU181"/>
  <c r="EU185"/>
  <c r="EU201"/>
  <c r="EU207"/>
  <c r="EU231"/>
  <c r="EU235"/>
  <c r="EU141"/>
  <c r="EU149"/>
  <c r="EU151"/>
  <c r="EU167"/>
  <c r="EU183"/>
  <c r="EU209"/>
  <c r="EU192"/>
  <c r="EU196"/>
  <c r="EU204"/>
  <c r="EU216"/>
  <c r="EU218"/>
  <c r="EU228"/>
  <c r="EU234"/>
  <c r="EU236"/>
  <c r="EU229"/>
  <c r="EU145"/>
  <c r="EU159"/>
  <c r="EU175"/>
  <c r="EU217"/>
  <c r="EU186"/>
  <c r="EU190"/>
  <c r="EU194"/>
  <c r="EU198"/>
  <c r="EU202"/>
  <c r="EU206"/>
  <c r="EU210"/>
  <c r="EU222"/>
  <c r="EU224"/>
  <c r="EU230"/>
  <c r="EU232"/>
  <c r="EU140"/>
  <c r="EU142"/>
  <c r="EU146"/>
  <c r="EU150"/>
  <c r="EU152"/>
  <c r="EU154"/>
  <c r="EU156"/>
  <c r="EU160"/>
  <c r="EU162"/>
  <c r="EU166"/>
  <c r="EU168"/>
  <c r="EU170"/>
  <c r="EU172"/>
  <c r="EU174"/>
  <c r="EU176"/>
  <c r="EU178"/>
  <c r="EU137"/>
  <c r="EQ148"/>
  <c r="AN361" s="1"/>
  <c r="EQ156"/>
  <c r="AN369" s="1"/>
  <c r="EQ144"/>
  <c r="GP144" s="1"/>
  <c r="EQ158"/>
  <c r="GP158" s="1"/>
  <c r="EQ164"/>
  <c r="GP164" s="1"/>
  <c r="EQ180"/>
  <c r="GP180" s="1"/>
  <c r="EQ182"/>
  <c r="GP182" s="1"/>
  <c r="EQ184"/>
  <c r="GP184" s="1"/>
  <c r="EQ188"/>
  <c r="GP188" s="1"/>
  <c r="EQ200"/>
  <c r="GP200" s="1"/>
  <c r="EQ206"/>
  <c r="GP206" s="1"/>
  <c r="EQ208"/>
  <c r="GP208" s="1"/>
  <c r="EQ212"/>
  <c r="GP212" s="1"/>
  <c r="EQ214"/>
  <c r="GP214" s="1"/>
  <c r="EQ220"/>
  <c r="GP220" s="1"/>
  <c r="EQ226"/>
  <c r="GP226" s="1"/>
  <c r="GP138"/>
  <c r="GP152"/>
  <c r="GP159"/>
  <c r="GP179"/>
  <c r="GP183"/>
  <c r="GP153"/>
  <c r="GP165"/>
  <c r="GP167"/>
  <c r="GP149"/>
  <c r="GP137"/>
  <c r="GP145"/>
  <c r="GP150"/>
  <c r="GP143"/>
  <c r="GP146"/>
  <c r="GP140"/>
  <c r="CR130"/>
  <c r="AN383"/>
  <c r="CS236"/>
  <c r="AO449" s="1"/>
  <c r="CS235"/>
  <c r="AO448" s="1"/>
  <c r="CS234"/>
  <c r="AO447" s="1"/>
  <c r="CS233"/>
  <c r="CS232"/>
  <c r="AO445" s="1"/>
  <c r="CS231"/>
  <c r="AO444" s="1"/>
  <c r="CS230"/>
  <c r="AO443" s="1"/>
  <c r="CS229"/>
  <c r="AO442" s="1"/>
  <c r="CS228"/>
  <c r="AO441" s="1"/>
  <c r="CS227"/>
  <c r="CS226"/>
  <c r="CS225"/>
  <c r="AO438" s="1"/>
  <c r="CS224"/>
  <c r="AO437" s="1"/>
  <c r="CS223"/>
  <c r="AO436" s="1"/>
  <c r="CS222"/>
  <c r="AO435" s="1"/>
  <c r="CS221"/>
  <c r="AO434" s="1"/>
  <c r="CS220"/>
  <c r="CS219"/>
  <c r="CS218"/>
  <c r="AO431" s="1"/>
  <c r="CS217"/>
  <c r="AO430" s="1"/>
  <c r="CS216"/>
  <c r="AO429" s="1"/>
  <c r="CS215"/>
  <c r="AO428" s="1"/>
  <c r="CS214"/>
  <c r="CS213"/>
  <c r="AO426" s="1"/>
  <c r="CS212"/>
  <c r="CS211"/>
  <c r="AO424" s="1"/>
  <c r="CS210"/>
  <c r="AO423" s="1"/>
  <c r="CS209"/>
  <c r="CS208"/>
  <c r="CS207"/>
  <c r="AO420" s="1"/>
  <c r="CS206"/>
  <c r="CS205"/>
  <c r="AO418" s="1"/>
  <c r="CS204"/>
  <c r="AO417" s="1"/>
  <c r="CS203"/>
  <c r="CS202"/>
  <c r="AO415" s="1"/>
  <c r="CS201"/>
  <c r="AO414" s="1"/>
  <c r="CS200"/>
  <c r="CS199"/>
  <c r="CS198"/>
  <c r="AO411" s="1"/>
  <c r="CS197"/>
  <c r="AO410" s="1"/>
  <c r="CS196"/>
  <c r="AO409" s="1"/>
  <c r="CS195"/>
  <c r="AO408" s="1"/>
  <c r="CS194"/>
  <c r="AO407" s="1"/>
  <c r="CS193"/>
  <c r="AO406" s="1"/>
  <c r="CS192"/>
  <c r="AO405" s="1"/>
  <c r="CS191"/>
  <c r="CS190"/>
  <c r="AO403" s="1"/>
  <c r="CS189"/>
  <c r="CS188"/>
  <c r="CS187"/>
  <c r="AO400" s="1"/>
  <c r="CS186"/>
  <c r="AO399" s="1"/>
  <c r="CS185"/>
  <c r="AO398" s="1"/>
  <c r="CS184"/>
  <c r="CS183"/>
  <c r="AO396" s="1"/>
  <c r="CS182"/>
  <c r="CS181"/>
  <c r="AO394" s="1"/>
  <c r="CS180"/>
  <c r="CS179"/>
  <c r="CS178"/>
  <c r="AO391" s="1"/>
  <c r="CS177"/>
  <c r="CS176"/>
  <c r="AO389" s="1"/>
  <c r="CS175"/>
  <c r="AO388" s="1"/>
  <c r="CS174"/>
  <c r="AO387" s="1"/>
  <c r="CS173"/>
  <c r="AO386" s="1"/>
  <c r="CS172"/>
  <c r="AO385" s="1"/>
  <c r="CS171"/>
  <c r="CS170"/>
  <c r="CS169"/>
  <c r="AO382" s="1"/>
  <c r="CS168"/>
  <c r="AO381" s="1"/>
  <c r="CS167"/>
  <c r="AO380" s="1"/>
  <c r="CS166"/>
  <c r="AO379" s="1"/>
  <c r="CS165"/>
  <c r="AO378" s="1"/>
  <c r="CS164"/>
  <c r="CS163"/>
  <c r="AO376" s="1"/>
  <c r="CS162"/>
  <c r="AO375" s="1"/>
  <c r="CS161"/>
  <c r="AO374" s="1"/>
  <c r="CS160"/>
  <c r="AO373" s="1"/>
  <c r="CS159"/>
  <c r="AO372" s="1"/>
  <c r="CS158"/>
  <c r="CS157"/>
  <c r="AO370" s="1"/>
  <c r="CS156"/>
  <c r="AO369" s="1"/>
  <c r="CS155"/>
  <c r="AO368" s="1"/>
  <c r="CS154"/>
  <c r="AO367" s="1"/>
  <c r="CS153"/>
  <c r="AO366" s="1"/>
  <c r="CS152"/>
  <c r="AO365" s="1"/>
  <c r="CS151"/>
  <c r="AO364" s="1"/>
  <c r="CS150"/>
  <c r="AO363" s="1"/>
  <c r="CS149"/>
  <c r="AO362" s="1"/>
  <c r="CS148"/>
  <c r="CS147"/>
  <c r="AO360" s="1"/>
  <c r="CS146"/>
  <c r="AO359" s="1"/>
  <c r="CS145"/>
  <c r="AO358" s="1"/>
  <c r="CS144"/>
  <c r="CS143"/>
  <c r="AO356" s="1"/>
  <c r="CS142"/>
  <c r="AO355" s="1"/>
  <c r="CS141"/>
  <c r="AO354" s="1"/>
  <c r="CS140"/>
  <c r="AO353" s="1"/>
  <c r="CS139"/>
  <c r="AO352" s="1"/>
  <c r="CS138"/>
  <c r="AO351" s="1"/>
  <c r="CS137"/>
  <c r="AO350" s="1"/>
  <c r="CT134"/>
  <c r="AU134"/>
  <c r="EQ132"/>
  <c r="GO170"/>
  <c r="EV134"/>
  <c r="GQ236"/>
  <c r="GQ231"/>
  <c r="GQ229"/>
  <c r="GQ217"/>
  <c r="GQ215"/>
  <c r="GQ213"/>
  <c r="GQ211"/>
  <c r="GQ207"/>
  <c r="GQ228"/>
  <c r="GQ224"/>
  <c r="GQ222"/>
  <c r="GQ202"/>
  <c r="GQ192"/>
  <c r="GQ198"/>
  <c r="GQ178"/>
  <c r="GQ166"/>
  <c r="GQ150"/>
  <c r="GQ146"/>
  <c r="AP31"/>
  <c r="GQ234"/>
  <c r="GQ232"/>
  <c r="GQ230"/>
  <c r="GQ218"/>
  <c r="GQ216"/>
  <c r="GQ235"/>
  <c r="GQ225"/>
  <c r="GQ223"/>
  <c r="GQ221"/>
  <c r="GQ205"/>
  <c r="GQ201"/>
  <c r="GQ193"/>
  <c r="GQ183"/>
  <c r="GQ197"/>
  <c r="GQ195"/>
  <c r="GQ187"/>
  <c r="GQ185"/>
  <c r="GQ165"/>
  <c r="GQ172"/>
  <c r="GQ167"/>
  <c r="GQ155"/>
  <c r="GQ149"/>
  <c r="GQ151"/>
  <c r="GQ145"/>
  <c r="GQ143"/>
  <c r="A193" i="23"/>
  <c r="B194"/>
  <c r="GP171" i="21" l="1"/>
  <c r="GP148"/>
  <c r="GP156"/>
  <c r="GP177"/>
  <c r="AN413"/>
  <c r="AN401"/>
  <c r="AN397"/>
  <c r="AN395"/>
  <c r="AN393"/>
  <c r="AN377"/>
  <c r="AN371"/>
  <c r="AN357"/>
  <c r="AN446"/>
  <c r="AN440"/>
  <c r="AN432"/>
  <c r="AN422"/>
  <c r="AN416"/>
  <c r="AN412"/>
  <c r="AN406"/>
  <c r="AN404"/>
  <c r="AN402"/>
  <c r="AN439"/>
  <c r="AN433"/>
  <c r="AN427"/>
  <c r="AN425"/>
  <c r="AN421"/>
  <c r="AN419"/>
  <c r="ER171"/>
  <c r="GQ171" s="1"/>
  <c r="ER177"/>
  <c r="GQ177" s="1"/>
  <c r="ER179"/>
  <c r="GQ179" s="1"/>
  <c r="ER189"/>
  <c r="GQ189" s="1"/>
  <c r="ER191"/>
  <c r="GQ191" s="1"/>
  <c r="ER199"/>
  <c r="GQ199" s="1"/>
  <c r="ER203"/>
  <c r="GQ203" s="1"/>
  <c r="ER209"/>
  <c r="GQ209" s="1"/>
  <c r="ER219"/>
  <c r="GQ219" s="1"/>
  <c r="ER227"/>
  <c r="GQ227" s="1"/>
  <c r="ER233"/>
  <c r="GQ233" s="1"/>
  <c r="EV235"/>
  <c r="EV231"/>
  <c r="EV215"/>
  <c r="EV205"/>
  <c r="EV181"/>
  <c r="EV173"/>
  <c r="EV165"/>
  <c r="EV157"/>
  <c r="EV149"/>
  <c r="EV145"/>
  <c r="EV141"/>
  <c r="EV152"/>
  <c r="EV160"/>
  <c r="EV168"/>
  <c r="EV176"/>
  <c r="EV186"/>
  <c r="EV194"/>
  <c r="EV198"/>
  <c r="EV202"/>
  <c r="EV230"/>
  <c r="EV156"/>
  <c r="EV172"/>
  <c r="EV210"/>
  <c r="EV222"/>
  <c r="EV151"/>
  <c r="EV155"/>
  <c r="EV159"/>
  <c r="EV195"/>
  <c r="EV197"/>
  <c r="EV211"/>
  <c r="EV213"/>
  <c r="EV221"/>
  <c r="EV223"/>
  <c r="EV225"/>
  <c r="EV163"/>
  <c r="EV167"/>
  <c r="EV175"/>
  <c r="EV179"/>
  <c r="EV183"/>
  <c r="EV187"/>
  <c r="EV193"/>
  <c r="EV201"/>
  <c r="EV207"/>
  <c r="EV209"/>
  <c r="EV217"/>
  <c r="EV146"/>
  <c r="EV154"/>
  <c r="EV170"/>
  <c r="EV190"/>
  <c r="EV140"/>
  <c r="EV143"/>
  <c r="EV161"/>
  <c r="EV174"/>
  <c r="EV233"/>
  <c r="EV220"/>
  <c r="EV228"/>
  <c r="EV236"/>
  <c r="EV142"/>
  <c r="EV150"/>
  <c r="EV162"/>
  <c r="EV178"/>
  <c r="EV139"/>
  <c r="EV147"/>
  <c r="EV153"/>
  <c r="EV166"/>
  <c r="EV169"/>
  <c r="EV182"/>
  <c r="EV185"/>
  <c r="EV199"/>
  <c r="EV206"/>
  <c r="EV229"/>
  <c r="EV216"/>
  <c r="EV224"/>
  <c r="EV232"/>
  <c r="EV192"/>
  <c r="EV218"/>
  <c r="EV234"/>
  <c r="EV137"/>
  <c r="EV188"/>
  <c r="EV196"/>
  <c r="EV204"/>
  <c r="ER144"/>
  <c r="AO357" s="1"/>
  <c r="ER148"/>
  <c r="AO361" s="1"/>
  <c r="ER158"/>
  <c r="AO371" s="1"/>
  <c r="ER164"/>
  <c r="GQ164" s="1"/>
  <c r="ER180"/>
  <c r="GQ180" s="1"/>
  <c r="ER182"/>
  <c r="AO395" s="1"/>
  <c r="ER184"/>
  <c r="GQ184" s="1"/>
  <c r="ER188"/>
  <c r="GQ188" s="1"/>
  <c r="ER200"/>
  <c r="AO413" s="1"/>
  <c r="ER206"/>
  <c r="GQ206" s="1"/>
  <c r="ER208"/>
  <c r="GQ208" s="1"/>
  <c r="ER212"/>
  <c r="GQ212" s="1"/>
  <c r="ER214"/>
  <c r="AO427" s="1"/>
  <c r="ER220"/>
  <c r="GQ220" s="1"/>
  <c r="ER226"/>
  <c r="GQ226" s="1"/>
  <c r="GQ141"/>
  <c r="GQ139"/>
  <c r="GQ147"/>
  <c r="GQ157"/>
  <c r="GQ153"/>
  <c r="GQ161"/>
  <c r="GQ163"/>
  <c r="GQ175"/>
  <c r="GQ159"/>
  <c r="GQ173"/>
  <c r="GQ181"/>
  <c r="GQ169"/>
  <c r="GQ142"/>
  <c r="GQ152"/>
  <c r="GQ156"/>
  <c r="GQ162"/>
  <c r="GQ174"/>
  <c r="GQ210"/>
  <c r="GQ214"/>
  <c r="GQ144"/>
  <c r="GQ158"/>
  <c r="GQ154"/>
  <c r="GQ168"/>
  <c r="GQ160"/>
  <c r="GQ176"/>
  <c r="GQ186"/>
  <c r="GQ196"/>
  <c r="GQ200"/>
  <c r="GQ190"/>
  <c r="GQ194"/>
  <c r="GQ204"/>
  <c r="GQ138"/>
  <c r="GQ137"/>
  <c r="GQ140"/>
  <c r="CT236"/>
  <c r="AP449" s="1"/>
  <c r="CT235"/>
  <c r="AP448" s="1"/>
  <c r="CT234"/>
  <c r="AP447" s="1"/>
  <c r="CT233"/>
  <c r="CT232"/>
  <c r="AP445" s="1"/>
  <c r="CT231"/>
  <c r="AP444" s="1"/>
  <c r="CT230"/>
  <c r="AP443" s="1"/>
  <c r="CT229"/>
  <c r="AP442" s="1"/>
  <c r="CT228"/>
  <c r="AP441" s="1"/>
  <c r="CT227"/>
  <c r="CT226"/>
  <c r="CT225"/>
  <c r="AP438" s="1"/>
  <c r="CT224"/>
  <c r="AP437" s="1"/>
  <c r="CT223"/>
  <c r="AP436" s="1"/>
  <c r="CT222"/>
  <c r="AP435" s="1"/>
  <c r="CT221"/>
  <c r="AP434" s="1"/>
  <c r="CT220"/>
  <c r="CT219"/>
  <c r="CT218"/>
  <c r="AP431" s="1"/>
  <c r="CT217"/>
  <c r="AP430" s="1"/>
  <c r="CT216"/>
  <c r="AP429" s="1"/>
  <c r="CT215"/>
  <c r="AP428" s="1"/>
  <c r="CT214"/>
  <c r="CT213"/>
  <c r="AP426" s="1"/>
  <c r="CT212"/>
  <c r="CT211"/>
  <c r="AP424" s="1"/>
  <c r="CT210"/>
  <c r="AP423" s="1"/>
  <c r="CT209"/>
  <c r="CT208"/>
  <c r="CT207"/>
  <c r="AP420" s="1"/>
  <c r="CT206"/>
  <c r="CT205"/>
  <c r="AP418" s="1"/>
  <c r="CT204"/>
  <c r="AP417" s="1"/>
  <c r="CT203"/>
  <c r="CT202"/>
  <c r="AP415" s="1"/>
  <c r="CT201"/>
  <c r="AP414" s="1"/>
  <c r="CT200"/>
  <c r="CT199"/>
  <c r="CT198"/>
  <c r="AP411" s="1"/>
  <c r="CT197"/>
  <c r="AP410" s="1"/>
  <c r="CT196"/>
  <c r="AP409" s="1"/>
  <c r="CT195"/>
  <c r="AP408" s="1"/>
  <c r="CT194"/>
  <c r="AP407" s="1"/>
  <c r="CT193"/>
  <c r="AP406" s="1"/>
  <c r="CT192"/>
  <c r="CT191"/>
  <c r="CT190"/>
  <c r="AP403" s="1"/>
  <c r="CT189"/>
  <c r="CT188"/>
  <c r="CT187"/>
  <c r="AP400" s="1"/>
  <c r="CT186"/>
  <c r="AP399" s="1"/>
  <c r="CT185"/>
  <c r="AP398" s="1"/>
  <c r="CT184"/>
  <c r="CT183"/>
  <c r="AP396" s="1"/>
  <c r="CT182"/>
  <c r="CT181"/>
  <c r="AP394" s="1"/>
  <c r="CT180"/>
  <c r="CT179"/>
  <c r="AP392" s="1"/>
  <c r="CT178"/>
  <c r="AP391" s="1"/>
  <c r="CT177"/>
  <c r="CT176"/>
  <c r="AP389" s="1"/>
  <c r="CT175"/>
  <c r="AP388" s="1"/>
  <c r="CT174"/>
  <c r="AP387" s="1"/>
  <c r="CT173"/>
  <c r="AP386" s="1"/>
  <c r="CT172"/>
  <c r="AP385" s="1"/>
  <c r="CT171"/>
  <c r="CT170"/>
  <c r="CT169"/>
  <c r="AP382" s="1"/>
  <c r="CT168"/>
  <c r="AP381" s="1"/>
  <c r="CT167"/>
  <c r="AP380" s="1"/>
  <c r="CT166"/>
  <c r="AP379" s="1"/>
  <c r="CT165"/>
  <c r="AP378" s="1"/>
  <c r="CT164"/>
  <c r="CT163"/>
  <c r="AP376" s="1"/>
  <c r="CT162"/>
  <c r="AP375" s="1"/>
  <c r="CT161"/>
  <c r="AP374" s="1"/>
  <c r="CT160"/>
  <c r="AP373" s="1"/>
  <c r="CT159"/>
  <c r="AP372" s="1"/>
  <c r="CT158"/>
  <c r="CT157"/>
  <c r="AP370" s="1"/>
  <c r="CT156"/>
  <c r="AP369" s="1"/>
  <c r="CT154"/>
  <c r="AP367" s="1"/>
  <c r="CT152"/>
  <c r="AP365" s="1"/>
  <c r="CT150"/>
  <c r="AP363" s="1"/>
  <c r="CT148"/>
  <c r="CT146"/>
  <c r="AP359" s="1"/>
  <c r="CT145"/>
  <c r="AP358" s="1"/>
  <c r="CT144"/>
  <c r="CT143"/>
  <c r="AP356" s="1"/>
  <c r="CT142"/>
  <c r="AP355" s="1"/>
  <c r="CT141"/>
  <c r="AP354" s="1"/>
  <c r="CT140"/>
  <c r="AP353" s="1"/>
  <c r="CT139"/>
  <c r="AP352" s="1"/>
  <c r="CT138"/>
  <c r="CT137"/>
  <c r="AP350" s="1"/>
  <c r="CT155"/>
  <c r="AP368" s="1"/>
  <c r="CT153"/>
  <c r="AP366" s="1"/>
  <c r="CT151"/>
  <c r="AP364" s="1"/>
  <c r="CT149"/>
  <c r="AP362" s="1"/>
  <c r="CT147"/>
  <c r="AP360" s="1"/>
  <c r="CS130"/>
  <c r="AO383"/>
  <c r="CU134"/>
  <c r="AV134"/>
  <c r="ER132"/>
  <c r="GP170"/>
  <c r="EW134"/>
  <c r="GR236"/>
  <c r="GR228"/>
  <c r="GR224"/>
  <c r="GR222"/>
  <c r="GR234"/>
  <c r="GR232"/>
  <c r="GR230"/>
  <c r="GR218"/>
  <c r="GR216"/>
  <c r="GR210"/>
  <c r="GR198"/>
  <c r="GR196"/>
  <c r="GR186"/>
  <c r="GR204"/>
  <c r="GR202"/>
  <c r="GR194"/>
  <c r="GR190"/>
  <c r="GR174"/>
  <c r="GR172"/>
  <c r="GR178"/>
  <c r="GR176"/>
  <c r="GR162"/>
  <c r="GR143"/>
  <c r="AQ31"/>
  <c r="GR235"/>
  <c r="GR225"/>
  <c r="GR223"/>
  <c r="GR221"/>
  <c r="GR205"/>
  <c r="GR231"/>
  <c r="GR229"/>
  <c r="GR217"/>
  <c r="GR215"/>
  <c r="GR213"/>
  <c r="GR211"/>
  <c r="GR207"/>
  <c r="GR197"/>
  <c r="GR195"/>
  <c r="GR187"/>
  <c r="GR185"/>
  <c r="GR201"/>
  <c r="GR193"/>
  <c r="GR183"/>
  <c r="GR181"/>
  <c r="GR179"/>
  <c r="GR173"/>
  <c r="GR168"/>
  <c r="GR166"/>
  <c r="GR175"/>
  <c r="GR163"/>
  <c r="GR159"/>
  <c r="GR156"/>
  <c r="GR154"/>
  <c r="GR145"/>
  <c r="GR137"/>
  <c r="A194" i="23"/>
  <c r="B195"/>
  <c r="GQ148" i="21" l="1"/>
  <c r="GQ182"/>
  <c r="AO401"/>
  <c r="AO397"/>
  <c r="AO393"/>
  <c r="AO377"/>
  <c r="AO439"/>
  <c r="AO433"/>
  <c r="AO425"/>
  <c r="AO421"/>
  <c r="AO419"/>
  <c r="AO446"/>
  <c r="AO440"/>
  <c r="AO432"/>
  <c r="AO422"/>
  <c r="AO416"/>
  <c r="AO412"/>
  <c r="AO404"/>
  <c r="AO402"/>
  <c r="AO392"/>
  <c r="AO390"/>
  <c r="AO384"/>
  <c r="EW223"/>
  <c r="EW195"/>
  <c r="EW183"/>
  <c r="EW175"/>
  <c r="EW167"/>
  <c r="EW159"/>
  <c r="EW151"/>
  <c r="EW147"/>
  <c r="EW143"/>
  <c r="EW139"/>
  <c r="EW153"/>
  <c r="EW157"/>
  <c r="EW161"/>
  <c r="EW165"/>
  <c r="EW169"/>
  <c r="EW173"/>
  <c r="EW181"/>
  <c r="EW185"/>
  <c r="EW189"/>
  <c r="EW191"/>
  <c r="EW193"/>
  <c r="EW207"/>
  <c r="EW197"/>
  <c r="EW199"/>
  <c r="EW205"/>
  <c r="EW209"/>
  <c r="EW213"/>
  <c r="EW215"/>
  <c r="EW217"/>
  <c r="EW229"/>
  <c r="EW233"/>
  <c r="EW145"/>
  <c r="EW155"/>
  <c r="EW187"/>
  <c r="EW211"/>
  <c r="EW225"/>
  <c r="EW186"/>
  <c r="EW190"/>
  <c r="EW194"/>
  <c r="EW198"/>
  <c r="EW202"/>
  <c r="EW206"/>
  <c r="EW210"/>
  <c r="EW222"/>
  <c r="EW224"/>
  <c r="EW230"/>
  <c r="EW232"/>
  <c r="EW140"/>
  <c r="EW142"/>
  <c r="EW231"/>
  <c r="EW235"/>
  <c r="EW141"/>
  <c r="EW149"/>
  <c r="EW163"/>
  <c r="EW179"/>
  <c r="EW201"/>
  <c r="EW221"/>
  <c r="EW188"/>
  <c r="EW192"/>
  <c r="EW196"/>
  <c r="EW208"/>
  <c r="EW216"/>
  <c r="EW218"/>
  <c r="EW220"/>
  <c r="EW228"/>
  <c r="EW234"/>
  <c r="EW236"/>
  <c r="EW150"/>
  <c r="EW152"/>
  <c r="EW154"/>
  <c r="EW156"/>
  <c r="EW160"/>
  <c r="EW162"/>
  <c r="EW166"/>
  <c r="EW168"/>
  <c r="EW170"/>
  <c r="EW172"/>
  <c r="EW174"/>
  <c r="EW176"/>
  <c r="EW178"/>
  <c r="EW182"/>
  <c r="EW137"/>
  <c r="EW146"/>
  <c r="EW148"/>
  <c r="ES148"/>
  <c r="GR148" s="1"/>
  <c r="ES158"/>
  <c r="GR158" s="1"/>
  <c r="ES164"/>
  <c r="AP377" s="1"/>
  <c r="ES180"/>
  <c r="GR180" s="1"/>
  <c r="ES182"/>
  <c r="GR182" s="1"/>
  <c r="ES184"/>
  <c r="GR184" s="1"/>
  <c r="ES188"/>
  <c r="GR188" s="1"/>
  <c r="ES192"/>
  <c r="GR192" s="1"/>
  <c r="ES200"/>
  <c r="GR200" s="1"/>
  <c r="ES206"/>
  <c r="GR206" s="1"/>
  <c r="ES208"/>
  <c r="GR208" s="1"/>
  <c r="ES212"/>
  <c r="GR212" s="1"/>
  <c r="ES214"/>
  <c r="GR214" s="1"/>
  <c r="ES220"/>
  <c r="GR220" s="1"/>
  <c r="ES226"/>
  <c r="GR226" s="1"/>
  <c r="ES138"/>
  <c r="AP351" s="1"/>
  <c r="ES144"/>
  <c r="AP357" s="1"/>
  <c r="ES171"/>
  <c r="AP384" s="1"/>
  <c r="ES177"/>
  <c r="GR177" s="1"/>
  <c r="ES189"/>
  <c r="GR189" s="1"/>
  <c r="ES191"/>
  <c r="GR191" s="1"/>
  <c r="ES199"/>
  <c r="GR199" s="1"/>
  <c r="ES203"/>
  <c r="GR203" s="1"/>
  <c r="ES209"/>
  <c r="GR209" s="1"/>
  <c r="ES219"/>
  <c r="GR219" s="1"/>
  <c r="ES227"/>
  <c r="GR227" s="1"/>
  <c r="ES233"/>
  <c r="GR233" s="1"/>
  <c r="GR146"/>
  <c r="GR147"/>
  <c r="GR151"/>
  <c r="GR142"/>
  <c r="GR150"/>
  <c r="GR157"/>
  <c r="GR161"/>
  <c r="GR165"/>
  <c r="GR140"/>
  <c r="GR169"/>
  <c r="GR167"/>
  <c r="GR138"/>
  <c r="GR155"/>
  <c r="GR153"/>
  <c r="GR139"/>
  <c r="GR141"/>
  <c r="GR149"/>
  <c r="GR152"/>
  <c r="GR160"/>
  <c r="GR164"/>
  <c r="CV134"/>
  <c r="AW134"/>
  <c r="CU236"/>
  <c r="AQ449" s="1"/>
  <c r="CU235"/>
  <c r="AQ448" s="1"/>
  <c r="CU234"/>
  <c r="AQ447" s="1"/>
  <c r="CU233"/>
  <c r="CU232"/>
  <c r="AQ445" s="1"/>
  <c r="CU231"/>
  <c r="AQ444" s="1"/>
  <c r="CU230"/>
  <c r="AQ443" s="1"/>
  <c r="CU229"/>
  <c r="AQ442" s="1"/>
  <c r="CU228"/>
  <c r="AQ441" s="1"/>
  <c r="CU227"/>
  <c r="CU226"/>
  <c r="CU225"/>
  <c r="AQ438" s="1"/>
  <c r="CU224"/>
  <c r="AQ437" s="1"/>
  <c r="CU223"/>
  <c r="AQ436" s="1"/>
  <c r="CU222"/>
  <c r="AQ435" s="1"/>
  <c r="CU221"/>
  <c r="AQ434" s="1"/>
  <c r="CU220"/>
  <c r="CU219"/>
  <c r="CU218"/>
  <c r="AQ431" s="1"/>
  <c r="CU217"/>
  <c r="AQ430" s="1"/>
  <c r="CU216"/>
  <c r="AQ429" s="1"/>
  <c r="CU215"/>
  <c r="AQ428" s="1"/>
  <c r="CU214"/>
  <c r="CU213"/>
  <c r="AQ426" s="1"/>
  <c r="CU212"/>
  <c r="CU211"/>
  <c r="AQ424" s="1"/>
  <c r="CU210"/>
  <c r="AQ423" s="1"/>
  <c r="CU209"/>
  <c r="AQ422" s="1"/>
  <c r="CU208"/>
  <c r="CU207"/>
  <c r="AQ420" s="1"/>
  <c r="CU206"/>
  <c r="CU205"/>
  <c r="AQ418" s="1"/>
  <c r="CU204"/>
  <c r="AQ417" s="1"/>
  <c r="CU203"/>
  <c r="CU202"/>
  <c r="AQ415" s="1"/>
  <c r="CU201"/>
  <c r="AQ414" s="1"/>
  <c r="CU200"/>
  <c r="CU199"/>
  <c r="AQ412" s="1"/>
  <c r="CU198"/>
  <c r="AQ411" s="1"/>
  <c r="CU197"/>
  <c r="AQ410" s="1"/>
  <c r="CU196"/>
  <c r="AQ409" s="1"/>
  <c r="CU195"/>
  <c r="AQ408" s="1"/>
  <c r="CU194"/>
  <c r="AQ407" s="1"/>
  <c r="CU193"/>
  <c r="AQ406" s="1"/>
  <c r="CU192"/>
  <c r="CU191"/>
  <c r="CU190"/>
  <c r="AQ403" s="1"/>
  <c r="CU189"/>
  <c r="CU188"/>
  <c r="CU187"/>
  <c r="AQ400" s="1"/>
  <c r="CU186"/>
  <c r="AQ399" s="1"/>
  <c r="CU185"/>
  <c r="AQ398" s="1"/>
  <c r="CU184"/>
  <c r="CU183"/>
  <c r="AQ396" s="1"/>
  <c r="CU182"/>
  <c r="CU181"/>
  <c r="AQ394" s="1"/>
  <c r="CU180"/>
  <c r="CU179"/>
  <c r="AQ392" s="1"/>
  <c r="CU178"/>
  <c r="AQ391" s="1"/>
  <c r="CU177"/>
  <c r="CU176"/>
  <c r="AQ389" s="1"/>
  <c r="CU175"/>
  <c r="AQ388" s="1"/>
  <c r="CU174"/>
  <c r="AQ387" s="1"/>
  <c r="CU173"/>
  <c r="AQ386" s="1"/>
  <c r="CU172"/>
  <c r="AQ385" s="1"/>
  <c r="CU171"/>
  <c r="CU170"/>
  <c r="CU169"/>
  <c r="AQ382" s="1"/>
  <c r="CU168"/>
  <c r="AQ381" s="1"/>
  <c r="CU167"/>
  <c r="AQ380" s="1"/>
  <c r="CU166"/>
  <c r="AQ379" s="1"/>
  <c r="CU165"/>
  <c r="AQ378" s="1"/>
  <c r="CU164"/>
  <c r="CU163"/>
  <c r="AQ376" s="1"/>
  <c r="CU162"/>
  <c r="AQ375" s="1"/>
  <c r="CU161"/>
  <c r="AQ374" s="1"/>
  <c r="CU160"/>
  <c r="AQ373" s="1"/>
  <c r="CU159"/>
  <c r="AQ372" s="1"/>
  <c r="CU158"/>
  <c r="CU157"/>
  <c r="AQ370" s="1"/>
  <c r="CU156"/>
  <c r="AQ369" s="1"/>
  <c r="CU155"/>
  <c r="AQ368" s="1"/>
  <c r="CU154"/>
  <c r="AQ367" s="1"/>
  <c r="CU153"/>
  <c r="AQ366" s="1"/>
  <c r="CU152"/>
  <c r="AQ365" s="1"/>
  <c r="CU151"/>
  <c r="AQ364" s="1"/>
  <c r="CU150"/>
  <c r="AQ363" s="1"/>
  <c r="CU149"/>
  <c r="AQ362" s="1"/>
  <c r="CU148"/>
  <c r="CU147"/>
  <c r="AQ360" s="1"/>
  <c r="CU146"/>
  <c r="AQ359" s="1"/>
  <c r="CU145"/>
  <c r="AQ358" s="1"/>
  <c r="CU144"/>
  <c r="CU143"/>
  <c r="AQ356" s="1"/>
  <c r="CU142"/>
  <c r="AQ355" s="1"/>
  <c r="CU141"/>
  <c r="AQ354" s="1"/>
  <c r="CU140"/>
  <c r="AQ353" s="1"/>
  <c r="CU139"/>
  <c r="AQ352" s="1"/>
  <c r="CU138"/>
  <c r="CU137"/>
  <c r="AQ350" s="1"/>
  <c r="CT130"/>
  <c r="AP383"/>
  <c r="GQ170"/>
  <c r="ES132"/>
  <c r="EX134"/>
  <c r="GS232"/>
  <c r="GS218"/>
  <c r="GS210"/>
  <c r="GS236"/>
  <c r="GS222"/>
  <c r="GS202"/>
  <c r="GS198"/>
  <c r="GS178"/>
  <c r="GS174"/>
  <c r="GS167"/>
  <c r="GS156"/>
  <c r="GS150"/>
  <c r="GS152"/>
  <c r="GS146"/>
  <c r="GS142"/>
  <c r="AR31"/>
  <c r="GS231"/>
  <c r="GS229"/>
  <c r="GS217"/>
  <c r="GS215"/>
  <c r="GS213"/>
  <c r="GS211"/>
  <c r="GS209"/>
  <c r="GS207"/>
  <c r="GS235"/>
  <c r="GS225"/>
  <c r="GS223"/>
  <c r="GS221"/>
  <c r="GS205"/>
  <c r="GS201"/>
  <c r="GS193"/>
  <c r="GS183"/>
  <c r="GS199"/>
  <c r="GS197"/>
  <c r="GS195"/>
  <c r="GS187"/>
  <c r="GS185"/>
  <c r="GS175"/>
  <c r="GS163"/>
  <c r="GS181"/>
  <c r="GS179"/>
  <c r="GS168"/>
  <c r="GS162"/>
  <c r="GS155"/>
  <c r="GS149"/>
  <c r="GS157"/>
  <c r="GS151"/>
  <c r="GS145"/>
  <c r="A195" i="23"/>
  <c r="B196"/>
  <c r="AP361" i="21" l="1"/>
  <c r="GR171"/>
  <c r="GR144"/>
  <c r="AP446"/>
  <c r="AP440"/>
  <c r="AP432"/>
  <c r="AP422"/>
  <c r="AP416"/>
  <c r="AP412"/>
  <c r="AP404"/>
  <c r="AP402"/>
  <c r="AP390"/>
  <c r="AP439"/>
  <c r="AP433"/>
  <c r="AP427"/>
  <c r="AP425"/>
  <c r="AP421"/>
  <c r="AP419"/>
  <c r="AP413"/>
  <c r="AP405"/>
  <c r="AP401"/>
  <c r="AP397"/>
  <c r="AP395"/>
  <c r="AP393"/>
  <c r="AP371"/>
  <c r="EX219"/>
  <c r="EX207"/>
  <c r="EX197"/>
  <c r="EX191"/>
  <c r="EX185"/>
  <c r="EX177"/>
  <c r="EX169"/>
  <c r="EX161"/>
  <c r="EX153"/>
  <c r="EX149"/>
  <c r="EX145"/>
  <c r="EX141"/>
  <c r="EX166"/>
  <c r="EX174"/>
  <c r="EX182"/>
  <c r="EX192"/>
  <c r="EX208"/>
  <c r="EX220"/>
  <c r="EX151"/>
  <c r="EX155"/>
  <c r="EX159"/>
  <c r="EX163"/>
  <c r="EX154"/>
  <c r="EX162"/>
  <c r="EX170"/>
  <c r="EX178"/>
  <c r="EX228"/>
  <c r="EX167"/>
  <c r="EX171"/>
  <c r="EX175"/>
  <c r="EX179"/>
  <c r="EX183"/>
  <c r="EX187"/>
  <c r="EX193"/>
  <c r="EX199"/>
  <c r="EX201"/>
  <c r="EX205"/>
  <c r="EX209"/>
  <c r="EX215"/>
  <c r="EX217"/>
  <c r="EX195"/>
  <c r="EX211"/>
  <c r="EX221"/>
  <c r="EX223"/>
  <c r="EX225"/>
  <c r="EX231"/>
  <c r="EX235"/>
  <c r="EX236"/>
  <c r="EX139"/>
  <c r="EX142"/>
  <c r="EX147"/>
  <c r="EX150"/>
  <c r="EX152"/>
  <c r="EX165"/>
  <c r="EX168"/>
  <c r="EX181"/>
  <c r="EX189"/>
  <c r="EX196"/>
  <c r="EX213"/>
  <c r="EX218"/>
  <c r="EX234"/>
  <c r="EX229"/>
  <c r="EX233"/>
  <c r="EX148"/>
  <c r="EX156"/>
  <c r="EX172"/>
  <c r="EX143"/>
  <c r="EX146"/>
  <c r="EX157"/>
  <c r="EX160"/>
  <c r="EX173"/>
  <c r="EX176"/>
  <c r="EX188"/>
  <c r="EX222"/>
  <c r="EX230"/>
  <c r="EX190"/>
  <c r="EX198"/>
  <c r="EX206"/>
  <c r="EX216"/>
  <c r="EX232"/>
  <c r="EX186"/>
  <c r="EX194"/>
  <c r="EX202"/>
  <c r="EX210"/>
  <c r="EX224"/>
  <c r="EX137"/>
  <c r="ET138"/>
  <c r="AQ351" s="1"/>
  <c r="ET144"/>
  <c r="AQ357" s="1"/>
  <c r="ET148"/>
  <c r="AQ361" s="1"/>
  <c r="ET158"/>
  <c r="AQ371" s="1"/>
  <c r="ET164"/>
  <c r="AQ377" s="1"/>
  <c r="ET180"/>
  <c r="AQ393" s="1"/>
  <c r="ET182"/>
  <c r="GS182" s="1"/>
  <c r="ET184"/>
  <c r="GS184" s="1"/>
  <c r="ET188"/>
  <c r="GS188" s="1"/>
  <c r="ET192"/>
  <c r="GS192" s="1"/>
  <c r="ET200"/>
  <c r="AQ413" s="1"/>
  <c r="ET206"/>
  <c r="GS206" s="1"/>
  <c r="ET208"/>
  <c r="AQ421" s="1"/>
  <c r="ET212"/>
  <c r="AQ425" s="1"/>
  <c r="ET214"/>
  <c r="GS214" s="1"/>
  <c r="ET220"/>
  <c r="AQ433" s="1"/>
  <c r="ET226"/>
  <c r="GS226" s="1"/>
  <c r="ET171"/>
  <c r="GS171" s="1"/>
  <c r="ET177"/>
  <c r="GS177" s="1"/>
  <c r="ET189"/>
  <c r="GS189" s="1"/>
  <c r="ET191"/>
  <c r="GS191" s="1"/>
  <c r="ET203"/>
  <c r="GS203" s="1"/>
  <c r="ET219"/>
  <c r="GS219" s="1"/>
  <c r="ET227"/>
  <c r="GS227" s="1"/>
  <c r="ET233"/>
  <c r="GS233" s="1"/>
  <c r="GS141"/>
  <c r="GS137"/>
  <c r="GS166"/>
  <c r="GS148"/>
  <c r="GS154"/>
  <c r="GS160"/>
  <c r="GS172"/>
  <c r="GS164"/>
  <c r="GS176"/>
  <c r="GS186"/>
  <c r="GS196"/>
  <c r="GS190"/>
  <c r="GS194"/>
  <c r="GS204"/>
  <c r="GS224"/>
  <c r="GS228"/>
  <c r="GS208"/>
  <c r="GS216"/>
  <c r="GS230"/>
  <c r="GS234"/>
  <c r="GS138"/>
  <c r="GS140"/>
  <c r="GS173"/>
  <c r="GS143"/>
  <c r="GS139"/>
  <c r="GS147"/>
  <c r="GS153"/>
  <c r="GS159"/>
  <c r="GS165"/>
  <c r="GS161"/>
  <c r="GS169"/>
  <c r="CW134"/>
  <c r="AX134"/>
  <c r="CU130"/>
  <c r="AQ383"/>
  <c r="CV236"/>
  <c r="AR449" s="1"/>
  <c r="CV235"/>
  <c r="AR448" s="1"/>
  <c r="CV234"/>
  <c r="AR447" s="1"/>
  <c r="CV233"/>
  <c r="CV232"/>
  <c r="AR445" s="1"/>
  <c r="CV231"/>
  <c r="AR444" s="1"/>
  <c r="CV230"/>
  <c r="AR443" s="1"/>
  <c r="CV229"/>
  <c r="AR442" s="1"/>
  <c r="CV228"/>
  <c r="AR441" s="1"/>
  <c r="CV227"/>
  <c r="CV226"/>
  <c r="CV225"/>
  <c r="AR438" s="1"/>
  <c r="CV224"/>
  <c r="AR437" s="1"/>
  <c r="CV223"/>
  <c r="AR436" s="1"/>
  <c r="CV222"/>
  <c r="AR435" s="1"/>
  <c r="CV221"/>
  <c r="AR434" s="1"/>
  <c r="CV220"/>
  <c r="CV219"/>
  <c r="CV218"/>
  <c r="AR431" s="1"/>
  <c r="CV217"/>
  <c r="AR430" s="1"/>
  <c r="CV216"/>
  <c r="AR429" s="1"/>
  <c r="CV215"/>
  <c r="AR428" s="1"/>
  <c r="CV214"/>
  <c r="CV213"/>
  <c r="AR426" s="1"/>
  <c r="CV212"/>
  <c r="CV211"/>
  <c r="AR424" s="1"/>
  <c r="CV210"/>
  <c r="AR423" s="1"/>
  <c r="CV209"/>
  <c r="AR422" s="1"/>
  <c r="CV208"/>
  <c r="CV207"/>
  <c r="AR420" s="1"/>
  <c r="CV206"/>
  <c r="AR419" s="1"/>
  <c r="CV205"/>
  <c r="AR418" s="1"/>
  <c r="CV204"/>
  <c r="AR417" s="1"/>
  <c r="CV203"/>
  <c r="CV202"/>
  <c r="AR415" s="1"/>
  <c r="CV201"/>
  <c r="AR414" s="1"/>
  <c r="CV200"/>
  <c r="CV199"/>
  <c r="AR412" s="1"/>
  <c r="CV198"/>
  <c r="AR411" s="1"/>
  <c r="CV197"/>
  <c r="AR410" s="1"/>
  <c r="CV196"/>
  <c r="AR409" s="1"/>
  <c r="CV195"/>
  <c r="AR408" s="1"/>
  <c r="CV194"/>
  <c r="AR407" s="1"/>
  <c r="CV193"/>
  <c r="AR406" s="1"/>
  <c r="CV192"/>
  <c r="AR405" s="1"/>
  <c r="CV191"/>
  <c r="CV190"/>
  <c r="AR403" s="1"/>
  <c r="CV189"/>
  <c r="CV188"/>
  <c r="CV187"/>
  <c r="AR400" s="1"/>
  <c r="CV186"/>
  <c r="AR399" s="1"/>
  <c r="CV185"/>
  <c r="AR398" s="1"/>
  <c r="CV184"/>
  <c r="CV183"/>
  <c r="AR396" s="1"/>
  <c r="CV182"/>
  <c r="CV181"/>
  <c r="AR394" s="1"/>
  <c r="CV180"/>
  <c r="CV179"/>
  <c r="AR392" s="1"/>
  <c r="CV178"/>
  <c r="AR391" s="1"/>
  <c r="CV177"/>
  <c r="CV176"/>
  <c r="AR389" s="1"/>
  <c r="CV175"/>
  <c r="AR388" s="1"/>
  <c r="CV174"/>
  <c r="AR387" s="1"/>
  <c r="CV173"/>
  <c r="AR386" s="1"/>
  <c r="CV172"/>
  <c r="AR385" s="1"/>
  <c r="CV171"/>
  <c r="CV170"/>
  <c r="CV169"/>
  <c r="AR382" s="1"/>
  <c r="CV168"/>
  <c r="AR381" s="1"/>
  <c r="CV167"/>
  <c r="AR380" s="1"/>
  <c r="CV166"/>
  <c r="AR379" s="1"/>
  <c r="CV165"/>
  <c r="AR378" s="1"/>
  <c r="CV164"/>
  <c r="CV163"/>
  <c r="AR376" s="1"/>
  <c r="CV162"/>
  <c r="AR375" s="1"/>
  <c r="CV161"/>
  <c r="AR374" s="1"/>
  <c r="CV160"/>
  <c r="AR373" s="1"/>
  <c r="CV159"/>
  <c r="AR372" s="1"/>
  <c r="CV158"/>
  <c r="CV157"/>
  <c r="AR370" s="1"/>
  <c r="CV155"/>
  <c r="AR368" s="1"/>
  <c r="CV153"/>
  <c r="AR366" s="1"/>
  <c r="CV151"/>
  <c r="AR364" s="1"/>
  <c r="CV149"/>
  <c r="AR362" s="1"/>
  <c r="CV147"/>
  <c r="AR360" s="1"/>
  <c r="CV145"/>
  <c r="AR358" s="1"/>
  <c r="CV144"/>
  <c r="CV143"/>
  <c r="AR356" s="1"/>
  <c r="CV142"/>
  <c r="AR355" s="1"/>
  <c r="CV141"/>
  <c r="AR354" s="1"/>
  <c r="CV140"/>
  <c r="AR353" s="1"/>
  <c r="CV139"/>
  <c r="AR352" s="1"/>
  <c r="CV138"/>
  <c r="CV137"/>
  <c r="AR350" s="1"/>
  <c r="CV156"/>
  <c r="AR369" s="1"/>
  <c r="CV154"/>
  <c r="AR367" s="1"/>
  <c r="CV152"/>
  <c r="AR365" s="1"/>
  <c r="CV150"/>
  <c r="AR363" s="1"/>
  <c r="CV148"/>
  <c r="CV146"/>
  <c r="AR359" s="1"/>
  <c r="GR170"/>
  <c r="ET132"/>
  <c r="EY134"/>
  <c r="GT228"/>
  <c r="GT224"/>
  <c r="GT234"/>
  <c r="GT230"/>
  <c r="GT216"/>
  <c r="GT198"/>
  <c r="GT204"/>
  <c r="GT194"/>
  <c r="GT190"/>
  <c r="GT174"/>
  <c r="GT167"/>
  <c r="GT175"/>
  <c r="GT165"/>
  <c r="GT163"/>
  <c r="GT160"/>
  <c r="GT152"/>
  <c r="GT153"/>
  <c r="GT149"/>
  <c r="GT143"/>
  <c r="GT140"/>
  <c r="AS31"/>
  <c r="GT235"/>
  <c r="GT225"/>
  <c r="GT223"/>
  <c r="GT221"/>
  <c r="GT205"/>
  <c r="GT231"/>
  <c r="GT229"/>
  <c r="GT217"/>
  <c r="GT215"/>
  <c r="GT213"/>
  <c r="GT211"/>
  <c r="GT209"/>
  <c r="GT207"/>
  <c r="GT199"/>
  <c r="GT197"/>
  <c r="GT195"/>
  <c r="GT187"/>
  <c r="GT185"/>
  <c r="GT201"/>
  <c r="GT193"/>
  <c r="GT183"/>
  <c r="GT181"/>
  <c r="GT179"/>
  <c r="GT173"/>
  <c r="GT168"/>
  <c r="GT178"/>
  <c r="GT169"/>
  <c r="GT161"/>
  <c r="GT159"/>
  <c r="GT157"/>
  <c r="GT151"/>
  <c r="GT150"/>
  <c r="GT142"/>
  <c r="GT145"/>
  <c r="GT137"/>
  <c r="A196" i="23"/>
  <c r="B197"/>
  <c r="GS180" i="21" l="1"/>
  <c r="GS158"/>
  <c r="GS144"/>
  <c r="GS212"/>
  <c r="GS220"/>
  <c r="GS200"/>
  <c r="AQ446"/>
  <c r="AQ440"/>
  <c r="AQ432"/>
  <c r="AQ416"/>
  <c r="AQ404"/>
  <c r="AQ402"/>
  <c r="AQ390"/>
  <c r="AQ384"/>
  <c r="AQ439"/>
  <c r="AQ427"/>
  <c r="AQ419"/>
  <c r="AQ405"/>
  <c r="AQ401"/>
  <c r="AQ397"/>
  <c r="AQ395"/>
  <c r="EU171"/>
  <c r="GT171" s="1"/>
  <c r="EU177"/>
  <c r="GT177" s="1"/>
  <c r="EU189"/>
  <c r="GT189" s="1"/>
  <c r="EU191"/>
  <c r="GT191" s="1"/>
  <c r="EU203"/>
  <c r="GT203" s="1"/>
  <c r="EU219"/>
  <c r="GT219" s="1"/>
  <c r="EU227"/>
  <c r="GT227" s="1"/>
  <c r="EU233"/>
  <c r="GT233" s="1"/>
  <c r="EY217"/>
  <c r="EY209"/>
  <c r="EY187"/>
  <c r="EY179"/>
  <c r="EY171"/>
  <c r="EY163"/>
  <c r="EY155"/>
  <c r="EY147"/>
  <c r="EY143"/>
  <c r="EY139"/>
  <c r="EY153"/>
  <c r="EY157"/>
  <c r="EY197"/>
  <c r="EY199"/>
  <c r="EY201"/>
  <c r="EY205"/>
  <c r="EY213"/>
  <c r="EY215"/>
  <c r="EY219"/>
  <c r="EY165"/>
  <c r="EY169"/>
  <c r="EY173"/>
  <c r="EY177"/>
  <c r="EY181"/>
  <c r="EY185"/>
  <c r="EY189"/>
  <c r="EY191"/>
  <c r="EY195"/>
  <c r="EY207"/>
  <c r="EY211"/>
  <c r="EY221"/>
  <c r="EY223"/>
  <c r="EY225"/>
  <c r="EY231"/>
  <c r="EY235"/>
  <c r="EY141"/>
  <c r="EY149"/>
  <c r="EY159"/>
  <c r="EY175"/>
  <c r="EY193"/>
  <c r="EY188"/>
  <c r="EY192"/>
  <c r="EY196"/>
  <c r="EY208"/>
  <c r="EY216"/>
  <c r="EY218"/>
  <c r="EY220"/>
  <c r="EY234"/>
  <c r="EY236"/>
  <c r="EY229"/>
  <c r="EY233"/>
  <c r="EY145"/>
  <c r="EY151"/>
  <c r="EY167"/>
  <c r="EY183"/>
  <c r="EY186"/>
  <c r="EY190"/>
  <c r="EY194"/>
  <c r="EY198"/>
  <c r="EY202"/>
  <c r="EY206"/>
  <c r="EY210"/>
  <c r="EY222"/>
  <c r="EY224"/>
  <c r="EY230"/>
  <c r="EY232"/>
  <c r="EY142"/>
  <c r="EY146"/>
  <c r="EY148"/>
  <c r="EY150"/>
  <c r="EY152"/>
  <c r="EY154"/>
  <c r="EY156"/>
  <c r="EY160"/>
  <c r="EY162"/>
  <c r="EY166"/>
  <c r="EY168"/>
  <c r="EY170"/>
  <c r="EY172"/>
  <c r="EY174"/>
  <c r="EY176"/>
  <c r="EY178"/>
  <c r="EY182"/>
  <c r="EY137"/>
  <c r="EU148"/>
  <c r="AR361" s="1"/>
  <c r="EU138"/>
  <c r="AR351" s="1"/>
  <c r="EU144"/>
  <c r="AR357" s="1"/>
  <c r="EU158"/>
  <c r="AR371" s="1"/>
  <c r="EU164"/>
  <c r="GT164" s="1"/>
  <c r="EU180"/>
  <c r="AR393" s="1"/>
  <c r="EU182"/>
  <c r="GT182" s="1"/>
  <c r="EU184"/>
  <c r="AR397" s="1"/>
  <c r="EU188"/>
  <c r="GT188" s="1"/>
  <c r="EU200"/>
  <c r="AR413" s="1"/>
  <c r="EU208"/>
  <c r="GT208" s="1"/>
  <c r="EU212"/>
  <c r="GT212" s="1"/>
  <c r="EU214"/>
  <c r="AR427" s="1"/>
  <c r="EU220"/>
  <c r="GT220" s="1"/>
  <c r="EU226"/>
  <c r="AR439" s="1"/>
  <c r="GT139"/>
  <c r="GT154"/>
  <c r="GT141"/>
  <c r="GT147"/>
  <c r="GT176"/>
  <c r="GT166"/>
  <c r="GT155"/>
  <c r="GT162"/>
  <c r="GT172"/>
  <c r="GT192"/>
  <c r="GT202"/>
  <c r="GT186"/>
  <c r="GT196"/>
  <c r="GT200"/>
  <c r="GT210"/>
  <c r="GT214"/>
  <c r="GT218"/>
  <c r="GT232"/>
  <c r="GT206"/>
  <c r="GT222"/>
  <c r="GT236"/>
  <c r="GT156"/>
  <c r="GT146"/>
  <c r="GT148"/>
  <c r="CX134"/>
  <c r="AY134"/>
  <c r="CV130"/>
  <c r="AR383"/>
  <c r="CW236"/>
  <c r="AS449" s="1"/>
  <c r="CW235"/>
  <c r="AS448" s="1"/>
  <c r="CW234"/>
  <c r="AS447" s="1"/>
  <c r="CW233"/>
  <c r="AS446" s="1"/>
  <c r="CW232"/>
  <c r="AS445" s="1"/>
  <c r="CW231"/>
  <c r="AS444" s="1"/>
  <c r="CW230"/>
  <c r="AS443" s="1"/>
  <c r="CW229"/>
  <c r="AS442" s="1"/>
  <c r="CW228"/>
  <c r="AS441" s="1"/>
  <c r="CW227"/>
  <c r="CW226"/>
  <c r="CW225"/>
  <c r="AS438" s="1"/>
  <c r="CW224"/>
  <c r="AS437" s="1"/>
  <c r="CW223"/>
  <c r="AS436" s="1"/>
  <c r="CW222"/>
  <c r="AS435" s="1"/>
  <c r="CW221"/>
  <c r="AS434" s="1"/>
  <c r="CW220"/>
  <c r="AS433" s="1"/>
  <c r="CW219"/>
  <c r="CW218"/>
  <c r="AS431" s="1"/>
  <c r="CW217"/>
  <c r="AS430" s="1"/>
  <c r="CW216"/>
  <c r="AS429" s="1"/>
  <c r="CW215"/>
  <c r="AS428" s="1"/>
  <c r="CW214"/>
  <c r="CW213"/>
  <c r="AS426" s="1"/>
  <c r="CW212"/>
  <c r="CW211"/>
  <c r="AS424" s="1"/>
  <c r="CW210"/>
  <c r="AS423" s="1"/>
  <c r="CW209"/>
  <c r="AS422" s="1"/>
  <c r="CW208"/>
  <c r="CW207"/>
  <c r="AS420" s="1"/>
  <c r="CW206"/>
  <c r="AS419" s="1"/>
  <c r="CW205"/>
  <c r="AS418" s="1"/>
  <c r="CW204"/>
  <c r="AS417" s="1"/>
  <c r="CW203"/>
  <c r="CW202"/>
  <c r="AS415" s="1"/>
  <c r="CW201"/>
  <c r="AS414" s="1"/>
  <c r="CW200"/>
  <c r="CW199"/>
  <c r="AS412" s="1"/>
  <c r="CW198"/>
  <c r="AS411" s="1"/>
  <c r="CW197"/>
  <c r="AS410" s="1"/>
  <c r="CW196"/>
  <c r="AS409" s="1"/>
  <c r="CW195"/>
  <c r="AS408" s="1"/>
  <c r="CW194"/>
  <c r="AS407" s="1"/>
  <c r="CW193"/>
  <c r="AS406" s="1"/>
  <c r="CW192"/>
  <c r="AS405" s="1"/>
  <c r="CW191"/>
  <c r="CW190"/>
  <c r="AS403" s="1"/>
  <c r="CW189"/>
  <c r="CW188"/>
  <c r="AS401" s="1"/>
  <c r="CW187"/>
  <c r="AS400" s="1"/>
  <c r="CW186"/>
  <c r="AS399" s="1"/>
  <c r="CW185"/>
  <c r="AS398" s="1"/>
  <c r="CW184"/>
  <c r="CW183"/>
  <c r="AS396" s="1"/>
  <c r="CW182"/>
  <c r="AS395" s="1"/>
  <c r="CW181"/>
  <c r="AS394" s="1"/>
  <c r="CW180"/>
  <c r="CW179"/>
  <c r="AS392" s="1"/>
  <c r="CW178"/>
  <c r="AS391" s="1"/>
  <c r="CW177"/>
  <c r="CW176"/>
  <c r="AS389" s="1"/>
  <c r="CW175"/>
  <c r="AS388" s="1"/>
  <c r="CW174"/>
  <c r="AS387" s="1"/>
  <c r="CW173"/>
  <c r="AS386" s="1"/>
  <c r="CW172"/>
  <c r="AS385" s="1"/>
  <c r="CW171"/>
  <c r="CW170"/>
  <c r="CW169"/>
  <c r="AS382" s="1"/>
  <c r="CW168"/>
  <c r="AS381" s="1"/>
  <c r="CW167"/>
  <c r="AS380" s="1"/>
  <c r="CW166"/>
  <c r="AS379" s="1"/>
  <c r="CW165"/>
  <c r="AS378" s="1"/>
  <c r="CW164"/>
  <c r="CW163"/>
  <c r="AS376" s="1"/>
  <c r="CW162"/>
  <c r="AS375" s="1"/>
  <c r="CW161"/>
  <c r="AS374" s="1"/>
  <c r="CW160"/>
  <c r="AS373" s="1"/>
  <c r="CW159"/>
  <c r="AS372" s="1"/>
  <c r="CW158"/>
  <c r="CW157"/>
  <c r="AS370" s="1"/>
  <c r="CW156"/>
  <c r="AS369" s="1"/>
  <c r="CW155"/>
  <c r="AS368" s="1"/>
  <c r="CW154"/>
  <c r="AS367" s="1"/>
  <c r="CW153"/>
  <c r="AS366" s="1"/>
  <c r="CW152"/>
  <c r="AS365" s="1"/>
  <c r="CW151"/>
  <c r="AS364" s="1"/>
  <c r="CW150"/>
  <c r="AS363" s="1"/>
  <c r="CW149"/>
  <c r="AS362" s="1"/>
  <c r="CW148"/>
  <c r="CW147"/>
  <c r="AS360" s="1"/>
  <c r="CW146"/>
  <c r="AS359" s="1"/>
  <c r="CW145"/>
  <c r="AS358" s="1"/>
  <c r="CW144"/>
  <c r="CW143"/>
  <c r="AS356" s="1"/>
  <c r="CW142"/>
  <c r="AS355" s="1"/>
  <c r="CW141"/>
  <c r="AS354" s="1"/>
  <c r="CW140"/>
  <c r="AS353" s="1"/>
  <c r="CW139"/>
  <c r="AS352" s="1"/>
  <c r="CW138"/>
  <c r="CW137"/>
  <c r="AS350" s="1"/>
  <c r="EU132"/>
  <c r="GS170"/>
  <c r="EZ134"/>
  <c r="GU233"/>
  <c r="GU229"/>
  <c r="GU215"/>
  <c r="GU211"/>
  <c r="GU207"/>
  <c r="GU222"/>
  <c r="GU206"/>
  <c r="GU202"/>
  <c r="GU192"/>
  <c r="GU198"/>
  <c r="GU188"/>
  <c r="GU178"/>
  <c r="GU169"/>
  <c r="GU160"/>
  <c r="GU179"/>
  <c r="GU168"/>
  <c r="GU159"/>
  <c r="GU154"/>
  <c r="AT31"/>
  <c r="GU234"/>
  <c r="GU232"/>
  <c r="GU218"/>
  <c r="GU210"/>
  <c r="GU235"/>
  <c r="GU225"/>
  <c r="GU221"/>
  <c r="GU205"/>
  <c r="GU201"/>
  <c r="GU183"/>
  <c r="GU197"/>
  <c r="GU187"/>
  <c r="GU182"/>
  <c r="GU174"/>
  <c r="GU167"/>
  <c r="GU157"/>
  <c r="GU139"/>
  <c r="A197" i="23"/>
  <c r="B198"/>
  <c r="GT180" i="21" l="1"/>
  <c r="GT138"/>
  <c r="GT226"/>
  <c r="GT184"/>
  <c r="GT158"/>
  <c r="GT144"/>
  <c r="AR433"/>
  <c r="AR425"/>
  <c r="AR421"/>
  <c r="AR401"/>
  <c r="AR395"/>
  <c r="AR377"/>
  <c r="AR446"/>
  <c r="AR440"/>
  <c r="AR432"/>
  <c r="AR416"/>
  <c r="AR404"/>
  <c r="AR402"/>
  <c r="AR390"/>
  <c r="AR384"/>
  <c r="EZ199"/>
  <c r="EZ189"/>
  <c r="EZ181"/>
  <c r="EZ173"/>
  <c r="EZ165"/>
  <c r="EZ157"/>
  <c r="EZ149"/>
  <c r="EZ145"/>
  <c r="EZ141"/>
  <c r="EZ156"/>
  <c r="EZ172"/>
  <c r="EZ190"/>
  <c r="EZ198"/>
  <c r="EZ210"/>
  <c r="EZ218"/>
  <c r="EZ152"/>
  <c r="EZ160"/>
  <c r="EZ168"/>
  <c r="EZ176"/>
  <c r="EZ184"/>
  <c r="EZ194"/>
  <c r="EZ206"/>
  <c r="EZ151"/>
  <c r="EZ155"/>
  <c r="EZ159"/>
  <c r="EZ163"/>
  <c r="EZ195"/>
  <c r="EZ207"/>
  <c r="EZ211"/>
  <c r="EZ221"/>
  <c r="EZ223"/>
  <c r="EZ225"/>
  <c r="EZ167"/>
  <c r="EZ171"/>
  <c r="EZ175"/>
  <c r="EZ179"/>
  <c r="EZ183"/>
  <c r="EZ187"/>
  <c r="EZ193"/>
  <c r="EZ197"/>
  <c r="EZ201"/>
  <c r="EZ209"/>
  <c r="EZ213"/>
  <c r="EZ217"/>
  <c r="EZ219"/>
  <c r="EZ229"/>
  <c r="EZ233"/>
  <c r="EZ142"/>
  <c r="EZ150"/>
  <c r="EZ174"/>
  <c r="EZ202"/>
  <c r="EZ143"/>
  <c r="EZ153"/>
  <c r="EZ162"/>
  <c r="EZ169"/>
  <c r="EZ178"/>
  <c r="EZ185"/>
  <c r="EZ191"/>
  <c r="EZ215"/>
  <c r="EZ216"/>
  <c r="EZ224"/>
  <c r="EZ232"/>
  <c r="EZ231"/>
  <c r="EZ235"/>
  <c r="EZ146"/>
  <c r="EZ166"/>
  <c r="EZ182"/>
  <c r="EZ186"/>
  <c r="EZ139"/>
  <c r="EZ147"/>
  <c r="EZ148"/>
  <c r="EZ154"/>
  <c r="EZ170"/>
  <c r="EZ177"/>
  <c r="EZ205"/>
  <c r="EZ234"/>
  <c r="EZ220"/>
  <c r="EZ236"/>
  <c r="EZ188"/>
  <c r="EZ196"/>
  <c r="EZ230"/>
  <c r="EZ137"/>
  <c r="EZ192"/>
  <c r="EZ208"/>
  <c r="EZ222"/>
  <c r="EV138"/>
  <c r="AS351" s="1"/>
  <c r="EV144"/>
  <c r="AS357" s="1"/>
  <c r="EV148"/>
  <c r="GU148" s="1"/>
  <c r="EV158"/>
  <c r="GU158" s="1"/>
  <c r="EV164"/>
  <c r="AS377" s="1"/>
  <c r="EV180"/>
  <c r="AS393" s="1"/>
  <c r="EV184"/>
  <c r="GU184" s="1"/>
  <c r="EV200"/>
  <c r="AS413" s="1"/>
  <c r="EV208"/>
  <c r="AS421" s="1"/>
  <c r="EV212"/>
  <c r="AS425" s="1"/>
  <c r="EV214"/>
  <c r="GU214" s="1"/>
  <c r="EV226"/>
  <c r="GU226" s="1"/>
  <c r="EV171"/>
  <c r="AS384" s="1"/>
  <c r="EV177"/>
  <c r="GU177" s="1"/>
  <c r="EV189"/>
  <c r="AS402" s="1"/>
  <c r="EV191"/>
  <c r="GU191" s="1"/>
  <c r="EV203"/>
  <c r="AS416" s="1"/>
  <c r="EV219"/>
  <c r="AS432" s="1"/>
  <c r="EV227"/>
  <c r="AS440" s="1"/>
  <c r="GU141"/>
  <c r="GU147"/>
  <c r="GU153"/>
  <c r="GU165"/>
  <c r="GU185"/>
  <c r="GU195"/>
  <c r="GU199"/>
  <c r="GU189"/>
  <c r="GU193"/>
  <c r="GU203"/>
  <c r="GU223"/>
  <c r="GU209"/>
  <c r="GU213"/>
  <c r="GU217"/>
  <c r="GU231"/>
  <c r="GU162"/>
  <c r="GU172"/>
  <c r="GU180"/>
  <c r="GU208"/>
  <c r="GU216"/>
  <c r="GU230"/>
  <c r="GU142"/>
  <c r="GU146"/>
  <c r="GU152"/>
  <c r="GU150"/>
  <c r="GU156"/>
  <c r="GU166"/>
  <c r="GU164"/>
  <c r="GU176"/>
  <c r="GU186"/>
  <c r="GU196"/>
  <c r="GU200"/>
  <c r="GU190"/>
  <c r="GU194"/>
  <c r="GU204"/>
  <c r="GU220"/>
  <c r="GU224"/>
  <c r="GU228"/>
  <c r="GU236"/>
  <c r="GU143"/>
  <c r="GU145"/>
  <c r="GU151"/>
  <c r="GU149"/>
  <c r="GU155"/>
  <c r="GU161"/>
  <c r="GU163"/>
  <c r="GU175"/>
  <c r="GU173"/>
  <c r="GU181"/>
  <c r="GU171"/>
  <c r="GU137"/>
  <c r="GU138"/>
  <c r="GU140"/>
  <c r="CY134"/>
  <c r="AZ134"/>
  <c r="CW130"/>
  <c r="AS383"/>
  <c r="CX236"/>
  <c r="AT449" s="1"/>
  <c r="CX235"/>
  <c r="AT448" s="1"/>
  <c r="CX234"/>
  <c r="AT447" s="1"/>
  <c r="CX233"/>
  <c r="AT446" s="1"/>
  <c r="CX232"/>
  <c r="AT445" s="1"/>
  <c r="CX231"/>
  <c r="AT444" s="1"/>
  <c r="CX230"/>
  <c r="AT443" s="1"/>
  <c r="CX229"/>
  <c r="AT442" s="1"/>
  <c r="CX228"/>
  <c r="AT441" s="1"/>
  <c r="CX227"/>
  <c r="CX226"/>
  <c r="CX225"/>
  <c r="AT438" s="1"/>
  <c r="CX224"/>
  <c r="AT437" s="1"/>
  <c r="CX223"/>
  <c r="AT436" s="1"/>
  <c r="CX222"/>
  <c r="AT435" s="1"/>
  <c r="CX221"/>
  <c r="AT434" s="1"/>
  <c r="CX220"/>
  <c r="AT433" s="1"/>
  <c r="CX219"/>
  <c r="CX218"/>
  <c r="AT431" s="1"/>
  <c r="CX217"/>
  <c r="AT430" s="1"/>
  <c r="CX216"/>
  <c r="AT429" s="1"/>
  <c r="CX215"/>
  <c r="AT428" s="1"/>
  <c r="CX214"/>
  <c r="CX213"/>
  <c r="AT426" s="1"/>
  <c r="CX212"/>
  <c r="CX211"/>
  <c r="AT424" s="1"/>
  <c r="CX210"/>
  <c r="AT423" s="1"/>
  <c r="CX209"/>
  <c r="AT422" s="1"/>
  <c r="CX208"/>
  <c r="AT421" s="1"/>
  <c r="CX207"/>
  <c r="AT420" s="1"/>
  <c r="CX206"/>
  <c r="AT419" s="1"/>
  <c r="CX205"/>
  <c r="AT418" s="1"/>
  <c r="CX204"/>
  <c r="CX203"/>
  <c r="CX202"/>
  <c r="AT415" s="1"/>
  <c r="CX201"/>
  <c r="AT414" s="1"/>
  <c r="CX200"/>
  <c r="CX199"/>
  <c r="AT412" s="1"/>
  <c r="CX198"/>
  <c r="AT411" s="1"/>
  <c r="CX197"/>
  <c r="AT410" s="1"/>
  <c r="CX196"/>
  <c r="AT409" s="1"/>
  <c r="CX195"/>
  <c r="AT408" s="1"/>
  <c r="CX194"/>
  <c r="AT407" s="1"/>
  <c r="CX193"/>
  <c r="AT406" s="1"/>
  <c r="CX192"/>
  <c r="AT405" s="1"/>
  <c r="CX191"/>
  <c r="AT404" s="1"/>
  <c r="CX190"/>
  <c r="AT403" s="1"/>
  <c r="CX189"/>
  <c r="AT402" s="1"/>
  <c r="CX188"/>
  <c r="AT401" s="1"/>
  <c r="CX187"/>
  <c r="AT400" s="1"/>
  <c r="CX186"/>
  <c r="AT399" s="1"/>
  <c r="CX185"/>
  <c r="AT398" s="1"/>
  <c r="CX184"/>
  <c r="CX183"/>
  <c r="AT396" s="1"/>
  <c r="CX182"/>
  <c r="AT395" s="1"/>
  <c r="CX181"/>
  <c r="AT394" s="1"/>
  <c r="CX180"/>
  <c r="CX179"/>
  <c r="AT392" s="1"/>
  <c r="CX178"/>
  <c r="AT391" s="1"/>
  <c r="CX177"/>
  <c r="CX176"/>
  <c r="AT389" s="1"/>
  <c r="CX175"/>
  <c r="AT388" s="1"/>
  <c r="CX174"/>
  <c r="AT387" s="1"/>
  <c r="CX173"/>
  <c r="AT386" s="1"/>
  <c r="CX172"/>
  <c r="AT385" s="1"/>
  <c r="CX171"/>
  <c r="CX170"/>
  <c r="CX169"/>
  <c r="AT382" s="1"/>
  <c r="CX168"/>
  <c r="AT381" s="1"/>
  <c r="CX167"/>
  <c r="AT380" s="1"/>
  <c r="CX166"/>
  <c r="AT379" s="1"/>
  <c r="CX165"/>
  <c r="AT378" s="1"/>
  <c r="CX164"/>
  <c r="CX163"/>
  <c r="AT376" s="1"/>
  <c r="CX162"/>
  <c r="AT375" s="1"/>
  <c r="CX161"/>
  <c r="AT374" s="1"/>
  <c r="CX160"/>
  <c r="AT373" s="1"/>
  <c r="CX159"/>
  <c r="AT372" s="1"/>
  <c r="CX158"/>
  <c r="CX157"/>
  <c r="AT370" s="1"/>
  <c r="CX156"/>
  <c r="AT369" s="1"/>
  <c r="CX154"/>
  <c r="AT367" s="1"/>
  <c r="CX152"/>
  <c r="AT365" s="1"/>
  <c r="CX150"/>
  <c r="AT363" s="1"/>
  <c r="CX148"/>
  <c r="AT361" s="1"/>
  <c r="CX146"/>
  <c r="AT359" s="1"/>
  <c r="CX145"/>
  <c r="AT358" s="1"/>
  <c r="CX144"/>
  <c r="CX143"/>
  <c r="AT356" s="1"/>
  <c r="CX142"/>
  <c r="AT355" s="1"/>
  <c r="CX141"/>
  <c r="AT354" s="1"/>
  <c r="CX140"/>
  <c r="AT353" s="1"/>
  <c r="CX139"/>
  <c r="AT352" s="1"/>
  <c r="CX138"/>
  <c r="CX137"/>
  <c r="AT350" s="1"/>
  <c r="CX155"/>
  <c r="AT368" s="1"/>
  <c r="CX153"/>
  <c r="AT366" s="1"/>
  <c r="CX151"/>
  <c r="AT364" s="1"/>
  <c r="CX149"/>
  <c r="AT362" s="1"/>
  <c r="CX147"/>
  <c r="AT360" s="1"/>
  <c r="EV132"/>
  <c r="GT170"/>
  <c r="FA134"/>
  <c r="GV236"/>
  <c r="GV228"/>
  <c r="GV224"/>
  <c r="GV222"/>
  <c r="GV220"/>
  <c r="GV206"/>
  <c r="GV234"/>
  <c r="GV232"/>
  <c r="GV230"/>
  <c r="GV218"/>
  <c r="GV216"/>
  <c r="GV210"/>
  <c r="GV208"/>
  <c r="GV198"/>
  <c r="GV196"/>
  <c r="GV188"/>
  <c r="GV186"/>
  <c r="GV202"/>
  <c r="GV194"/>
  <c r="GV192"/>
  <c r="GV190"/>
  <c r="GV182"/>
  <c r="GV174"/>
  <c r="GV172"/>
  <c r="GV178"/>
  <c r="GV176"/>
  <c r="GV162"/>
  <c r="GV160"/>
  <c r="GV152"/>
  <c r="GV148"/>
  <c r="GV153"/>
  <c r="GV143"/>
  <c r="GV141"/>
  <c r="GV146"/>
  <c r="AU31"/>
  <c r="GV235"/>
  <c r="GV225"/>
  <c r="GV223"/>
  <c r="GV221"/>
  <c r="GV205"/>
  <c r="GV233"/>
  <c r="GV231"/>
  <c r="GV229"/>
  <c r="GV217"/>
  <c r="GV213"/>
  <c r="GV209"/>
  <c r="GV199"/>
  <c r="GV195"/>
  <c r="GV185"/>
  <c r="GV201"/>
  <c r="GV191"/>
  <c r="GV183"/>
  <c r="GV168"/>
  <c r="GV166"/>
  <c r="GV165"/>
  <c r="GV157"/>
  <c r="GV156"/>
  <c r="GV150"/>
  <c r="GV145"/>
  <c r="GV139"/>
  <c r="GV137"/>
  <c r="A198" i="23"/>
  <c r="B199"/>
  <c r="GU144" i="21" l="1"/>
  <c r="GU212"/>
  <c r="GU227"/>
  <c r="GU219"/>
  <c r="AS404"/>
  <c r="AS390"/>
  <c r="AS439"/>
  <c r="AS427"/>
  <c r="AS397"/>
  <c r="AS371"/>
  <c r="AS361"/>
  <c r="EW138"/>
  <c r="AT351" s="1"/>
  <c r="EW144"/>
  <c r="AT357" s="1"/>
  <c r="EW171"/>
  <c r="AT384" s="1"/>
  <c r="EW177"/>
  <c r="AT390" s="1"/>
  <c r="EW203"/>
  <c r="AT416" s="1"/>
  <c r="EW219"/>
  <c r="AT432" s="1"/>
  <c r="EW227"/>
  <c r="GV227" s="1"/>
  <c r="FA211"/>
  <c r="FA201"/>
  <c r="FA183"/>
  <c r="FA175"/>
  <c r="FA167"/>
  <c r="FA151"/>
  <c r="FA147"/>
  <c r="FA143"/>
  <c r="FA139"/>
  <c r="FA153"/>
  <c r="FA157"/>
  <c r="FA169"/>
  <c r="FA173"/>
  <c r="FA177"/>
  <c r="FA181"/>
  <c r="FA185"/>
  <c r="FA189"/>
  <c r="FA191"/>
  <c r="FA207"/>
  <c r="FA209"/>
  <c r="FA217"/>
  <c r="FA221"/>
  <c r="FA223"/>
  <c r="FA225"/>
  <c r="FA193"/>
  <c r="FA197"/>
  <c r="FA199"/>
  <c r="FA205"/>
  <c r="FA213"/>
  <c r="FA215"/>
  <c r="FA219"/>
  <c r="FA229"/>
  <c r="FA233"/>
  <c r="FA145"/>
  <c r="FA163"/>
  <c r="FA179"/>
  <c r="FA195"/>
  <c r="FA186"/>
  <c r="FA194"/>
  <c r="FA198"/>
  <c r="FA202"/>
  <c r="FA206"/>
  <c r="FA210"/>
  <c r="FA214"/>
  <c r="FA222"/>
  <c r="FA224"/>
  <c r="FA230"/>
  <c r="FA232"/>
  <c r="FA142"/>
  <c r="FA231"/>
  <c r="FA235"/>
  <c r="FA141"/>
  <c r="FA149"/>
  <c r="FA155"/>
  <c r="FA171"/>
  <c r="FA187"/>
  <c r="FA188"/>
  <c r="FA192"/>
  <c r="FA196"/>
  <c r="FA208"/>
  <c r="FA216"/>
  <c r="FA218"/>
  <c r="FA220"/>
  <c r="FA226"/>
  <c r="FA234"/>
  <c r="FA236"/>
  <c r="FA144"/>
  <c r="FA146"/>
  <c r="FA148"/>
  <c r="FA150"/>
  <c r="FA152"/>
  <c r="FA154"/>
  <c r="FA156"/>
  <c r="FA158"/>
  <c r="FA160"/>
  <c r="FA162"/>
  <c r="FA166"/>
  <c r="FA168"/>
  <c r="FA170"/>
  <c r="FA172"/>
  <c r="FA174"/>
  <c r="FA176"/>
  <c r="FA178"/>
  <c r="FA182"/>
  <c r="FA184"/>
  <c r="FA137"/>
  <c r="EW158"/>
  <c r="GV158" s="1"/>
  <c r="EW164"/>
  <c r="GV164" s="1"/>
  <c r="EW180"/>
  <c r="GV180" s="1"/>
  <c r="EW184"/>
  <c r="GV184" s="1"/>
  <c r="EW200"/>
  <c r="GV200" s="1"/>
  <c r="EW204"/>
  <c r="GV204" s="1"/>
  <c r="EW212"/>
  <c r="GV212" s="1"/>
  <c r="EW214"/>
  <c r="GV214" s="1"/>
  <c r="EW226"/>
  <c r="GV226" s="1"/>
  <c r="GV155"/>
  <c r="GV179"/>
  <c r="GV142"/>
  <c r="GV161"/>
  <c r="GV171"/>
  <c r="GV138"/>
  <c r="GV147"/>
  <c r="GV154"/>
  <c r="GV151"/>
  <c r="GV159"/>
  <c r="GV163"/>
  <c r="GV175"/>
  <c r="GV173"/>
  <c r="GV181"/>
  <c r="GV189"/>
  <c r="GV193"/>
  <c r="GV203"/>
  <c r="GV187"/>
  <c r="GV197"/>
  <c r="GV207"/>
  <c r="GV211"/>
  <c r="GV215"/>
  <c r="GV140"/>
  <c r="GV169"/>
  <c r="GV167"/>
  <c r="GV149"/>
  <c r="CX130"/>
  <c r="AT383"/>
  <c r="CY236"/>
  <c r="AU449" s="1"/>
  <c r="CY235"/>
  <c r="AU448" s="1"/>
  <c r="CY234"/>
  <c r="AU447" s="1"/>
  <c r="CY233"/>
  <c r="AU446" s="1"/>
  <c r="CY232"/>
  <c r="AU445" s="1"/>
  <c r="CY231"/>
  <c r="AU444" s="1"/>
  <c r="CY230"/>
  <c r="AU443" s="1"/>
  <c r="CY229"/>
  <c r="AU442" s="1"/>
  <c r="CY228"/>
  <c r="AU441" s="1"/>
  <c r="CY227"/>
  <c r="CY226"/>
  <c r="CY225"/>
  <c r="AU438" s="1"/>
  <c r="CY224"/>
  <c r="AU437" s="1"/>
  <c r="CY223"/>
  <c r="AU436" s="1"/>
  <c r="CY222"/>
  <c r="AU435" s="1"/>
  <c r="CY221"/>
  <c r="AU434" s="1"/>
  <c r="CY220"/>
  <c r="AU433" s="1"/>
  <c r="CY219"/>
  <c r="AU432" s="1"/>
  <c r="CY218"/>
  <c r="AU431" s="1"/>
  <c r="CY217"/>
  <c r="AU430" s="1"/>
  <c r="CY216"/>
  <c r="AU429" s="1"/>
  <c r="CY215"/>
  <c r="AU428" s="1"/>
  <c r="CY214"/>
  <c r="CY213"/>
  <c r="AU426" s="1"/>
  <c r="CY212"/>
  <c r="CY211"/>
  <c r="AU424" s="1"/>
  <c r="CY210"/>
  <c r="AU423" s="1"/>
  <c r="CY209"/>
  <c r="AU422" s="1"/>
  <c r="CY208"/>
  <c r="AU421" s="1"/>
  <c r="CY207"/>
  <c r="AU420" s="1"/>
  <c r="CY206"/>
  <c r="AU419" s="1"/>
  <c r="CY205"/>
  <c r="AU418" s="1"/>
  <c r="CY204"/>
  <c r="CY203"/>
  <c r="CY202"/>
  <c r="AU415" s="1"/>
  <c r="CY201"/>
  <c r="AU414" s="1"/>
  <c r="CY200"/>
  <c r="CY199"/>
  <c r="AU412" s="1"/>
  <c r="CY198"/>
  <c r="AU411" s="1"/>
  <c r="CY197"/>
  <c r="AU410" s="1"/>
  <c r="CY196"/>
  <c r="AU409" s="1"/>
  <c r="CY195"/>
  <c r="AU408" s="1"/>
  <c r="CY194"/>
  <c r="AU407" s="1"/>
  <c r="CY193"/>
  <c r="AU406" s="1"/>
  <c r="CY192"/>
  <c r="AU405" s="1"/>
  <c r="CY191"/>
  <c r="AU404" s="1"/>
  <c r="CY190"/>
  <c r="AU403" s="1"/>
  <c r="CY189"/>
  <c r="AU402" s="1"/>
  <c r="CY188"/>
  <c r="AU401" s="1"/>
  <c r="CY187"/>
  <c r="AU400" s="1"/>
  <c r="CY186"/>
  <c r="AU399" s="1"/>
  <c r="CY185"/>
  <c r="AU398" s="1"/>
  <c r="CY184"/>
  <c r="CY183"/>
  <c r="AU396" s="1"/>
  <c r="CY182"/>
  <c r="AU395" s="1"/>
  <c r="CY181"/>
  <c r="AU394" s="1"/>
  <c r="CY180"/>
  <c r="CY179"/>
  <c r="AU392" s="1"/>
  <c r="CY178"/>
  <c r="AU391" s="1"/>
  <c r="CY177"/>
  <c r="AU390" s="1"/>
  <c r="CY176"/>
  <c r="AU389" s="1"/>
  <c r="CY175"/>
  <c r="AU388" s="1"/>
  <c r="CY174"/>
  <c r="AU387" s="1"/>
  <c r="CY173"/>
  <c r="AU386" s="1"/>
  <c r="CY172"/>
  <c r="AU385" s="1"/>
  <c r="CY171"/>
  <c r="AU384" s="1"/>
  <c r="CY170"/>
  <c r="CY169"/>
  <c r="AU382" s="1"/>
  <c r="CY168"/>
  <c r="AU381" s="1"/>
  <c r="CY167"/>
  <c r="AU380" s="1"/>
  <c r="CY166"/>
  <c r="AU379" s="1"/>
  <c r="CY165"/>
  <c r="AU378" s="1"/>
  <c r="CY164"/>
  <c r="CY163"/>
  <c r="AU376" s="1"/>
  <c r="CY162"/>
  <c r="AU375" s="1"/>
  <c r="CY161"/>
  <c r="AU374" s="1"/>
  <c r="CY160"/>
  <c r="AU373" s="1"/>
  <c r="CY159"/>
  <c r="AU372" s="1"/>
  <c r="CY158"/>
  <c r="CY157"/>
  <c r="AU370" s="1"/>
  <c r="CY156"/>
  <c r="AU369" s="1"/>
  <c r="CY155"/>
  <c r="AU368" s="1"/>
  <c r="CY154"/>
  <c r="AU367" s="1"/>
  <c r="CY153"/>
  <c r="AU366" s="1"/>
  <c r="CY152"/>
  <c r="AU365" s="1"/>
  <c r="CY151"/>
  <c r="AU364" s="1"/>
  <c r="CY150"/>
  <c r="AU363" s="1"/>
  <c r="CY149"/>
  <c r="AU362" s="1"/>
  <c r="CY148"/>
  <c r="AU361" s="1"/>
  <c r="CY147"/>
  <c r="AU360" s="1"/>
  <c r="CY146"/>
  <c r="AU359" s="1"/>
  <c r="CY145"/>
  <c r="AU358" s="1"/>
  <c r="CY144"/>
  <c r="CY143"/>
  <c r="AU356" s="1"/>
  <c r="CY142"/>
  <c r="AU355" s="1"/>
  <c r="CY141"/>
  <c r="AU354" s="1"/>
  <c r="CY140"/>
  <c r="CY139"/>
  <c r="AU352" s="1"/>
  <c r="CY138"/>
  <c r="CY137"/>
  <c r="AU350" s="1"/>
  <c r="CZ134"/>
  <c r="BA134"/>
  <c r="EW132"/>
  <c r="GU170"/>
  <c r="FB134"/>
  <c r="GW234"/>
  <c r="GW232"/>
  <c r="GW230"/>
  <c r="GW218"/>
  <c r="GW216"/>
  <c r="GW210"/>
  <c r="GW208"/>
  <c r="GW236"/>
  <c r="GW228"/>
  <c r="GW224"/>
  <c r="GW222"/>
  <c r="GW220"/>
  <c r="GW206"/>
  <c r="GW202"/>
  <c r="GW192"/>
  <c r="GW198"/>
  <c r="GW188"/>
  <c r="GW178"/>
  <c r="GW171"/>
  <c r="GW169"/>
  <c r="GW161"/>
  <c r="GW182"/>
  <c r="GW174"/>
  <c r="GW167"/>
  <c r="GW156"/>
  <c r="GW150"/>
  <c r="GW152"/>
  <c r="GW146"/>
  <c r="AV31"/>
  <c r="GW233"/>
  <c r="GW231"/>
  <c r="GW229"/>
  <c r="GW217"/>
  <c r="GW215"/>
  <c r="GW213"/>
  <c r="GW211"/>
  <c r="GW209"/>
  <c r="GW207"/>
  <c r="GW235"/>
  <c r="GW225"/>
  <c r="GW223"/>
  <c r="GW221"/>
  <c r="GW219"/>
  <c r="GW205"/>
  <c r="GW201"/>
  <c r="GW193"/>
  <c r="GW191"/>
  <c r="GW189"/>
  <c r="GW183"/>
  <c r="GW199"/>
  <c r="GW197"/>
  <c r="GW195"/>
  <c r="GW187"/>
  <c r="GW185"/>
  <c r="GW177"/>
  <c r="GW175"/>
  <c r="GW165"/>
  <c r="GW163"/>
  <c r="GW159"/>
  <c r="GW181"/>
  <c r="GW179"/>
  <c r="GW173"/>
  <c r="GW168"/>
  <c r="GW162"/>
  <c r="GW155"/>
  <c r="GW153"/>
  <c r="GW149"/>
  <c r="GW157"/>
  <c r="GW151"/>
  <c r="GW147"/>
  <c r="GW145"/>
  <c r="GW143"/>
  <c r="GW141"/>
  <c r="A199" i="23"/>
  <c r="B200"/>
  <c r="GV219" i="21" l="1"/>
  <c r="GV144"/>
  <c r="GV177"/>
  <c r="AT439"/>
  <c r="AT427"/>
  <c r="AT425"/>
  <c r="AT417"/>
  <c r="AT413"/>
  <c r="AT397"/>
  <c r="AT393"/>
  <c r="AT377"/>
  <c r="AT371"/>
  <c r="AT440"/>
  <c r="EX203"/>
  <c r="GW203" s="1"/>
  <c r="EX227"/>
  <c r="GW227" s="1"/>
  <c r="FB213"/>
  <c r="FB191"/>
  <c r="FB185"/>
  <c r="FB177"/>
  <c r="FB169"/>
  <c r="FB153"/>
  <c r="FB149"/>
  <c r="FB145"/>
  <c r="FB141"/>
  <c r="FB154"/>
  <c r="FB162"/>
  <c r="FB170"/>
  <c r="FB178"/>
  <c r="FB212"/>
  <c r="FB151"/>
  <c r="FB155"/>
  <c r="FB163"/>
  <c r="FB158"/>
  <c r="FB166"/>
  <c r="FB174"/>
  <c r="FB182"/>
  <c r="FB188"/>
  <c r="FB196"/>
  <c r="FB216"/>
  <c r="FB224"/>
  <c r="FB167"/>
  <c r="FB171"/>
  <c r="FB175"/>
  <c r="FB179"/>
  <c r="FB183"/>
  <c r="FB187"/>
  <c r="FB193"/>
  <c r="FB201"/>
  <c r="FB209"/>
  <c r="FB217"/>
  <c r="FB219"/>
  <c r="FB195"/>
  <c r="FB199"/>
  <c r="FB205"/>
  <c r="FB211"/>
  <c r="FB215"/>
  <c r="FB221"/>
  <c r="FB223"/>
  <c r="FB225"/>
  <c r="FB227"/>
  <c r="FB229"/>
  <c r="FB233"/>
  <c r="FB148"/>
  <c r="FB176"/>
  <c r="FB232"/>
  <c r="FB139"/>
  <c r="FB146"/>
  <c r="FB147"/>
  <c r="FB156"/>
  <c r="FB157"/>
  <c r="FB172"/>
  <c r="FB173"/>
  <c r="FB197"/>
  <c r="FB222"/>
  <c r="FB230"/>
  <c r="FB231"/>
  <c r="FB235"/>
  <c r="FB144"/>
  <c r="FB152"/>
  <c r="FB168"/>
  <c r="FB184"/>
  <c r="FB192"/>
  <c r="FB142"/>
  <c r="FB143"/>
  <c r="FB150"/>
  <c r="FB181"/>
  <c r="FB189"/>
  <c r="FB207"/>
  <c r="FB208"/>
  <c r="FB218"/>
  <c r="FB226"/>
  <c r="FB234"/>
  <c r="FB186"/>
  <c r="FB194"/>
  <c r="FB202"/>
  <c r="FB210"/>
  <c r="FB228"/>
  <c r="FB190"/>
  <c r="FB206"/>
  <c r="FB214"/>
  <c r="FB220"/>
  <c r="FB236"/>
  <c r="EX138"/>
  <c r="AU351" s="1"/>
  <c r="EX140"/>
  <c r="AU353" s="1"/>
  <c r="EX144"/>
  <c r="AU357" s="1"/>
  <c r="EX158"/>
  <c r="AU371" s="1"/>
  <c r="EX164"/>
  <c r="GW164" s="1"/>
  <c r="EX180"/>
  <c r="AU393" s="1"/>
  <c r="EX184"/>
  <c r="GW184" s="1"/>
  <c r="EX200"/>
  <c r="AU413" s="1"/>
  <c r="EX204"/>
  <c r="GW204" s="1"/>
  <c r="EX212"/>
  <c r="GW212" s="1"/>
  <c r="EX214"/>
  <c r="GW214" s="1"/>
  <c r="EX226"/>
  <c r="GW226" s="1"/>
  <c r="GW137"/>
  <c r="GW166"/>
  <c r="GW144"/>
  <c r="GW148"/>
  <c r="GW154"/>
  <c r="GW160"/>
  <c r="GW172"/>
  <c r="GW176"/>
  <c r="GW186"/>
  <c r="GW196"/>
  <c r="GW190"/>
  <c r="GW194"/>
  <c r="GW139"/>
  <c r="GW142"/>
  <c r="GW138"/>
  <c r="DA134"/>
  <c r="BB134"/>
  <c r="CZ236"/>
  <c r="AV449" s="1"/>
  <c r="CZ235"/>
  <c r="AV448" s="1"/>
  <c r="CZ234"/>
  <c r="AV447" s="1"/>
  <c r="CZ233"/>
  <c r="AV446" s="1"/>
  <c r="CZ232"/>
  <c r="AV445" s="1"/>
  <c r="CZ231"/>
  <c r="AV444" s="1"/>
  <c r="CZ230"/>
  <c r="AV443" s="1"/>
  <c r="CZ229"/>
  <c r="AV442" s="1"/>
  <c r="CZ228"/>
  <c r="CZ227"/>
  <c r="CZ226"/>
  <c r="CZ225"/>
  <c r="AV438" s="1"/>
  <c r="CZ224"/>
  <c r="AV437" s="1"/>
  <c r="CZ223"/>
  <c r="AV436" s="1"/>
  <c r="CZ222"/>
  <c r="AV435" s="1"/>
  <c r="CZ221"/>
  <c r="AV434" s="1"/>
  <c r="CZ220"/>
  <c r="AV433" s="1"/>
  <c r="CZ219"/>
  <c r="AV432" s="1"/>
  <c r="CZ218"/>
  <c r="AV431" s="1"/>
  <c r="CZ217"/>
  <c r="AV430" s="1"/>
  <c r="CZ216"/>
  <c r="AV429" s="1"/>
  <c r="CZ215"/>
  <c r="AV428" s="1"/>
  <c r="CZ214"/>
  <c r="CZ213"/>
  <c r="AV426" s="1"/>
  <c r="CZ212"/>
  <c r="CZ211"/>
  <c r="AV424" s="1"/>
  <c r="CZ210"/>
  <c r="AV423" s="1"/>
  <c r="CZ209"/>
  <c r="AV422" s="1"/>
  <c r="CZ208"/>
  <c r="AV421" s="1"/>
  <c r="CZ207"/>
  <c r="AV420" s="1"/>
  <c r="CZ206"/>
  <c r="AV419" s="1"/>
  <c r="CZ205"/>
  <c r="AV418" s="1"/>
  <c r="CZ204"/>
  <c r="CZ203"/>
  <c r="CZ202"/>
  <c r="AV415" s="1"/>
  <c r="CZ201"/>
  <c r="AV414" s="1"/>
  <c r="CZ200"/>
  <c r="CZ199"/>
  <c r="AV412" s="1"/>
  <c r="CZ198"/>
  <c r="AV411" s="1"/>
  <c r="CZ197"/>
  <c r="AV410" s="1"/>
  <c r="CZ196"/>
  <c r="AV409" s="1"/>
  <c r="CZ195"/>
  <c r="AV408" s="1"/>
  <c r="CZ194"/>
  <c r="AV407" s="1"/>
  <c r="CZ193"/>
  <c r="AV406" s="1"/>
  <c r="CZ192"/>
  <c r="AV405" s="1"/>
  <c r="CZ191"/>
  <c r="AV404" s="1"/>
  <c r="CZ190"/>
  <c r="AV403" s="1"/>
  <c r="CZ189"/>
  <c r="AV402" s="1"/>
  <c r="CZ188"/>
  <c r="AV401" s="1"/>
  <c r="CZ187"/>
  <c r="AV400" s="1"/>
  <c r="CZ186"/>
  <c r="AV399" s="1"/>
  <c r="CZ185"/>
  <c r="AV398" s="1"/>
  <c r="CZ184"/>
  <c r="CZ183"/>
  <c r="AV396" s="1"/>
  <c r="CZ182"/>
  <c r="AV395" s="1"/>
  <c r="CZ181"/>
  <c r="AV394" s="1"/>
  <c r="CZ180"/>
  <c r="CZ179"/>
  <c r="AV392" s="1"/>
  <c r="CZ178"/>
  <c r="AV391" s="1"/>
  <c r="CZ177"/>
  <c r="AV390" s="1"/>
  <c r="CZ176"/>
  <c r="AV389" s="1"/>
  <c r="CZ175"/>
  <c r="AV388" s="1"/>
  <c r="CZ174"/>
  <c r="AV387" s="1"/>
  <c r="CZ173"/>
  <c r="AV386" s="1"/>
  <c r="CZ172"/>
  <c r="AV385" s="1"/>
  <c r="CZ171"/>
  <c r="AV384" s="1"/>
  <c r="CZ170"/>
  <c r="CZ169"/>
  <c r="AV382" s="1"/>
  <c r="CZ168"/>
  <c r="AV381" s="1"/>
  <c r="CZ167"/>
  <c r="AV380" s="1"/>
  <c r="CZ166"/>
  <c r="AV379" s="1"/>
  <c r="CZ165"/>
  <c r="AV378" s="1"/>
  <c r="CZ164"/>
  <c r="CZ163"/>
  <c r="AV376" s="1"/>
  <c r="CZ162"/>
  <c r="AV375" s="1"/>
  <c r="CZ161"/>
  <c r="CZ160"/>
  <c r="AV373" s="1"/>
  <c r="CZ159"/>
  <c r="AV372" s="1"/>
  <c r="CZ158"/>
  <c r="CZ157"/>
  <c r="AV370" s="1"/>
  <c r="CZ155"/>
  <c r="AV368" s="1"/>
  <c r="CZ153"/>
  <c r="AV366" s="1"/>
  <c r="CZ151"/>
  <c r="AV364" s="1"/>
  <c r="CZ149"/>
  <c r="AV362" s="1"/>
  <c r="CZ147"/>
  <c r="AV360" s="1"/>
  <c r="CZ145"/>
  <c r="AV358" s="1"/>
  <c r="CZ144"/>
  <c r="CZ143"/>
  <c r="AV356" s="1"/>
  <c r="CZ142"/>
  <c r="AV355" s="1"/>
  <c r="CZ141"/>
  <c r="AV354" s="1"/>
  <c r="CZ140"/>
  <c r="CZ139"/>
  <c r="AV352" s="1"/>
  <c r="CZ138"/>
  <c r="CZ137"/>
  <c r="AV350" s="1"/>
  <c r="CZ156"/>
  <c r="AV369" s="1"/>
  <c r="CZ154"/>
  <c r="AV367" s="1"/>
  <c r="CZ152"/>
  <c r="AV365" s="1"/>
  <c r="CZ150"/>
  <c r="AV363" s="1"/>
  <c r="CZ148"/>
  <c r="AV361" s="1"/>
  <c r="CZ146"/>
  <c r="AV359" s="1"/>
  <c r="CY130"/>
  <c r="AU383"/>
  <c r="EX132"/>
  <c r="GV170"/>
  <c r="FC134"/>
  <c r="GX224"/>
  <c r="GX234"/>
  <c r="GX230"/>
  <c r="GX216"/>
  <c r="GX208"/>
  <c r="GX188"/>
  <c r="GX194"/>
  <c r="GX182"/>
  <c r="GX167"/>
  <c r="GX177"/>
  <c r="GX175"/>
  <c r="GX163"/>
  <c r="GX149"/>
  <c r="GX141"/>
  <c r="AW31"/>
  <c r="GX235"/>
  <c r="GX225"/>
  <c r="GX223"/>
  <c r="GX221"/>
  <c r="GX219"/>
  <c r="GX205"/>
  <c r="GX233"/>
  <c r="GX231"/>
  <c r="GX229"/>
  <c r="GX217"/>
  <c r="GX215"/>
  <c r="GX213"/>
  <c r="GX211"/>
  <c r="GX209"/>
  <c r="GX207"/>
  <c r="GX199"/>
  <c r="GX197"/>
  <c r="GX195"/>
  <c r="GX187"/>
  <c r="GX185"/>
  <c r="GX201"/>
  <c r="GX193"/>
  <c r="GX191"/>
  <c r="GX189"/>
  <c r="GX183"/>
  <c r="GX181"/>
  <c r="GX179"/>
  <c r="GX173"/>
  <c r="GX176"/>
  <c r="GX171"/>
  <c r="GX169"/>
  <c r="GX157"/>
  <c r="GX142"/>
  <c r="GX145"/>
  <c r="GX137"/>
  <c r="A200" i="23"/>
  <c r="B201"/>
  <c r="GW140" i="21" l="1"/>
  <c r="GW158"/>
  <c r="AU440"/>
  <c r="AU416"/>
  <c r="GW200"/>
  <c r="GW180"/>
  <c r="AU439"/>
  <c r="AU427"/>
  <c r="AU425"/>
  <c r="AU417"/>
  <c r="AU397"/>
  <c r="AU377"/>
  <c r="EY161"/>
  <c r="GX161" s="1"/>
  <c r="EY203"/>
  <c r="GX203" s="1"/>
  <c r="EY227"/>
  <c r="GX227" s="1"/>
  <c r="FC203"/>
  <c r="FC193"/>
  <c r="FC187"/>
  <c r="FC179"/>
  <c r="FC171"/>
  <c r="FC163"/>
  <c r="FC155"/>
  <c r="FC147"/>
  <c r="FC143"/>
  <c r="FC139"/>
  <c r="FC153"/>
  <c r="FC157"/>
  <c r="FC195"/>
  <c r="FC197"/>
  <c r="FC199"/>
  <c r="FC205"/>
  <c r="FC211"/>
  <c r="FC213"/>
  <c r="FC215"/>
  <c r="FC219"/>
  <c r="FC221"/>
  <c r="FC225"/>
  <c r="FC165"/>
  <c r="FC169"/>
  <c r="FC173"/>
  <c r="FC177"/>
  <c r="FC181"/>
  <c r="FC185"/>
  <c r="FC189"/>
  <c r="FC191"/>
  <c r="FC201"/>
  <c r="FC207"/>
  <c r="FC227"/>
  <c r="FC231"/>
  <c r="FC235"/>
  <c r="FC141"/>
  <c r="FC149"/>
  <c r="FC167"/>
  <c r="FC183"/>
  <c r="FC217"/>
  <c r="FC188"/>
  <c r="FC192"/>
  <c r="FC196"/>
  <c r="FC208"/>
  <c r="FC212"/>
  <c r="FC216"/>
  <c r="FC218"/>
  <c r="FC220"/>
  <c r="FC226"/>
  <c r="FC228"/>
  <c r="FC234"/>
  <c r="FC236"/>
  <c r="FC229"/>
  <c r="FC233"/>
  <c r="FC145"/>
  <c r="FC175"/>
  <c r="FC209"/>
  <c r="FC186"/>
  <c r="FC190"/>
  <c r="FC194"/>
  <c r="FC202"/>
  <c r="FC206"/>
  <c r="FC214"/>
  <c r="FC222"/>
  <c r="FC224"/>
  <c r="FC230"/>
  <c r="FC232"/>
  <c r="FC142"/>
  <c r="FC144"/>
  <c r="FC146"/>
  <c r="FC148"/>
  <c r="FC150"/>
  <c r="FC152"/>
  <c r="FC156"/>
  <c r="FC158"/>
  <c r="FC160"/>
  <c r="FC162"/>
  <c r="FC166"/>
  <c r="FC168"/>
  <c r="FC170"/>
  <c r="FC172"/>
  <c r="FC174"/>
  <c r="FC176"/>
  <c r="FC178"/>
  <c r="FC182"/>
  <c r="FC184"/>
  <c r="EY138"/>
  <c r="AV351" s="1"/>
  <c r="EY140"/>
  <c r="AV353" s="1"/>
  <c r="EY144"/>
  <c r="AV357" s="1"/>
  <c r="EY158"/>
  <c r="GX158" s="1"/>
  <c r="EY164"/>
  <c r="AV377" s="1"/>
  <c r="EY180"/>
  <c r="AV393" s="1"/>
  <c r="EY184"/>
  <c r="AV397" s="1"/>
  <c r="EY200"/>
  <c r="AV413" s="1"/>
  <c r="EY204"/>
  <c r="AV417" s="1"/>
  <c r="EY212"/>
  <c r="AV425" s="1"/>
  <c r="EY214"/>
  <c r="AV427" s="1"/>
  <c r="EY226"/>
  <c r="AV439" s="1"/>
  <c r="EY228"/>
  <c r="GX228" s="1"/>
  <c r="GX151"/>
  <c r="GX166"/>
  <c r="GX174"/>
  <c r="GX190"/>
  <c r="GX204"/>
  <c r="GX198"/>
  <c r="GX212"/>
  <c r="GX220"/>
  <c r="GX150"/>
  <c r="GX147"/>
  <c r="GX144"/>
  <c r="GX156"/>
  <c r="GX164"/>
  <c r="GX178"/>
  <c r="GX168"/>
  <c r="GX138"/>
  <c r="GX155"/>
  <c r="GX160"/>
  <c r="GX162"/>
  <c r="GX172"/>
  <c r="GX180"/>
  <c r="GX192"/>
  <c r="GX202"/>
  <c r="GX186"/>
  <c r="GX196"/>
  <c r="GX210"/>
  <c r="GX214"/>
  <c r="GX218"/>
  <c r="GX232"/>
  <c r="GX206"/>
  <c r="GX222"/>
  <c r="GX236"/>
  <c r="GX152"/>
  <c r="GX139"/>
  <c r="GX154"/>
  <c r="GX159"/>
  <c r="GX146"/>
  <c r="GX143"/>
  <c r="GX153"/>
  <c r="GX165"/>
  <c r="GX148"/>
  <c r="DB134"/>
  <c r="BC134"/>
  <c r="CZ130"/>
  <c r="AV383"/>
  <c r="DA236"/>
  <c r="AW449" s="1"/>
  <c r="DA235"/>
  <c r="AW448" s="1"/>
  <c r="DA234"/>
  <c r="AW447" s="1"/>
  <c r="DA233"/>
  <c r="AW446" s="1"/>
  <c r="DA232"/>
  <c r="AW445" s="1"/>
  <c r="DA231"/>
  <c r="AW444" s="1"/>
  <c r="DA230"/>
  <c r="AW443" s="1"/>
  <c r="DA229"/>
  <c r="AW442" s="1"/>
  <c r="DA228"/>
  <c r="DA227"/>
  <c r="DA226"/>
  <c r="DA225"/>
  <c r="AW438" s="1"/>
  <c r="DA224"/>
  <c r="AW437" s="1"/>
  <c r="DA223"/>
  <c r="AW436" s="1"/>
  <c r="DA222"/>
  <c r="AW435" s="1"/>
  <c r="DA221"/>
  <c r="AW434" s="1"/>
  <c r="DA220"/>
  <c r="AW433" s="1"/>
  <c r="DA219"/>
  <c r="AW432" s="1"/>
  <c r="DA218"/>
  <c r="AW431" s="1"/>
  <c r="DA217"/>
  <c r="AW430" s="1"/>
  <c r="DA216"/>
  <c r="AW429" s="1"/>
  <c r="DA215"/>
  <c r="AW428" s="1"/>
  <c r="DA214"/>
  <c r="DA213"/>
  <c r="AW426" s="1"/>
  <c r="DA212"/>
  <c r="DA211"/>
  <c r="AW424" s="1"/>
  <c r="DA210"/>
  <c r="AW423" s="1"/>
  <c r="DA209"/>
  <c r="AW422" s="1"/>
  <c r="DA208"/>
  <c r="AW421" s="1"/>
  <c r="DA207"/>
  <c r="AW420" s="1"/>
  <c r="DA206"/>
  <c r="AW419" s="1"/>
  <c r="DA205"/>
  <c r="AW418" s="1"/>
  <c r="DA204"/>
  <c r="DA203"/>
  <c r="DA202"/>
  <c r="AW415" s="1"/>
  <c r="DA201"/>
  <c r="AW414" s="1"/>
  <c r="DA200"/>
  <c r="DA199"/>
  <c r="AW412" s="1"/>
  <c r="DA198"/>
  <c r="AW411" s="1"/>
  <c r="DA197"/>
  <c r="AW410" s="1"/>
  <c r="DA196"/>
  <c r="AW409" s="1"/>
  <c r="DA195"/>
  <c r="AW408" s="1"/>
  <c r="DA194"/>
  <c r="AW407" s="1"/>
  <c r="DA193"/>
  <c r="AW406" s="1"/>
  <c r="DA192"/>
  <c r="AW405" s="1"/>
  <c r="DA191"/>
  <c r="AW404" s="1"/>
  <c r="DA190"/>
  <c r="AW403" s="1"/>
  <c r="DA189"/>
  <c r="AW402" s="1"/>
  <c r="DA188"/>
  <c r="AW401" s="1"/>
  <c r="DA187"/>
  <c r="AW400" s="1"/>
  <c r="DA186"/>
  <c r="AW399" s="1"/>
  <c r="DA185"/>
  <c r="AW398" s="1"/>
  <c r="DA184"/>
  <c r="AW397" s="1"/>
  <c r="DA183"/>
  <c r="AW396" s="1"/>
  <c r="DA182"/>
  <c r="AW395" s="1"/>
  <c r="DA181"/>
  <c r="AW394" s="1"/>
  <c r="DA180"/>
  <c r="DA179"/>
  <c r="AW392" s="1"/>
  <c r="DA178"/>
  <c r="AW391" s="1"/>
  <c r="DA177"/>
  <c r="AW390" s="1"/>
  <c r="DA176"/>
  <c r="AW389" s="1"/>
  <c r="DA175"/>
  <c r="AW388" s="1"/>
  <c r="DA174"/>
  <c r="AW387" s="1"/>
  <c r="DA173"/>
  <c r="AW386" s="1"/>
  <c r="DA172"/>
  <c r="AW385" s="1"/>
  <c r="DA171"/>
  <c r="AW384" s="1"/>
  <c r="DA170"/>
  <c r="DA169"/>
  <c r="AW382" s="1"/>
  <c r="DA168"/>
  <c r="AW381" s="1"/>
  <c r="DA167"/>
  <c r="AW380" s="1"/>
  <c r="DA166"/>
  <c r="AW379" s="1"/>
  <c r="DA165"/>
  <c r="AW378" s="1"/>
  <c r="DA164"/>
  <c r="DA163"/>
  <c r="AW376" s="1"/>
  <c r="DA162"/>
  <c r="AW375" s="1"/>
  <c r="DA161"/>
  <c r="DA160"/>
  <c r="AW373" s="1"/>
  <c r="DA159"/>
  <c r="AW372" s="1"/>
  <c r="DA158"/>
  <c r="DA157"/>
  <c r="AW370" s="1"/>
  <c r="DA156"/>
  <c r="AW369" s="1"/>
  <c r="DA155"/>
  <c r="AW368" s="1"/>
  <c r="DA154"/>
  <c r="AW367" s="1"/>
  <c r="DA153"/>
  <c r="AW366" s="1"/>
  <c r="DA152"/>
  <c r="AW365" s="1"/>
  <c r="DA151"/>
  <c r="AW364" s="1"/>
  <c r="DA150"/>
  <c r="AW363" s="1"/>
  <c r="DA149"/>
  <c r="AW362" s="1"/>
  <c r="DA148"/>
  <c r="AW361" s="1"/>
  <c r="DA147"/>
  <c r="AW360" s="1"/>
  <c r="DA146"/>
  <c r="AW359" s="1"/>
  <c r="DA145"/>
  <c r="AW358" s="1"/>
  <c r="DA144"/>
  <c r="DA143"/>
  <c r="AW356" s="1"/>
  <c r="DA142"/>
  <c r="AW355" s="1"/>
  <c r="DA141"/>
  <c r="AW354" s="1"/>
  <c r="DA140"/>
  <c r="DA139"/>
  <c r="AW352" s="1"/>
  <c r="DA138"/>
  <c r="DA137"/>
  <c r="AW350" s="1"/>
  <c r="GW170"/>
  <c r="EY132"/>
  <c r="FD134"/>
  <c r="GY236"/>
  <c r="GY231"/>
  <c r="GY217"/>
  <c r="GY213"/>
  <c r="GY209"/>
  <c r="GY224"/>
  <c r="GY222"/>
  <c r="GY220"/>
  <c r="GY206"/>
  <c r="GY202"/>
  <c r="GY194"/>
  <c r="GY192"/>
  <c r="GY190"/>
  <c r="GY184"/>
  <c r="GY198"/>
  <c r="GY196"/>
  <c r="GY188"/>
  <c r="GY186"/>
  <c r="GY178"/>
  <c r="GY171"/>
  <c r="GY179"/>
  <c r="GY166"/>
  <c r="GY156"/>
  <c r="GY150"/>
  <c r="GY152"/>
  <c r="GY146"/>
  <c r="AX31"/>
  <c r="GY234"/>
  <c r="GY232"/>
  <c r="GY230"/>
  <c r="GY218"/>
  <c r="GY216"/>
  <c r="GY210"/>
  <c r="GY208"/>
  <c r="GY235"/>
  <c r="GY225"/>
  <c r="GY221"/>
  <c r="GY205"/>
  <c r="GY201"/>
  <c r="GY191"/>
  <c r="GY183"/>
  <c r="GY197"/>
  <c r="GY187"/>
  <c r="GY177"/>
  <c r="GY165"/>
  <c r="GY182"/>
  <c r="GY172"/>
  <c r="GY153"/>
  <c r="GY157"/>
  <c r="GY147"/>
  <c r="GY143"/>
  <c r="A201" i="23"/>
  <c r="B202"/>
  <c r="GX200" i="21" l="1"/>
  <c r="GX226"/>
  <c r="GX184"/>
  <c r="GX140"/>
  <c r="AV441"/>
  <c r="AV371"/>
  <c r="AV440"/>
  <c r="AV416"/>
  <c r="AV374"/>
  <c r="EZ161"/>
  <c r="GY161" s="1"/>
  <c r="EZ203"/>
  <c r="AW416" s="1"/>
  <c r="EZ227"/>
  <c r="AW440" s="1"/>
  <c r="FD233"/>
  <c r="FD229"/>
  <c r="FD215"/>
  <c r="FD205"/>
  <c r="FD189"/>
  <c r="FD181"/>
  <c r="FD173"/>
  <c r="FD165"/>
  <c r="FD157"/>
  <c r="FD149"/>
  <c r="FD145"/>
  <c r="FD141"/>
  <c r="FD152"/>
  <c r="FD160"/>
  <c r="FD168"/>
  <c r="FD176"/>
  <c r="FD184"/>
  <c r="FD222"/>
  <c r="FD156"/>
  <c r="FD172"/>
  <c r="FD186"/>
  <c r="FD194"/>
  <c r="FD202"/>
  <c r="FD206"/>
  <c r="FD155"/>
  <c r="FD195"/>
  <c r="FD197"/>
  <c r="FD211"/>
  <c r="FD213"/>
  <c r="FD219"/>
  <c r="FD221"/>
  <c r="FD225"/>
  <c r="FD163"/>
  <c r="FD167"/>
  <c r="FD171"/>
  <c r="FD175"/>
  <c r="FD179"/>
  <c r="FD183"/>
  <c r="FD187"/>
  <c r="FD193"/>
  <c r="FD201"/>
  <c r="FD203"/>
  <c r="FD207"/>
  <c r="FD209"/>
  <c r="FD217"/>
  <c r="FD162"/>
  <c r="FD178"/>
  <c r="FD214"/>
  <c r="FD140"/>
  <c r="FD148"/>
  <c r="FD166"/>
  <c r="FD177"/>
  <c r="FD182"/>
  <c r="FD199"/>
  <c r="FD230"/>
  <c r="FD235"/>
  <c r="FD220"/>
  <c r="FD228"/>
  <c r="FD236"/>
  <c r="FD227"/>
  <c r="FD142"/>
  <c r="FD150"/>
  <c r="FD154"/>
  <c r="FD170"/>
  <c r="FD144"/>
  <c r="FD147"/>
  <c r="FD153"/>
  <c r="FD158"/>
  <c r="FD169"/>
  <c r="FD174"/>
  <c r="FD185"/>
  <c r="FD190"/>
  <c r="FD191"/>
  <c r="FD231"/>
  <c r="FD216"/>
  <c r="FD224"/>
  <c r="FD232"/>
  <c r="FD192"/>
  <c r="FD208"/>
  <c r="FD226"/>
  <c r="FD188"/>
  <c r="FD196"/>
  <c r="FD204"/>
  <c r="FD212"/>
  <c r="FD218"/>
  <c r="FD234"/>
  <c r="EZ138"/>
  <c r="AW351" s="1"/>
  <c r="EZ140"/>
  <c r="AW353" s="1"/>
  <c r="EZ144"/>
  <c r="AW357" s="1"/>
  <c r="EZ158"/>
  <c r="AW371" s="1"/>
  <c r="EZ164"/>
  <c r="GY164" s="1"/>
  <c r="EZ180"/>
  <c r="GY180" s="1"/>
  <c r="EZ200"/>
  <c r="GY200" s="1"/>
  <c r="EZ204"/>
  <c r="GY204" s="1"/>
  <c r="EZ212"/>
  <c r="GY212" s="1"/>
  <c r="EZ214"/>
  <c r="GY214" s="1"/>
  <c r="EZ226"/>
  <c r="GY226" s="1"/>
  <c r="EZ228"/>
  <c r="GY228" s="1"/>
  <c r="GY145"/>
  <c r="GY151"/>
  <c r="GY149"/>
  <c r="GY155"/>
  <c r="GY167"/>
  <c r="GY163"/>
  <c r="GY175"/>
  <c r="GY185"/>
  <c r="GY195"/>
  <c r="GY199"/>
  <c r="GY189"/>
  <c r="GY193"/>
  <c r="GY203"/>
  <c r="GY219"/>
  <c r="GY223"/>
  <c r="GY227"/>
  <c r="GY159"/>
  <c r="GY173"/>
  <c r="GY181"/>
  <c r="GY169"/>
  <c r="GY207"/>
  <c r="GY211"/>
  <c r="GY215"/>
  <c r="GY229"/>
  <c r="GY233"/>
  <c r="GY162"/>
  <c r="GY174"/>
  <c r="GY148"/>
  <c r="GY154"/>
  <c r="GY168"/>
  <c r="GY160"/>
  <c r="GY176"/>
  <c r="GY142"/>
  <c r="GY140"/>
  <c r="GY139"/>
  <c r="GY141"/>
  <c r="GY137"/>
  <c r="DC134"/>
  <c r="BD134"/>
  <c r="DA130"/>
  <c r="AW383"/>
  <c r="DB236"/>
  <c r="AX449" s="1"/>
  <c r="DB235"/>
  <c r="AX448" s="1"/>
  <c r="DB234"/>
  <c r="AX447" s="1"/>
  <c r="DB233"/>
  <c r="AX446" s="1"/>
  <c r="DB232"/>
  <c r="AX445" s="1"/>
  <c r="DB231"/>
  <c r="AX444" s="1"/>
  <c r="DB230"/>
  <c r="AX443" s="1"/>
  <c r="DB229"/>
  <c r="AX442" s="1"/>
  <c r="DB228"/>
  <c r="DB227"/>
  <c r="DB226"/>
  <c r="AX439" s="1"/>
  <c r="DB225"/>
  <c r="AX438" s="1"/>
  <c r="DB224"/>
  <c r="AX437" s="1"/>
  <c r="DB223"/>
  <c r="AX436" s="1"/>
  <c r="DB222"/>
  <c r="AX435" s="1"/>
  <c r="DB221"/>
  <c r="AX434" s="1"/>
  <c r="DB220"/>
  <c r="AX433" s="1"/>
  <c r="DB219"/>
  <c r="AX432" s="1"/>
  <c r="DB218"/>
  <c r="AX431" s="1"/>
  <c r="DB217"/>
  <c r="AX430" s="1"/>
  <c r="DB216"/>
  <c r="AX429" s="1"/>
  <c r="DB215"/>
  <c r="AX428" s="1"/>
  <c r="DB214"/>
  <c r="AX427" s="1"/>
  <c r="DB213"/>
  <c r="AX426" s="1"/>
  <c r="DB212"/>
  <c r="DB211"/>
  <c r="AX424" s="1"/>
  <c r="DB210"/>
  <c r="AX423" s="1"/>
  <c r="DB209"/>
  <c r="AX422" s="1"/>
  <c r="DB208"/>
  <c r="AX421" s="1"/>
  <c r="DB207"/>
  <c r="AX420" s="1"/>
  <c r="DB206"/>
  <c r="AX419" s="1"/>
  <c r="DB205"/>
  <c r="AX418" s="1"/>
  <c r="DB204"/>
  <c r="DB203"/>
  <c r="DB202"/>
  <c r="AX415" s="1"/>
  <c r="DB201"/>
  <c r="AX414" s="1"/>
  <c r="DB200"/>
  <c r="DB199"/>
  <c r="AX412" s="1"/>
  <c r="DB198"/>
  <c r="AX411" s="1"/>
  <c r="DB197"/>
  <c r="AX410" s="1"/>
  <c r="DB196"/>
  <c r="AX409" s="1"/>
  <c r="DB195"/>
  <c r="AX408" s="1"/>
  <c r="DB194"/>
  <c r="AX407" s="1"/>
  <c r="DB193"/>
  <c r="AX406" s="1"/>
  <c r="DB192"/>
  <c r="AX405" s="1"/>
  <c r="DB191"/>
  <c r="AX404" s="1"/>
  <c r="DB190"/>
  <c r="DB189"/>
  <c r="AX402" s="1"/>
  <c r="DB188"/>
  <c r="AX401" s="1"/>
  <c r="DB187"/>
  <c r="AX400" s="1"/>
  <c r="DB186"/>
  <c r="AX399" s="1"/>
  <c r="DB185"/>
  <c r="AX398" s="1"/>
  <c r="DB184"/>
  <c r="AX397" s="1"/>
  <c r="DB183"/>
  <c r="AX396" s="1"/>
  <c r="DB182"/>
  <c r="AX395" s="1"/>
  <c r="DB181"/>
  <c r="AX394" s="1"/>
  <c r="DB180"/>
  <c r="DB179"/>
  <c r="AX392" s="1"/>
  <c r="DB178"/>
  <c r="AX391" s="1"/>
  <c r="DB177"/>
  <c r="AX390" s="1"/>
  <c r="DB176"/>
  <c r="AX389" s="1"/>
  <c r="DB175"/>
  <c r="AX388" s="1"/>
  <c r="DB174"/>
  <c r="AX387" s="1"/>
  <c r="DB173"/>
  <c r="AX386" s="1"/>
  <c r="DB172"/>
  <c r="AX385" s="1"/>
  <c r="DB171"/>
  <c r="AX384" s="1"/>
  <c r="DB170"/>
  <c r="DB169"/>
  <c r="AX382" s="1"/>
  <c r="DB168"/>
  <c r="AX381" s="1"/>
  <c r="DB167"/>
  <c r="AX380" s="1"/>
  <c r="DB166"/>
  <c r="AX379" s="1"/>
  <c r="DB165"/>
  <c r="DB164"/>
  <c r="DB163"/>
  <c r="AX376" s="1"/>
  <c r="DB162"/>
  <c r="AX375" s="1"/>
  <c r="DB161"/>
  <c r="DB160"/>
  <c r="AX373" s="1"/>
  <c r="DB159"/>
  <c r="DB158"/>
  <c r="AX371" s="1"/>
  <c r="DB157"/>
  <c r="AX370" s="1"/>
  <c r="DB156"/>
  <c r="AX369" s="1"/>
  <c r="DB154"/>
  <c r="AX367" s="1"/>
  <c r="DB152"/>
  <c r="AX365" s="1"/>
  <c r="DB150"/>
  <c r="AX363" s="1"/>
  <c r="DB148"/>
  <c r="AX361" s="1"/>
  <c r="DB146"/>
  <c r="AX359" s="1"/>
  <c r="DB145"/>
  <c r="AX358" s="1"/>
  <c r="DB144"/>
  <c r="AX357" s="1"/>
  <c r="DB143"/>
  <c r="AX356" s="1"/>
  <c r="DB142"/>
  <c r="AX355" s="1"/>
  <c r="DB141"/>
  <c r="AX354" s="1"/>
  <c r="DB140"/>
  <c r="DB139"/>
  <c r="AX352" s="1"/>
  <c r="DB138"/>
  <c r="DB137"/>
  <c r="AX350" s="1"/>
  <c r="DB155"/>
  <c r="AX368" s="1"/>
  <c r="DB153"/>
  <c r="AX366" s="1"/>
  <c r="DB151"/>
  <c r="AX364" s="1"/>
  <c r="DB149"/>
  <c r="AX362" s="1"/>
  <c r="DB147"/>
  <c r="AX360" s="1"/>
  <c r="EZ132"/>
  <c r="GX170"/>
  <c r="FE134"/>
  <c r="GZ224"/>
  <c r="GZ220"/>
  <c r="GZ234"/>
  <c r="GZ230"/>
  <c r="GZ216"/>
  <c r="GZ208"/>
  <c r="GZ198"/>
  <c r="GZ188"/>
  <c r="GZ194"/>
  <c r="GZ182"/>
  <c r="GZ174"/>
  <c r="GZ167"/>
  <c r="GZ176"/>
  <c r="GZ169"/>
  <c r="GZ160"/>
  <c r="GZ152"/>
  <c r="GZ141"/>
  <c r="GZ146"/>
  <c r="AY31"/>
  <c r="GZ235"/>
  <c r="GZ225"/>
  <c r="GZ221"/>
  <c r="GZ219"/>
  <c r="GZ205"/>
  <c r="GZ231"/>
  <c r="GZ217"/>
  <c r="GZ215"/>
  <c r="GZ213"/>
  <c r="GZ209"/>
  <c r="GZ199"/>
  <c r="GZ197"/>
  <c r="GZ195"/>
  <c r="GZ185"/>
  <c r="GZ201"/>
  <c r="GZ191"/>
  <c r="GZ183"/>
  <c r="GZ179"/>
  <c r="GZ168"/>
  <c r="GZ177"/>
  <c r="GZ163"/>
  <c r="GZ157"/>
  <c r="GZ154"/>
  <c r="GZ144"/>
  <c r="GZ145"/>
  <c r="A202" i="23"/>
  <c r="B203"/>
  <c r="GY144" i="21" l="1"/>
  <c r="GY138"/>
  <c r="GY158"/>
  <c r="AW441"/>
  <c r="AW439"/>
  <c r="AW427"/>
  <c r="AW425"/>
  <c r="AW417"/>
  <c r="AW413"/>
  <c r="AW393"/>
  <c r="AW377"/>
  <c r="AW374"/>
  <c r="FE225"/>
  <c r="FE221"/>
  <c r="FE195"/>
  <c r="FE183"/>
  <c r="FE175"/>
  <c r="FE167"/>
  <c r="FE147"/>
  <c r="FE143"/>
  <c r="FE153"/>
  <c r="FE157"/>
  <c r="FE161"/>
  <c r="FE165"/>
  <c r="FE169"/>
  <c r="FE173"/>
  <c r="FE177"/>
  <c r="FE181"/>
  <c r="FE185"/>
  <c r="FE189"/>
  <c r="FE191"/>
  <c r="FE193"/>
  <c r="FE207"/>
  <c r="FE197"/>
  <c r="FE199"/>
  <c r="FE203"/>
  <c r="FE205"/>
  <c r="FE209"/>
  <c r="FE213"/>
  <c r="FE215"/>
  <c r="FE219"/>
  <c r="FE229"/>
  <c r="FE233"/>
  <c r="FE142"/>
  <c r="FE150"/>
  <c r="FE154"/>
  <c r="FE158"/>
  <c r="FE162"/>
  <c r="FE166"/>
  <c r="FE170"/>
  <c r="FE174"/>
  <c r="FE178"/>
  <c r="FE182"/>
  <c r="FE145"/>
  <c r="FE155"/>
  <c r="FE171"/>
  <c r="FE187"/>
  <c r="FE201"/>
  <c r="FE227"/>
  <c r="FE186"/>
  <c r="FE190"/>
  <c r="FE194"/>
  <c r="FE202"/>
  <c r="FE206"/>
  <c r="FE210"/>
  <c r="FE214"/>
  <c r="FE222"/>
  <c r="FE224"/>
  <c r="FE230"/>
  <c r="FE232"/>
  <c r="FE231"/>
  <c r="FE235"/>
  <c r="FE140"/>
  <c r="FE144"/>
  <c r="FE148"/>
  <c r="FE152"/>
  <c r="FE156"/>
  <c r="FE160"/>
  <c r="FE164"/>
  <c r="FE168"/>
  <c r="FE176"/>
  <c r="FE184"/>
  <c r="FE141"/>
  <c r="FE149"/>
  <c r="FE163"/>
  <c r="FE179"/>
  <c r="FE211"/>
  <c r="FE188"/>
  <c r="FE192"/>
  <c r="FE196"/>
  <c r="FE204"/>
  <c r="FE208"/>
  <c r="FE212"/>
  <c r="FE216"/>
  <c r="FE218"/>
  <c r="FE220"/>
  <c r="FE226"/>
  <c r="FE228"/>
  <c r="FE234"/>
  <c r="FE236"/>
  <c r="FA164"/>
  <c r="GZ164" s="1"/>
  <c r="FA180"/>
  <c r="AX393" s="1"/>
  <c r="FA190"/>
  <c r="GZ190" s="1"/>
  <c r="FA200"/>
  <c r="AX413" s="1"/>
  <c r="FA204"/>
  <c r="GZ204" s="1"/>
  <c r="FA212"/>
  <c r="GZ212" s="1"/>
  <c r="FA228"/>
  <c r="GZ228" s="1"/>
  <c r="FA138"/>
  <c r="AX351" s="1"/>
  <c r="FA140"/>
  <c r="AX353" s="1"/>
  <c r="FA159"/>
  <c r="GZ159" s="1"/>
  <c r="FA161"/>
  <c r="GZ161" s="1"/>
  <c r="FA165"/>
  <c r="AX378" s="1"/>
  <c r="FA203"/>
  <c r="AX416" s="1"/>
  <c r="FA227"/>
  <c r="AX440" s="1"/>
  <c r="GZ137"/>
  <c r="GZ156"/>
  <c r="GZ166"/>
  <c r="GZ148"/>
  <c r="GZ158"/>
  <c r="GZ162"/>
  <c r="GZ178"/>
  <c r="GZ172"/>
  <c r="GZ184"/>
  <c r="GZ192"/>
  <c r="GZ202"/>
  <c r="GZ186"/>
  <c r="GZ196"/>
  <c r="GZ210"/>
  <c r="GZ214"/>
  <c r="GZ218"/>
  <c r="GZ232"/>
  <c r="GZ206"/>
  <c r="GZ222"/>
  <c r="GZ226"/>
  <c r="GZ236"/>
  <c r="GZ147"/>
  <c r="GZ151"/>
  <c r="GZ155"/>
  <c r="GZ149"/>
  <c r="GZ139"/>
  <c r="GZ143"/>
  <c r="GZ153"/>
  <c r="FA132"/>
  <c r="GY170"/>
  <c r="DD134"/>
  <c r="BE134"/>
  <c r="DB130"/>
  <c r="AX383"/>
  <c r="DC236"/>
  <c r="AY449" s="1"/>
  <c r="DC235"/>
  <c r="AY448" s="1"/>
  <c r="DC234"/>
  <c r="AY447" s="1"/>
  <c r="DC233"/>
  <c r="AY446" s="1"/>
  <c r="DC232"/>
  <c r="AY445" s="1"/>
  <c r="DC231"/>
  <c r="AY444" s="1"/>
  <c r="DC230"/>
  <c r="AY443" s="1"/>
  <c r="DC229"/>
  <c r="AY442" s="1"/>
  <c r="DC228"/>
  <c r="AY441" s="1"/>
  <c r="DC227"/>
  <c r="AY440" s="1"/>
  <c r="DC226"/>
  <c r="AY439" s="1"/>
  <c r="DC225"/>
  <c r="AY438" s="1"/>
  <c r="DC224"/>
  <c r="AY437" s="1"/>
  <c r="DC223"/>
  <c r="AY436" s="1"/>
  <c r="DC222"/>
  <c r="AY435" s="1"/>
  <c r="DC221"/>
  <c r="AY434" s="1"/>
  <c r="DC220"/>
  <c r="AY433" s="1"/>
  <c r="DC219"/>
  <c r="AY432" s="1"/>
  <c r="DC218"/>
  <c r="AY431" s="1"/>
  <c r="DC217"/>
  <c r="AY430" s="1"/>
  <c r="DC216"/>
  <c r="AY429" s="1"/>
  <c r="DC215"/>
  <c r="AY428" s="1"/>
  <c r="DC214"/>
  <c r="AY427" s="1"/>
  <c r="DC213"/>
  <c r="AY426" s="1"/>
  <c r="DC212"/>
  <c r="AY425" s="1"/>
  <c r="DC211"/>
  <c r="AY424" s="1"/>
  <c r="DC210"/>
  <c r="AY423" s="1"/>
  <c r="DC209"/>
  <c r="AY422" s="1"/>
  <c r="DC208"/>
  <c r="AY421" s="1"/>
  <c r="DC207"/>
  <c r="AY420" s="1"/>
  <c r="DC206"/>
  <c r="AY419" s="1"/>
  <c r="DC205"/>
  <c r="AY418" s="1"/>
  <c r="DC204"/>
  <c r="DC203"/>
  <c r="DC202"/>
  <c r="AY415" s="1"/>
  <c r="DC201"/>
  <c r="AY414" s="1"/>
  <c r="DC200"/>
  <c r="DC199"/>
  <c r="AY412" s="1"/>
  <c r="DC198"/>
  <c r="DC197"/>
  <c r="AY410" s="1"/>
  <c r="DC196"/>
  <c r="AY409" s="1"/>
  <c r="DC195"/>
  <c r="AY408" s="1"/>
  <c r="DC194"/>
  <c r="AY407" s="1"/>
  <c r="DC193"/>
  <c r="AY406" s="1"/>
  <c r="DC192"/>
  <c r="AY405" s="1"/>
  <c r="DC191"/>
  <c r="AY404" s="1"/>
  <c r="DC190"/>
  <c r="AY403" s="1"/>
  <c r="DC189"/>
  <c r="AY402" s="1"/>
  <c r="DC188"/>
  <c r="AY401" s="1"/>
  <c r="DC187"/>
  <c r="AY400" s="1"/>
  <c r="DC186"/>
  <c r="AY399" s="1"/>
  <c r="DC185"/>
  <c r="AY398" s="1"/>
  <c r="DC184"/>
  <c r="AY397" s="1"/>
  <c r="DC183"/>
  <c r="AY396" s="1"/>
  <c r="DC182"/>
  <c r="AY395" s="1"/>
  <c r="DC181"/>
  <c r="AY394" s="1"/>
  <c r="DC180"/>
  <c r="DC179"/>
  <c r="AY392" s="1"/>
  <c r="DC178"/>
  <c r="AY391" s="1"/>
  <c r="DC177"/>
  <c r="AY390" s="1"/>
  <c r="DC176"/>
  <c r="AY389" s="1"/>
  <c r="DC175"/>
  <c r="AY388" s="1"/>
  <c r="DC174"/>
  <c r="AY387" s="1"/>
  <c r="DC173"/>
  <c r="AY386" s="1"/>
  <c r="DC172"/>
  <c r="AY385" s="1"/>
  <c r="DC171"/>
  <c r="AY384" s="1"/>
  <c r="DC170"/>
  <c r="DC169"/>
  <c r="AY382" s="1"/>
  <c r="DC168"/>
  <c r="AY381" s="1"/>
  <c r="DC167"/>
  <c r="AY380" s="1"/>
  <c r="DC166"/>
  <c r="AY379" s="1"/>
  <c r="DC165"/>
  <c r="DC164"/>
  <c r="DC163"/>
  <c r="AY376" s="1"/>
  <c r="DC162"/>
  <c r="AY375" s="1"/>
  <c r="DC161"/>
  <c r="DC160"/>
  <c r="DC159"/>
  <c r="DC158"/>
  <c r="AY371" s="1"/>
  <c r="DC157"/>
  <c r="AY370" s="1"/>
  <c r="DC156"/>
  <c r="AY369" s="1"/>
  <c r="DC155"/>
  <c r="AY368" s="1"/>
  <c r="DC154"/>
  <c r="AY367" s="1"/>
  <c r="DC153"/>
  <c r="AY366" s="1"/>
  <c r="DC152"/>
  <c r="AY365" s="1"/>
  <c r="DC151"/>
  <c r="AY364" s="1"/>
  <c r="DC150"/>
  <c r="AY363" s="1"/>
  <c r="DC149"/>
  <c r="AY362" s="1"/>
  <c r="DC148"/>
  <c r="AY361" s="1"/>
  <c r="DC147"/>
  <c r="AY360" s="1"/>
  <c r="DC146"/>
  <c r="AY359" s="1"/>
  <c r="DC145"/>
  <c r="AY358" s="1"/>
  <c r="DC144"/>
  <c r="AY357" s="1"/>
  <c r="DC143"/>
  <c r="AY356" s="1"/>
  <c r="DC142"/>
  <c r="AY355" s="1"/>
  <c r="DC141"/>
  <c r="AY354" s="1"/>
  <c r="DC140"/>
  <c r="DC139"/>
  <c r="AY352" s="1"/>
  <c r="DC138"/>
  <c r="DC137"/>
  <c r="GZ142"/>
  <c r="GZ150"/>
  <c r="GZ175"/>
  <c r="GZ173"/>
  <c r="GZ181"/>
  <c r="GZ189"/>
  <c r="GZ193"/>
  <c r="GZ187"/>
  <c r="GZ207"/>
  <c r="GZ211"/>
  <c r="GZ229"/>
  <c r="GZ233"/>
  <c r="GZ223"/>
  <c r="GZ227"/>
  <c r="GZ171"/>
  <c r="FF134"/>
  <c r="HA218"/>
  <c r="HA214"/>
  <c r="HA236"/>
  <c r="HA224"/>
  <c r="HA206"/>
  <c r="HA192"/>
  <c r="HA188"/>
  <c r="HA171"/>
  <c r="HA169"/>
  <c r="HA182"/>
  <c r="HA167"/>
  <c r="HA150"/>
  <c r="HA152"/>
  <c r="AZ31"/>
  <c r="HA233"/>
  <c r="HA231"/>
  <c r="HA229"/>
  <c r="HA217"/>
  <c r="HA215"/>
  <c r="HA213"/>
  <c r="HA211"/>
  <c r="HA209"/>
  <c r="HA207"/>
  <c r="HA235"/>
  <c r="HA227"/>
  <c r="HA225"/>
  <c r="HA223"/>
  <c r="HA221"/>
  <c r="HA219"/>
  <c r="HA205"/>
  <c r="HA201"/>
  <c r="HA193"/>
  <c r="HA191"/>
  <c r="HA189"/>
  <c r="HA183"/>
  <c r="HA199"/>
  <c r="HA197"/>
  <c r="HA195"/>
  <c r="HA187"/>
  <c r="HA185"/>
  <c r="HA177"/>
  <c r="HA175"/>
  <c r="HA163"/>
  <c r="HA181"/>
  <c r="HA179"/>
  <c r="HA173"/>
  <c r="HA162"/>
  <c r="HA155"/>
  <c r="HA153"/>
  <c r="HA149"/>
  <c r="HA157"/>
  <c r="HA151"/>
  <c r="HA147"/>
  <c r="HA145"/>
  <c r="HA141"/>
  <c r="A203" i="23"/>
  <c r="B204"/>
  <c r="GZ140" i="21" l="1"/>
  <c r="GZ203"/>
  <c r="GZ165"/>
  <c r="GZ200"/>
  <c r="GZ180"/>
  <c r="GZ138"/>
  <c r="AX374"/>
  <c r="AX372"/>
  <c r="AX441"/>
  <c r="AX425"/>
  <c r="AX417"/>
  <c r="AX403"/>
  <c r="AX377"/>
  <c r="FB137"/>
  <c r="HA137" s="1"/>
  <c r="FB159"/>
  <c r="HA159" s="1"/>
  <c r="FB161"/>
  <c r="HA161" s="1"/>
  <c r="FB165"/>
  <c r="HA165" s="1"/>
  <c r="FB203"/>
  <c r="HA203" s="1"/>
  <c r="FF207"/>
  <c r="FF197"/>
  <c r="FF191"/>
  <c r="FF185"/>
  <c r="FF177"/>
  <c r="FF169"/>
  <c r="FF161"/>
  <c r="FF153"/>
  <c r="FF149"/>
  <c r="FF145"/>
  <c r="FF141"/>
  <c r="FF158"/>
  <c r="FF166"/>
  <c r="FF174"/>
  <c r="FF182"/>
  <c r="FF212"/>
  <c r="FF220"/>
  <c r="FF155"/>
  <c r="FF159"/>
  <c r="FF163"/>
  <c r="FF154"/>
  <c r="FF162"/>
  <c r="FF170"/>
  <c r="FF178"/>
  <c r="FF192"/>
  <c r="FF196"/>
  <c r="FF208"/>
  <c r="FF167"/>
  <c r="FF171"/>
  <c r="FF175"/>
  <c r="FF179"/>
  <c r="FF183"/>
  <c r="FF187"/>
  <c r="FF193"/>
  <c r="FF199"/>
  <c r="FF201"/>
  <c r="FF203"/>
  <c r="FF205"/>
  <c r="FF209"/>
  <c r="FF215"/>
  <c r="FF217"/>
  <c r="FF195"/>
  <c r="FF211"/>
  <c r="FF221"/>
  <c r="FF223"/>
  <c r="FF225"/>
  <c r="FF227"/>
  <c r="FF231"/>
  <c r="FF235"/>
  <c r="FF144"/>
  <c r="FF156"/>
  <c r="FF172"/>
  <c r="FF204"/>
  <c r="FF142"/>
  <c r="FF147"/>
  <c r="FF150"/>
  <c r="FF160"/>
  <c r="FF165"/>
  <c r="FF176"/>
  <c r="FF181"/>
  <c r="FF189"/>
  <c r="FF219"/>
  <c r="FF218"/>
  <c r="FF226"/>
  <c r="FF234"/>
  <c r="FF229"/>
  <c r="FF233"/>
  <c r="FF140"/>
  <c r="FF148"/>
  <c r="FF164"/>
  <c r="FF188"/>
  <c r="FF228"/>
  <c r="FF236"/>
  <c r="FF143"/>
  <c r="FF146"/>
  <c r="FF152"/>
  <c r="FF157"/>
  <c r="FF168"/>
  <c r="FF173"/>
  <c r="FF184"/>
  <c r="FF213"/>
  <c r="FF137"/>
  <c r="FF222"/>
  <c r="FF230"/>
  <c r="FF190"/>
  <c r="FF206"/>
  <c r="FF214"/>
  <c r="FF224"/>
  <c r="FF186"/>
  <c r="FF194"/>
  <c r="FF202"/>
  <c r="FF210"/>
  <c r="FF216"/>
  <c r="FF232"/>
  <c r="FB138"/>
  <c r="AY351" s="1"/>
  <c r="FB140"/>
  <c r="AY353" s="1"/>
  <c r="FB160"/>
  <c r="AY373" s="1"/>
  <c r="FB164"/>
  <c r="HA164" s="1"/>
  <c r="FB180"/>
  <c r="AY393" s="1"/>
  <c r="FB198"/>
  <c r="AY411" s="1"/>
  <c r="FB200"/>
  <c r="HA200" s="1"/>
  <c r="FB204"/>
  <c r="AY417" s="1"/>
  <c r="HA168"/>
  <c r="HA146"/>
  <c r="HA158"/>
  <c r="HA156"/>
  <c r="HA174"/>
  <c r="HA178"/>
  <c r="HA184"/>
  <c r="HA202"/>
  <c r="HA222"/>
  <c r="HA226"/>
  <c r="HA210"/>
  <c r="HA216"/>
  <c r="HA232"/>
  <c r="HA142"/>
  <c r="HA144"/>
  <c r="HA143"/>
  <c r="HA139"/>
  <c r="DC130"/>
  <c r="AY383"/>
  <c r="DD236"/>
  <c r="AZ449" s="1"/>
  <c r="DD235"/>
  <c r="AZ448" s="1"/>
  <c r="DD234"/>
  <c r="AZ447" s="1"/>
  <c r="DD233"/>
  <c r="AZ446" s="1"/>
  <c r="DD232"/>
  <c r="AZ445" s="1"/>
  <c r="DD231"/>
  <c r="AZ444" s="1"/>
  <c r="DD230"/>
  <c r="AZ443" s="1"/>
  <c r="DD229"/>
  <c r="AZ442" s="1"/>
  <c r="DD228"/>
  <c r="AZ441" s="1"/>
  <c r="DD227"/>
  <c r="AZ440" s="1"/>
  <c r="DD226"/>
  <c r="AZ439" s="1"/>
  <c r="DD225"/>
  <c r="AZ438" s="1"/>
  <c r="DD224"/>
  <c r="AZ437" s="1"/>
  <c r="DD223"/>
  <c r="DD222"/>
  <c r="AZ435" s="1"/>
  <c r="DD221"/>
  <c r="AZ434" s="1"/>
  <c r="DD220"/>
  <c r="AZ433" s="1"/>
  <c r="DD219"/>
  <c r="AZ432" s="1"/>
  <c r="DD218"/>
  <c r="AZ431" s="1"/>
  <c r="DD217"/>
  <c r="AZ430" s="1"/>
  <c r="DD216"/>
  <c r="AZ429" s="1"/>
  <c r="DD215"/>
  <c r="AZ428" s="1"/>
  <c r="DD214"/>
  <c r="AZ427" s="1"/>
  <c r="DD213"/>
  <c r="AZ426" s="1"/>
  <c r="DD212"/>
  <c r="AZ425" s="1"/>
  <c r="DD211"/>
  <c r="AZ424" s="1"/>
  <c r="DD210"/>
  <c r="DD209"/>
  <c r="AZ422" s="1"/>
  <c r="DD208"/>
  <c r="AZ421" s="1"/>
  <c r="DD207"/>
  <c r="AZ420" s="1"/>
  <c r="DD206"/>
  <c r="AZ419" s="1"/>
  <c r="DD205"/>
  <c r="AZ418" s="1"/>
  <c r="DD204"/>
  <c r="DD203"/>
  <c r="AZ416" s="1"/>
  <c r="DD202"/>
  <c r="AZ415" s="1"/>
  <c r="DD201"/>
  <c r="AZ414" s="1"/>
  <c r="DD200"/>
  <c r="DD199"/>
  <c r="AZ412" s="1"/>
  <c r="DD198"/>
  <c r="DD197"/>
  <c r="AZ410" s="1"/>
  <c r="DD196"/>
  <c r="AZ409" s="1"/>
  <c r="DD195"/>
  <c r="AZ408" s="1"/>
  <c r="DD194"/>
  <c r="AZ407" s="1"/>
  <c r="DD193"/>
  <c r="AZ406" s="1"/>
  <c r="DD192"/>
  <c r="AZ405" s="1"/>
  <c r="DD191"/>
  <c r="AZ404" s="1"/>
  <c r="DD190"/>
  <c r="AZ403" s="1"/>
  <c r="DD189"/>
  <c r="AZ402" s="1"/>
  <c r="DD188"/>
  <c r="AZ401" s="1"/>
  <c r="DD187"/>
  <c r="AZ400" s="1"/>
  <c r="DD186"/>
  <c r="AZ399" s="1"/>
  <c r="DD185"/>
  <c r="AZ398" s="1"/>
  <c r="DD184"/>
  <c r="AZ397" s="1"/>
  <c r="DD183"/>
  <c r="AZ396" s="1"/>
  <c r="DD182"/>
  <c r="AZ395" s="1"/>
  <c r="DD181"/>
  <c r="AZ394" s="1"/>
  <c r="DD180"/>
  <c r="DD179"/>
  <c r="AZ392" s="1"/>
  <c r="DD178"/>
  <c r="AZ391" s="1"/>
  <c r="DD177"/>
  <c r="AZ390" s="1"/>
  <c r="DD176"/>
  <c r="AZ389" s="1"/>
  <c r="DD175"/>
  <c r="AZ388" s="1"/>
  <c r="DD174"/>
  <c r="AZ387" s="1"/>
  <c r="DD173"/>
  <c r="AZ386" s="1"/>
  <c r="DD172"/>
  <c r="AZ385" s="1"/>
  <c r="DD171"/>
  <c r="AZ384" s="1"/>
  <c r="DD170"/>
  <c r="DD169"/>
  <c r="AZ382" s="1"/>
  <c r="DD168"/>
  <c r="AZ381" s="1"/>
  <c r="DD167"/>
  <c r="AZ380" s="1"/>
  <c r="DD166"/>
  <c r="AZ379" s="1"/>
  <c r="DD165"/>
  <c r="AZ378" s="1"/>
  <c r="DD164"/>
  <c r="DD163"/>
  <c r="AZ376" s="1"/>
  <c r="DD162"/>
  <c r="AZ375" s="1"/>
  <c r="DD161"/>
  <c r="DD160"/>
  <c r="AZ373" s="1"/>
  <c r="DD159"/>
  <c r="DD158"/>
  <c r="AZ371" s="1"/>
  <c r="DD157"/>
  <c r="AZ370" s="1"/>
  <c r="DD155"/>
  <c r="AZ368" s="1"/>
  <c r="DD153"/>
  <c r="AZ366" s="1"/>
  <c r="DD151"/>
  <c r="DD149"/>
  <c r="AZ362" s="1"/>
  <c r="DD147"/>
  <c r="AZ360" s="1"/>
  <c r="DD145"/>
  <c r="AZ358" s="1"/>
  <c r="DD144"/>
  <c r="AZ357" s="1"/>
  <c r="DD143"/>
  <c r="AZ356" s="1"/>
  <c r="DD142"/>
  <c r="AZ355" s="1"/>
  <c r="DD141"/>
  <c r="AZ354" s="1"/>
  <c r="DD140"/>
  <c r="DD139"/>
  <c r="AZ352" s="1"/>
  <c r="DD138"/>
  <c r="DD137"/>
  <c r="DD156"/>
  <c r="AZ369" s="1"/>
  <c r="DD154"/>
  <c r="DD152"/>
  <c r="AZ365" s="1"/>
  <c r="DD150"/>
  <c r="AZ363" s="1"/>
  <c r="DD148"/>
  <c r="AZ361" s="1"/>
  <c r="DD146"/>
  <c r="AZ359" s="1"/>
  <c r="DE134"/>
  <c r="BF134"/>
  <c r="FB132"/>
  <c r="GZ170"/>
  <c r="HA166"/>
  <c r="HA140"/>
  <c r="HA148"/>
  <c r="HA154"/>
  <c r="HA172"/>
  <c r="HA176"/>
  <c r="HA186"/>
  <c r="HA196"/>
  <c r="HA190"/>
  <c r="HA194"/>
  <c r="HA204"/>
  <c r="HA220"/>
  <c r="HA228"/>
  <c r="HA208"/>
  <c r="HA212"/>
  <c r="HA230"/>
  <c r="HA234"/>
  <c r="HB139"/>
  <c r="HB145"/>
  <c r="HB147"/>
  <c r="HB149"/>
  <c r="HB153"/>
  <c r="HB155"/>
  <c r="HB157"/>
  <c r="HB165"/>
  <c r="HB169"/>
  <c r="HB173"/>
  <c r="HB177"/>
  <c r="HB181"/>
  <c r="HB185"/>
  <c r="HB187"/>
  <c r="HB189"/>
  <c r="HB191"/>
  <c r="HB193"/>
  <c r="HB195"/>
  <c r="HB197"/>
  <c r="HB199"/>
  <c r="HB201"/>
  <c r="HB203"/>
  <c r="HB205"/>
  <c r="HB207"/>
  <c r="HB209"/>
  <c r="HB211"/>
  <c r="HB213"/>
  <c r="HB215"/>
  <c r="HB217"/>
  <c r="HB219"/>
  <c r="HB221"/>
  <c r="HB225"/>
  <c r="HB227"/>
  <c r="HB229"/>
  <c r="HB231"/>
  <c r="HB233"/>
  <c r="HB235"/>
  <c r="BA31"/>
  <c r="HB144"/>
  <c r="HB158"/>
  <c r="HB166"/>
  <c r="HB174"/>
  <c r="HB182"/>
  <c r="HB186"/>
  <c r="HB194"/>
  <c r="HB208"/>
  <c r="HB212"/>
  <c r="HB216"/>
  <c r="HB220"/>
  <c r="HB224"/>
  <c r="HB228"/>
  <c r="HB232"/>
  <c r="HB236"/>
  <c r="A204" i="23"/>
  <c r="B205"/>
  <c r="HA180" i="21" l="1"/>
  <c r="HA160"/>
  <c r="HA198"/>
  <c r="HA138"/>
  <c r="AY413"/>
  <c r="AY377"/>
  <c r="AY416"/>
  <c r="AY378"/>
  <c r="AY374"/>
  <c r="AY372"/>
  <c r="AY350"/>
  <c r="FC154"/>
  <c r="AZ367" s="1"/>
  <c r="FC137"/>
  <c r="AZ350" s="1"/>
  <c r="FC159"/>
  <c r="AZ372" s="1"/>
  <c r="FC161"/>
  <c r="HB161" s="1"/>
  <c r="FC223"/>
  <c r="HB223" s="1"/>
  <c r="FC138"/>
  <c r="HB138" s="1"/>
  <c r="FC140"/>
  <c r="AZ353" s="1"/>
  <c r="FC151"/>
  <c r="HB151" s="1"/>
  <c r="FC164"/>
  <c r="AZ377" s="1"/>
  <c r="FC180"/>
  <c r="AZ393" s="1"/>
  <c r="FC198"/>
  <c r="AZ411" s="1"/>
  <c r="FC200"/>
  <c r="HB200" s="1"/>
  <c r="FC204"/>
  <c r="HB204" s="1"/>
  <c r="FC210"/>
  <c r="AZ423" s="1"/>
  <c r="HB183"/>
  <c r="HB179"/>
  <c r="HB175"/>
  <c r="HB171"/>
  <c r="HB167"/>
  <c r="HB163"/>
  <c r="HB159"/>
  <c r="HB143"/>
  <c r="HB150"/>
  <c r="HB234"/>
  <c r="HB230"/>
  <c r="HB226"/>
  <c r="HB222"/>
  <c r="HB218"/>
  <c r="HB214"/>
  <c r="HB210"/>
  <c r="HB206"/>
  <c r="HB202"/>
  <c r="HB190"/>
  <c r="HB184"/>
  <c r="HB178"/>
  <c r="HB168"/>
  <c r="HB162"/>
  <c r="HB142"/>
  <c r="HB154"/>
  <c r="HB146"/>
  <c r="HB141"/>
  <c r="HB137"/>
  <c r="DE236"/>
  <c r="BA449" s="1"/>
  <c r="DE235"/>
  <c r="BA448" s="1"/>
  <c r="DE234"/>
  <c r="BA447" s="1"/>
  <c r="DE233"/>
  <c r="BA446" s="1"/>
  <c r="DE232"/>
  <c r="BA445" s="1"/>
  <c r="DE231"/>
  <c r="BA444" s="1"/>
  <c r="DE230"/>
  <c r="BA443" s="1"/>
  <c r="DE229"/>
  <c r="BA442" s="1"/>
  <c r="DE228"/>
  <c r="BA441" s="1"/>
  <c r="DE227"/>
  <c r="BA440" s="1"/>
  <c r="DE226"/>
  <c r="BA439" s="1"/>
  <c r="DE225"/>
  <c r="BA438" s="1"/>
  <c r="DE224"/>
  <c r="BA437" s="1"/>
  <c r="DE223"/>
  <c r="DE222"/>
  <c r="BA435" s="1"/>
  <c r="DE221"/>
  <c r="BA434" s="1"/>
  <c r="DE220"/>
  <c r="BA433" s="1"/>
  <c r="DE219"/>
  <c r="BA432" s="1"/>
  <c r="DE218"/>
  <c r="BA431" s="1"/>
  <c r="DE217"/>
  <c r="BA430" s="1"/>
  <c r="DE216"/>
  <c r="BA429" s="1"/>
  <c r="DE215"/>
  <c r="BA428" s="1"/>
  <c r="DE214"/>
  <c r="BA427" s="1"/>
  <c r="DE213"/>
  <c r="BA426" s="1"/>
  <c r="DE212"/>
  <c r="BA425" s="1"/>
  <c r="DE211"/>
  <c r="BA424" s="1"/>
  <c r="DE210"/>
  <c r="DE209"/>
  <c r="BA422" s="1"/>
  <c r="DE208"/>
  <c r="BA421" s="1"/>
  <c r="DE207"/>
  <c r="BA420" s="1"/>
  <c r="DE206"/>
  <c r="BA419" s="1"/>
  <c r="DE205"/>
  <c r="BA418" s="1"/>
  <c r="DE204"/>
  <c r="BA417" s="1"/>
  <c r="DE203"/>
  <c r="BA416" s="1"/>
  <c r="DE202"/>
  <c r="BA415" s="1"/>
  <c r="DE201"/>
  <c r="BA414" s="1"/>
  <c r="DE200"/>
  <c r="DE199"/>
  <c r="BA412" s="1"/>
  <c r="DE198"/>
  <c r="DE197"/>
  <c r="BA410" s="1"/>
  <c r="DE196"/>
  <c r="BA409" s="1"/>
  <c r="DE195"/>
  <c r="BA408" s="1"/>
  <c r="DE194"/>
  <c r="BA407" s="1"/>
  <c r="DE193"/>
  <c r="BA406" s="1"/>
  <c r="DE192"/>
  <c r="BA405" s="1"/>
  <c r="DE191"/>
  <c r="BA404" s="1"/>
  <c r="DE190"/>
  <c r="BA403" s="1"/>
  <c r="DE189"/>
  <c r="BA402" s="1"/>
  <c r="DE188"/>
  <c r="BA401" s="1"/>
  <c r="DE187"/>
  <c r="BA400" s="1"/>
  <c r="DE185"/>
  <c r="BA398" s="1"/>
  <c r="DE184"/>
  <c r="BA397" s="1"/>
  <c r="DE183"/>
  <c r="BA396" s="1"/>
  <c r="DE182"/>
  <c r="BA395" s="1"/>
  <c r="DE181"/>
  <c r="BA394" s="1"/>
  <c r="DE180"/>
  <c r="DE179"/>
  <c r="BA392" s="1"/>
  <c r="DE178"/>
  <c r="BA391" s="1"/>
  <c r="DE177"/>
  <c r="BA390" s="1"/>
  <c r="DE176"/>
  <c r="BA389" s="1"/>
  <c r="DE175"/>
  <c r="BA388" s="1"/>
  <c r="DE174"/>
  <c r="BA387" s="1"/>
  <c r="DE173"/>
  <c r="BA386" s="1"/>
  <c r="DE172"/>
  <c r="BA385" s="1"/>
  <c r="DE171"/>
  <c r="BA384" s="1"/>
  <c r="DE170"/>
  <c r="DE169"/>
  <c r="BA382" s="1"/>
  <c r="DE168"/>
  <c r="BA381" s="1"/>
  <c r="DE167"/>
  <c r="BA380" s="1"/>
  <c r="DE166"/>
  <c r="BA379" s="1"/>
  <c r="DE165"/>
  <c r="BA378" s="1"/>
  <c r="DE164"/>
  <c r="DE163"/>
  <c r="BA376" s="1"/>
  <c r="DE162"/>
  <c r="BA375" s="1"/>
  <c r="DE161"/>
  <c r="DE160"/>
  <c r="BA373" s="1"/>
  <c r="DE159"/>
  <c r="DE158"/>
  <c r="BA371" s="1"/>
  <c r="DE157"/>
  <c r="BA370" s="1"/>
  <c r="DE156"/>
  <c r="BA369" s="1"/>
  <c r="DE155"/>
  <c r="BA368" s="1"/>
  <c r="DE154"/>
  <c r="BA367" s="1"/>
  <c r="DE153"/>
  <c r="BA366" s="1"/>
  <c r="DE152"/>
  <c r="BA365" s="1"/>
  <c r="DE151"/>
  <c r="DE150"/>
  <c r="BA363" s="1"/>
  <c r="DE149"/>
  <c r="BA362" s="1"/>
  <c r="DE148"/>
  <c r="BA361" s="1"/>
  <c r="DE147"/>
  <c r="BA360" s="1"/>
  <c r="DE146"/>
  <c r="DE186"/>
  <c r="BA399" s="1"/>
  <c r="DE145"/>
  <c r="BA358" s="1"/>
  <c r="DE144"/>
  <c r="BA357" s="1"/>
  <c r="DE143"/>
  <c r="DE142"/>
  <c r="BA355" s="1"/>
  <c r="DE141"/>
  <c r="BA354" s="1"/>
  <c r="DE140"/>
  <c r="BA353" s="1"/>
  <c r="DE139"/>
  <c r="DE138"/>
  <c r="DE137"/>
  <c r="DD130"/>
  <c r="AZ383"/>
  <c r="DF134"/>
  <c r="BG134"/>
  <c r="FC132"/>
  <c r="HA170"/>
  <c r="HB196"/>
  <c r="HB192"/>
  <c r="HB188"/>
  <c r="HB180"/>
  <c r="HB176"/>
  <c r="HB172"/>
  <c r="HB164"/>
  <c r="HB160"/>
  <c r="HB156"/>
  <c r="HB152"/>
  <c r="HB148"/>
  <c r="HC140"/>
  <c r="HC224"/>
  <c r="HC226"/>
  <c r="HC228"/>
  <c r="HC230"/>
  <c r="HC232"/>
  <c r="HC234"/>
  <c r="HC236"/>
  <c r="HC150"/>
  <c r="HC154"/>
  <c r="HC158"/>
  <c r="HC162"/>
  <c r="HC166"/>
  <c r="HC168"/>
  <c r="HC172"/>
  <c r="HC176"/>
  <c r="HC184"/>
  <c r="HC188"/>
  <c r="HC192"/>
  <c r="HC196"/>
  <c r="HC204"/>
  <c r="HC208"/>
  <c r="HC212"/>
  <c r="HC214"/>
  <c r="HC216"/>
  <c r="HC218"/>
  <c r="HC220"/>
  <c r="HC222"/>
  <c r="BB31"/>
  <c r="HC225"/>
  <c r="HC227"/>
  <c r="HC229"/>
  <c r="HC231"/>
  <c r="HC233"/>
  <c r="HC235"/>
  <c r="HC155"/>
  <c r="HC163"/>
  <c r="HC167"/>
  <c r="HC171"/>
  <c r="HC175"/>
  <c r="HC179"/>
  <c r="HC183"/>
  <c r="HC189"/>
  <c r="HC193"/>
  <c r="HC195"/>
  <c r="HC197"/>
  <c r="HC201"/>
  <c r="HC203"/>
  <c r="HC205"/>
  <c r="HC207"/>
  <c r="HC209"/>
  <c r="HC211"/>
  <c r="HC213"/>
  <c r="HC215"/>
  <c r="HC217"/>
  <c r="HC219"/>
  <c r="HC221"/>
  <c r="A205" i="23"/>
  <c r="B206"/>
  <c r="HB140" i="21" l="1"/>
  <c r="HB198"/>
  <c r="AZ417"/>
  <c r="AZ413"/>
  <c r="AZ364"/>
  <c r="AZ351"/>
  <c r="AZ436"/>
  <c r="AZ374"/>
  <c r="FD137"/>
  <c r="BA350" s="1"/>
  <c r="FD139"/>
  <c r="BA352" s="1"/>
  <c r="FD143"/>
  <c r="BA356" s="1"/>
  <c r="FD146"/>
  <c r="BA359" s="1"/>
  <c r="FD164"/>
  <c r="BA377" s="1"/>
  <c r="FD180"/>
  <c r="HC180" s="1"/>
  <c r="FD223"/>
  <c r="HC223" s="1"/>
  <c r="FD138"/>
  <c r="BA351" s="1"/>
  <c r="FD151"/>
  <c r="HC151" s="1"/>
  <c r="FD159"/>
  <c r="HC159" s="1"/>
  <c r="FD161"/>
  <c r="BA374" s="1"/>
  <c r="FD198"/>
  <c r="BA411" s="1"/>
  <c r="FD200"/>
  <c r="HC200" s="1"/>
  <c r="FD210"/>
  <c r="BA423" s="1"/>
  <c r="HC144"/>
  <c r="HC185"/>
  <c r="HC181"/>
  <c r="HC177"/>
  <c r="HC173"/>
  <c r="HC169"/>
  <c r="HC165"/>
  <c r="HC157"/>
  <c r="HC153"/>
  <c r="HC149"/>
  <c r="HC147"/>
  <c r="HC206"/>
  <c r="HC202"/>
  <c r="HC198"/>
  <c r="HC194"/>
  <c r="HC190"/>
  <c r="HC186"/>
  <c r="HC142"/>
  <c r="HC145"/>
  <c r="HC199"/>
  <c r="HC191"/>
  <c r="HC187"/>
  <c r="HC146"/>
  <c r="HC139"/>
  <c r="HC141"/>
  <c r="HC182"/>
  <c r="HC178"/>
  <c r="HC174"/>
  <c r="HC160"/>
  <c r="HC156"/>
  <c r="HC152"/>
  <c r="HC148"/>
  <c r="HC143"/>
  <c r="DG134"/>
  <c r="BH134"/>
  <c r="DF236"/>
  <c r="BB449" s="1"/>
  <c r="DF235"/>
  <c r="BB448" s="1"/>
  <c r="DF234"/>
  <c r="BB447" s="1"/>
  <c r="DF233"/>
  <c r="BB446" s="1"/>
  <c r="DF232"/>
  <c r="BB445" s="1"/>
  <c r="DF231"/>
  <c r="BB444" s="1"/>
  <c r="DF230"/>
  <c r="BB443" s="1"/>
  <c r="DF229"/>
  <c r="BB442" s="1"/>
  <c r="DF228"/>
  <c r="BB441" s="1"/>
  <c r="DF227"/>
  <c r="BB440" s="1"/>
  <c r="DF226"/>
  <c r="BB439" s="1"/>
  <c r="DF225"/>
  <c r="BB438" s="1"/>
  <c r="DF224"/>
  <c r="BB437" s="1"/>
  <c r="DF223"/>
  <c r="DF222"/>
  <c r="BB435" s="1"/>
  <c r="DF221"/>
  <c r="BB434" s="1"/>
  <c r="DF220"/>
  <c r="BB433" s="1"/>
  <c r="DF219"/>
  <c r="BB432" s="1"/>
  <c r="DF218"/>
  <c r="BB431" s="1"/>
  <c r="DF217"/>
  <c r="DF216"/>
  <c r="BB429" s="1"/>
  <c r="DF215"/>
  <c r="BB428" s="1"/>
  <c r="DF214"/>
  <c r="BB427" s="1"/>
  <c r="DF213"/>
  <c r="BB426" s="1"/>
  <c r="DF212"/>
  <c r="BB425" s="1"/>
  <c r="DF211"/>
  <c r="BB424" s="1"/>
  <c r="DF210"/>
  <c r="BB423" s="1"/>
  <c r="DF209"/>
  <c r="BB422" s="1"/>
  <c r="DF208"/>
  <c r="BB421" s="1"/>
  <c r="DF207"/>
  <c r="BB420" s="1"/>
  <c r="DF206"/>
  <c r="BB419" s="1"/>
  <c r="DF205"/>
  <c r="BB418" s="1"/>
  <c r="DF204"/>
  <c r="BB417" s="1"/>
  <c r="DF203"/>
  <c r="BB416" s="1"/>
  <c r="DF202"/>
  <c r="BB415" s="1"/>
  <c r="DF201"/>
  <c r="BB414" s="1"/>
  <c r="DF200"/>
  <c r="DF199"/>
  <c r="BB412" s="1"/>
  <c r="DF198"/>
  <c r="DF197"/>
  <c r="BB410" s="1"/>
  <c r="DF196"/>
  <c r="BB409" s="1"/>
  <c r="DF195"/>
  <c r="BB408" s="1"/>
  <c r="DF194"/>
  <c r="BB407" s="1"/>
  <c r="DF193"/>
  <c r="BB406" s="1"/>
  <c r="DF192"/>
  <c r="BB405" s="1"/>
  <c r="DF191"/>
  <c r="BB404" s="1"/>
  <c r="DF190"/>
  <c r="BB403" s="1"/>
  <c r="DF189"/>
  <c r="BB402" s="1"/>
  <c r="DF188"/>
  <c r="BB401" s="1"/>
  <c r="DF187"/>
  <c r="BB400" s="1"/>
  <c r="DF186"/>
  <c r="BB399" s="1"/>
  <c r="DF185"/>
  <c r="BB398" s="1"/>
  <c r="DF184"/>
  <c r="BB397" s="1"/>
  <c r="DF183"/>
  <c r="BB396" s="1"/>
  <c r="DF182"/>
  <c r="BB395" s="1"/>
  <c r="DF181"/>
  <c r="BB394" s="1"/>
  <c r="DF180"/>
  <c r="DF179"/>
  <c r="BB392" s="1"/>
  <c r="DF178"/>
  <c r="BB391" s="1"/>
  <c r="DF177"/>
  <c r="BB390" s="1"/>
  <c r="DF176"/>
  <c r="BB389" s="1"/>
  <c r="DF175"/>
  <c r="BB388" s="1"/>
  <c r="DF174"/>
  <c r="BB387" s="1"/>
  <c r="DF173"/>
  <c r="BB386" s="1"/>
  <c r="DF172"/>
  <c r="DF171"/>
  <c r="BB384" s="1"/>
  <c r="DF170"/>
  <c r="DF169"/>
  <c r="BB382" s="1"/>
  <c r="DF168"/>
  <c r="BB381" s="1"/>
  <c r="DF167"/>
  <c r="BB380" s="1"/>
  <c r="DF166"/>
  <c r="BB379" s="1"/>
  <c r="DF165"/>
  <c r="BB378" s="1"/>
  <c r="DF164"/>
  <c r="BB377" s="1"/>
  <c r="DF163"/>
  <c r="BB376" s="1"/>
  <c r="DF162"/>
  <c r="BB375" s="1"/>
  <c r="DF161"/>
  <c r="BB374" s="1"/>
  <c r="DF160"/>
  <c r="BB373" s="1"/>
  <c r="DF159"/>
  <c r="DF158"/>
  <c r="BB371" s="1"/>
  <c r="DF157"/>
  <c r="BB370" s="1"/>
  <c r="DF156"/>
  <c r="BB369" s="1"/>
  <c r="DF154"/>
  <c r="BB367" s="1"/>
  <c r="DF152"/>
  <c r="BB365" s="1"/>
  <c r="DF150"/>
  <c r="BB363" s="1"/>
  <c r="DF148"/>
  <c r="BB361" s="1"/>
  <c r="DF146"/>
  <c r="DF145"/>
  <c r="BB358" s="1"/>
  <c r="DF144"/>
  <c r="BB357" s="1"/>
  <c r="DF143"/>
  <c r="BB356" s="1"/>
  <c r="DF142"/>
  <c r="BB355" s="1"/>
  <c r="DF141"/>
  <c r="BB354" s="1"/>
  <c r="DF140"/>
  <c r="BB353" s="1"/>
  <c r="DF139"/>
  <c r="DF138"/>
  <c r="DF137"/>
  <c r="DF155"/>
  <c r="BB368" s="1"/>
  <c r="DF153"/>
  <c r="BB366" s="1"/>
  <c r="DF151"/>
  <c r="DF149"/>
  <c r="BB362" s="1"/>
  <c r="DF147"/>
  <c r="BB360" s="1"/>
  <c r="HB170"/>
  <c r="DE130"/>
  <c r="BA383"/>
  <c r="FD132"/>
  <c r="HD145"/>
  <c r="HD157"/>
  <c r="HD161"/>
  <c r="HD163"/>
  <c r="HD167"/>
  <c r="HD169"/>
  <c r="HD171"/>
  <c r="HD173"/>
  <c r="HD175"/>
  <c r="HD177"/>
  <c r="HD179"/>
  <c r="HD181"/>
  <c r="HD183"/>
  <c r="HD185"/>
  <c r="HD187"/>
  <c r="HD189"/>
  <c r="HD191"/>
  <c r="HD193"/>
  <c r="HD195"/>
  <c r="HD197"/>
  <c r="HD199"/>
  <c r="HD201"/>
  <c r="HD203"/>
  <c r="HD205"/>
  <c r="HD207"/>
  <c r="HD209"/>
  <c r="HD211"/>
  <c r="HD213"/>
  <c r="HD215"/>
  <c r="HD219"/>
  <c r="HD221"/>
  <c r="HD225"/>
  <c r="HD227"/>
  <c r="HD229"/>
  <c r="HD231"/>
  <c r="HD233"/>
  <c r="HD235"/>
  <c r="BC31"/>
  <c r="BD31" s="1"/>
  <c r="BE31" s="1"/>
  <c r="BF31" s="1"/>
  <c r="BG31" s="1"/>
  <c r="HD144"/>
  <c r="HD148"/>
  <c r="HD152"/>
  <c r="HD154"/>
  <c r="HD156"/>
  <c r="HD158"/>
  <c r="HD160"/>
  <c r="HD162"/>
  <c r="HD164"/>
  <c r="HD166"/>
  <c r="HD168"/>
  <c r="HD174"/>
  <c r="HD176"/>
  <c r="HD178"/>
  <c r="HD182"/>
  <c r="HD184"/>
  <c r="HD186"/>
  <c r="HD188"/>
  <c r="HD190"/>
  <c r="HD192"/>
  <c r="HD194"/>
  <c r="HD196"/>
  <c r="HD202"/>
  <c r="HD204"/>
  <c r="HD206"/>
  <c r="HD208"/>
  <c r="HD210"/>
  <c r="HD212"/>
  <c r="HD214"/>
  <c r="HD216"/>
  <c r="HD218"/>
  <c r="HD220"/>
  <c r="HD222"/>
  <c r="HD224"/>
  <c r="HD226"/>
  <c r="HD228"/>
  <c r="HD230"/>
  <c r="HD232"/>
  <c r="HD234"/>
  <c r="HD236"/>
  <c r="A206" i="23"/>
  <c r="B207"/>
  <c r="HC137" i="21" l="1"/>
  <c r="HC164"/>
  <c r="HC161"/>
  <c r="HC138"/>
  <c r="HC210"/>
  <c r="BA413"/>
  <c r="BA372"/>
  <c r="BA364"/>
  <c r="BA436"/>
  <c r="BA393"/>
  <c r="FE137"/>
  <c r="HD137" s="1"/>
  <c r="FE139"/>
  <c r="BB352" s="1"/>
  <c r="FE172"/>
  <c r="HD172" s="1"/>
  <c r="FE180"/>
  <c r="HD180" s="1"/>
  <c r="FE198"/>
  <c r="HD198" s="1"/>
  <c r="FE200"/>
  <c r="HD200" s="1"/>
  <c r="FE151"/>
  <c r="BB364" s="1"/>
  <c r="FE138"/>
  <c r="BB351" s="1"/>
  <c r="FE146"/>
  <c r="BB359" s="1"/>
  <c r="FE159"/>
  <c r="HD159" s="1"/>
  <c r="FE217"/>
  <c r="HD217" s="1"/>
  <c r="FE223"/>
  <c r="HD223" s="1"/>
  <c r="HD143"/>
  <c r="HD153"/>
  <c r="HD141"/>
  <c r="HD149"/>
  <c r="HD139"/>
  <c r="HD150"/>
  <c r="HD146"/>
  <c r="HD142"/>
  <c r="HD155"/>
  <c r="HD147"/>
  <c r="HC170"/>
  <c r="DF130"/>
  <c r="BB383"/>
  <c r="DG236"/>
  <c r="BC449" s="1"/>
  <c r="DG235"/>
  <c r="BC448" s="1"/>
  <c r="DG234"/>
  <c r="BC447" s="1"/>
  <c r="DG233"/>
  <c r="BC446" s="1"/>
  <c r="DG232"/>
  <c r="BC445" s="1"/>
  <c r="DG231"/>
  <c r="BC444" s="1"/>
  <c r="DG230"/>
  <c r="BC443" s="1"/>
  <c r="DG229"/>
  <c r="BC442" s="1"/>
  <c r="DG228"/>
  <c r="BC441" s="1"/>
  <c r="DG227"/>
  <c r="BC440" s="1"/>
  <c r="DG226"/>
  <c r="BC439" s="1"/>
  <c r="DG225"/>
  <c r="BC438" s="1"/>
  <c r="DG224"/>
  <c r="BC437" s="1"/>
  <c r="DG223"/>
  <c r="BC436" s="1"/>
  <c r="DG222"/>
  <c r="BC435" s="1"/>
  <c r="DG221"/>
  <c r="BC434" s="1"/>
  <c r="DG220"/>
  <c r="BC433" s="1"/>
  <c r="DG219"/>
  <c r="BC432" s="1"/>
  <c r="DG218"/>
  <c r="BC431" s="1"/>
  <c r="DG217"/>
  <c r="BC430" s="1"/>
  <c r="DG216"/>
  <c r="BC429" s="1"/>
  <c r="DG215"/>
  <c r="BC428" s="1"/>
  <c r="DG214"/>
  <c r="BC427" s="1"/>
  <c r="DG213"/>
  <c r="BC426" s="1"/>
  <c r="DG212"/>
  <c r="BC425" s="1"/>
  <c r="DG211"/>
  <c r="BC424" s="1"/>
  <c r="DG210"/>
  <c r="BC423" s="1"/>
  <c r="DG209"/>
  <c r="BC422" s="1"/>
  <c r="DG208"/>
  <c r="BC421" s="1"/>
  <c r="DG207"/>
  <c r="BC420" s="1"/>
  <c r="DG206"/>
  <c r="BC419" s="1"/>
  <c r="DG205"/>
  <c r="BC418" s="1"/>
  <c r="DG204"/>
  <c r="BC417" s="1"/>
  <c r="DG203"/>
  <c r="BC416" s="1"/>
  <c r="DG202"/>
  <c r="BC415" s="1"/>
  <c r="DG201"/>
  <c r="BC414" s="1"/>
  <c r="DG200"/>
  <c r="DG199"/>
  <c r="BC412" s="1"/>
  <c r="DG198"/>
  <c r="DG197"/>
  <c r="BC410" s="1"/>
  <c r="DG196"/>
  <c r="BC409" s="1"/>
  <c r="DG195"/>
  <c r="BC408" s="1"/>
  <c r="DG194"/>
  <c r="BC407" s="1"/>
  <c r="DG193"/>
  <c r="BC406" s="1"/>
  <c r="DG192"/>
  <c r="BC405" s="1"/>
  <c r="DG191"/>
  <c r="BC404" s="1"/>
  <c r="DG190"/>
  <c r="BC403" s="1"/>
  <c r="DG189"/>
  <c r="BC402" s="1"/>
  <c r="DG188"/>
  <c r="BC401" s="1"/>
  <c r="DG187"/>
  <c r="BC400" s="1"/>
  <c r="DG186"/>
  <c r="BC399" s="1"/>
  <c r="DG185"/>
  <c r="BC398" s="1"/>
  <c r="DG184"/>
  <c r="BC397" s="1"/>
  <c r="DG183"/>
  <c r="BC396" s="1"/>
  <c r="DG182"/>
  <c r="BC395" s="1"/>
  <c r="DG181"/>
  <c r="BC394" s="1"/>
  <c r="DG180"/>
  <c r="DG179"/>
  <c r="BC392" s="1"/>
  <c r="DG178"/>
  <c r="BC391" s="1"/>
  <c r="DG177"/>
  <c r="BC390" s="1"/>
  <c r="DG176"/>
  <c r="BC389" s="1"/>
  <c r="DG175"/>
  <c r="BC388" s="1"/>
  <c r="DG174"/>
  <c r="BC387" s="1"/>
  <c r="DG173"/>
  <c r="BC386" s="1"/>
  <c r="DG172"/>
  <c r="BC385" s="1"/>
  <c r="DG171"/>
  <c r="BC384" s="1"/>
  <c r="DG170"/>
  <c r="DG169"/>
  <c r="BC382" s="1"/>
  <c r="DG168"/>
  <c r="BC381" s="1"/>
  <c r="DG167"/>
  <c r="BC380" s="1"/>
  <c r="DG166"/>
  <c r="BC379" s="1"/>
  <c r="DG165"/>
  <c r="BC378" s="1"/>
  <c r="DG164"/>
  <c r="BC377" s="1"/>
  <c r="DG163"/>
  <c r="BC376" s="1"/>
  <c r="DG162"/>
  <c r="BC375" s="1"/>
  <c r="DG161"/>
  <c r="BC374" s="1"/>
  <c r="DG160"/>
  <c r="BC373" s="1"/>
  <c r="DG159"/>
  <c r="BC372" s="1"/>
  <c r="DG158"/>
  <c r="BC371" s="1"/>
  <c r="DG157"/>
  <c r="BC370" s="1"/>
  <c r="DG156"/>
  <c r="BC369" s="1"/>
  <c r="DG155"/>
  <c r="BC368" s="1"/>
  <c r="DG154"/>
  <c r="BC367" s="1"/>
  <c r="DG153"/>
  <c r="BC366" s="1"/>
  <c r="DG152"/>
  <c r="BC365" s="1"/>
  <c r="DG151"/>
  <c r="DG150"/>
  <c r="BC363" s="1"/>
  <c r="DG149"/>
  <c r="BC362" s="1"/>
  <c r="DG148"/>
  <c r="BC361" s="1"/>
  <c r="DG147"/>
  <c r="BC360" s="1"/>
  <c r="DG146"/>
  <c r="BC359" s="1"/>
  <c r="DG145"/>
  <c r="BC358" s="1"/>
  <c r="DG144"/>
  <c r="BC357" s="1"/>
  <c r="DG143"/>
  <c r="BC356" s="1"/>
  <c r="DG142"/>
  <c r="BC355" s="1"/>
  <c r="DG141"/>
  <c r="BC354" s="1"/>
  <c r="DG140"/>
  <c r="BC353" s="1"/>
  <c r="DG139"/>
  <c r="DG138"/>
  <c r="DG137"/>
  <c r="BC350" s="1"/>
  <c r="HD140"/>
  <c r="HD165"/>
  <c r="FE132"/>
  <c r="HE149"/>
  <c r="HE153"/>
  <c r="HE155"/>
  <c r="HE157"/>
  <c r="HE159"/>
  <c r="HE161"/>
  <c r="HE163"/>
  <c r="HE165"/>
  <c r="HE167"/>
  <c r="HE169"/>
  <c r="HE171"/>
  <c r="HE173"/>
  <c r="HE175"/>
  <c r="HE177"/>
  <c r="HE179"/>
  <c r="HE181"/>
  <c r="HE183"/>
  <c r="HE185"/>
  <c r="HE187"/>
  <c r="HE189"/>
  <c r="HE191"/>
  <c r="HE193"/>
  <c r="HE195"/>
  <c r="HE197"/>
  <c r="HE199"/>
  <c r="HE201"/>
  <c r="HE203"/>
  <c r="HE205"/>
  <c r="HE207"/>
  <c r="HE209"/>
  <c r="HE211"/>
  <c r="HE213"/>
  <c r="HE215"/>
  <c r="HE217"/>
  <c r="HE219"/>
  <c r="HE221"/>
  <c r="HE223"/>
  <c r="HE226"/>
  <c r="HE228"/>
  <c r="HE230"/>
  <c r="HE232"/>
  <c r="HE234"/>
  <c r="HE236"/>
  <c r="HE146"/>
  <c r="HE145"/>
  <c r="HE148"/>
  <c r="HE150"/>
  <c r="HE152"/>
  <c r="HE154"/>
  <c r="HE156"/>
  <c r="HE158"/>
  <c r="HE160"/>
  <c r="HE162"/>
  <c r="HE164"/>
  <c r="HE166"/>
  <c r="HE168"/>
  <c r="HE172"/>
  <c r="HE174"/>
  <c r="HE176"/>
  <c r="HE178"/>
  <c r="HE182"/>
  <c r="HE184"/>
  <c r="HE186"/>
  <c r="HE188"/>
  <c r="HE190"/>
  <c r="HE192"/>
  <c r="HE194"/>
  <c r="HE196"/>
  <c r="HE202"/>
  <c r="HE204"/>
  <c r="HE206"/>
  <c r="HE208"/>
  <c r="HE210"/>
  <c r="HE212"/>
  <c r="HE214"/>
  <c r="HE216"/>
  <c r="HE218"/>
  <c r="HE220"/>
  <c r="HE222"/>
  <c r="HE225"/>
  <c r="HE227"/>
  <c r="HE229"/>
  <c r="HE231"/>
  <c r="HE233"/>
  <c r="HE235"/>
  <c r="HE224"/>
  <c r="A207" i="23"/>
  <c r="B208"/>
  <c r="HD151" i="21" l="1"/>
  <c r="HD138"/>
  <c r="BB436"/>
  <c r="BB430"/>
  <c r="BB372"/>
  <c r="BB413"/>
  <c r="BB411"/>
  <c r="BB393"/>
  <c r="BB385"/>
  <c r="BB350"/>
  <c r="FF139"/>
  <c r="HE139" s="1"/>
  <c r="FF151"/>
  <c r="BC364" s="1"/>
  <c r="FF138"/>
  <c r="BC351" s="1"/>
  <c r="FF180"/>
  <c r="HE180" s="1"/>
  <c r="FF198"/>
  <c r="HE198" s="1"/>
  <c r="FF200"/>
  <c r="HE200" s="1"/>
  <c r="HE142"/>
  <c r="HE140"/>
  <c r="HE144"/>
  <c r="HE141"/>
  <c r="HE143"/>
  <c r="HE147"/>
  <c r="DG130"/>
  <c r="BC383"/>
  <c r="HE137"/>
  <c r="FF132"/>
  <c r="HD170"/>
  <c r="A208" i="23"/>
  <c r="B209"/>
  <c r="HE138" i="21" l="1"/>
  <c r="HE151"/>
  <c r="BC413"/>
  <c r="BC411"/>
  <c r="BC393"/>
  <c r="BC352"/>
  <c r="HE170"/>
  <c r="A209" i="23"/>
  <c r="B210"/>
  <c r="A210" l="1"/>
  <c r="B211"/>
  <c r="A211" l="1"/>
  <c r="B212"/>
  <c r="A212" l="1"/>
  <c r="B213"/>
  <c r="A213" l="1"/>
  <c r="B214"/>
  <c r="A214" l="1"/>
  <c r="B215"/>
  <c r="A215" l="1"/>
  <c r="B216"/>
  <c r="A216" l="1"/>
  <c r="B217"/>
  <c r="A217" l="1"/>
  <c r="B218"/>
  <c r="A218" l="1"/>
  <c r="B219"/>
  <c r="A219" l="1"/>
  <c r="B220"/>
  <c r="A220" l="1"/>
  <c r="B221"/>
  <c r="B222" l="1"/>
  <c r="A221"/>
  <c r="B223" l="1"/>
  <c r="A222"/>
  <c r="B224" l="1"/>
  <c r="A223"/>
  <c r="B225" l="1"/>
  <c r="A224"/>
  <c r="B226" l="1"/>
  <c r="A225"/>
  <c r="B227" l="1"/>
  <c r="A226"/>
  <c r="B228" l="1"/>
  <c r="A227"/>
  <c r="B229" l="1"/>
  <c r="A228"/>
  <c r="B230" l="1"/>
  <c r="A229"/>
  <c r="B231" l="1"/>
  <c r="A230"/>
  <c r="B232" l="1"/>
  <c r="A231"/>
  <c r="B233" l="1"/>
  <c r="A232"/>
  <c r="B234" l="1"/>
  <c r="A233"/>
  <c r="B235" l="1"/>
  <c r="A234"/>
  <c r="B236" l="1"/>
  <c r="A235"/>
  <c r="B237" l="1"/>
  <c r="A236"/>
  <c r="A237" l="1"/>
  <c r="B238"/>
  <c r="A238" l="1"/>
  <c r="B239"/>
  <c r="A239" l="1"/>
  <c r="B240"/>
  <c r="A240" l="1"/>
  <c r="B241"/>
  <c r="A241" l="1"/>
  <c r="B242"/>
  <c r="A242" l="1"/>
  <c r="B243"/>
  <c r="A243" l="1"/>
  <c r="B244"/>
  <c r="A244" l="1"/>
  <c r="B245"/>
  <c r="A245" l="1"/>
  <c r="B246"/>
  <c r="A246" l="1"/>
  <c r="B247"/>
  <c r="A247" l="1"/>
  <c r="B248"/>
  <c r="A248" l="1"/>
  <c r="B249"/>
  <c r="A249" l="1"/>
  <c r="B250"/>
  <c r="A250" l="1"/>
  <c r="B251"/>
  <c r="A251" l="1"/>
  <c r="B252"/>
  <c r="B253" l="1"/>
  <c r="A252"/>
  <c r="A253" l="1"/>
  <c r="B254"/>
  <c r="A254" l="1"/>
  <c r="B255"/>
  <c r="B256" l="1"/>
  <c r="A255"/>
  <c r="B257" l="1"/>
  <c r="B258" l="1"/>
  <c r="B259" l="1"/>
  <c r="B260" l="1"/>
  <c r="B261" l="1"/>
  <c r="B262" l="1"/>
  <c r="B263" l="1"/>
  <c r="B264" l="1"/>
  <c r="B265" l="1"/>
  <c r="B266" l="1"/>
  <c r="B267" l="1"/>
  <c r="DJ129" i="21"/>
  <c r="DJ130"/>
</calcChain>
</file>

<file path=xl/sharedStrings.xml><?xml version="1.0" encoding="utf-8"?>
<sst xmlns="http://schemas.openxmlformats.org/spreadsheetml/2006/main" count="8765" uniqueCount="279">
  <si>
    <t>Rho</t>
  </si>
  <si>
    <t>Grad(rho)</t>
  </si>
  <si>
    <t>Fitness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</si>
  <si>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</si>
  <si>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</si>
  <si>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</si>
  <si>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</si>
  <si>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</si>
  <si>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</si>
  <si>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</si>
  <si>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</si>
  <si>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</si>
  <si>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</si>
  <si>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</si>
  <si>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</si>
  <si>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</si>
  <si>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</si>
  <si>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</si>
  <si>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</si>
  <si>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</si>
  <si>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</si>
  <si>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</si>
  <si>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</si>
  <si>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Grad(rho)^2</t>
  </si>
  <si>
    <t>Numerador</t>
  </si>
  <si>
    <t>CtC</t>
  </si>
  <si>
    <t>CtC^(-1)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</si>
  <si>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</si>
  <si>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</si>
  <si>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</si>
  <si>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</si>
  <si>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</si>
  <si>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</si>
  <si>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</si>
  <si>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</si>
  <si>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</si>
  <si>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</si>
  <si>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</si>
  <si>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g31</t>
  </si>
  <si>
    <t>g32</t>
  </si>
  <si>
    <t>g33</t>
  </si>
  <si>
    <t>g34</t>
  </si>
  <si>
    <t>g35</t>
  </si>
  <si>
    <t>g36</t>
  </si>
  <si>
    <t>g37</t>
  </si>
  <si>
    <t>g38</t>
  </si>
  <si>
    <t>g39</t>
  </si>
  <si>
    <t>g40</t>
  </si>
  <si>
    <t>g41</t>
  </si>
  <si>
    <t>g42</t>
  </si>
  <si>
    <t>g43</t>
  </si>
  <si>
    <t>g44</t>
  </si>
  <si>
    <t>g45</t>
  </si>
  <si>
    <t>g46</t>
  </si>
  <si>
    <t>g47</t>
  </si>
  <si>
    <t>g48</t>
  </si>
  <si>
    <t>g49</t>
  </si>
  <si>
    <t>-----------------------------------------------------------</t>
  </si>
  <si>
    <t>Teste Crossover - Populacao Antes</t>
  </si>
  <si>
    <t>Teste Crossover - Termos auxiliares</t>
  </si>
  <si>
    <t>iIndividuo</t>
  </si>
  <si>
    <t>idx_Mae</t>
  </si>
  <si>
    <t>p</t>
  </si>
  <si>
    <t>f</t>
  </si>
  <si>
    <t>pontos_de_corte[0]</t>
  </si>
  <si>
    <t>pontos_de_corte[1]</t>
  </si>
  <si>
    <t>Teste Crossover - Populacao Depois</t>
  </si>
  <si>
    <t>+=====================================================+</t>
  </si>
  <si>
    <t xml:space="preserve">| PARAMETROS DO METODO                                 </t>
  </si>
  <si>
    <t xml:space="preserve">| Fitness                                              </t>
  </si>
  <si>
    <t>|    Lambda ,,,,,,,,,,,,,,,,,,,,,,,:</t>
  </si>
  <si>
    <t>|    Rho minimo ,,,,,,,,,,,,,,,,,,,:</t>
  </si>
  <si>
    <t xml:space="preserve">| PARAMETROS DO ALGORITMO GENETICO                     </t>
  </si>
  <si>
    <t>| Tamanho do cromossomo ,,,,,,,,,,,:</t>
  </si>
  <si>
    <t>| Numero de individuos por geracao :</t>
  </si>
  <si>
    <t>| Numero maximo de geracoes ,,,,,,,:</t>
  </si>
  <si>
    <t>| Máximo gene (populacao inicial),,:</t>
  </si>
  <si>
    <t>| Seleção? ,,,,,,,,,,,,,,,,,,,,,,,,:</t>
  </si>
  <si>
    <t xml:space="preserve">Sim               </t>
  </si>
  <si>
    <t>|Metodo de selecao ,,,,,,,,,,,,:</t>
  </si>
  <si>
    <t xml:space="preserve">Torneio           </t>
  </si>
  <si>
    <t>|    Tamanho do Torneio ,,,,,,,,,,,:</t>
  </si>
  <si>
    <t>| Crossover? ,,,,,,,,,,,,,,,,,,,,,,:</t>
  </si>
  <si>
    <t>|    Probabilidade de Crossover ,,,:</t>
  </si>
  <si>
    <t>|    Quantidade de Pontos de Corte,:</t>
  </si>
  <si>
    <t>| Mutacao? ,,,,,,,,,,,,,,,,,,,,,,,,:</t>
  </si>
  <si>
    <t>|    Probabilidade de Mutacao ,,,,,:</t>
  </si>
  <si>
    <t>|    Intensidade   da Mutacao ,,,,,:</t>
  </si>
  <si>
    <t>| Criterio de parada ,,,,,,,,,,,,,,:</t>
  </si>
  <si>
    <t xml:space="preserve">Numero maximo de geracoes </t>
  </si>
  <si>
    <t xml:space="preserve">| OUTROS PARAMETROS                                    </t>
  </si>
  <si>
    <t>| RAND_MAX ,,,,,,,,,,,,,,,,,,,,,,,,:</t>
  </si>
  <si>
    <t>Fitness Pai</t>
  </si>
  <si>
    <t>Fitness Mãe</t>
  </si>
  <si>
    <t>Fez CrossOver?</t>
  </si>
  <si>
    <t>MÃE</t>
  </si>
  <si>
    <t>Novo indivíduo</t>
  </si>
  <si>
    <t>pai</t>
  </si>
  <si>
    <t>mãe</t>
  </si>
  <si>
    <t>novo gene</t>
  </si>
  <si>
    <t>PAI (é o próprio iIndividuo)</t>
  </si>
  <si>
    <t xml:space="preserve">Tolerância = </t>
  </si>
  <si>
    <t>Comparação entre o novo indivíduo e o pai</t>
  </si>
  <si>
    <t>Crossover?</t>
  </si>
  <si>
    <t>Indivíduo 0</t>
  </si>
  <si>
    <t>Mae</t>
  </si>
  <si>
    <t>A49</t>
  </si>
  <si>
    <t>Corte 0</t>
  </si>
  <si>
    <t>Corte 1</t>
  </si>
  <si>
    <t>numBlocosColuna</t>
  </si>
  <si>
    <t>numGenes</t>
  </si>
  <si>
    <t>numThreadsPorBloco</t>
  </si>
  <si>
    <t>blockDim.y</t>
  </si>
  <si>
    <t>BlockIdx.y</t>
  </si>
  <si>
    <t>threadIdx.y</t>
  </si>
  <si>
    <t>iGene = threadIdx.y + blockIdx.y*blockDim.y</t>
  </si>
  <si>
    <t>Indivíduos</t>
  </si>
  <si>
    <t>Genes</t>
  </si>
  <si>
    <t>numIndividuos</t>
  </si>
  <si>
    <t>numBlocosLinha</t>
  </si>
  <si>
    <t>Número total de threads na Coluna</t>
  </si>
  <si>
    <t>Número total de threads na Linha</t>
  </si>
  <si>
    <t>Ponto de corte</t>
  </si>
  <si>
    <t>Linearização dos Genes e Pontos de Corte</t>
  </si>
  <si>
    <t>iIndividuos</t>
  </si>
  <si>
    <t>Para o exemplo acima:</t>
  </si>
  <si>
    <t>iIndividuo =</t>
  </si>
  <si>
    <t xml:space="preserve">Ponto de corte = </t>
  </si>
  <si>
    <t>Local</t>
  </si>
  <si>
    <t>Global</t>
  </si>
  <si>
    <t xml:space="preserve">iGene = </t>
  </si>
  <si>
    <t>Obtendo os valores com a dev_get_iGene_Global</t>
  </si>
  <si>
    <t>Correto.</t>
  </si>
  <si>
    <r>
      <rPr>
        <u/>
        <sz val="11"/>
        <color theme="1"/>
        <rFont val="Calibri"/>
        <family val="2"/>
        <scheme val="minor"/>
      </rPr>
      <t>iGeneGlobal</t>
    </r>
    <r>
      <rPr>
        <sz val="11"/>
        <color theme="1"/>
        <rFont val="Calibri"/>
        <family val="2"/>
        <scheme val="minor"/>
      </rPr>
      <t>: está na própria matriz acima.</t>
    </r>
  </si>
  <si>
    <t xml:space="preserve">Primeiro gene global = </t>
  </si>
  <si>
    <t xml:space="preserve">numGenes = </t>
  </si>
  <si>
    <t xml:space="preserve">iIndividuo = </t>
  </si>
  <si>
    <t xml:space="preserve">Ponto de corte global = </t>
  </si>
  <si>
    <t>Último gene global</t>
  </si>
  <si>
    <t>É o ponto de corte local</t>
  </si>
  <si>
    <t>Apenas os genes foram modificados. Então, todo o resto tem que bater.</t>
  </si>
  <si>
    <t xml:space="preserve">Prob. Cross Over = </t>
  </si>
  <si>
    <t xml:space="preserve">Ocorrência Cross Over = </t>
  </si>
  <si>
    <t>(rho - rho_0)^2</t>
  </si>
  <si>
    <t>CrossOver1Ponto_serial</t>
  </si>
  <si>
    <t>idx_Pai =</t>
  </si>
  <si>
    <t>idx_Mae =</t>
  </si>
  <si>
    <t>host_TesteGeracao_s-&gt;individuo[iIndividuo],idx_Mae =</t>
  </si>
  <si>
    <t>p_aux =</t>
  </si>
  <si>
    <t>host_TesteGeracao_s-&gt;individuo[iIndividuo],p =</t>
  </si>
  <si>
    <t>f =</t>
  </si>
  <si>
    <t>host_TesteGeracao_s-&gt;individuo[iIndividuo],f =</t>
  </si>
  <si>
    <t>ponto_de_corte =</t>
  </si>
  <si>
    <t>host_TesteGeracao_s-&gt;individuo[iIndividuo],pontos_de_corte[0] =</t>
  </si>
  <si>
    <t>host_TesteGeracao_s-&gt;individuo[iIndividuo],pontos_de_corte[1] =</t>
  </si>
  <si>
    <t>ENTROU NO if, HAVERA CROSSOVER,</t>
  </si>
  <si>
    <t>i_Individuo</t>
  </si>
  <si>
    <t>i_Gene</t>
  </si>
  <si>
    <t>Gene Pai</t>
  </si>
  <si>
    <t>Gene Mae</t>
  </si>
  <si>
    <t>Gene Filho</t>
  </si>
  <si>
    <t>ENTROU NO else, NAO HAVERA CROSSOVER,</t>
  </si>
  <si>
    <t>Gene Filho Excel</t>
  </si>
  <si>
    <t>Diferença</t>
  </si>
  <si>
    <t>Diff. Mínima</t>
  </si>
  <si>
    <t>Diff. Máxima</t>
  </si>
  <si>
    <t>Mínimo</t>
  </si>
  <si>
    <t>Máximo</t>
  </si>
  <si>
    <t>Paralelo</t>
  </si>
  <si>
    <t>//===========================================================================================</t>
  </si>
  <si>
    <t>__global__ void devCrossOver1Ponto_paralelo_naGPU(</t>
  </si>
  <si>
    <t>struct generation *g0,</t>
  </si>
  <si>
    <t>struct generation *g1,</t>
  </si>
  <si>
    <t>struct parametros *parametrosGA,</t>
  </si>
  <si>
    <t>curandState *dev_estadosCURAND,</t>
  </si>
  <si>
    <t>struct testeGeracao_s *dev_TesteGeracao_s) {</t>
  </si>
  <si>
    <t>unsigned int iIndividuo = threadIdx.x + blockIdx.x*blockDim.x;</t>
  </si>
  <si>
    <t>unsigned int iGene = threadIdx.y + blockIdx.y*blockDim.y;</t>
  </si>
  <si>
    <t>unsigned int local_numGenes = parametrosGA-&gt;numGenes;</t>
  </si>
  <si>
    <t>unsigned int local_numIndividuos = parametrosGA-&gt;numIndividuos;</t>
  </si>
  <si>
    <t>float local_probCrossOver = parametrosGA-&gt;probCrossOver;</t>
  </si>
  <si>
    <t>curandState i_EstadoCURAND_noIndividuo = *(dev_estadosCURAND + dev_Get_Idx_CURAND(0, local_numGenes, iIndividuo));</t>
  </si>
  <si>
    <t>if ( (iIndividuo &lt; local_numIndividuos) &amp;&amp; (iGene &lt; local_numGenes) ) {</t>
  </si>
  <si>
    <t>unsigned int idx_Mae, ponto_de_corte;</t>
  </si>
  <si>
    <t>float f, p_aux;</t>
  </si>
  <si>
    <t>// p = probabilidade auxiliar para comparacao com a probabilidade do crossover</t>
  </si>
  <si>
    <t>p_aux = curand_uniform(&amp;i_EstadoCURAND_noIndividuo);</t>
  </si>
  <si>
    <t>dev_TesteGeracao_s-&gt;individuo[iIndividuo].p = p_aux;</t>
  </si>
  <si>
    <t>idx_Mae = devRandomicoUI(local_numIndividuos, &amp;i_EstadoCURAND_noIndividuo);</t>
  </si>
  <si>
    <t>dev_TesteGeracao_s-&gt;individuo[iIndividuo].idx_Mae = idx_Mae;</t>
  </si>
  <si>
    <t>f = curand_uniform(&amp;i_EstadoCURAND_noIndividuo);</t>
  </si>
  <si>
    <t>dev_TesteGeracao_s-&gt;individuo[iIndividuo].f = f;</t>
  </si>
  <si>
    <t>// GERA PONTO DE CORTE</t>
  </si>
  <si>
    <t>ponto_de_corte = devRandomicoUI(local_numGenes - 1, &amp;i_EstadoCURAND_noIndividuo);</t>
  </si>
  <si>
    <t>g0-&gt;individuo[iIndividuo].pontos_de_corte[0] = ponto_de_corte;</t>
  </si>
  <si>
    <t xml:space="preserve">//g0-&gt;individuo[iIndividuo].pontos_de_corte[0] = </t>
  </si>
  <si>
    <t>dev_TesteGeracao_s-&gt;individuo[iIndividuo].pontos_de_corte[0] = ponto_de_corte;</t>
  </si>
  <si>
    <t>if (p_aux &lt;= local_probCrossOver) {</t>
  </si>
  <si>
    <t>if (iGene &lt; ponto_de_corte) {</t>
  </si>
  <si>
    <t>g1-&gt;individuo[iIndividuo].gene[iGene] = g0-&gt;individuo[iIndividuo].gene[iGene];</t>
  </si>
  <si>
    <t>}</t>
  </si>
  <si>
    <t>else {</t>
  </si>
  <si>
    <t>g1-&gt;individuo[iIndividuo].gene[iGene] = (float) f*(g0-&gt;individuo[iIndividuo].gene[iGene]) + (1 - f)*(g0-&gt;individuo[idx_Mae].gene[iGene]);</t>
  </si>
  <si>
    <t>*(dev_estadosCURAND + dev_Get_Idx_CURAND(0, parametrosGA-&gt;numGenes, iIndividuo)) = i_EstadoCURAND_noIndividuo;</t>
  </si>
  <si>
    <t>Serial</t>
  </si>
  <si>
    <t>//=========================================================================================================</t>
  </si>
  <si>
    <t>void CrossOver1Ponto_serial(</t>
  </si>
  <si>
    <t>struct testeGeracao_s *host_TesteGeracao_s) {</t>
  </si>
  <si>
    <t>unsigned short int iIndividuo, idx_Pai, idx_Mae;</t>
  </si>
  <si>
    <t>unsigned long int iGene, ponto_de_corte;</t>
  </si>
  <si>
    <t>struct individual *Pai, *Mae;</t>
  </si>
  <si>
    <t>for (iIndividuo = 0; iIndividuo &lt; parametrosGA-&gt;numIndividuos; iIndividuo = iIndividuo + 1) {</t>
  </si>
  <si>
    <t>// iIndividuo = iIndividuo + 2 limita numIndividuos como um número par.</t>
  </si>
  <si>
    <t xml:space="preserve">// Coloquei a obtenção do Pai e da Mãe aqui em cima porque eles são utilizados mesmo se </t>
  </si>
  <si>
    <t>// o Crossover não acontece (pra apenas repassar os indivíduos).</t>
  </si>
  <si>
    <t>//idx_Pai = Randomico_int(0, parametrosGA-&gt;numIndividuos - 1);</t>
  </si>
  <si>
    <t>idx_Pai = iIndividuo;</t>
  </si>
  <si>
    <t>printf("\nCrossOver1Ponto_serial\t"); printf("idx_Pai =\t%d", idx_Pai);</t>
  </si>
  <si>
    <t>//host_TesteGeracao_s-&gt;individuo[iIndividuo].idx_Pai = idx_Pai;</t>
  </si>
  <si>
    <t>//printf("\nCrossOver1Ponto_serial\t"); printf("host_TesteGeracao_s-&gt;individuo[iIndividuo].idx_Pai =\t%d", host_TesteGeracao_s-&gt;individuo[iIndividuo].idx_Pai);</t>
  </si>
  <si>
    <t>idx_Mae = Randomico_int(0, parametrosGA-&gt;numIndividuos - 1);</t>
  </si>
  <si>
    <t>printf("\nCrossOver1Ponto_serial\t"); printf("idx_Mae =\t%d", idx_Mae);</t>
  </si>
  <si>
    <t>host_TesteGeracao_s-&gt;individuo[iIndividuo].idx_Mae = idx_Mae;</t>
  </si>
  <si>
    <t>printf("\nCrossOver1Ponto_serial\t"); printf("host_TesteGeracao_s-&gt;individuo[iIndividuo].idx_Mae =\t%d", host_TesteGeracao_s-&gt;individuo[iIndividuo].idx_Mae);</t>
  </si>
  <si>
    <t>Pai = &amp;g0-&gt;individuo[idx_Pai];</t>
  </si>
  <si>
    <t>Mae = &amp;g0-&gt;individuo[idx_Mae];</t>
  </si>
  <si>
    <t>p_aux = (float)((float)rand() / (float)RAND_MAX);</t>
  </si>
  <si>
    <t>printf("\nCrossOver1Ponto_serial\t"); printf("p_aux =\t%f", p_aux);</t>
  </si>
  <si>
    <t>host_TesteGeracao_s-&gt;individuo[iIndividuo].p = p_aux;</t>
  </si>
  <si>
    <t>printf("\nCrossOver1Ponto_serial\t"); printf("host_TesteGeracao_s-&gt;individuo[iIndividuo].p =\t%f", host_TesteGeracao_s-&gt;individuo[iIndividuo].p);</t>
  </si>
  <si>
    <t>f = -1.0F;</t>
  </si>
  <si>
    <t>printf("\nCrossOver1Ponto_serial\t"); printf("f =\t%f", f);</t>
  </si>
  <si>
    <t>host_TesteGeracao_s-&gt;individuo[iIndividuo].f = f;</t>
  </si>
  <si>
    <t>printf("\nCrossOver1Ponto_serial\t"); printf("host_TesteGeracao_s-&gt;individuo[iIndividuo].f =\t%f", host_TesteGeracao_s-&gt;individuo[iIndividuo].f);</t>
  </si>
  <si>
    <t>ponto_de_corte = Randomico_int(0, (parametrosGA-&gt;numGenes-1));</t>
  </si>
  <si>
    <t>printf("\nCrossOver1Ponto_serial\t"); printf("ponto_de_corte =\t%d", ponto_de_corte);</t>
  </si>
  <si>
    <t>host_TesteGeracao_s-&gt;individuo[iIndividuo].pontos_de_corte[0] = ponto_de_corte;</t>
  </si>
  <si>
    <t>printf("\nCrossOver1Ponto_serial\t"); printf("host_TesteGeracao_s-&gt;individuo[iIndividuo].pontos_de_corte[0] =\t%d", host_TesteGeracao_s-&gt;individuo[iIndividuo].pontos_de_corte[0]);</t>
  </si>
  <si>
    <t>host_TesteGeracao_s-&gt;individuo[iIndividuo].pontos_de_corte[1] = 0;</t>
  </si>
  <si>
    <t>printf("\nCrossOver1Ponto_serial\t"); printf("host_TesteGeracao_s-&gt;individuo[iIndividuo].pontos_de_corte[1] =\t%d", host_TesteGeracao_s-&gt;individuo[iIndividuo].pontos_de_corte[1]);</t>
  </si>
  <si>
    <t>if (p_aux &lt;= parametrosGA-&gt;probCrossOver) {</t>
  </si>
  <si>
    <t>printf("\nCrossOver1Ponto_serial\t"); printf("ENTROU NO if. HAVERA CROSSOVER.");</t>
  </si>
  <si>
    <t>f = (float)((float)rand()/(float)RAND_MAX);</t>
  </si>
  <si>
    <t>printf("\nCrossOver1Ponto_serial\t");</t>
  </si>
  <si>
    <t>printf("i_Individuo");</t>
  </si>
  <si>
    <t>printf("\t");</t>
  </si>
  <si>
    <t>printf("i_Gene");</t>
  </si>
  <si>
    <t>printf("f");</t>
  </si>
  <si>
    <t>printf("Gene Pai");</t>
  </si>
  <si>
    <t>printf("Gene Mae");</t>
  </si>
  <si>
    <t>printf("Gene Filho");</t>
  </si>
  <si>
    <t>for (iGene = 0; iGene &lt; ponto_de_corte; iGene++) {</t>
  </si>
  <si>
    <t>g1-&gt;individuo[iIndividuo    ].gene[iGene] = Pai-&gt;gene[iGene];</t>
  </si>
  <si>
    <t>//g1-&gt;individuo[iIndividuo + 1].gene[iGene] = g0-&gt;individuo[iIndividuo + 1].gene[iGene];</t>
  </si>
  <si>
    <t xml:space="preserve">printf("\nCrossOver1Ponto_serial\t"); </t>
  </si>
  <si>
    <t>printf("%d", iIndividuo);</t>
  </si>
  <si>
    <t>printf("%d", iGene);</t>
  </si>
  <si>
    <t>printf("%f", f);</t>
  </si>
  <si>
    <t>printf("%f", Pai-&gt;gene[iGene]);</t>
  </si>
  <si>
    <t>printf("%f", -1.0F);</t>
  </si>
  <si>
    <t>printf("%f", g1-&gt;individuo[iIndividuo].gene[iGene]);</t>
  </si>
  <si>
    <t>// na segunda parte há alteração, mas apenas entre os dois pontos de corte.</t>
  </si>
  <si>
    <t>for (iGene = ponto_de_corte; iGene &lt; parametrosGA-&gt;numGenes; iGene++) {</t>
  </si>
  <si>
    <t>g1-&gt;individuo[iIndividuo].gene[iGene] =       f*Pai-&gt;gene[iGene] + (1 - f)*Mae-&gt;gene[iGene];</t>
  </si>
  <si>
    <t>//g1-&gt;individuo[iIndividuo + 1].gene[iGene] = (1 - f)*Pai-&gt;gene[iGene] +       f*Mae-&gt;gene[iGene];</t>
  </si>
  <si>
    <t>printf("%f", Mae-&gt;gene[iGene]);</t>
  </si>
  <si>
    <t>printf("\nCrossOver1Ponto_serial\t"); printf("ENTROU NO else. NAO HAVERA CROSSOVER.");</t>
  </si>
  <si>
    <t>// Não houve crossover.</t>
  </si>
  <si>
    <t>// Todos os genes dos indivíduos originais são copiados para os indivíduos da próxima geração.</t>
  </si>
  <si>
    <t>for (iGene = 0; iGene &lt; parametrosGA-&gt;numGenes; iGene++) {</t>
  </si>
  <si>
    <t>g1-&gt;individuo[iIndividuo].gene[iGene] =</t>
  </si>
  <si>
    <t>Pai-&gt;gene[iGene];</t>
  </si>
  <si>
    <t>//</t>
  </si>
  <si>
    <t>g1-&gt;individuo[iIndividuo + 1].gene[iGene] =</t>
  </si>
  <si>
    <t>g0-&gt;individuo[iIndividuo + 1].gene[iGene];</t>
  </si>
  <si>
    <t>Comparação entre o novo indivíduo calculado pelo Excel e o novo indivíduo obtido no programa</t>
  </si>
  <si>
    <t>io</t>
  </si>
  <si>
    <t>Corte1</t>
  </si>
  <si>
    <t>Corte2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</si>
</sst>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%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ourier New"/>
      <family val="3"/>
    </font>
    <font>
      <sz val="9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right" indent="1"/>
    </xf>
    <xf numFmtId="0" fontId="2" fillId="0" borderId="0" xfId="0" applyFont="1"/>
    <xf numFmtId="0" fontId="4" fillId="2" borderId="0" xfId="0" applyFont="1" applyFill="1"/>
    <xf numFmtId="0" fontId="0" fillId="3" borderId="0" xfId="0" applyFill="1"/>
    <xf numFmtId="0" fontId="4" fillId="4" borderId="0" xfId="0" applyFont="1" applyFill="1"/>
    <xf numFmtId="0" fontId="0" fillId="5" borderId="0" xfId="0" applyFill="1"/>
    <xf numFmtId="0" fontId="0" fillId="7" borderId="0" xfId="0" applyFill="1"/>
    <xf numFmtId="0" fontId="3" fillId="6" borderId="0" xfId="0" applyFont="1" applyFill="1"/>
    <xf numFmtId="164" fontId="0" fillId="0" borderId="0" xfId="0" applyNumberFormat="1"/>
    <xf numFmtId="0" fontId="3" fillId="8" borderId="0" xfId="0" applyFont="1" applyFill="1"/>
    <xf numFmtId="0" fontId="0" fillId="8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4" fillId="0" borderId="0" xfId="0" applyFont="1"/>
    <xf numFmtId="0" fontId="9" fillId="0" borderId="0" xfId="0" applyFont="1"/>
    <xf numFmtId="0" fontId="10" fillId="0" borderId="0" xfId="0" applyFont="1"/>
    <xf numFmtId="3" fontId="0" fillId="0" borderId="0" xfId="0" applyNumberFormat="1"/>
    <xf numFmtId="0" fontId="11" fillId="11" borderId="0" xfId="0" applyFont="1" applyFill="1"/>
    <xf numFmtId="0" fontId="0" fillId="0" borderId="1" xfId="0" applyBorder="1"/>
    <xf numFmtId="164" fontId="0" fillId="0" borderId="1" xfId="0" applyNumberFormat="1" applyBorder="1"/>
    <xf numFmtId="164" fontId="0" fillId="0" borderId="1" xfId="0" applyNumberFormat="1" applyBorder="1" applyAlignment="1">
      <alignment horizontal="right" indent="1"/>
    </xf>
    <xf numFmtId="164" fontId="0" fillId="0" borderId="1" xfId="1" applyNumberFormat="1" applyFont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3" xfId="0" applyFont="1" applyBorder="1"/>
    <xf numFmtId="0" fontId="0" fillId="0" borderId="3" xfId="0" applyBorder="1"/>
    <xf numFmtId="0" fontId="5" fillId="0" borderId="0" xfId="0" applyFont="1" applyAlignment="1">
      <alignment horizontal="center" vertical="center"/>
    </xf>
    <xf numFmtId="0" fontId="0" fillId="11" borderId="0" xfId="0" applyFill="1"/>
    <xf numFmtId="0" fontId="12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165" fontId="8" fillId="0" borderId="0" xfId="1" applyNumberFormat="1" applyFont="1" applyAlignment="1">
      <alignment vertical="center"/>
    </xf>
    <xf numFmtId="0" fontId="8" fillId="0" borderId="0" xfId="0" applyFont="1" applyAlignment="1">
      <alignment horizontal="right" vertical="center"/>
    </xf>
    <xf numFmtId="0" fontId="5" fillId="0" borderId="1" xfId="0" applyFont="1" applyFill="1" applyBorder="1" applyAlignment="1">
      <alignment horizontal="center" vertical="center"/>
    </xf>
    <xf numFmtId="164" fontId="0" fillId="12" borderId="0" xfId="0" applyNumberFormat="1" applyFill="1"/>
    <xf numFmtId="0" fontId="3" fillId="4" borderId="0" xfId="0" applyFont="1" applyFill="1"/>
    <xf numFmtId="164" fontId="8" fillId="0" borderId="0" xfId="0" applyNumberFormat="1" applyFont="1" applyAlignment="1">
      <alignment vertical="center"/>
    </xf>
    <xf numFmtId="0" fontId="0" fillId="0" borderId="0" xfId="0"/>
    <xf numFmtId="164" fontId="0" fillId="0" borderId="0" xfId="0" applyNumberFormat="1"/>
    <xf numFmtId="164" fontId="0" fillId="0" borderId="0" xfId="0" applyNumberFormat="1"/>
    <xf numFmtId="164" fontId="0" fillId="0" borderId="0" xfId="0" applyNumberFormat="1"/>
    <xf numFmtId="0" fontId="0" fillId="0" borderId="0" xfId="0"/>
    <xf numFmtId="0" fontId="13" fillId="0" borderId="0" xfId="0" applyFont="1"/>
    <xf numFmtId="0" fontId="7" fillId="0" borderId="1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9" borderId="0" xfId="0" applyFill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102">
    <dxf>
      <font>
        <color theme="0" tint="-0.14996795556505021"/>
      </font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14996795556505021"/>
      </font>
    </dxf>
    <dxf>
      <border>
        <left style="thin">
          <color auto="1"/>
        </left>
      </border>
    </dxf>
    <dxf>
      <border>
        <right style="thin">
          <color auto="1"/>
        </right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theme="0" tint="-0.24994659260841701"/>
      </font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14996795556505021"/>
      </font>
    </dxf>
    <dxf>
      <border>
        <left style="thin">
          <color auto="1"/>
        </left>
      </border>
    </dxf>
    <dxf>
      <border>
        <right style="thin">
          <color auto="1"/>
        </right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</border>
    </dxf>
    <dxf>
      <font>
        <color theme="0" tint="-0.14996795556505021"/>
      </font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font>
        <color theme="0" tint="-0.14996795556505021"/>
      </font>
    </dxf>
    <dxf>
      <border>
        <left style="thin">
          <color auto="1"/>
        </left>
      </border>
    </dxf>
    <dxf>
      <border>
        <right style="thin">
          <color auto="1"/>
        </right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font>
        <color theme="0" tint="-0.14996795556505021"/>
      </font>
    </dxf>
    <dxf>
      <border>
        <left style="thin">
          <color auto="1"/>
        </left>
      </border>
    </dxf>
    <dxf>
      <border>
        <right style="thin">
          <color auto="1"/>
        </right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border>
        <left style="thin">
          <color auto="1"/>
        </left>
      </border>
    </dxf>
    <dxf>
      <border>
        <right style="thin">
          <color auto="1"/>
        </right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border>
        <left/>
        <right style="thin">
          <color auto="1"/>
        </right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border>
        <left/>
        <right style="thin">
          <color auto="1"/>
        </right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C000"/>
        </patternFill>
      </fill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FFC000"/>
        </patternFill>
      </fill>
    </dxf>
    <dxf>
      <border>
        <left/>
        <right style="thin">
          <color rgb="FF00B050"/>
        </right>
        <top/>
        <bottom/>
        <vertical/>
        <horizontal/>
      </border>
    </dxf>
    <dxf>
      <font>
        <b/>
        <i val="0"/>
        <color theme="1"/>
      </font>
      <fill>
        <patternFill>
          <bgColor rgb="FFFFFF00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border>
        <left style="thin">
          <color rgb="FFFF0000"/>
        </left>
        <right/>
        <top/>
        <bottom/>
        <vertical/>
        <horizontal/>
      </border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border>
        <left style="thin">
          <color rgb="FFFF0000"/>
        </left>
        <vertical/>
        <horizontal/>
      </border>
    </dxf>
    <dxf>
      <border>
        <left style="thin">
          <color rgb="FF00B050"/>
        </left>
        <right/>
        <vertical/>
        <horizontal/>
      </border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FFC000"/>
        </patternFill>
      </fill>
    </dxf>
    <dxf>
      <border>
        <right style="thin">
          <color rgb="FF00B050"/>
        </right>
        <vertical/>
        <horizontal/>
      </border>
    </dxf>
    <dxf>
      <font>
        <b/>
        <i val="0"/>
        <color theme="1"/>
      </font>
      <fill>
        <patternFill>
          <bgColor rgb="FFFFFF00"/>
        </patternFill>
      </fill>
    </dxf>
    <dxf>
      <border>
        <left style="thin">
          <color rgb="FFFF0000"/>
        </left>
        <vertical/>
        <horizontal/>
      </border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border>
        <left style="thin">
          <color rgb="FFFF0000"/>
        </left>
        <vertical/>
        <horizontal/>
      </border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border>
        <left style="thin">
          <color rgb="FFFF0000"/>
        </left>
        <vertical/>
        <horizontal/>
      </border>
    </dxf>
    <dxf>
      <border>
        <left style="thin">
          <color rgb="FFFF0000"/>
        </left>
        <vertical/>
        <horizontal/>
      </border>
    </dxf>
    <dxf>
      <fill>
        <patternFill>
          <bgColor theme="6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HE449"/>
  <sheetViews>
    <sheetView showGridLines="0" tabSelected="1" zoomScaleNormal="100" workbookViewId="0"/>
  </sheetViews>
  <sheetFormatPr defaultRowHeight="15"/>
  <cols>
    <col min="1" max="1" width="29.140625" customWidth="1"/>
    <col min="2" max="2" width="15.42578125" customWidth="1"/>
    <col min="3" max="4" width="11.140625" customWidth="1"/>
    <col min="5" max="5" width="20.42578125" customWidth="1"/>
    <col min="6" max="6" width="20.7109375" customWidth="1"/>
    <col min="7" max="7" width="19.5703125" customWidth="1"/>
    <col min="8" max="8" width="22.140625" customWidth="1"/>
    <col min="9" max="10" width="14.28515625" customWidth="1"/>
    <col min="11" max="53" width="10.7109375" customWidth="1"/>
    <col min="54" max="54" width="12.42578125" customWidth="1"/>
    <col min="55" max="55" width="16.85546875" customWidth="1"/>
    <col min="56" max="56" width="17.42578125" customWidth="1"/>
    <col min="57" max="57" width="15.85546875" customWidth="1"/>
    <col min="58" max="60" width="10.7109375" customWidth="1"/>
    <col min="61" max="61" width="4.7109375" customWidth="1"/>
    <col min="62" max="111" width="10.7109375" customWidth="1"/>
    <col min="112" max="112" width="5.7109375" customWidth="1"/>
    <col min="113" max="162" width="10.7109375" customWidth="1"/>
    <col min="163" max="163" width="9.7109375" bestFit="1" customWidth="1"/>
    <col min="164" max="213" width="10.7109375" customWidth="1"/>
    <col min="214" max="216" width="9.7109375" bestFit="1" customWidth="1"/>
  </cols>
  <sheetData>
    <row r="1" spans="1:4">
      <c r="A1" t="s">
        <v>67</v>
      </c>
    </row>
    <row r="2" spans="1:4">
      <c r="A2" t="s">
        <v>68</v>
      </c>
    </row>
    <row r="3" spans="1:4">
      <c r="A3" t="s">
        <v>67</v>
      </c>
    </row>
    <row r="4" spans="1:4">
      <c r="A4" t="s">
        <v>69</v>
      </c>
    </row>
    <row r="5" spans="1:4">
      <c r="A5" t="s">
        <v>70</v>
      </c>
      <c r="B5">
        <v>1.0000000000000001E-5</v>
      </c>
      <c r="D5" s="2"/>
    </row>
    <row r="6" spans="1:4">
      <c r="A6" t="s">
        <v>71</v>
      </c>
      <c r="B6">
        <v>0.28999999999999998</v>
      </c>
    </row>
    <row r="7" spans="1:4">
      <c r="A7" t="s">
        <v>67</v>
      </c>
    </row>
    <row r="8" spans="1:4">
      <c r="A8" t="s">
        <v>72</v>
      </c>
    </row>
    <row r="9" spans="1:4">
      <c r="A9" t="s">
        <v>67</v>
      </c>
    </row>
    <row r="10" spans="1:4">
      <c r="A10" t="s">
        <v>73</v>
      </c>
      <c r="B10">
        <v>50</v>
      </c>
    </row>
    <row r="11" spans="1:4">
      <c r="A11" t="s">
        <v>74</v>
      </c>
      <c r="B11">
        <v>100</v>
      </c>
    </row>
    <row r="12" spans="1:4">
      <c r="A12" t="s">
        <v>75</v>
      </c>
      <c r="B12">
        <v>2</v>
      </c>
    </row>
    <row r="13" spans="1:4">
      <c r="A13" t="s">
        <v>76</v>
      </c>
      <c r="B13" s="25">
        <v>1</v>
      </c>
    </row>
    <row r="14" spans="1:4">
      <c r="A14" t="s">
        <v>77</v>
      </c>
      <c r="B14" t="s">
        <v>78</v>
      </c>
    </row>
    <row r="15" spans="1:4">
      <c r="A15" t="s">
        <v>79</v>
      </c>
      <c r="B15" t="s">
        <v>80</v>
      </c>
    </row>
    <row r="16" spans="1:4">
      <c r="A16" t="s">
        <v>81</v>
      </c>
      <c r="B16">
        <v>2</v>
      </c>
    </row>
    <row r="17" spans="1:59">
      <c r="A17" t="s">
        <v>82</v>
      </c>
      <c r="B17" t="s">
        <v>78</v>
      </c>
    </row>
    <row r="18" spans="1:59">
      <c r="A18" s="26" t="s">
        <v>83</v>
      </c>
      <c r="B18" s="26">
        <v>0.75</v>
      </c>
    </row>
    <row r="19" spans="1:59">
      <c r="A19" t="s">
        <v>84</v>
      </c>
      <c r="B19">
        <v>2</v>
      </c>
    </row>
    <row r="20" spans="1:59">
      <c r="A20" t="s">
        <v>85</v>
      </c>
      <c r="B20" t="s">
        <v>78</v>
      </c>
    </row>
    <row r="21" spans="1:59">
      <c r="A21" t="s">
        <v>86</v>
      </c>
      <c r="B21">
        <v>0.5</v>
      </c>
    </row>
    <row r="22" spans="1:59">
      <c r="A22" t="s">
        <v>87</v>
      </c>
      <c r="B22" s="25">
        <v>1</v>
      </c>
    </row>
    <row r="23" spans="1:59">
      <c r="A23" t="s">
        <v>88</v>
      </c>
      <c r="B23" t="s">
        <v>89</v>
      </c>
    </row>
    <row r="24" spans="1:59">
      <c r="A24" t="s">
        <v>67</v>
      </c>
    </row>
    <row r="25" spans="1:59">
      <c r="A25" t="s">
        <v>90</v>
      </c>
    </row>
    <row r="26" spans="1:59">
      <c r="A26" t="s">
        <v>67</v>
      </c>
    </row>
    <row r="27" spans="1:59">
      <c r="A27" t="s">
        <v>91</v>
      </c>
      <c r="B27">
        <v>32767</v>
      </c>
    </row>
    <row r="28" spans="1:59">
      <c r="A28" t="s">
        <v>67</v>
      </c>
    </row>
    <row r="30" spans="1:59">
      <c r="A30" t="s">
        <v>58</v>
      </c>
    </row>
    <row r="31" spans="1:59">
      <c r="A31" s="31">
        <v>1</v>
      </c>
      <c r="B31" s="31">
        <f>A31+1</f>
        <v>2</v>
      </c>
      <c r="C31" s="31">
        <f t="shared" ref="C31:BG31" si="0">B31+1</f>
        <v>3</v>
      </c>
      <c r="D31" s="31">
        <f t="shared" si="0"/>
        <v>4</v>
      </c>
      <c r="E31" s="31">
        <f t="shared" si="0"/>
        <v>5</v>
      </c>
      <c r="F31" s="31">
        <f t="shared" si="0"/>
        <v>6</v>
      </c>
      <c r="G31" s="31">
        <f t="shared" si="0"/>
        <v>7</v>
      </c>
      <c r="H31" s="31">
        <f t="shared" si="0"/>
        <v>8</v>
      </c>
      <c r="I31" s="31">
        <f t="shared" si="0"/>
        <v>9</v>
      </c>
      <c r="J31" s="31">
        <f t="shared" si="0"/>
        <v>10</v>
      </c>
      <c r="K31" s="31">
        <f t="shared" si="0"/>
        <v>11</v>
      </c>
      <c r="L31" s="31">
        <f t="shared" si="0"/>
        <v>12</v>
      </c>
      <c r="M31" s="31">
        <f t="shared" si="0"/>
        <v>13</v>
      </c>
      <c r="N31" s="31">
        <f t="shared" si="0"/>
        <v>14</v>
      </c>
      <c r="O31" s="31">
        <f t="shared" si="0"/>
        <v>15</v>
      </c>
      <c r="P31" s="31">
        <f t="shared" si="0"/>
        <v>16</v>
      </c>
      <c r="Q31" s="31">
        <f t="shared" si="0"/>
        <v>17</v>
      </c>
      <c r="R31" s="31">
        <f t="shared" si="0"/>
        <v>18</v>
      </c>
      <c r="S31" s="31">
        <f t="shared" si="0"/>
        <v>19</v>
      </c>
      <c r="T31" s="31">
        <f t="shared" si="0"/>
        <v>20</v>
      </c>
      <c r="U31" s="31">
        <f t="shared" si="0"/>
        <v>21</v>
      </c>
      <c r="V31" s="31">
        <f t="shared" si="0"/>
        <v>22</v>
      </c>
      <c r="W31" s="31">
        <f t="shared" si="0"/>
        <v>23</v>
      </c>
      <c r="X31" s="31">
        <f t="shared" si="0"/>
        <v>24</v>
      </c>
      <c r="Y31" s="31">
        <f t="shared" si="0"/>
        <v>25</v>
      </c>
      <c r="Z31" s="31">
        <f t="shared" si="0"/>
        <v>26</v>
      </c>
      <c r="AA31" s="31">
        <f t="shared" si="0"/>
        <v>27</v>
      </c>
      <c r="AB31" s="31">
        <f t="shared" si="0"/>
        <v>28</v>
      </c>
      <c r="AC31" s="31">
        <f t="shared" si="0"/>
        <v>29</v>
      </c>
      <c r="AD31" s="31">
        <f t="shared" si="0"/>
        <v>30</v>
      </c>
      <c r="AE31" s="31">
        <f t="shared" si="0"/>
        <v>31</v>
      </c>
      <c r="AF31" s="31">
        <f t="shared" si="0"/>
        <v>32</v>
      </c>
      <c r="AG31" s="31">
        <f t="shared" si="0"/>
        <v>33</v>
      </c>
      <c r="AH31" s="31">
        <f t="shared" si="0"/>
        <v>34</v>
      </c>
      <c r="AI31" s="31">
        <f t="shared" si="0"/>
        <v>35</v>
      </c>
      <c r="AJ31" s="31">
        <f t="shared" si="0"/>
        <v>36</v>
      </c>
      <c r="AK31" s="31">
        <f t="shared" si="0"/>
        <v>37</v>
      </c>
      <c r="AL31" s="31">
        <f t="shared" si="0"/>
        <v>38</v>
      </c>
      <c r="AM31" s="31">
        <f t="shared" si="0"/>
        <v>39</v>
      </c>
      <c r="AN31" s="31">
        <f t="shared" si="0"/>
        <v>40</v>
      </c>
      <c r="AO31" s="31">
        <f t="shared" si="0"/>
        <v>41</v>
      </c>
      <c r="AP31" s="31">
        <f t="shared" si="0"/>
        <v>42</v>
      </c>
      <c r="AQ31" s="31">
        <f t="shared" si="0"/>
        <v>43</v>
      </c>
      <c r="AR31" s="31">
        <f t="shared" si="0"/>
        <v>44</v>
      </c>
      <c r="AS31" s="31">
        <f t="shared" si="0"/>
        <v>45</v>
      </c>
      <c r="AT31" s="31">
        <f t="shared" si="0"/>
        <v>46</v>
      </c>
      <c r="AU31" s="31">
        <f t="shared" si="0"/>
        <v>47</v>
      </c>
      <c r="AV31" s="31">
        <f t="shared" si="0"/>
        <v>48</v>
      </c>
      <c r="AW31" s="31">
        <f t="shared" si="0"/>
        <v>49</v>
      </c>
      <c r="AX31" s="31">
        <f t="shared" si="0"/>
        <v>50</v>
      </c>
      <c r="AY31" s="31">
        <f t="shared" si="0"/>
        <v>51</v>
      </c>
      <c r="AZ31" s="31">
        <f t="shared" si="0"/>
        <v>52</v>
      </c>
      <c r="BA31" s="31">
        <f t="shared" si="0"/>
        <v>53</v>
      </c>
      <c r="BB31" s="31">
        <f t="shared" si="0"/>
        <v>54</v>
      </c>
      <c r="BC31" s="31">
        <f t="shared" si="0"/>
        <v>55</v>
      </c>
      <c r="BD31" s="31">
        <f t="shared" si="0"/>
        <v>56</v>
      </c>
      <c r="BE31" s="31">
        <f t="shared" si="0"/>
        <v>57</v>
      </c>
      <c r="BF31" s="31">
        <f t="shared" si="0"/>
        <v>58</v>
      </c>
      <c r="BG31" s="31">
        <f t="shared" si="0"/>
        <v>59</v>
      </c>
    </row>
    <row r="32" spans="1:59">
      <c r="A32" s="27" t="s">
        <v>60</v>
      </c>
      <c r="B32" s="27" t="s">
        <v>0</v>
      </c>
      <c r="C32" s="27" t="s">
        <v>1</v>
      </c>
      <c r="D32" s="27" t="s">
        <v>2</v>
      </c>
      <c r="E32" s="27" t="s">
        <v>3</v>
      </c>
      <c r="F32" s="27" t="s">
        <v>4</v>
      </c>
      <c r="G32" s="27" t="s">
        <v>5</v>
      </c>
      <c r="H32" s="27" t="s">
        <v>6</v>
      </c>
      <c r="I32" s="27" t="s">
        <v>7</v>
      </c>
      <c r="J32" s="27" t="s">
        <v>8</v>
      </c>
      <c r="K32" s="27" t="s">
        <v>9</v>
      </c>
      <c r="L32" s="27" t="s">
        <v>10</v>
      </c>
      <c r="M32" s="27" t="s">
        <v>11</v>
      </c>
      <c r="N32" s="27" t="s">
        <v>12</v>
      </c>
      <c r="O32" s="27" t="s">
        <v>13</v>
      </c>
      <c r="P32" s="27" t="s">
        <v>14</v>
      </c>
      <c r="Q32" s="27" t="s">
        <v>15</v>
      </c>
      <c r="R32" s="27" t="s">
        <v>16</v>
      </c>
      <c r="S32" s="27" t="s">
        <v>17</v>
      </c>
      <c r="T32" s="27" t="s">
        <v>18</v>
      </c>
      <c r="U32" s="27" t="s">
        <v>19</v>
      </c>
      <c r="V32" s="27" t="s">
        <v>20</v>
      </c>
      <c r="W32" s="27" t="s">
        <v>21</v>
      </c>
      <c r="X32" s="27" t="s">
        <v>22</v>
      </c>
      <c r="Y32" s="27" t="s">
        <v>27</v>
      </c>
      <c r="Z32" s="27" t="s">
        <v>28</v>
      </c>
      <c r="AA32" s="27" t="s">
        <v>29</v>
      </c>
      <c r="AB32" s="27" t="s">
        <v>30</v>
      </c>
      <c r="AC32" s="27" t="s">
        <v>31</v>
      </c>
      <c r="AD32" s="27" t="s">
        <v>32</v>
      </c>
      <c r="AE32" s="27" t="s">
        <v>33</v>
      </c>
      <c r="AF32" s="27" t="s">
        <v>34</v>
      </c>
      <c r="AG32" s="27" t="s">
        <v>35</v>
      </c>
      <c r="AH32" s="27" t="s">
        <v>36</v>
      </c>
      <c r="AI32" s="27" t="s">
        <v>37</v>
      </c>
      <c r="AJ32" s="27" t="s">
        <v>38</v>
      </c>
      <c r="AK32" s="27" t="s">
        <v>39</v>
      </c>
      <c r="AL32" s="27" t="s">
        <v>40</v>
      </c>
      <c r="AM32" s="27" t="s">
        <v>41</v>
      </c>
      <c r="AN32" s="27" t="s">
        <v>42</v>
      </c>
      <c r="AO32" s="27" t="s">
        <v>43</v>
      </c>
      <c r="AP32" s="27" t="s">
        <v>44</v>
      </c>
      <c r="AQ32" s="27" t="s">
        <v>45</v>
      </c>
      <c r="AR32" s="27" t="s">
        <v>46</v>
      </c>
      <c r="AS32" s="27" t="s">
        <v>47</v>
      </c>
      <c r="AT32" s="27" t="s">
        <v>48</v>
      </c>
      <c r="AU32" s="27" t="s">
        <v>49</v>
      </c>
      <c r="AV32" s="27" t="s">
        <v>50</v>
      </c>
      <c r="AW32" s="27" t="s">
        <v>51</v>
      </c>
      <c r="AX32" s="27" t="s">
        <v>52</v>
      </c>
      <c r="AY32" s="27" t="s">
        <v>53</v>
      </c>
      <c r="AZ32" s="27" t="s">
        <v>54</v>
      </c>
      <c r="BA32" s="27" t="s">
        <v>55</v>
      </c>
      <c r="BB32" s="27" t="s">
        <v>56</v>
      </c>
      <c r="BC32" s="27" t="s">
        <v>23</v>
      </c>
      <c r="BD32" s="27" t="s">
        <v>143</v>
      </c>
      <c r="BE32" s="27" t="s">
        <v>24</v>
      </c>
      <c r="BF32" s="27" t="s">
        <v>25</v>
      </c>
      <c r="BG32" s="27" t="s">
        <v>26</v>
      </c>
    </row>
    <row r="33" spans="1:59">
      <c r="A33" s="27">
        <v>0</v>
      </c>
      <c r="B33" s="27">
        <v>40.134360999999998</v>
      </c>
      <c r="C33" s="27">
        <v>-3</v>
      </c>
      <c r="D33" s="27">
        <v>0</v>
      </c>
      <c r="E33" s="28">
        <v>-0.70089999999999997</v>
      </c>
      <c r="F33" s="28">
        <v>0.303508</v>
      </c>
      <c r="G33" s="28">
        <v>-0.69006000000000001</v>
      </c>
      <c r="H33" s="28">
        <v>-0.67655200000000004</v>
      </c>
      <c r="I33" s="28">
        <v>1.534826</v>
      </c>
      <c r="J33" s="28">
        <v>0.40433400000000003</v>
      </c>
      <c r="K33" s="28">
        <v>-6.9475999999999996E-2</v>
      </c>
      <c r="L33" s="28">
        <v>0.61652399999999996</v>
      </c>
      <c r="M33" s="28">
        <v>1.040888</v>
      </c>
      <c r="N33" s="28">
        <v>1.6124039999999999</v>
      </c>
      <c r="O33" s="28">
        <v>-1.017269</v>
      </c>
      <c r="P33" s="28">
        <v>-1.8738999999999999E-2</v>
      </c>
      <c r="Q33" s="28">
        <v>1.0668500000000001</v>
      </c>
      <c r="R33" s="28">
        <v>-0.71404100000000004</v>
      </c>
      <c r="S33" s="28">
        <v>-0.94616100000000003</v>
      </c>
      <c r="T33" s="28">
        <v>-0.99968599999999996</v>
      </c>
      <c r="U33" s="28">
        <v>0.31866100000000003</v>
      </c>
      <c r="V33" s="28">
        <v>0.41539799999999999</v>
      </c>
      <c r="W33" s="28">
        <v>0.74578199999999994</v>
      </c>
      <c r="X33" s="28">
        <v>-1.0294509999999999</v>
      </c>
      <c r="Y33" s="28">
        <v>-1.689397</v>
      </c>
      <c r="Z33" s="28">
        <v>-0.30818699999999999</v>
      </c>
      <c r="AA33" s="28">
        <v>0.26141500000000001</v>
      </c>
      <c r="AB33" s="28">
        <v>0.80872999999999995</v>
      </c>
      <c r="AC33" s="28">
        <v>-0.64111099999999999</v>
      </c>
      <c r="AD33" s="28">
        <v>-7.5176000000000007E-2</v>
      </c>
      <c r="AE33" s="28">
        <v>-0.66634099999999996</v>
      </c>
      <c r="AF33" s="28">
        <v>-1.5662959999999999</v>
      </c>
      <c r="AG33" s="28">
        <v>0.57636600000000004</v>
      </c>
      <c r="AH33" s="28">
        <v>0.88014099999999995</v>
      </c>
      <c r="AI33" s="28">
        <v>-0.23005100000000001</v>
      </c>
      <c r="AJ33" s="28">
        <v>-0.186805</v>
      </c>
      <c r="AK33" s="28">
        <v>9.8069000000000003E-2</v>
      </c>
      <c r="AL33" s="28">
        <v>0.25537300000000002</v>
      </c>
      <c r="AM33" s="28">
        <v>-7.3677999999999993E-2</v>
      </c>
      <c r="AN33" s="28">
        <v>-0.18715999999999999</v>
      </c>
      <c r="AO33" s="28">
        <v>0.66104200000000002</v>
      </c>
      <c r="AP33" s="28">
        <v>0.64547200000000005</v>
      </c>
      <c r="AQ33" s="28">
        <v>-0.19440199999999999</v>
      </c>
      <c r="AR33" s="28">
        <v>0.23189499999999999</v>
      </c>
      <c r="AS33" s="28">
        <v>0.38777699999999998</v>
      </c>
      <c r="AT33" s="28">
        <v>0.36163299999999998</v>
      </c>
      <c r="AU33" s="28">
        <v>-0.69426299999999996</v>
      </c>
      <c r="AV33" s="28">
        <v>-0.72806300000000002</v>
      </c>
      <c r="AW33" s="28">
        <v>0.17427500000000001</v>
      </c>
      <c r="AX33" s="28">
        <v>0.54662500000000003</v>
      </c>
      <c r="AY33" s="28">
        <v>0.48188700000000001</v>
      </c>
      <c r="AZ33" s="28">
        <v>-0.58981899999999998</v>
      </c>
      <c r="BA33" s="28">
        <v>1.0072989999999999</v>
      </c>
      <c r="BB33" s="28">
        <v>-0.84797800000000001</v>
      </c>
      <c r="BC33" s="28">
        <v>106.633804</v>
      </c>
      <c r="BD33" s="28">
        <v>1531.4982910000001</v>
      </c>
      <c r="BE33" s="28">
        <v>1113.6999510000001</v>
      </c>
      <c r="BF33" s="28">
        <v>27.749286999999999</v>
      </c>
      <c r="BG33" s="28">
        <v>3.6037E-2</v>
      </c>
    </row>
    <row r="34" spans="1:59">
      <c r="A34" s="27">
        <v>1</v>
      </c>
      <c r="B34" s="27">
        <v>45.192711000000003</v>
      </c>
      <c r="C34" s="27">
        <v>-3</v>
      </c>
      <c r="D34" s="27">
        <v>0</v>
      </c>
      <c r="E34" s="28">
        <v>0.340036</v>
      </c>
      <c r="F34" s="28">
        <v>-0.919381</v>
      </c>
      <c r="G34" s="28">
        <v>1.035949</v>
      </c>
      <c r="H34" s="28">
        <v>0.83472599999999997</v>
      </c>
      <c r="I34" s="28">
        <v>-0.105861</v>
      </c>
      <c r="J34" s="28">
        <v>0.205286</v>
      </c>
      <c r="K34" s="28">
        <v>-0.553485</v>
      </c>
      <c r="L34" s="28">
        <v>-9.3056E-2</v>
      </c>
      <c r="M34" s="28">
        <v>0.41924600000000001</v>
      </c>
      <c r="N34" s="28">
        <v>-0.28417599999999998</v>
      </c>
      <c r="O34" s="28">
        <v>0.65124899999999997</v>
      </c>
      <c r="P34" s="28">
        <v>-0.144622</v>
      </c>
      <c r="Q34" s="28">
        <v>-1.1834560000000001</v>
      </c>
      <c r="R34" s="28">
        <v>1.1468970000000001</v>
      </c>
      <c r="S34" s="28">
        <v>0.75548300000000002</v>
      </c>
      <c r="T34" s="28">
        <v>-0.16583000000000001</v>
      </c>
      <c r="U34" s="28">
        <v>0.115551</v>
      </c>
      <c r="V34" s="28">
        <v>0.74684099999999998</v>
      </c>
      <c r="W34" s="28">
        <v>-0.79056599999999999</v>
      </c>
      <c r="X34" s="28">
        <v>-7.5273999999999994E-2</v>
      </c>
      <c r="Y34" s="28">
        <v>-1.438585</v>
      </c>
      <c r="Z34" s="28">
        <v>1.247803</v>
      </c>
      <c r="AA34" s="28">
        <v>-0.29399700000000001</v>
      </c>
      <c r="AB34" s="28">
        <v>-0.11365500000000001</v>
      </c>
      <c r="AC34" s="28">
        <v>1.8274859999999999</v>
      </c>
      <c r="AD34" s="28">
        <v>-0.13300000000000001</v>
      </c>
      <c r="AE34" s="28">
        <v>-0.34422599999999998</v>
      </c>
      <c r="AF34" s="28">
        <v>1.339558</v>
      </c>
      <c r="AG34" s="28">
        <v>-0.63728499999999999</v>
      </c>
      <c r="AH34" s="28">
        <v>2.4899000000000001E-2</v>
      </c>
      <c r="AI34" s="28">
        <v>0.27143499999999998</v>
      </c>
      <c r="AJ34" s="28">
        <v>-0.72181099999999998</v>
      </c>
      <c r="AK34" s="28">
        <v>0.37207099999999999</v>
      </c>
      <c r="AL34" s="28">
        <v>0.67421200000000003</v>
      </c>
      <c r="AM34" s="28">
        <v>-0.53745699999999996</v>
      </c>
      <c r="AN34" s="28">
        <v>-7.4824000000000002E-2</v>
      </c>
      <c r="AO34" s="28">
        <v>-0.56411999999999995</v>
      </c>
      <c r="AP34" s="28">
        <v>0.81733599999999995</v>
      </c>
      <c r="AQ34" s="28">
        <v>1.0539639999999999</v>
      </c>
      <c r="AR34" s="28">
        <v>0.39804400000000001</v>
      </c>
      <c r="AS34" s="28">
        <v>0.256554</v>
      </c>
      <c r="AT34" s="28">
        <v>1.7749000000000001E-2</v>
      </c>
      <c r="AU34" s="28">
        <v>-0.45108399999999998</v>
      </c>
      <c r="AV34" s="28">
        <v>-0.25117499999999998</v>
      </c>
      <c r="AW34" s="28">
        <v>0.93391000000000002</v>
      </c>
      <c r="AX34" s="28">
        <v>-0.57196599999999997</v>
      </c>
      <c r="AY34" s="28">
        <v>-0.70042300000000002</v>
      </c>
      <c r="AZ34" s="28">
        <v>-0.12003900000000001</v>
      </c>
      <c r="BA34" s="28">
        <v>-0.40212900000000001</v>
      </c>
      <c r="BB34" s="28">
        <v>-9.3318999999999999E-2</v>
      </c>
      <c r="BC34" s="28">
        <v>102.82916299999999</v>
      </c>
      <c r="BD34" s="28">
        <v>1952.9957280000001</v>
      </c>
      <c r="BE34" s="28">
        <v>1069.478149</v>
      </c>
      <c r="BF34" s="28">
        <v>23.664836999999999</v>
      </c>
      <c r="BG34" s="28">
        <v>4.2257000000000003E-2</v>
      </c>
    </row>
    <row r="35" spans="1:59">
      <c r="A35" s="27">
        <v>2</v>
      </c>
      <c r="B35" s="27">
        <v>42.401336999999998</v>
      </c>
      <c r="C35" s="27">
        <v>-3</v>
      </c>
      <c r="D35" s="27">
        <v>0</v>
      </c>
      <c r="E35" s="28">
        <v>-0.699237</v>
      </c>
      <c r="F35" s="28">
        <v>1.7912999999999998E-2</v>
      </c>
      <c r="G35" s="28">
        <v>0.40328399999999998</v>
      </c>
      <c r="H35" s="28">
        <v>1.1192930000000001</v>
      </c>
      <c r="I35" s="28">
        <v>-0.15697700000000001</v>
      </c>
      <c r="J35" s="28">
        <v>0.19411</v>
      </c>
      <c r="K35" s="28">
        <v>1.295347</v>
      </c>
      <c r="L35" s="28">
        <v>-0.65157799999999999</v>
      </c>
      <c r="M35" s="28">
        <v>-0.76042299999999996</v>
      </c>
      <c r="N35" s="28">
        <v>-0.44301200000000002</v>
      </c>
      <c r="O35" s="28">
        <v>-0.36884600000000001</v>
      </c>
      <c r="P35" s="28">
        <v>-0.30153600000000003</v>
      </c>
      <c r="Q35" s="28">
        <v>-0.22511200000000001</v>
      </c>
      <c r="R35" s="28">
        <v>0.49783100000000002</v>
      </c>
      <c r="S35" s="28">
        <v>0.31132199999999999</v>
      </c>
      <c r="T35" s="28">
        <v>0.71334399999999998</v>
      </c>
      <c r="U35" s="28">
        <v>0.21576799999999999</v>
      </c>
      <c r="V35" s="28">
        <v>0.29508400000000001</v>
      </c>
      <c r="W35" s="28">
        <v>-0.231432</v>
      </c>
      <c r="X35" s="28">
        <v>0.35051199999999999</v>
      </c>
      <c r="Y35" s="28">
        <v>0.61338599999999999</v>
      </c>
      <c r="Z35" s="28">
        <v>-0.62480800000000003</v>
      </c>
      <c r="AA35" s="28">
        <v>1.0772E-2</v>
      </c>
      <c r="AB35" s="28">
        <v>0.46966400000000003</v>
      </c>
      <c r="AC35" s="28">
        <v>-0.55268799999999996</v>
      </c>
      <c r="AD35" s="28">
        <v>-0.358541</v>
      </c>
      <c r="AE35" s="28">
        <v>-1.3883840000000001</v>
      </c>
      <c r="AF35" s="28">
        <v>-0.17657300000000001</v>
      </c>
      <c r="AG35" s="28">
        <v>0.24352099999999999</v>
      </c>
      <c r="AH35" s="28">
        <v>-0.77649800000000002</v>
      </c>
      <c r="AI35" s="28">
        <v>-0.80759499999999995</v>
      </c>
      <c r="AJ35" s="28">
        <v>-0.27812100000000001</v>
      </c>
      <c r="AK35" s="28">
        <v>-0.116576</v>
      </c>
      <c r="AL35" s="28">
        <v>0.31808399999999998</v>
      </c>
      <c r="AM35" s="28">
        <v>0.10699400000000001</v>
      </c>
      <c r="AN35" s="28">
        <v>-0.75590900000000005</v>
      </c>
      <c r="AO35" s="28">
        <v>9.5469999999999999E-3</v>
      </c>
      <c r="AP35" s="28">
        <v>0.54901999999999995</v>
      </c>
      <c r="AQ35" s="28">
        <v>0.50034699999999999</v>
      </c>
      <c r="AR35" s="28">
        <v>2.5683000000000001E-2</v>
      </c>
      <c r="AS35" s="28">
        <v>0.38595400000000002</v>
      </c>
      <c r="AT35" s="28">
        <v>0.42127399999999998</v>
      </c>
      <c r="AU35" s="28">
        <v>-0.20510100000000001</v>
      </c>
      <c r="AV35" s="28">
        <v>-0.60255499999999995</v>
      </c>
      <c r="AW35" s="28">
        <v>-0.53892499999999999</v>
      </c>
      <c r="AX35" s="28">
        <v>0.59336500000000003</v>
      </c>
      <c r="AY35" s="28">
        <v>0.54414300000000004</v>
      </c>
      <c r="AZ35" s="28">
        <v>0.10610899999999999</v>
      </c>
      <c r="BA35" s="28">
        <v>-0.26186100000000001</v>
      </c>
      <c r="BB35" s="28">
        <v>-0.51815699999999998</v>
      </c>
      <c r="BC35" s="28">
        <v>233.613495</v>
      </c>
      <c r="BD35" s="28">
        <v>1714.0706789999999</v>
      </c>
      <c r="BE35" s="28">
        <v>607.43725600000005</v>
      </c>
      <c r="BF35" s="28">
        <v>14.325899</v>
      </c>
      <c r="BG35" s="28">
        <v>6.9804000000000005E-2</v>
      </c>
    </row>
    <row r="36" spans="1:59">
      <c r="A36" s="27">
        <v>3</v>
      </c>
      <c r="B36" s="27">
        <v>51.350974999999998</v>
      </c>
      <c r="C36" s="27">
        <v>-3</v>
      </c>
      <c r="D36" s="27">
        <v>0</v>
      </c>
      <c r="E36" s="28">
        <v>0.86573100000000003</v>
      </c>
      <c r="F36" s="28">
        <v>0.26011600000000001</v>
      </c>
      <c r="G36" s="28">
        <v>-0.19200700000000001</v>
      </c>
      <c r="H36" s="28">
        <v>-0.44339400000000001</v>
      </c>
      <c r="I36" s="28">
        <v>0.431925</v>
      </c>
      <c r="J36" s="28">
        <v>7.9322000000000004E-2</v>
      </c>
      <c r="K36" s="28">
        <v>0.51962200000000003</v>
      </c>
      <c r="L36" s="28">
        <v>-0.51019000000000003</v>
      </c>
      <c r="M36" s="28">
        <v>-0.20116000000000001</v>
      </c>
      <c r="N36" s="28">
        <v>-0.21779200000000001</v>
      </c>
      <c r="O36" s="28">
        <v>0.87763599999999997</v>
      </c>
      <c r="P36" s="28">
        <v>1.3365689999999999</v>
      </c>
      <c r="Q36" s="28">
        <v>0.80072900000000002</v>
      </c>
      <c r="R36" s="28">
        <v>-0.15603400000000001</v>
      </c>
      <c r="S36" s="28">
        <v>-0.19306799999999999</v>
      </c>
      <c r="T36" s="28">
        <v>-1.3053049999999999</v>
      </c>
      <c r="U36" s="28">
        <v>-0.85171399999999997</v>
      </c>
      <c r="V36" s="28">
        <v>-0.50067700000000004</v>
      </c>
      <c r="W36" s="28">
        <v>-0.79435599999999995</v>
      </c>
      <c r="X36" s="28">
        <v>-1.2058519999999999</v>
      </c>
      <c r="Y36" s="28">
        <v>-1.1045689999999999</v>
      </c>
      <c r="Z36" s="28">
        <v>-0.39733400000000002</v>
      </c>
      <c r="AA36" s="28">
        <v>-0.728078</v>
      </c>
      <c r="AB36" s="28">
        <v>0.93000499999999997</v>
      </c>
      <c r="AC36" s="28">
        <v>-1.10981</v>
      </c>
      <c r="AD36" s="28">
        <v>0.49109999999999998</v>
      </c>
      <c r="AE36" s="28">
        <v>0.45009300000000002</v>
      </c>
      <c r="AF36" s="28">
        <v>-0.49880099999999999</v>
      </c>
      <c r="AG36" s="28">
        <v>-1.379103</v>
      </c>
      <c r="AH36" s="28">
        <v>8.8372999999999993E-2</v>
      </c>
      <c r="AI36" s="28">
        <v>-0.87578100000000003</v>
      </c>
      <c r="AJ36" s="28">
        <v>-1.5870000000000001E-3</v>
      </c>
      <c r="AK36" s="28">
        <v>0.24960499999999999</v>
      </c>
      <c r="AL36" s="28">
        <v>0.51665499999999998</v>
      </c>
      <c r="AM36" s="28">
        <v>0.89010100000000003</v>
      </c>
      <c r="AN36" s="28">
        <v>0.14461299999999999</v>
      </c>
      <c r="AO36" s="28">
        <v>-0.121977</v>
      </c>
      <c r="AP36" s="28">
        <v>-1.275976</v>
      </c>
      <c r="AQ36" s="28">
        <v>0.71731</v>
      </c>
      <c r="AR36" s="28">
        <v>0.48627700000000001</v>
      </c>
      <c r="AS36" s="28">
        <v>0.94775399999999999</v>
      </c>
      <c r="AT36" s="28">
        <v>0.92302799999999996</v>
      </c>
      <c r="AU36" s="28">
        <v>-0.50062700000000004</v>
      </c>
      <c r="AV36" s="28">
        <v>0.52948799999999996</v>
      </c>
      <c r="AW36" s="28">
        <v>0.97743400000000003</v>
      </c>
      <c r="AX36" s="28">
        <v>-0.78965600000000002</v>
      </c>
      <c r="AY36" s="28">
        <v>-0.59387999999999996</v>
      </c>
      <c r="AZ36" s="28">
        <v>0.99133800000000005</v>
      </c>
      <c r="BA36" s="28">
        <v>0.22816400000000001</v>
      </c>
      <c r="BB36" s="28">
        <v>-0.48311799999999999</v>
      </c>
      <c r="BC36" s="28">
        <v>100.98942599999999</v>
      </c>
      <c r="BD36" s="28">
        <v>2535.220703</v>
      </c>
      <c r="BE36" s="28">
        <v>1349.3754879999999</v>
      </c>
      <c r="BF36" s="28">
        <v>26.277504</v>
      </c>
      <c r="BG36" s="28">
        <v>3.8054999999999999E-2</v>
      </c>
    </row>
    <row r="37" spans="1:59">
      <c r="A37" s="27">
        <v>4</v>
      </c>
      <c r="B37" s="27">
        <v>46.023623999999998</v>
      </c>
      <c r="C37" s="27">
        <v>-3</v>
      </c>
      <c r="D37" s="27">
        <v>0</v>
      </c>
      <c r="E37" s="28">
        <v>0.101844</v>
      </c>
      <c r="F37" s="28">
        <v>-0.93176599999999998</v>
      </c>
      <c r="G37" s="28">
        <v>-0.38437100000000002</v>
      </c>
      <c r="H37" s="28">
        <v>-1.5538350000000001</v>
      </c>
      <c r="I37" s="28">
        <v>-0.73569700000000005</v>
      </c>
      <c r="J37" s="28">
        <v>0.52304499999999998</v>
      </c>
      <c r="K37" s="28">
        <v>-2.8447E-2</v>
      </c>
      <c r="L37" s="28">
        <v>0.28006399999999998</v>
      </c>
      <c r="M37" s="28">
        <v>-0.76220299999999996</v>
      </c>
      <c r="N37" s="28">
        <v>0.44737199999999999</v>
      </c>
      <c r="O37" s="28">
        <v>-6.7625000000000005E-2</v>
      </c>
      <c r="P37" s="28">
        <v>0.86144699999999996</v>
      </c>
      <c r="Q37" s="28">
        <v>-0.157302</v>
      </c>
      <c r="R37" s="28">
        <v>-0.732626</v>
      </c>
      <c r="S37" s="28">
        <v>0.96474400000000005</v>
      </c>
      <c r="T37" s="28">
        <v>0.197606</v>
      </c>
      <c r="U37" s="28">
        <v>1.3932469999999999</v>
      </c>
      <c r="V37" s="28">
        <v>-0.14077300000000001</v>
      </c>
      <c r="W37" s="28">
        <v>0.709592</v>
      </c>
      <c r="X37" s="28">
        <v>0.93244099999999996</v>
      </c>
      <c r="Y37" s="28">
        <v>8.5971000000000006E-2</v>
      </c>
      <c r="Z37" s="28">
        <v>0.90919099999999997</v>
      </c>
      <c r="AA37" s="28">
        <v>-0.95799599999999996</v>
      </c>
      <c r="AB37" s="28">
        <v>-0.71162499999999995</v>
      </c>
      <c r="AC37" s="28">
        <v>-0.80664899999999995</v>
      </c>
      <c r="AD37" s="28">
        <v>-0.388681</v>
      </c>
      <c r="AE37" s="28">
        <v>1.100587</v>
      </c>
      <c r="AF37" s="28">
        <v>0.90513100000000002</v>
      </c>
      <c r="AG37" s="28">
        <v>0.40033600000000003</v>
      </c>
      <c r="AH37" s="28">
        <v>-2.6057E-2</v>
      </c>
      <c r="AI37" s="28">
        <v>-0.66838799999999998</v>
      </c>
      <c r="AJ37" s="28">
        <v>-0.61999499999999996</v>
      </c>
      <c r="AK37" s="28">
        <v>-0.47625600000000001</v>
      </c>
      <c r="AL37" s="28">
        <v>0.60118099999999997</v>
      </c>
      <c r="AM37" s="28">
        <v>-0.56541600000000003</v>
      </c>
      <c r="AN37" s="28">
        <v>0.35481200000000002</v>
      </c>
      <c r="AO37" s="28">
        <v>7.5923000000000004E-2</v>
      </c>
      <c r="AP37" s="28">
        <v>0.110385</v>
      </c>
      <c r="AQ37" s="28">
        <v>0.66152200000000005</v>
      </c>
      <c r="AR37" s="28">
        <v>-0.57309299999999996</v>
      </c>
      <c r="AS37" s="28">
        <v>0.67266899999999996</v>
      </c>
      <c r="AT37" s="28">
        <v>0.28047499999999997</v>
      </c>
      <c r="AU37" s="28">
        <v>-0.85598099999999999</v>
      </c>
      <c r="AV37" s="28">
        <v>-0.291238</v>
      </c>
      <c r="AW37" s="28">
        <v>-1.6941079999999999</v>
      </c>
      <c r="AX37" s="28">
        <v>-0.17477300000000001</v>
      </c>
      <c r="AY37" s="28">
        <v>0.590804</v>
      </c>
      <c r="AZ37" s="28">
        <v>0.44248199999999999</v>
      </c>
      <c r="BA37" s="28">
        <v>-0.55532800000000004</v>
      </c>
      <c r="BB37" s="28">
        <v>-3.5145000000000003E-2</v>
      </c>
      <c r="BC37" s="28">
        <v>139.763901</v>
      </c>
      <c r="BD37" s="28">
        <v>2027.1267089999999</v>
      </c>
      <c r="BE37" s="28">
        <v>1092.223389</v>
      </c>
      <c r="BF37" s="28">
        <v>23.731798000000001</v>
      </c>
      <c r="BG37" s="28">
        <v>4.2138000000000002E-2</v>
      </c>
    </row>
    <row r="38" spans="1:59">
      <c r="A38" s="27">
        <v>5</v>
      </c>
      <c r="B38" s="27">
        <v>40.131003999999997</v>
      </c>
      <c r="C38" s="27">
        <v>-3</v>
      </c>
      <c r="D38" s="27">
        <v>0</v>
      </c>
      <c r="E38" s="28">
        <v>0.57696199999999997</v>
      </c>
      <c r="F38" s="28">
        <v>-1.4874590000000001</v>
      </c>
      <c r="G38" s="28">
        <v>0.952291</v>
      </c>
      <c r="H38" s="28">
        <v>0.77326700000000004</v>
      </c>
      <c r="I38" s="28">
        <v>0.68866700000000003</v>
      </c>
      <c r="J38" s="28">
        <v>1.7243740000000001</v>
      </c>
      <c r="K38" s="28">
        <v>0.71753599999999995</v>
      </c>
      <c r="L38" s="28">
        <v>-0.16437399999999999</v>
      </c>
      <c r="M38" s="28">
        <v>-0.93447999999999998</v>
      </c>
      <c r="N38" s="28">
        <v>0.85742600000000002</v>
      </c>
      <c r="O38" s="28">
        <v>0.73014000000000001</v>
      </c>
      <c r="P38" s="28">
        <v>-0.70085299999999995</v>
      </c>
      <c r="Q38" s="28">
        <v>-0.52315500000000004</v>
      </c>
      <c r="R38" s="28">
        <v>0.13569300000000001</v>
      </c>
      <c r="S38" s="28">
        <v>0.29335800000000001</v>
      </c>
      <c r="T38" s="28">
        <v>0.14247599999999999</v>
      </c>
      <c r="U38" s="28">
        <v>-1.601702</v>
      </c>
      <c r="V38" s="28">
        <v>0.20288600000000001</v>
      </c>
      <c r="W38" s="28">
        <v>-7.2257000000000002E-2</v>
      </c>
      <c r="X38" s="28">
        <v>-0.57675200000000004</v>
      </c>
      <c r="Y38" s="28">
        <v>-0.76120500000000002</v>
      </c>
      <c r="Z38" s="28">
        <v>0.44364799999999999</v>
      </c>
      <c r="AA38" s="28">
        <v>-0.96713899999999997</v>
      </c>
      <c r="AB38" s="28">
        <v>-0.476827</v>
      </c>
      <c r="AC38" s="28">
        <v>0.82053100000000001</v>
      </c>
      <c r="AD38" s="28">
        <v>0.50718799999999997</v>
      </c>
      <c r="AE38" s="28">
        <v>0.67582600000000004</v>
      </c>
      <c r="AF38" s="28">
        <v>-0.82073300000000005</v>
      </c>
      <c r="AG38" s="28">
        <v>-0.12155100000000001</v>
      </c>
      <c r="AH38" s="28">
        <v>-0.88685800000000004</v>
      </c>
      <c r="AI38" s="28">
        <v>0.95257199999999997</v>
      </c>
      <c r="AJ38" s="28">
        <v>-0.26838699999999999</v>
      </c>
      <c r="AK38" s="28">
        <v>-0.74785000000000001</v>
      </c>
      <c r="AL38" s="28">
        <v>-0.24892</v>
      </c>
      <c r="AM38" s="28">
        <v>1.508637</v>
      </c>
      <c r="AN38" s="28">
        <v>-0.489956</v>
      </c>
      <c r="AO38" s="28">
        <v>-0.17260800000000001</v>
      </c>
      <c r="AP38" s="28">
        <v>0.88971900000000004</v>
      </c>
      <c r="AQ38" s="28">
        <v>-0.54454499999999995</v>
      </c>
      <c r="AR38" s="28">
        <v>-0.20375699999999999</v>
      </c>
      <c r="AS38" s="28">
        <v>5.0379999999999999E-3</v>
      </c>
      <c r="AT38" s="28">
        <v>-0.27812399999999998</v>
      </c>
      <c r="AU38" s="28">
        <v>0.50661299999999998</v>
      </c>
      <c r="AV38" s="28">
        <v>-0.91919600000000001</v>
      </c>
      <c r="AW38" s="28">
        <v>-0.54686199999999996</v>
      </c>
      <c r="AX38" s="28">
        <v>-0.19409399999999999</v>
      </c>
      <c r="AY38" s="28">
        <v>-0.57920000000000005</v>
      </c>
      <c r="AZ38" s="28">
        <v>0.247589</v>
      </c>
      <c r="BA38" s="28">
        <v>1.1391500000000001</v>
      </c>
      <c r="BB38" s="28">
        <v>0.30823800000000001</v>
      </c>
      <c r="BC38" s="28">
        <v>127.624306</v>
      </c>
      <c r="BD38" s="28">
        <v>1531.2354740000001</v>
      </c>
      <c r="BE38" s="28">
        <v>1099.505249</v>
      </c>
      <c r="BF38" s="28">
        <v>27.397901999999998</v>
      </c>
      <c r="BG38" s="28">
        <v>3.6498999999999997E-2</v>
      </c>
    </row>
    <row r="39" spans="1:59">
      <c r="A39" s="27">
        <v>6</v>
      </c>
      <c r="B39" s="27">
        <v>39.327972000000003</v>
      </c>
      <c r="C39" s="27">
        <v>-3</v>
      </c>
      <c r="D39" s="27">
        <v>0</v>
      </c>
      <c r="E39" s="28">
        <v>1.220248</v>
      </c>
      <c r="F39" s="28">
        <v>-0.84979700000000002</v>
      </c>
      <c r="G39" s="28">
        <v>0.52901100000000001</v>
      </c>
      <c r="H39" s="28">
        <v>-0.44570799999999999</v>
      </c>
      <c r="I39" s="28">
        <v>0.58260699999999999</v>
      </c>
      <c r="J39" s="28">
        <v>1.0987579999999999</v>
      </c>
      <c r="K39" s="28">
        <v>-0.40750900000000001</v>
      </c>
      <c r="L39" s="28">
        <v>-0.48164699999999999</v>
      </c>
      <c r="M39" s="28">
        <v>0.64495800000000003</v>
      </c>
      <c r="N39" s="28">
        <v>0.69749799999999995</v>
      </c>
      <c r="O39" s="28">
        <v>-1.7539340000000001</v>
      </c>
      <c r="P39" s="28">
        <v>0.200211</v>
      </c>
      <c r="Q39" s="28">
        <v>-0.65269900000000003</v>
      </c>
      <c r="R39" s="28">
        <v>0.95049399999999995</v>
      </c>
      <c r="S39" s="28">
        <v>0.93861499999999998</v>
      </c>
      <c r="T39" s="28">
        <v>-1.813814</v>
      </c>
      <c r="U39" s="28">
        <v>-0.92457199999999995</v>
      </c>
      <c r="V39" s="28">
        <v>-0.44912299999999999</v>
      </c>
      <c r="W39" s="28">
        <v>7.5886999999999996E-2</v>
      </c>
      <c r="X39" s="28">
        <v>1.51451</v>
      </c>
      <c r="Y39" s="28">
        <v>0.28528999999999999</v>
      </c>
      <c r="Z39" s="28">
        <v>-0.47020000000000001</v>
      </c>
      <c r="AA39" s="28">
        <v>0.14186699999999999</v>
      </c>
      <c r="AB39" s="28">
        <v>-1.2525729999999999</v>
      </c>
      <c r="AC39" s="28">
        <v>0.35832999999999998</v>
      </c>
      <c r="AD39" s="28">
        <v>6.2779000000000001E-2</v>
      </c>
      <c r="AE39" s="28">
        <v>-0.24352299999999999</v>
      </c>
      <c r="AF39" s="28">
        <v>0.74968000000000001</v>
      </c>
      <c r="AG39" s="28">
        <v>-5.151E-2</v>
      </c>
      <c r="AH39" s="28">
        <v>-0.48818</v>
      </c>
      <c r="AI39" s="28">
        <v>0.22815199999999999</v>
      </c>
      <c r="AJ39" s="28">
        <v>0.77343899999999999</v>
      </c>
      <c r="AK39" s="28">
        <v>-1.3948130000000001</v>
      </c>
      <c r="AL39" s="28">
        <v>-2.0788000000000001E-2</v>
      </c>
      <c r="AM39" s="28">
        <v>2.0740999999999999E-2</v>
      </c>
      <c r="AN39" s="28">
        <v>-1.097108</v>
      </c>
      <c r="AO39" s="28">
        <v>-0.131464</v>
      </c>
      <c r="AP39" s="28">
        <v>-1.2767850000000001</v>
      </c>
      <c r="AQ39" s="28">
        <v>-0.19317300000000001</v>
      </c>
      <c r="AR39" s="28">
        <v>-6.6600999999999994E-2</v>
      </c>
      <c r="AS39" s="28">
        <v>-0.24581500000000001</v>
      </c>
      <c r="AT39" s="28">
        <v>-0.139569</v>
      </c>
      <c r="AU39" s="28">
        <v>0.39235700000000001</v>
      </c>
      <c r="AV39" s="28">
        <v>-0.46349099999999999</v>
      </c>
      <c r="AW39" s="28">
        <v>-1.0285200000000001</v>
      </c>
      <c r="AX39" s="28">
        <v>0.19811200000000001</v>
      </c>
      <c r="AY39" s="28">
        <v>0.56956200000000001</v>
      </c>
      <c r="AZ39" s="28">
        <v>0.33606200000000003</v>
      </c>
      <c r="BA39" s="28">
        <v>0.224187</v>
      </c>
      <c r="BB39" s="28">
        <v>0.51028200000000001</v>
      </c>
      <c r="BC39" s="28">
        <v>99.780586</v>
      </c>
      <c r="BD39" s="28">
        <v>1469.033447</v>
      </c>
      <c r="BE39" s="28">
        <v>1108.2270510000001</v>
      </c>
      <c r="BF39" s="28">
        <v>28.179106000000001</v>
      </c>
      <c r="BG39" s="28">
        <v>3.5486999999999998E-2</v>
      </c>
    </row>
    <row r="40" spans="1:59">
      <c r="A40" s="27">
        <v>7</v>
      </c>
      <c r="B40" s="27">
        <v>42.165897000000001</v>
      </c>
      <c r="C40" s="27">
        <v>-3</v>
      </c>
      <c r="D40" s="27">
        <v>0</v>
      </c>
      <c r="E40" s="28">
        <v>-1.140779</v>
      </c>
      <c r="F40" s="28">
        <v>-0.17543700000000001</v>
      </c>
      <c r="G40" s="28">
        <v>1.0057210000000001</v>
      </c>
      <c r="H40" s="28">
        <v>1.0172669999999999</v>
      </c>
      <c r="I40" s="28">
        <v>0.36962400000000001</v>
      </c>
      <c r="J40" s="28">
        <v>-0.97281799999999996</v>
      </c>
      <c r="K40" s="28">
        <v>0.69025099999999995</v>
      </c>
      <c r="L40" s="28">
        <v>0.49567699999999998</v>
      </c>
      <c r="M40" s="28">
        <v>0.198852</v>
      </c>
      <c r="N40" s="28">
        <v>-0.91942999999999997</v>
      </c>
      <c r="O40" s="28">
        <v>-0.699044</v>
      </c>
      <c r="P40" s="28">
        <v>-5.2692000000000003E-2</v>
      </c>
      <c r="Q40" s="28">
        <v>0.78876900000000005</v>
      </c>
      <c r="R40" s="28">
        <v>0.75934000000000001</v>
      </c>
      <c r="S40" s="28">
        <v>-0.421568</v>
      </c>
      <c r="T40" s="28">
        <v>-0.22687199999999999</v>
      </c>
      <c r="U40" s="28">
        <v>1.0752569999999999</v>
      </c>
      <c r="V40" s="28">
        <v>-0.26357900000000001</v>
      </c>
      <c r="W40" s="28">
        <v>0.32796500000000001</v>
      </c>
      <c r="X40" s="28">
        <v>-0.38918999999999998</v>
      </c>
      <c r="Y40" s="28">
        <v>-7.8463000000000005E-2</v>
      </c>
      <c r="Z40" s="28">
        <v>0.51175300000000001</v>
      </c>
      <c r="AA40" s="28">
        <v>0.70601199999999997</v>
      </c>
      <c r="AB40" s="28">
        <v>-8.3307999999999993E-2</v>
      </c>
      <c r="AC40" s="28">
        <v>-1.7228250000000001</v>
      </c>
      <c r="AD40" s="28">
        <v>0.31092700000000001</v>
      </c>
      <c r="AE40" s="28">
        <v>-0.60361900000000002</v>
      </c>
      <c r="AF40" s="28">
        <v>0.43245099999999997</v>
      </c>
      <c r="AG40" s="28">
        <v>0.147812</v>
      </c>
      <c r="AH40" s="28">
        <v>9.9423999999999998E-2</v>
      </c>
      <c r="AI40" s="28">
        <v>1.6520109999999999</v>
      </c>
      <c r="AJ40" s="28">
        <v>-0.121765</v>
      </c>
      <c r="AK40" s="28">
        <v>-8.8529999999999998E-3</v>
      </c>
      <c r="AL40" s="28">
        <v>0.19926199999999999</v>
      </c>
      <c r="AM40" s="28">
        <v>-2.7438000000000001E-2</v>
      </c>
      <c r="AN40" s="28">
        <v>-0.87695299999999998</v>
      </c>
      <c r="AO40" s="28">
        <v>0.23354900000000001</v>
      </c>
      <c r="AP40" s="28">
        <v>0.29549599999999998</v>
      </c>
      <c r="AQ40" s="28">
        <v>0.31619399999999998</v>
      </c>
      <c r="AR40" s="28">
        <v>0.65429300000000001</v>
      </c>
      <c r="AS40" s="28">
        <v>-0.31571199999999999</v>
      </c>
      <c r="AT40" s="28">
        <v>0.64944800000000003</v>
      </c>
      <c r="AU40" s="28">
        <v>0.335949</v>
      </c>
      <c r="AV40" s="28">
        <v>-0.68954499999999996</v>
      </c>
      <c r="AW40" s="28">
        <v>6.6683999999999993E-2</v>
      </c>
      <c r="AX40" s="28">
        <v>-0.29972599999999999</v>
      </c>
      <c r="AY40" s="28">
        <v>0.74617599999999995</v>
      </c>
      <c r="AZ40" s="28">
        <v>-5.5605000000000002E-2</v>
      </c>
      <c r="BA40" s="28">
        <v>-0.86746900000000005</v>
      </c>
      <c r="BB40" s="28">
        <v>0.37076599999999998</v>
      </c>
      <c r="BC40" s="28">
        <v>162.973434</v>
      </c>
      <c r="BD40" s="28">
        <v>1694.6311040000001</v>
      </c>
      <c r="BE40" s="28">
        <v>875.84106399999996</v>
      </c>
      <c r="BF40" s="28">
        <v>20.771315000000001</v>
      </c>
      <c r="BG40" s="28">
        <v>4.8142999999999998E-2</v>
      </c>
    </row>
    <row r="41" spans="1:59">
      <c r="A41" s="27">
        <v>8</v>
      </c>
      <c r="B41" s="27">
        <v>37.950839999999999</v>
      </c>
      <c r="C41" s="27">
        <v>-3</v>
      </c>
      <c r="D41" s="27">
        <v>0</v>
      </c>
      <c r="E41" s="28">
        <v>1.201147</v>
      </c>
      <c r="F41" s="28">
        <v>0.79544800000000004</v>
      </c>
      <c r="G41" s="28">
        <v>-0.347964</v>
      </c>
      <c r="H41" s="28">
        <v>0.64128600000000002</v>
      </c>
      <c r="I41" s="28">
        <v>-1.14191</v>
      </c>
      <c r="J41" s="28">
        <v>-0.75992899999999997</v>
      </c>
      <c r="K41" s="28">
        <v>-1.604358</v>
      </c>
      <c r="L41" s="28">
        <v>0.857491</v>
      </c>
      <c r="M41" s="28">
        <v>-0.38516099999999998</v>
      </c>
      <c r="N41" s="28">
        <v>-0.71442099999999997</v>
      </c>
      <c r="O41" s="28">
        <v>0.24291399999999999</v>
      </c>
      <c r="P41" s="28">
        <v>0.67096800000000001</v>
      </c>
      <c r="Q41" s="28">
        <v>-0.96941600000000006</v>
      </c>
      <c r="R41" s="28">
        <v>0.99116300000000002</v>
      </c>
      <c r="S41" s="28">
        <v>-0.74195800000000001</v>
      </c>
      <c r="T41" s="28">
        <v>-0.86413799999999996</v>
      </c>
      <c r="U41" s="28">
        <v>0.40667399999999998</v>
      </c>
      <c r="V41" s="28">
        <v>-0.128631</v>
      </c>
      <c r="W41" s="28">
        <v>0.52541599999999999</v>
      </c>
      <c r="X41" s="28">
        <v>-0.70207799999999998</v>
      </c>
      <c r="Y41" s="28">
        <v>0.44840099999999999</v>
      </c>
      <c r="Z41" s="28">
        <v>0.16995399999999999</v>
      </c>
      <c r="AA41" s="28">
        <v>-0.86248899999999995</v>
      </c>
      <c r="AB41" s="28">
        <v>-0.22888700000000001</v>
      </c>
      <c r="AC41" s="28">
        <v>0.45491999999999999</v>
      </c>
      <c r="AD41" s="28">
        <v>-0.72645800000000005</v>
      </c>
      <c r="AE41" s="28">
        <v>1.391367</v>
      </c>
      <c r="AF41" s="28">
        <v>9.3720000000000001E-3</v>
      </c>
      <c r="AG41" s="28">
        <v>0.78249100000000005</v>
      </c>
      <c r="AH41" s="28">
        <v>0.10928599999999999</v>
      </c>
      <c r="AI41" s="28">
        <v>0.149314</v>
      </c>
      <c r="AJ41" s="28">
        <v>-0.14735699999999999</v>
      </c>
      <c r="AK41" s="28">
        <v>-0.37022500000000003</v>
      </c>
      <c r="AL41" s="28">
        <v>0.68862100000000004</v>
      </c>
      <c r="AM41" s="28">
        <v>0.116507</v>
      </c>
      <c r="AN41" s="28">
        <v>0.70454499999999998</v>
      </c>
      <c r="AO41" s="28">
        <v>0.25917099999999998</v>
      </c>
      <c r="AP41" s="28">
        <v>0.58424699999999996</v>
      </c>
      <c r="AQ41" s="28">
        <v>0.43226199999999998</v>
      </c>
      <c r="AR41" s="28">
        <v>0.38578699999999999</v>
      </c>
      <c r="AS41" s="28">
        <v>1.4157839999999999</v>
      </c>
      <c r="AT41" s="28">
        <v>0.87623600000000001</v>
      </c>
      <c r="AU41" s="28">
        <v>-3.2625000000000001E-2</v>
      </c>
      <c r="AV41" s="28">
        <v>0.20579900000000001</v>
      </c>
      <c r="AW41" s="28">
        <v>0.16142899999999999</v>
      </c>
      <c r="AX41" s="28">
        <v>0.53557699999999997</v>
      </c>
      <c r="AY41" s="28">
        <v>2.696E-3</v>
      </c>
      <c r="AZ41" s="28">
        <v>0.41212700000000002</v>
      </c>
      <c r="BA41" s="28">
        <v>-9.1273000000000007E-2</v>
      </c>
      <c r="BB41" s="28">
        <v>-9.8309999999999995E-2</v>
      </c>
      <c r="BC41" s="28">
        <v>173.926163</v>
      </c>
      <c r="BD41" s="28">
        <v>1365.364624</v>
      </c>
      <c r="BE41" s="28">
        <v>860.86798099999999</v>
      </c>
      <c r="BF41" s="28">
        <v>22.683767</v>
      </c>
      <c r="BG41" s="28">
        <v>4.4083999999999998E-2</v>
      </c>
    </row>
    <row r="42" spans="1:59">
      <c r="A42" s="27">
        <v>9</v>
      </c>
      <c r="B42" s="27">
        <v>47.375214</v>
      </c>
      <c r="C42" s="27">
        <v>-3</v>
      </c>
      <c r="D42" s="27">
        <v>0</v>
      </c>
      <c r="E42" s="28">
        <v>-0.33737299999999998</v>
      </c>
      <c r="F42" s="28">
        <v>-3.2556000000000002E-2</v>
      </c>
      <c r="G42" s="28">
        <v>0.49451899999999999</v>
      </c>
      <c r="H42" s="28">
        <v>0.80033900000000002</v>
      </c>
      <c r="I42" s="28">
        <v>-0.41122799999999998</v>
      </c>
      <c r="J42" s="28">
        <v>0.103978</v>
      </c>
      <c r="K42" s="28">
        <v>-0.45666099999999998</v>
      </c>
      <c r="L42" s="28">
        <v>-0.89855799999999997</v>
      </c>
      <c r="M42" s="28">
        <v>2.3390000000000001E-2</v>
      </c>
      <c r="N42" s="28">
        <v>0.76636599999999999</v>
      </c>
      <c r="O42" s="28">
        <v>-0.52148700000000003</v>
      </c>
      <c r="P42" s="28">
        <v>-0.48751299999999997</v>
      </c>
      <c r="Q42" s="28">
        <v>-0.45302399999999998</v>
      </c>
      <c r="R42" s="28">
        <v>-3.8660000000000001E-3</v>
      </c>
      <c r="S42" s="28">
        <v>-0.29153200000000001</v>
      </c>
      <c r="T42" s="28">
        <v>-4.9637000000000001E-2</v>
      </c>
      <c r="U42" s="28">
        <v>-0.82672299999999999</v>
      </c>
      <c r="V42" s="28">
        <v>-1.569612</v>
      </c>
      <c r="W42" s="28">
        <v>-1.192097</v>
      </c>
      <c r="X42" s="28">
        <v>0.68378499999999998</v>
      </c>
      <c r="Y42" s="28">
        <v>-0.39924100000000001</v>
      </c>
      <c r="Z42" s="28">
        <v>-0.43151</v>
      </c>
      <c r="AA42" s="28">
        <v>-0.41017799999999999</v>
      </c>
      <c r="AB42" s="28">
        <v>0.304643</v>
      </c>
      <c r="AC42" s="28">
        <v>-0.24080199999999999</v>
      </c>
      <c r="AD42" s="28">
        <v>0.70867400000000003</v>
      </c>
      <c r="AE42" s="28">
        <v>-0.61898600000000004</v>
      </c>
      <c r="AF42" s="28">
        <v>1.5591729999999999</v>
      </c>
      <c r="AG42" s="28">
        <v>0.53772399999999998</v>
      </c>
      <c r="AH42" s="28">
        <v>2.5140000000000002E-3</v>
      </c>
      <c r="AI42" s="28">
        <v>-0.184424</v>
      </c>
      <c r="AJ42" s="28">
        <v>0.42896499999999999</v>
      </c>
      <c r="AK42" s="28">
        <v>-0.33809499999999998</v>
      </c>
      <c r="AL42" s="28">
        <v>0.139071</v>
      </c>
      <c r="AM42" s="28">
        <v>0.21063899999999999</v>
      </c>
      <c r="AN42" s="28">
        <v>-0.16170699999999999</v>
      </c>
      <c r="AO42" s="28">
        <v>0.37043399999999999</v>
      </c>
      <c r="AP42" s="28">
        <v>0.120472</v>
      </c>
      <c r="AQ42" s="28">
        <v>-0.24499699999999999</v>
      </c>
      <c r="AR42" s="28">
        <v>-0.50331199999999998</v>
      </c>
      <c r="AS42" s="28">
        <v>0.159106</v>
      </c>
      <c r="AT42" s="28">
        <v>0.24166499999999999</v>
      </c>
      <c r="AU42" s="28">
        <v>1.4123540000000001</v>
      </c>
      <c r="AV42" s="28">
        <v>0.39681</v>
      </c>
      <c r="AW42" s="28">
        <v>0.56566499999999997</v>
      </c>
      <c r="AX42" s="28">
        <v>-0.61748700000000001</v>
      </c>
      <c r="AY42" s="28">
        <v>0.48023900000000003</v>
      </c>
      <c r="AZ42" s="28">
        <v>-9.0085999999999999E-2</v>
      </c>
      <c r="BA42" s="28">
        <v>-0.34352100000000002</v>
      </c>
      <c r="BB42" s="28">
        <v>-0.52598800000000001</v>
      </c>
      <c r="BC42" s="28">
        <v>146.70155299999999</v>
      </c>
      <c r="BD42" s="28">
        <v>2150.6604000000002</v>
      </c>
      <c r="BE42" s="28">
        <v>821.95361300000002</v>
      </c>
      <c r="BF42" s="28">
        <v>17.349867</v>
      </c>
      <c r="BG42" s="28">
        <v>5.7637000000000001E-2</v>
      </c>
    </row>
    <row r="43" spans="1:59">
      <c r="A43" s="27">
        <v>10</v>
      </c>
      <c r="B43" s="27">
        <v>34.979819999999997</v>
      </c>
      <c r="C43" s="27">
        <v>-3</v>
      </c>
      <c r="D43" s="27">
        <v>0</v>
      </c>
      <c r="E43" s="28">
        <v>-0.86982300000000001</v>
      </c>
      <c r="F43" s="28">
        <v>1.889802</v>
      </c>
      <c r="G43" s="28">
        <v>-1.1225270000000001</v>
      </c>
      <c r="H43" s="28">
        <v>-0.34977599999999998</v>
      </c>
      <c r="I43" s="28">
        <v>-0.80473399999999995</v>
      </c>
      <c r="J43" s="28">
        <v>0.29142800000000002</v>
      </c>
      <c r="K43" s="28">
        <v>0.75990800000000003</v>
      </c>
      <c r="L43" s="28">
        <v>1.163189</v>
      </c>
      <c r="M43" s="28">
        <v>-0.66398000000000001</v>
      </c>
      <c r="N43" s="28">
        <v>0.487176</v>
      </c>
      <c r="O43" s="28">
        <v>-0.19075700000000001</v>
      </c>
      <c r="P43" s="28">
        <v>0.50197999999999998</v>
      </c>
      <c r="Q43" s="28">
        <v>0.157609</v>
      </c>
      <c r="R43" s="28">
        <v>-1.1838409999999999</v>
      </c>
      <c r="S43" s="28">
        <v>1.0614680000000001</v>
      </c>
      <c r="T43" s="28">
        <v>0.30559799999999998</v>
      </c>
      <c r="U43" s="28">
        <v>-0.13653499999999999</v>
      </c>
      <c r="V43" s="28">
        <v>0.31205899999999998</v>
      </c>
      <c r="W43" s="28">
        <v>0.46628199999999997</v>
      </c>
      <c r="X43" s="28">
        <v>0.21223500000000001</v>
      </c>
      <c r="Y43" s="28">
        <v>9.8764000000000005E-2</v>
      </c>
      <c r="Z43" s="28">
        <v>0.25675900000000001</v>
      </c>
      <c r="AA43" s="28">
        <v>0.34425899999999998</v>
      </c>
      <c r="AB43" s="28">
        <v>1.039768</v>
      </c>
      <c r="AC43" s="28">
        <v>-1.5011E-2</v>
      </c>
      <c r="AD43" s="28">
        <v>-7.1163000000000004E-2</v>
      </c>
      <c r="AE43" s="28">
        <v>-0.35044500000000001</v>
      </c>
      <c r="AF43" s="28">
        <v>-0.37630000000000002</v>
      </c>
      <c r="AG43" s="28">
        <v>0.85758000000000001</v>
      </c>
      <c r="AH43" s="28">
        <v>-0.37266700000000003</v>
      </c>
      <c r="AI43" s="28">
        <v>9.6590999999999996E-2</v>
      </c>
      <c r="AJ43" s="28">
        <v>-0.49626199999999998</v>
      </c>
      <c r="AK43" s="28">
        <v>-0.49263200000000001</v>
      </c>
      <c r="AL43" s="28">
        <v>0.76931700000000003</v>
      </c>
      <c r="AM43" s="28">
        <v>0.28421000000000002</v>
      </c>
      <c r="AN43" s="28">
        <v>-0.15013099999999999</v>
      </c>
      <c r="AO43" s="28">
        <v>-0.69565399999999999</v>
      </c>
      <c r="AP43" s="28">
        <v>-0.11658499999999999</v>
      </c>
      <c r="AQ43" s="28">
        <v>-0.35742600000000002</v>
      </c>
      <c r="AR43" s="28">
        <v>0.65850399999999998</v>
      </c>
      <c r="AS43" s="28">
        <v>0.43789099999999997</v>
      </c>
      <c r="AT43" s="28">
        <v>-6.4140000000000003E-2</v>
      </c>
      <c r="AU43" s="28">
        <v>0.29995500000000003</v>
      </c>
      <c r="AV43" s="28">
        <v>-4.8040000000000001E-3</v>
      </c>
      <c r="AW43" s="28">
        <v>-0.124538</v>
      </c>
      <c r="AX43" s="28">
        <v>-1.383731</v>
      </c>
      <c r="AY43" s="28">
        <v>-0.356215</v>
      </c>
      <c r="AZ43" s="28">
        <v>-0.56691000000000003</v>
      </c>
      <c r="BA43" s="28">
        <v>0.491645</v>
      </c>
      <c r="BB43" s="28">
        <v>0.27995199999999998</v>
      </c>
      <c r="BC43" s="28">
        <v>204.854904</v>
      </c>
      <c r="BD43" s="28">
        <v>1154.6281739999999</v>
      </c>
      <c r="BE43" s="28">
        <v>700.33026099999995</v>
      </c>
      <c r="BF43" s="28">
        <v>20.020980999999999</v>
      </c>
      <c r="BG43" s="28">
        <v>4.9947999999999999E-2</v>
      </c>
    </row>
    <row r="44" spans="1:59">
      <c r="A44" s="27">
        <v>11</v>
      </c>
      <c r="B44" s="27">
        <v>47.443126999999997</v>
      </c>
      <c r="C44" s="27">
        <v>-3</v>
      </c>
      <c r="D44" s="27">
        <v>0</v>
      </c>
      <c r="E44" s="28">
        <v>0.92113900000000004</v>
      </c>
      <c r="F44" s="28">
        <v>-0.29337000000000002</v>
      </c>
      <c r="G44" s="28">
        <v>0.44889099999999998</v>
      </c>
      <c r="H44" s="28">
        <v>0.75926700000000003</v>
      </c>
      <c r="I44" s="28">
        <v>1.6478440000000001</v>
      </c>
      <c r="J44" s="28">
        <v>0.93362199999999995</v>
      </c>
      <c r="K44" s="28">
        <v>5.6568E-2</v>
      </c>
      <c r="L44" s="28">
        <v>1.2903420000000001</v>
      </c>
      <c r="M44" s="28">
        <v>0.406779</v>
      </c>
      <c r="N44" s="28">
        <v>-0.81093899999999997</v>
      </c>
      <c r="O44" s="28">
        <v>0.94307600000000003</v>
      </c>
      <c r="P44" s="28">
        <v>-0.74760400000000005</v>
      </c>
      <c r="Q44" s="28">
        <v>1.547347</v>
      </c>
      <c r="R44" s="28">
        <v>-0.329567</v>
      </c>
      <c r="S44" s="28">
        <v>7.3186000000000001E-2</v>
      </c>
      <c r="T44" s="28">
        <v>-0.147924</v>
      </c>
      <c r="U44" s="28">
        <v>1.4850099999999999</v>
      </c>
      <c r="V44" s="28">
        <v>-0.77529400000000004</v>
      </c>
      <c r="W44" s="28">
        <v>0.84227600000000002</v>
      </c>
      <c r="X44" s="28">
        <v>0.92862999999999996</v>
      </c>
      <c r="Y44" s="28">
        <v>0.82414200000000004</v>
      </c>
      <c r="Z44" s="28">
        <v>-0.63624700000000001</v>
      </c>
      <c r="AA44" s="28">
        <v>0.323988</v>
      </c>
      <c r="AB44" s="28">
        <v>0.23015099999999999</v>
      </c>
      <c r="AC44" s="28">
        <v>0.44046299999999999</v>
      </c>
      <c r="AD44" s="28">
        <v>-0.68194399999999999</v>
      </c>
      <c r="AE44" s="28">
        <v>0.29517700000000002</v>
      </c>
      <c r="AF44" s="28">
        <v>-1.4813989999999999</v>
      </c>
      <c r="AG44" s="28">
        <v>0.408771</v>
      </c>
      <c r="AH44" s="28">
        <v>0.72226400000000002</v>
      </c>
      <c r="AI44" s="28">
        <v>0.23936499999999999</v>
      </c>
      <c r="AJ44" s="28">
        <v>0.93853299999999995</v>
      </c>
      <c r="AK44" s="28">
        <v>-0.94483899999999998</v>
      </c>
      <c r="AL44" s="28">
        <v>-0.971854</v>
      </c>
      <c r="AM44" s="28">
        <v>-0.39461200000000002</v>
      </c>
      <c r="AN44" s="28">
        <v>0.90890499999999996</v>
      </c>
      <c r="AO44" s="28">
        <v>0.66777500000000001</v>
      </c>
      <c r="AP44" s="28">
        <v>1.8090900000000001</v>
      </c>
      <c r="AQ44" s="28">
        <v>3.8622999999999998E-2</v>
      </c>
      <c r="AR44" s="28">
        <v>-0.18663099999999999</v>
      </c>
      <c r="AS44" s="28">
        <v>-0.28596199999999999</v>
      </c>
      <c r="AT44" s="28">
        <v>0.35414800000000002</v>
      </c>
      <c r="AU44" s="28">
        <v>-0.25786999999999999</v>
      </c>
      <c r="AV44" s="28">
        <v>-0.74679899999999999</v>
      </c>
      <c r="AW44" s="28">
        <v>-0.64471500000000004</v>
      </c>
      <c r="AX44" s="28">
        <v>-0.44550400000000001</v>
      </c>
      <c r="AY44" s="28">
        <v>-0.234232</v>
      </c>
      <c r="AZ44" s="28">
        <v>1.110959</v>
      </c>
      <c r="BA44" s="28">
        <v>-0.47712300000000002</v>
      </c>
      <c r="BB44" s="28">
        <v>0.72406599999999999</v>
      </c>
      <c r="BC44" s="28">
        <v>101.47468600000001</v>
      </c>
      <c r="BD44" s="28">
        <v>2156.9641109999998</v>
      </c>
      <c r="BE44" s="28">
        <v>1519.0173339999999</v>
      </c>
      <c r="BF44" s="28">
        <v>32.017646999999997</v>
      </c>
      <c r="BG44" s="28">
        <v>3.1233E-2</v>
      </c>
    </row>
    <row r="45" spans="1:59">
      <c r="A45" s="27">
        <v>12</v>
      </c>
      <c r="B45" s="27">
        <v>46.023623999999998</v>
      </c>
      <c r="C45" s="27">
        <v>-3</v>
      </c>
      <c r="D45" s="27">
        <v>0</v>
      </c>
      <c r="E45" s="28">
        <v>0.101844</v>
      </c>
      <c r="F45" s="28">
        <v>-0.93176599999999998</v>
      </c>
      <c r="G45" s="28">
        <v>-0.38437100000000002</v>
      </c>
      <c r="H45" s="28">
        <v>-1.5538350000000001</v>
      </c>
      <c r="I45" s="28">
        <v>-0.73569700000000005</v>
      </c>
      <c r="J45" s="28">
        <v>0.52304499999999998</v>
      </c>
      <c r="K45" s="28">
        <v>-2.8447E-2</v>
      </c>
      <c r="L45" s="28">
        <v>0.28006399999999998</v>
      </c>
      <c r="M45" s="28">
        <v>-0.76220299999999996</v>
      </c>
      <c r="N45" s="28">
        <v>0.44737199999999999</v>
      </c>
      <c r="O45" s="28">
        <v>-6.7625000000000005E-2</v>
      </c>
      <c r="P45" s="28">
        <v>0.86144699999999996</v>
      </c>
      <c r="Q45" s="28">
        <v>-0.157302</v>
      </c>
      <c r="R45" s="28">
        <v>-0.732626</v>
      </c>
      <c r="S45" s="28">
        <v>0.96474400000000005</v>
      </c>
      <c r="T45" s="28">
        <v>0.197606</v>
      </c>
      <c r="U45" s="28">
        <v>1.3932469999999999</v>
      </c>
      <c r="V45" s="28">
        <v>-0.14077300000000001</v>
      </c>
      <c r="W45" s="28">
        <v>0.709592</v>
      </c>
      <c r="X45" s="28">
        <v>0.93244099999999996</v>
      </c>
      <c r="Y45" s="28">
        <v>8.5971000000000006E-2</v>
      </c>
      <c r="Z45" s="28">
        <v>0.90919099999999997</v>
      </c>
      <c r="AA45" s="28">
        <v>-0.95799599999999996</v>
      </c>
      <c r="AB45" s="28">
        <v>-0.71162499999999995</v>
      </c>
      <c r="AC45" s="28">
        <v>-0.80664899999999995</v>
      </c>
      <c r="AD45" s="28">
        <v>-0.388681</v>
      </c>
      <c r="AE45" s="28">
        <v>1.100587</v>
      </c>
      <c r="AF45" s="28">
        <v>0.90513100000000002</v>
      </c>
      <c r="AG45" s="28">
        <v>0.40033600000000003</v>
      </c>
      <c r="AH45" s="28">
        <v>-2.6057E-2</v>
      </c>
      <c r="AI45" s="28">
        <v>-0.66838799999999998</v>
      </c>
      <c r="AJ45" s="28">
        <v>-0.61999499999999996</v>
      </c>
      <c r="AK45" s="28">
        <v>-0.47625600000000001</v>
      </c>
      <c r="AL45" s="28">
        <v>0.60118099999999997</v>
      </c>
      <c r="AM45" s="28">
        <v>-0.56541600000000003</v>
      </c>
      <c r="AN45" s="28">
        <v>0.35481200000000002</v>
      </c>
      <c r="AO45" s="28">
        <v>7.5923000000000004E-2</v>
      </c>
      <c r="AP45" s="28">
        <v>0.110385</v>
      </c>
      <c r="AQ45" s="28">
        <v>0.66152200000000005</v>
      </c>
      <c r="AR45" s="28">
        <v>-0.57309299999999996</v>
      </c>
      <c r="AS45" s="28">
        <v>0.67266899999999996</v>
      </c>
      <c r="AT45" s="28">
        <v>0.28047499999999997</v>
      </c>
      <c r="AU45" s="28">
        <v>-0.85598099999999999</v>
      </c>
      <c r="AV45" s="28">
        <v>-0.291238</v>
      </c>
      <c r="AW45" s="28">
        <v>-1.6941079999999999</v>
      </c>
      <c r="AX45" s="28">
        <v>-0.17477300000000001</v>
      </c>
      <c r="AY45" s="28">
        <v>0.590804</v>
      </c>
      <c r="AZ45" s="28">
        <v>0.44248199999999999</v>
      </c>
      <c r="BA45" s="28">
        <v>-0.55532800000000004</v>
      </c>
      <c r="BB45" s="28">
        <v>-3.5145000000000003E-2</v>
      </c>
      <c r="BC45" s="28">
        <v>139.763901</v>
      </c>
      <c r="BD45" s="28">
        <v>2027.1267089999999</v>
      </c>
      <c r="BE45" s="28">
        <v>1092.223389</v>
      </c>
      <c r="BF45" s="28">
        <v>23.731798000000001</v>
      </c>
      <c r="BG45" s="28">
        <v>4.2138000000000002E-2</v>
      </c>
    </row>
    <row r="46" spans="1:59">
      <c r="A46" s="27">
        <v>13</v>
      </c>
      <c r="B46" s="27">
        <v>44.625304999999997</v>
      </c>
      <c r="C46" s="27">
        <v>-3</v>
      </c>
      <c r="D46" s="27">
        <v>0</v>
      </c>
      <c r="E46" s="28">
        <v>1.614214</v>
      </c>
      <c r="F46" s="28">
        <v>0.23215</v>
      </c>
      <c r="G46" s="28">
        <v>0.25669599999999998</v>
      </c>
      <c r="H46" s="28">
        <v>-0.116481</v>
      </c>
      <c r="I46" s="28">
        <v>1.692396</v>
      </c>
      <c r="J46" s="28">
        <v>2.0740000000000001E-2</v>
      </c>
      <c r="K46" s="28">
        <v>0.43417099999999997</v>
      </c>
      <c r="L46" s="28">
        <v>0.15672700000000001</v>
      </c>
      <c r="M46" s="28">
        <v>0.84644900000000001</v>
      </c>
      <c r="N46" s="28">
        <v>-0.326988</v>
      </c>
      <c r="O46" s="28">
        <v>0.35654599999999997</v>
      </c>
      <c r="P46" s="28">
        <v>-0.69081700000000001</v>
      </c>
      <c r="Q46" s="28">
        <v>-1.5205679999999999</v>
      </c>
      <c r="R46" s="28">
        <v>0.101855</v>
      </c>
      <c r="S46" s="28">
        <v>-5.0455E-2</v>
      </c>
      <c r="T46" s="28">
        <v>0.73058999999999996</v>
      </c>
      <c r="U46" s="28">
        <v>-1.4077809999999999</v>
      </c>
      <c r="V46" s="28">
        <v>0.94844899999999999</v>
      </c>
      <c r="W46" s="28">
        <v>0.60904899999999995</v>
      </c>
      <c r="X46" s="28">
        <v>-0.75822400000000001</v>
      </c>
      <c r="Y46" s="28">
        <v>0.56430199999999997</v>
      </c>
      <c r="Z46" s="28">
        <v>0.21484500000000001</v>
      </c>
      <c r="AA46" s="28">
        <v>0.75581500000000001</v>
      </c>
      <c r="AB46" s="28">
        <v>0.199127</v>
      </c>
      <c r="AC46" s="28">
        <v>-0.65629000000000004</v>
      </c>
      <c r="AD46" s="28">
        <v>-0.14308100000000001</v>
      </c>
      <c r="AE46" s="28">
        <v>3.3890000000000003E-2</v>
      </c>
      <c r="AF46" s="28">
        <v>0.30363499999999999</v>
      </c>
      <c r="AG46" s="28">
        <v>-0.53788599999999998</v>
      </c>
      <c r="AH46" s="28">
        <v>-0.13880600000000001</v>
      </c>
      <c r="AI46" s="28">
        <v>1.799318</v>
      </c>
      <c r="AJ46" s="28">
        <v>-0.298431</v>
      </c>
      <c r="AK46" s="28">
        <v>0.81237499999999996</v>
      </c>
      <c r="AL46" s="28">
        <v>-0.84752400000000006</v>
      </c>
      <c r="AM46" s="28">
        <v>-0.52254</v>
      </c>
      <c r="AN46" s="28">
        <v>0.27977600000000002</v>
      </c>
      <c r="AO46" s="28">
        <v>1.7250000000000001E-2</v>
      </c>
      <c r="AP46" s="28">
        <v>8.5168999999999995E-2</v>
      </c>
      <c r="AQ46" s="28">
        <v>-0.88034800000000002</v>
      </c>
      <c r="AR46" s="28">
        <v>-0.25476799999999999</v>
      </c>
      <c r="AS46" s="28">
        <v>0.21149499999999999</v>
      </c>
      <c r="AT46" s="28">
        <v>-0.44474599999999997</v>
      </c>
      <c r="AU46" s="28">
        <v>-1.1809909999999999</v>
      </c>
      <c r="AV46" s="28">
        <v>0.28868300000000002</v>
      </c>
      <c r="AW46" s="28">
        <v>0.70152700000000001</v>
      </c>
      <c r="AX46" s="28">
        <v>-0.30702600000000002</v>
      </c>
      <c r="AY46" s="28">
        <v>-0.76923600000000003</v>
      </c>
      <c r="AZ46" s="28">
        <v>0.71762300000000001</v>
      </c>
      <c r="BA46" s="28">
        <v>-1.0298890000000001</v>
      </c>
      <c r="BB46" s="28">
        <v>-0.94150599999999995</v>
      </c>
      <c r="BC46" s="28">
        <v>139.77810700000001</v>
      </c>
      <c r="BD46" s="28">
        <v>1903.167236</v>
      </c>
      <c r="BE46" s="28">
        <v>1205.9381100000001</v>
      </c>
      <c r="BF46" s="28">
        <v>27.02364</v>
      </c>
      <c r="BG46" s="28">
        <v>3.7005000000000003E-2</v>
      </c>
    </row>
    <row r="47" spans="1:59">
      <c r="A47" s="27">
        <v>14</v>
      </c>
      <c r="B47" s="27">
        <v>39.327972000000003</v>
      </c>
      <c r="C47" s="27">
        <v>-3</v>
      </c>
      <c r="D47" s="27">
        <v>0</v>
      </c>
      <c r="E47" s="28">
        <v>1.220248</v>
      </c>
      <c r="F47" s="28">
        <v>-0.84979700000000002</v>
      </c>
      <c r="G47" s="28">
        <v>0.52901100000000001</v>
      </c>
      <c r="H47" s="28">
        <v>-0.44570799999999999</v>
      </c>
      <c r="I47" s="28">
        <v>0.58260699999999999</v>
      </c>
      <c r="J47" s="28">
        <v>1.0987579999999999</v>
      </c>
      <c r="K47" s="28">
        <v>-0.40750900000000001</v>
      </c>
      <c r="L47" s="28">
        <v>-0.48164699999999999</v>
      </c>
      <c r="M47" s="28">
        <v>0.64495800000000003</v>
      </c>
      <c r="N47" s="28">
        <v>0.69749799999999995</v>
      </c>
      <c r="O47" s="28">
        <v>-1.7539340000000001</v>
      </c>
      <c r="P47" s="28">
        <v>0.200211</v>
      </c>
      <c r="Q47" s="28">
        <v>-0.65269900000000003</v>
      </c>
      <c r="R47" s="28">
        <v>0.95049399999999995</v>
      </c>
      <c r="S47" s="28">
        <v>0.93861499999999998</v>
      </c>
      <c r="T47" s="28">
        <v>-1.813814</v>
      </c>
      <c r="U47" s="28">
        <v>-0.92457199999999995</v>
      </c>
      <c r="V47" s="28">
        <v>-0.44912299999999999</v>
      </c>
      <c r="W47" s="28">
        <v>7.5886999999999996E-2</v>
      </c>
      <c r="X47" s="28">
        <v>1.51451</v>
      </c>
      <c r="Y47" s="28">
        <v>0.28528999999999999</v>
      </c>
      <c r="Z47" s="28">
        <v>-0.47020000000000001</v>
      </c>
      <c r="AA47" s="28">
        <v>0.14186699999999999</v>
      </c>
      <c r="AB47" s="28">
        <v>-1.2525729999999999</v>
      </c>
      <c r="AC47" s="28">
        <v>0.35832999999999998</v>
      </c>
      <c r="AD47" s="28">
        <v>6.2779000000000001E-2</v>
      </c>
      <c r="AE47" s="28">
        <v>-0.24352299999999999</v>
      </c>
      <c r="AF47" s="28">
        <v>0.74968000000000001</v>
      </c>
      <c r="AG47" s="28">
        <v>-5.151E-2</v>
      </c>
      <c r="AH47" s="28">
        <v>-0.48818</v>
      </c>
      <c r="AI47" s="28">
        <v>0.22815199999999999</v>
      </c>
      <c r="AJ47" s="28">
        <v>0.77343899999999999</v>
      </c>
      <c r="AK47" s="28">
        <v>-1.3948130000000001</v>
      </c>
      <c r="AL47" s="28">
        <v>-2.0788000000000001E-2</v>
      </c>
      <c r="AM47" s="28">
        <v>2.0740999999999999E-2</v>
      </c>
      <c r="AN47" s="28">
        <v>-1.097108</v>
      </c>
      <c r="AO47" s="28">
        <v>-0.131464</v>
      </c>
      <c r="AP47" s="28">
        <v>-1.2767850000000001</v>
      </c>
      <c r="AQ47" s="28">
        <v>-0.19317300000000001</v>
      </c>
      <c r="AR47" s="28">
        <v>-6.6600999999999994E-2</v>
      </c>
      <c r="AS47" s="28">
        <v>-0.24581500000000001</v>
      </c>
      <c r="AT47" s="28">
        <v>-0.139569</v>
      </c>
      <c r="AU47" s="28">
        <v>0.39235700000000001</v>
      </c>
      <c r="AV47" s="28">
        <v>-0.46349099999999999</v>
      </c>
      <c r="AW47" s="28">
        <v>-1.0285200000000001</v>
      </c>
      <c r="AX47" s="28">
        <v>0.19811200000000001</v>
      </c>
      <c r="AY47" s="28">
        <v>0.56956200000000001</v>
      </c>
      <c r="AZ47" s="28">
        <v>0.33606200000000003</v>
      </c>
      <c r="BA47" s="28">
        <v>0.224187</v>
      </c>
      <c r="BB47" s="28">
        <v>0.51028200000000001</v>
      </c>
      <c r="BC47" s="28">
        <v>99.780586</v>
      </c>
      <c r="BD47" s="28">
        <v>1469.033447</v>
      </c>
      <c r="BE47" s="28">
        <v>1108.2270510000001</v>
      </c>
      <c r="BF47" s="28">
        <v>28.179106000000001</v>
      </c>
      <c r="BG47" s="28">
        <v>3.5486999999999998E-2</v>
      </c>
    </row>
    <row r="48" spans="1:59">
      <c r="A48" s="27">
        <v>15</v>
      </c>
      <c r="B48" s="27">
        <v>44.166007999999998</v>
      </c>
      <c r="C48" s="27">
        <v>-3</v>
      </c>
      <c r="D48" s="27">
        <v>0</v>
      </c>
      <c r="E48" s="28">
        <v>0.74165199999999998</v>
      </c>
      <c r="F48" s="28">
        <v>0.26011600000000001</v>
      </c>
      <c r="G48" s="28">
        <v>-0.19200700000000001</v>
      </c>
      <c r="H48" s="28">
        <v>0.39093</v>
      </c>
      <c r="I48" s="28">
        <v>0.431419</v>
      </c>
      <c r="J48" s="28">
        <v>-0.22012899999999999</v>
      </c>
      <c r="K48" s="28">
        <v>1.2590239999999999</v>
      </c>
      <c r="L48" s="28">
        <v>0.14258000000000001</v>
      </c>
      <c r="M48" s="28">
        <v>0.77181</v>
      </c>
      <c r="N48" s="28">
        <v>-0.21779200000000001</v>
      </c>
      <c r="O48" s="28">
        <v>0.87763599999999997</v>
      </c>
      <c r="P48" s="28">
        <v>0.84106300000000001</v>
      </c>
      <c r="Q48" s="28">
        <v>1.0041530000000001</v>
      </c>
      <c r="R48" s="28">
        <v>-0.97346200000000005</v>
      </c>
      <c r="S48" s="28">
        <v>0.962086</v>
      </c>
      <c r="T48" s="28">
        <v>-0.36222100000000002</v>
      </c>
      <c r="U48" s="28">
        <v>-0.85171399999999997</v>
      </c>
      <c r="V48" s="28">
        <v>-1.2297830000000001</v>
      </c>
      <c r="W48" s="28">
        <v>-1.113645</v>
      </c>
      <c r="X48" s="28">
        <v>-0.57122700000000004</v>
      </c>
      <c r="Y48" s="28">
        <v>-1.261752</v>
      </c>
      <c r="Z48" s="28">
        <v>-0.39733400000000002</v>
      </c>
      <c r="AA48" s="28">
        <v>-1.5360799999999999</v>
      </c>
      <c r="AB48" s="28">
        <v>0.38037500000000002</v>
      </c>
      <c r="AC48" s="28">
        <v>-1.6188039999999999</v>
      </c>
      <c r="AD48" s="28">
        <v>-7.8633999999999996E-2</v>
      </c>
      <c r="AE48" s="28">
        <v>-3.1660000000000001E-2</v>
      </c>
      <c r="AF48" s="28">
        <v>-0.88983500000000004</v>
      </c>
      <c r="AG48" s="28">
        <v>0.41203499999999998</v>
      </c>
      <c r="AH48" s="28">
        <v>0.777084</v>
      </c>
      <c r="AI48" s="28">
        <v>-0.33110000000000001</v>
      </c>
      <c r="AJ48" s="28">
        <v>-0.287018</v>
      </c>
      <c r="AK48" s="28">
        <v>1.363599</v>
      </c>
      <c r="AL48" s="28">
        <v>1.2083809999999999</v>
      </c>
      <c r="AM48" s="28">
        <v>0.41487400000000002</v>
      </c>
      <c r="AN48" s="28">
        <v>0.25899</v>
      </c>
      <c r="AO48" s="28">
        <v>0.58913000000000004</v>
      </c>
      <c r="AP48" s="28">
        <v>-0.20588100000000001</v>
      </c>
      <c r="AQ48" s="28">
        <v>-5.2186000000000003E-2</v>
      </c>
      <c r="AR48" s="28">
        <v>0.15509400000000001</v>
      </c>
      <c r="AS48" s="28">
        <v>0.41556300000000002</v>
      </c>
      <c r="AT48" s="28">
        <v>0.458899</v>
      </c>
      <c r="AU48" s="28">
        <v>0.20200000000000001</v>
      </c>
      <c r="AV48" s="28">
        <v>-0.41248099999999999</v>
      </c>
      <c r="AW48" s="28">
        <v>-1.231236</v>
      </c>
      <c r="AX48" s="28">
        <v>0.31484200000000001</v>
      </c>
      <c r="AY48" s="28">
        <v>0.376859</v>
      </c>
      <c r="AZ48" s="28">
        <v>-0.29426000000000002</v>
      </c>
      <c r="BA48" s="28">
        <v>0.62272400000000006</v>
      </c>
      <c r="BB48" s="28">
        <v>-3.891E-2</v>
      </c>
      <c r="BC48" s="28">
        <v>76.127266000000006</v>
      </c>
      <c r="BD48" s="28">
        <v>1863.3041989999999</v>
      </c>
      <c r="BE48" s="28">
        <v>1193.6641850000001</v>
      </c>
      <c r="BF48" s="28">
        <v>27.026762000000002</v>
      </c>
      <c r="BG48" s="28">
        <v>3.6999999999999998E-2</v>
      </c>
    </row>
    <row r="49" spans="1:59">
      <c r="A49" s="27">
        <v>16</v>
      </c>
      <c r="B49" s="27">
        <v>52.487437999999997</v>
      </c>
      <c r="C49" s="27">
        <v>-3</v>
      </c>
      <c r="D49" s="27">
        <v>0</v>
      </c>
      <c r="E49" s="28">
        <v>-0.83938599999999997</v>
      </c>
      <c r="F49" s="28">
        <v>-7.3762999999999995E-2</v>
      </c>
      <c r="G49" s="28">
        <v>0.222966</v>
      </c>
      <c r="H49" s="28">
        <v>0.30225400000000002</v>
      </c>
      <c r="I49" s="28">
        <v>0.68256499999999998</v>
      </c>
      <c r="J49" s="28">
        <v>-0.35476799999999997</v>
      </c>
      <c r="K49" s="28">
        <v>-0.264739</v>
      </c>
      <c r="L49" s="28">
        <v>-0.81806999999999996</v>
      </c>
      <c r="M49" s="28">
        <v>0.25250699999999998</v>
      </c>
      <c r="N49" s="28">
        <v>-0.689828</v>
      </c>
      <c r="O49" s="28">
        <v>5.0720000000000001E-3</v>
      </c>
      <c r="P49" s="28">
        <v>-0.25135200000000002</v>
      </c>
      <c r="Q49" s="28">
        <v>3.3418999999999997E-2</v>
      </c>
      <c r="R49" s="28">
        <v>-0.80864000000000003</v>
      </c>
      <c r="S49" s="28">
        <v>0.35101399999999999</v>
      </c>
      <c r="T49" s="28">
        <v>1.280697</v>
      </c>
      <c r="U49" s="28">
        <v>-1.7562999999999999E-2</v>
      </c>
      <c r="V49" s="28">
        <v>-1.189017</v>
      </c>
      <c r="W49" s="28">
        <v>-0.61908399999999997</v>
      </c>
      <c r="X49" s="28">
        <v>-4.4188999999999999E-2</v>
      </c>
      <c r="Y49" s="28">
        <v>0.584592</v>
      </c>
      <c r="Z49" s="28">
        <v>1.049345</v>
      </c>
      <c r="AA49" s="28">
        <v>0.62535700000000005</v>
      </c>
      <c r="AB49" s="28">
        <v>0.58512900000000001</v>
      </c>
      <c r="AC49" s="28">
        <v>-1.4290860000000001</v>
      </c>
      <c r="AD49" s="28">
        <v>7.5738E-2</v>
      </c>
      <c r="AE49" s="28">
        <v>-0.53014099999999997</v>
      </c>
      <c r="AF49" s="28">
        <v>0.73582999999999998</v>
      </c>
      <c r="AG49" s="28">
        <v>-0.82043699999999997</v>
      </c>
      <c r="AH49" s="28">
        <v>-0.92069299999999998</v>
      </c>
      <c r="AI49" s="28">
        <v>-2.0251000000000002E-2</v>
      </c>
      <c r="AJ49" s="28">
        <v>-0.95974599999999999</v>
      </c>
      <c r="AK49" s="28">
        <v>0.49084</v>
      </c>
      <c r="AL49" s="28">
        <v>0.16636699999999999</v>
      </c>
      <c r="AM49" s="28">
        <v>-1.423308</v>
      </c>
      <c r="AN49" s="28">
        <v>-0.426983</v>
      </c>
      <c r="AO49" s="28">
        <v>0.70173099999999999</v>
      </c>
      <c r="AP49" s="28">
        <v>0.28100799999999998</v>
      </c>
      <c r="AQ49" s="28">
        <v>-0.125828</v>
      </c>
      <c r="AR49" s="28">
        <v>-0.39920099999999997</v>
      </c>
      <c r="AS49" s="28">
        <v>0.17724200000000001</v>
      </c>
      <c r="AT49" s="28">
        <v>-0.61853800000000003</v>
      </c>
      <c r="AU49" s="28">
        <v>-0.90148200000000001</v>
      </c>
      <c r="AV49" s="28">
        <v>-0.65776100000000004</v>
      </c>
      <c r="AW49" s="28">
        <v>-0.14538499999999999</v>
      </c>
      <c r="AX49" s="28">
        <v>-0.63981299999999997</v>
      </c>
      <c r="AY49" s="28">
        <v>0.203068</v>
      </c>
      <c r="AZ49" s="28">
        <v>0.72957000000000005</v>
      </c>
      <c r="BA49" s="28">
        <v>0.97402999999999995</v>
      </c>
      <c r="BB49" s="28">
        <v>-0.264011</v>
      </c>
      <c r="BC49" s="28">
        <v>132.522324</v>
      </c>
      <c r="BD49" s="28">
        <v>2650.9562989999999</v>
      </c>
      <c r="BE49" s="28">
        <v>1123.06897</v>
      </c>
      <c r="BF49" s="28">
        <v>21.396909999999998</v>
      </c>
      <c r="BG49" s="28">
        <v>4.6736E-2</v>
      </c>
    </row>
    <row r="50" spans="1:59">
      <c r="A50" s="27">
        <v>17</v>
      </c>
      <c r="B50" s="27">
        <v>39.330627</v>
      </c>
      <c r="C50" s="27">
        <v>-3</v>
      </c>
      <c r="D50" s="27">
        <v>0</v>
      </c>
      <c r="E50" s="28">
        <v>-1.4143520000000001</v>
      </c>
      <c r="F50" s="28">
        <v>1.4850350000000001</v>
      </c>
      <c r="G50" s="28">
        <v>1.864975</v>
      </c>
      <c r="H50" s="28">
        <v>-9.8659999999999998E-3</v>
      </c>
      <c r="I50" s="28">
        <v>0.437025</v>
      </c>
      <c r="J50" s="28">
        <v>2.8424999999999999E-2</v>
      </c>
      <c r="K50" s="28">
        <v>0.55350200000000005</v>
      </c>
      <c r="L50" s="28">
        <v>-0.56803800000000004</v>
      </c>
      <c r="M50" s="28">
        <v>0.14879800000000001</v>
      </c>
      <c r="N50" s="28">
        <v>0.33643699999999999</v>
      </c>
      <c r="O50" s="28">
        <v>0.92656400000000005</v>
      </c>
      <c r="P50" s="28">
        <v>0.245313</v>
      </c>
      <c r="Q50" s="28">
        <v>-0.29562300000000002</v>
      </c>
      <c r="R50" s="28">
        <v>0.51491600000000004</v>
      </c>
      <c r="S50" s="28">
        <v>0.81218100000000004</v>
      </c>
      <c r="T50" s="28">
        <v>0.80408900000000005</v>
      </c>
      <c r="U50" s="28">
        <v>0.119377</v>
      </c>
      <c r="V50" s="28">
        <v>-0.25527100000000003</v>
      </c>
      <c r="W50" s="28">
        <v>0.45116600000000001</v>
      </c>
      <c r="X50" s="28">
        <v>-0.22115799999999999</v>
      </c>
      <c r="Y50" s="28">
        <v>-0.198461</v>
      </c>
      <c r="Z50" s="28">
        <v>-0.83983200000000002</v>
      </c>
      <c r="AA50" s="28">
        <v>-0.26358700000000002</v>
      </c>
      <c r="AB50" s="28">
        <v>1.152701</v>
      </c>
      <c r="AC50" s="28">
        <v>0.67613800000000002</v>
      </c>
      <c r="AD50" s="28">
        <v>0.385245</v>
      </c>
      <c r="AE50" s="28">
        <v>0.309529</v>
      </c>
      <c r="AF50" s="28">
        <v>-0.31473400000000001</v>
      </c>
      <c r="AG50" s="28">
        <v>6.6188999999999998E-2</v>
      </c>
      <c r="AH50" s="28">
        <v>-0.38019999999999998</v>
      </c>
      <c r="AI50" s="28">
        <v>-0.136792</v>
      </c>
      <c r="AJ50" s="28">
        <v>-0.94594100000000003</v>
      </c>
      <c r="AK50" s="28">
        <v>0.76394499999999999</v>
      </c>
      <c r="AL50" s="28">
        <v>0.17771200000000001</v>
      </c>
      <c r="AM50" s="28">
        <v>-0.60980400000000001</v>
      </c>
      <c r="AN50" s="28">
        <v>0.92602200000000001</v>
      </c>
      <c r="AO50" s="28">
        <v>-0.47570200000000001</v>
      </c>
      <c r="AP50" s="28">
        <v>-0.249861</v>
      </c>
      <c r="AQ50" s="28">
        <v>-0.32104700000000003</v>
      </c>
      <c r="AR50" s="28">
        <v>-9.8815E-2</v>
      </c>
      <c r="AS50" s="28">
        <v>-0.18464900000000001</v>
      </c>
      <c r="AT50" s="28">
        <v>0.437639</v>
      </c>
      <c r="AU50" s="28">
        <v>0.52409899999999998</v>
      </c>
      <c r="AV50" s="28">
        <v>-0.50070800000000004</v>
      </c>
      <c r="AW50" s="28">
        <v>-0.35497600000000001</v>
      </c>
      <c r="AX50" s="28">
        <v>1.149502</v>
      </c>
      <c r="AY50" s="28">
        <v>-0.60473500000000002</v>
      </c>
      <c r="AZ50" s="28">
        <v>0.37254500000000002</v>
      </c>
      <c r="BA50" s="28">
        <v>0.311108</v>
      </c>
      <c r="BB50" s="28">
        <v>-1.0673820000000001</v>
      </c>
      <c r="BC50" s="28">
        <v>211.83122299999999</v>
      </c>
      <c r="BD50" s="28">
        <v>1469.237061</v>
      </c>
      <c r="BE50" s="28">
        <v>855.05950900000005</v>
      </c>
      <c r="BF50" s="28">
        <v>21.740297000000002</v>
      </c>
      <c r="BG50" s="28">
        <v>4.5997999999999997E-2</v>
      </c>
    </row>
    <row r="51" spans="1:59">
      <c r="A51" s="27">
        <v>18</v>
      </c>
      <c r="B51" s="27">
        <v>41.337344999999999</v>
      </c>
      <c r="C51" s="27">
        <v>-3</v>
      </c>
      <c r="D51" s="27">
        <v>0</v>
      </c>
      <c r="E51" s="28">
        <v>-8.9701000000000003E-2</v>
      </c>
      <c r="F51" s="28">
        <v>-1.062033</v>
      </c>
      <c r="G51" s="28">
        <v>0.99671799999999999</v>
      </c>
      <c r="H51" s="28">
        <v>-0.50319899999999995</v>
      </c>
      <c r="I51" s="28">
        <v>-1.3004290000000001</v>
      </c>
      <c r="J51" s="28">
        <v>-3.0889E-2</v>
      </c>
      <c r="K51" s="28">
        <v>0.88186699999999996</v>
      </c>
      <c r="L51" s="28">
        <v>0.71436999999999995</v>
      </c>
      <c r="M51" s="28">
        <v>-0.26535799999999998</v>
      </c>
      <c r="N51" s="28">
        <v>-0.51729899999999995</v>
      </c>
      <c r="O51" s="28">
        <v>-1.3392459999999999</v>
      </c>
      <c r="P51" s="28">
        <v>7.4237999999999998E-2</v>
      </c>
      <c r="Q51" s="28">
        <v>0.51790199999999997</v>
      </c>
      <c r="R51" s="28">
        <v>-0.42674699999999999</v>
      </c>
      <c r="S51" s="28">
        <v>0.20774899999999999</v>
      </c>
      <c r="T51" s="28">
        <v>-0.73572700000000002</v>
      </c>
      <c r="U51" s="28">
        <v>0.70632300000000003</v>
      </c>
      <c r="V51" s="28">
        <v>0.33780100000000002</v>
      </c>
      <c r="W51" s="28">
        <v>0.563886</v>
      </c>
      <c r="X51" s="28">
        <v>-0.70856399999999997</v>
      </c>
      <c r="Y51" s="28">
        <v>0.72263100000000002</v>
      </c>
      <c r="Z51" s="28">
        <v>-0.23342099999999999</v>
      </c>
      <c r="AA51" s="28">
        <v>-7.2009000000000004E-2</v>
      </c>
      <c r="AB51" s="28">
        <v>-1.2075830000000001</v>
      </c>
      <c r="AC51" s="28">
        <v>-0.440944</v>
      </c>
      <c r="AD51" s="28">
        <v>1.379237</v>
      </c>
      <c r="AE51" s="28">
        <v>1.701673</v>
      </c>
      <c r="AF51" s="28">
        <v>-0.17763499999999999</v>
      </c>
      <c r="AG51" s="28">
        <v>-0.97233800000000004</v>
      </c>
      <c r="AH51" s="28">
        <v>-0.75466800000000001</v>
      </c>
      <c r="AI51" s="28">
        <v>0.47717900000000002</v>
      </c>
      <c r="AJ51" s="28">
        <v>-1.487E-2</v>
      </c>
      <c r="AK51" s="28">
        <v>0.19036</v>
      </c>
      <c r="AL51" s="28">
        <v>-5.2224E-2</v>
      </c>
      <c r="AM51" s="28">
        <v>-0.67636700000000005</v>
      </c>
      <c r="AN51" s="28">
        <v>-0.44637100000000002</v>
      </c>
      <c r="AO51" s="28">
        <v>0.46221600000000002</v>
      </c>
      <c r="AP51" s="28">
        <v>0.33387099999999997</v>
      </c>
      <c r="AQ51" s="28">
        <v>1.359496</v>
      </c>
      <c r="AR51" s="28">
        <v>0.58911400000000003</v>
      </c>
      <c r="AS51" s="28">
        <v>-0.38329999999999997</v>
      </c>
      <c r="AT51" s="28">
        <v>0.37964500000000001</v>
      </c>
      <c r="AU51" s="28">
        <v>-0.30181799999999998</v>
      </c>
      <c r="AV51" s="28">
        <v>7.979E-2</v>
      </c>
      <c r="AW51" s="28">
        <v>-0.33604899999999999</v>
      </c>
      <c r="AX51" s="28">
        <v>0.165774</v>
      </c>
      <c r="AY51" s="28">
        <v>0.53484799999999999</v>
      </c>
      <c r="AZ51" s="28">
        <v>0.34875499999999998</v>
      </c>
      <c r="BA51" s="28">
        <v>-3.4063999999999997E-2</v>
      </c>
      <c r="BB51" s="28">
        <v>0.59342600000000001</v>
      </c>
      <c r="BC51" s="28">
        <v>116.923553</v>
      </c>
      <c r="BD51" s="28">
        <v>1627.1014399999999</v>
      </c>
      <c r="BE51" s="28">
        <v>962.35894800000005</v>
      </c>
      <c r="BF51" s="28">
        <v>23.280616999999999</v>
      </c>
      <c r="BG51" s="28">
        <v>4.2953999999999999E-2</v>
      </c>
    </row>
    <row r="52" spans="1:59">
      <c r="A52" s="27">
        <v>19</v>
      </c>
      <c r="B52" s="27">
        <v>38.859901000000001</v>
      </c>
      <c r="C52" s="27">
        <v>-3</v>
      </c>
      <c r="D52" s="27">
        <v>0</v>
      </c>
      <c r="E52" s="28">
        <v>-0.95977299999999999</v>
      </c>
      <c r="F52" s="28">
        <v>1.3521590000000001</v>
      </c>
      <c r="G52" s="28">
        <v>-0.97222600000000003</v>
      </c>
      <c r="H52" s="28">
        <v>-0.63371699999999997</v>
      </c>
      <c r="I52" s="28">
        <v>-0.20852200000000001</v>
      </c>
      <c r="J52" s="28">
        <v>-0.52859100000000003</v>
      </c>
      <c r="K52" s="28">
        <v>0.77335600000000004</v>
      </c>
      <c r="L52" s="28">
        <v>-0.38056000000000001</v>
      </c>
      <c r="M52" s="28">
        <v>0.26928099999999999</v>
      </c>
      <c r="N52" s="28">
        <v>-0.345333</v>
      </c>
      <c r="O52" s="28">
        <v>0.298543</v>
      </c>
      <c r="P52" s="28">
        <v>-0.37693100000000002</v>
      </c>
      <c r="Q52" s="28">
        <v>0.91954400000000003</v>
      </c>
      <c r="R52" s="28">
        <v>1.5420609999999999</v>
      </c>
      <c r="S52" s="28">
        <v>-0.81930700000000001</v>
      </c>
      <c r="T52" s="28">
        <v>-1.2955650000000001</v>
      </c>
      <c r="U52" s="28">
        <v>0.37706600000000001</v>
      </c>
      <c r="V52" s="28">
        <v>0.276175</v>
      </c>
      <c r="W52" s="28">
        <v>0.97481499999999999</v>
      </c>
      <c r="X52" s="28">
        <v>0.74573299999999998</v>
      </c>
      <c r="Y52" s="28">
        <v>0.83898399999999995</v>
      </c>
      <c r="Z52" s="28">
        <v>-0.50897000000000003</v>
      </c>
      <c r="AA52" s="28">
        <v>-0.48234100000000002</v>
      </c>
      <c r="AB52" s="28">
        <v>0.26180900000000001</v>
      </c>
      <c r="AC52" s="28">
        <v>-9.3143000000000004E-2</v>
      </c>
      <c r="AD52" s="28">
        <v>-0.68452299999999999</v>
      </c>
      <c r="AE52" s="28">
        <v>-0.89580899999999997</v>
      </c>
      <c r="AF52" s="28">
        <v>0.81614200000000003</v>
      </c>
      <c r="AG52" s="28">
        <v>-0.72858000000000001</v>
      </c>
      <c r="AH52" s="28">
        <v>-0.30116700000000002</v>
      </c>
      <c r="AI52" s="28">
        <v>0.89139500000000005</v>
      </c>
      <c r="AJ52" s="28">
        <v>1.1832609999999999</v>
      </c>
      <c r="AK52" s="28">
        <v>-0.45641100000000001</v>
      </c>
      <c r="AL52" s="28">
        <v>0.82640999999999998</v>
      </c>
      <c r="AM52" s="28">
        <v>0.54644000000000004</v>
      </c>
      <c r="AN52" s="28">
        <v>-0.26073499999999999</v>
      </c>
      <c r="AO52" s="28">
        <v>0.37647000000000003</v>
      </c>
      <c r="AP52" s="28">
        <v>-0.51036899999999996</v>
      </c>
      <c r="AQ52" s="28">
        <v>-0.57530800000000004</v>
      </c>
      <c r="AR52" s="28">
        <v>0.68396199999999996</v>
      </c>
      <c r="AS52" s="28">
        <v>-0.49688300000000002</v>
      </c>
      <c r="AT52" s="28">
        <v>-9.1037000000000007E-2</v>
      </c>
      <c r="AU52" s="28">
        <v>-0.48456100000000002</v>
      </c>
      <c r="AV52" s="28">
        <v>-0.30803599999999998</v>
      </c>
      <c r="AW52" s="28">
        <v>0.31140099999999998</v>
      </c>
      <c r="AX52" s="28">
        <v>-0.64474600000000004</v>
      </c>
      <c r="AY52" s="28">
        <v>-0.25173899999999999</v>
      </c>
      <c r="AZ52" s="28">
        <v>-0.113664</v>
      </c>
      <c r="BA52" s="28">
        <v>-8.3446999999999993E-2</v>
      </c>
      <c r="BB52" s="28">
        <v>0.73359600000000003</v>
      </c>
      <c r="BC52" s="28">
        <v>120.641037</v>
      </c>
      <c r="BD52" s="28">
        <v>1433.372192</v>
      </c>
      <c r="BE52" s="28">
        <v>897.16406300000006</v>
      </c>
      <c r="BF52" s="28">
        <v>23.087143000000001</v>
      </c>
      <c r="BG52" s="28">
        <v>4.3313999999999998E-2</v>
      </c>
    </row>
    <row r="53" spans="1:59">
      <c r="A53" s="27">
        <v>20</v>
      </c>
      <c r="B53" s="27">
        <v>41.337344999999999</v>
      </c>
      <c r="C53" s="27">
        <v>-3</v>
      </c>
      <c r="D53" s="27">
        <v>0</v>
      </c>
      <c r="E53" s="28">
        <v>-8.9701000000000003E-2</v>
      </c>
      <c r="F53" s="28">
        <v>-1.062033</v>
      </c>
      <c r="G53" s="28">
        <v>0.99671799999999999</v>
      </c>
      <c r="H53" s="28">
        <v>-0.50319899999999995</v>
      </c>
      <c r="I53" s="28">
        <v>-1.3004290000000001</v>
      </c>
      <c r="J53" s="28">
        <v>-3.0889E-2</v>
      </c>
      <c r="K53" s="28">
        <v>0.88186699999999996</v>
      </c>
      <c r="L53" s="28">
        <v>0.71436999999999995</v>
      </c>
      <c r="M53" s="28">
        <v>-0.26535799999999998</v>
      </c>
      <c r="N53" s="28">
        <v>-0.51729899999999995</v>
      </c>
      <c r="O53" s="28">
        <v>-1.3392459999999999</v>
      </c>
      <c r="P53" s="28">
        <v>7.4237999999999998E-2</v>
      </c>
      <c r="Q53" s="28">
        <v>0.51790199999999997</v>
      </c>
      <c r="R53" s="28">
        <v>-0.42674699999999999</v>
      </c>
      <c r="S53" s="28">
        <v>0.20774899999999999</v>
      </c>
      <c r="T53" s="28">
        <v>-0.73572700000000002</v>
      </c>
      <c r="U53" s="28">
        <v>0.70632300000000003</v>
      </c>
      <c r="V53" s="28">
        <v>0.33780100000000002</v>
      </c>
      <c r="W53" s="28">
        <v>0.563886</v>
      </c>
      <c r="X53" s="28">
        <v>-0.70856399999999997</v>
      </c>
      <c r="Y53" s="28">
        <v>0.72263100000000002</v>
      </c>
      <c r="Z53" s="28">
        <v>-0.23342099999999999</v>
      </c>
      <c r="AA53" s="28">
        <v>-7.2009000000000004E-2</v>
      </c>
      <c r="AB53" s="28">
        <v>-1.2075830000000001</v>
      </c>
      <c r="AC53" s="28">
        <v>-0.440944</v>
      </c>
      <c r="AD53" s="28">
        <v>1.379237</v>
      </c>
      <c r="AE53" s="28">
        <v>1.701673</v>
      </c>
      <c r="AF53" s="28">
        <v>-0.17763499999999999</v>
      </c>
      <c r="AG53" s="28">
        <v>-0.97233800000000004</v>
      </c>
      <c r="AH53" s="28">
        <v>-0.75466800000000001</v>
      </c>
      <c r="AI53" s="28">
        <v>0.47717900000000002</v>
      </c>
      <c r="AJ53" s="28">
        <v>-1.487E-2</v>
      </c>
      <c r="AK53" s="28">
        <v>0.19036</v>
      </c>
      <c r="AL53" s="28">
        <v>-5.2224E-2</v>
      </c>
      <c r="AM53" s="28">
        <v>-0.67636700000000005</v>
      </c>
      <c r="AN53" s="28">
        <v>-0.44637100000000002</v>
      </c>
      <c r="AO53" s="28">
        <v>0.46221600000000002</v>
      </c>
      <c r="AP53" s="28">
        <v>0.33387099999999997</v>
      </c>
      <c r="AQ53" s="28">
        <v>1.359496</v>
      </c>
      <c r="AR53" s="28">
        <v>0.58911400000000003</v>
      </c>
      <c r="AS53" s="28">
        <v>-0.38329999999999997</v>
      </c>
      <c r="AT53" s="28">
        <v>0.37964500000000001</v>
      </c>
      <c r="AU53" s="28">
        <v>-0.30181799999999998</v>
      </c>
      <c r="AV53" s="28">
        <v>7.979E-2</v>
      </c>
      <c r="AW53" s="28">
        <v>-0.33604899999999999</v>
      </c>
      <c r="AX53" s="28">
        <v>0.165774</v>
      </c>
      <c r="AY53" s="28">
        <v>0.53484799999999999</v>
      </c>
      <c r="AZ53" s="28">
        <v>0.34875499999999998</v>
      </c>
      <c r="BA53" s="28">
        <v>-3.4063999999999997E-2</v>
      </c>
      <c r="BB53" s="28">
        <v>0.59342600000000001</v>
      </c>
      <c r="BC53" s="28">
        <v>116.923553</v>
      </c>
      <c r="BD53" s="28">
        <v>1627.1014399999999</v>
      </c>
      <c r="BE53" s="28">
        <v>962.35894800000005</v>
      </c>
      <c r="BF53" s="28">
        <v>23.280616999999999</v>
      </c>
      <c r="BG53" s="28">
        <v>4.2953999999999999E-2</v>
      </c>
    </row>
    <row r="54" spans="1:59">
      <c r="A54" s="27">
        <v>21</v>
      </c>
      <c r="B54" s="27">
        <v>50.593369000000003</v>
      </c>
      <c r="C54" s="27">
        <v>-3</v>
      </c>
      <c r="D54" s="27">
        <v>0</v>
      </c>
      <c r="E54" s="28">
        <v>-0.71946399999999999</v>
      </c>
      <c r="F54" s="28">
        <v>-0.73594499999999996</v>
      </c>
      <c r="G54" s="28">
        <v>-0.69006000000000001</v>
      </c>
      <c r="H54" s="28">
        <v>-0.34209299999999998</v>
      </c>
      <c r="I54" s="28">
        <v>-0.31892100000000001</v>
      </c>
      <c r="J54" s="28">
        <v>-0.58953699999999998</v>
      </c>
      <c r="K54" s="28">
        <v>-0.32579599999999997</v>
      </c>
      <c r="L54" s="28">
        <v>0.71869700000000003</v>
      </c>
      <c r="M54" s="28">
        <v>0.80860500000000002</v>
      </c>
      <c r="N54" s="28">
        <v>0.61799599999999999</v>
      </c>
      <c r="O54" s="28">
        <v>-1.7843000000000001E-2</v>
      </c>
      <c r="P54" s="28">
        <v>-1.8738999999999999E-2</v>
      </c>
      <c r="Q54" s="28">
        <v>0.14765900000000001</v>
      </c>
      <c r="R54" s="28">
        <v>-0.71404100000000004</v>
      </c>
      <c r="S54" s="28">
        <v>-3.7748999999999998E-2</v>
      </c>
      <c r="T54" s="28">
        <v>-0.99968599999999996</v>
      </c>
      <c r="U54" s="28">
        <v>0.86208799999999997</v>
      </c>
      <c r="V54" s="28">
        <v>0.41539799999999999</v>
      </c>
      <c r="W54" s="28">
        <v>-0.65564999999999996</v>
      </c>
      <c r="X54" s="28">
        <v>-0.66113699999999997</v>
      </c>
      <c r="Y54" s="28">
        <v>-1.3733299999999999</v>
      </c>
      <c r="Z54" s="28">
        <v>-0.30818699999999999</v>
      </c>
      <c r="AA54" s="28">
        <v>0.58544499999999999</v>
      </c>
      <c r="AB54" s="28">
        <v>0.91493500000000005</v>
      </c>
      <c r="AC54" s="28">
        <v>-0.61669799999999997</v>
      </c>
      <c r="AD54" s="28">
        <v>-9.2242000000000005E-2</v>
      </c>
      <c r="AE54" s="28">
        <v>7.2071999999999997E-2</v>
      </c>
      <c r="AF54" s="28">
        <v>0.91459999999999997</v>
      </c>
      <c r="AG54" s="28">
        <v>0.90785300000000002</v>
      </c>
      <c r="AH54" s="28">
        <v>1.199748</v>
      </c>
      <c r="AI54" s="28">
        <v>-0.68840100000000004</v>
      </c>
      <c r="AJ54" s="28">
        <v>0.94482299999999997</v>
      </c>
      <c r="AK54" s="28">
        <v>-0.16120200000000001</v>
      </c>
      <c r="AL54" s="28">
        <v>0.42426599999999998</v>
      </c>
      <c r="AM54" s="28">
        <v>-0.75958400000000004</v>
      </c>
      <c r="AN54" s="28">
        <v>3.1233E-2</v>
      </c>
      <c r="AO54" s="28">
        <v>0.81156799999999996</v>
      </c>
      <c r="AP54" s="28">
        <v>0.85221499999999994</v>
      </c>
      <c r="AQ54" s="28">
        <v>-0.279673</v>
      </c>
      <c r="AR54" s="28">
        <v>-0.97603399999999996</v>
      </c>
      <c r="AS54" s="28">
        <v>0.39465299999999998</v>
      </c>
      <c r="AT54" s="28">
        <v>-0.43111300000000002</v>
      </c>
      <c r="AU54" s="28">
        <v>-0.429564</v>
      </c>
      <c r="AV54" s="28">
        <v>-0.26039800000000002</v>
      </c>
      <c r="AW54" s="28">
        <v>0.79750699999999997</v>
      </c>
      <c r="AX54" s="28">
        <v>-0.332347</v>
      </c>
      <c r="AY54" s="28">
        <v>-0.479051</v>
      </c>
      <c r="AZ54" s="28">
        <v>-0.29484900000000003</v>
      </c>
      <c r="BA54" s="28">
        <v>-1.1352439999999999</v>
      </c>
      <c r="BB54" s="28">
        <v>-0.46868599999999999</v>
      </c>
      <c r="BC54" s="28">
        <v>137.30329900000001</v>
      </c>
      <c r="BD54" s="28">
        <v>2459.5021969999998</v>
      </c>
      <c r="BE54" s="28">
        <v>1085.862793</v>
      </c>
      <c r="BF54" s="28">
        <v>21.462551000000001</v>
      </c>
      <c r="BG54" s="28">
        <v>4.6593000000000002E-2</v>
      </c>
    </row>
    <row r="55" spans="1:59">
      <c r="A55" s="27">
        <v>22</v>
      </c>
      <c r="B55" s="27">
        <v>49.346508</v>
      </c>
      <c r="C55" s="27">
        <v>-3</v>
      </c>
      <c r="D55" s="27">
        <v>0</v>
      </c>
      <c r="E55" s="28">
        <v>0.89290999999999998</v>
      </c>
      <c r="F55" s="28">
        <v>-0.92225699999999999</v>
      </c>
      <c r="G55" s="28">
        <v>0.44889099999999998</v>
      </c>
      <c r="H55" s="28">
        <v>-0.339088</v>
      </c>
      <c r="I55" s="28">
        <v>0.77873899999999996</v>
      </c>
      <c r="J55" s="28">
        <v>0.178679</v>
      </c>
      <c r="K55" s="28">
        <v>-0.550404</v>
      </c>
      <c r="L55" s="28">
        <v>0.31940400000000002</v>
      </c>
      <c r="M55" s="28">
        <v>0.55406200000000005</v>
      </c>
      <c r="N55" s="28">
        <v>-1.5974600000000001</v>
      </c>
      <c r="O55" s="28">
        <v>0.62670999999999999</v>
      </c>
      <c r="P55" s="28">
        <v>-1.58036</v>
      </c>
      <c r="Q55" s="28">
        <v>0.43925500000000001</v>
      </c>
      <c r="R55" s="28">
        <v>-0.21241599999999999</v>
      </c>
      <c r="S55" s="28">
        <v>-0.137293</v>
      </c>
      <c r="T55" s="28">
        <v>0.94842599999999999</v>
      </c>
      <c r="U55" s="28">
        <v>-0.116146</v>
      </c>
      <c r="V55" s="28">
        <v>-0.47578100000000001</v>
      </c>
      <c r="W55" s="28">
        <v>0.605846</v>
      </c>
      <c r="X55" s="28">
        <v>0.57053500000000001</v>
      </c>
      <c r="Y55" s="28">
        <v>0.84854099999999999</v>
      </c>
      <c r="Z55" s="28">
        <v>-1.3692470000000001</v>
      </c>
      <c r="AA55" s="28">
        <v>0.29556399999999999</v>
      </c>
      <c r="AB55" s="28">
        <v>-0.79325199999999996</v>
      </c>
      <c r="AC55" s="28">
        <v>0.54601999999999995</v>
      </c>
      <c r="AD55" s="28">
        <v>-0.60622100000000001</v>
      </c>
      <c r="AE55" s="28">
        <v>0.76331599999999999</v>
      </c>
      <c r="AF55" s="28">
        <v>-0.77407999999999999</v>
      </c>
      <c r="AG55" s="28">
        <v>0.21528900000000001</v>
      </c>
      <c r="AH55" s="28">
        <v>0.47770699999999999</v>
      </c>
      <c r="AI55" s="28">
        <v>0.28191300000000002</v>
      </c>
      <c r="AJ55" s="28">
        <v>-0.33427200000000001</v>
      </c>
      <c r="AK55" s="28">
        <v>-0.28843400000000002</v>
      </c>
      <c r="AL55" s="28">
        <v>-0.61893299999999996</v>
      </c>
      <c r="AM55" s="28">
        <v>-0.99542699999999995</v>
      </c>
      <c r="AN55" s="28">
        <v>1.50929</v>
      </c>
      <c r="AO55" s="28">
        <v>0.49689899999999998</v>
      </c>
      <c r="AP55" s="28">
        <v>0.94131100000000001</v>
      </c>
      <c r="AQ55" s="28">
        <v>-0.60974300000000003</v>
      </c>
      <c r="AR55" s="28">
        <v>-0.35215099999999999</v>
      </c>
      <c r="AS55" s="28">
        <v>-0.33057599999999998</v>
      </c>
      <c r="AT55" s="28">
        <v>0.14055300000000001</v>
      </c>
      <c r="AU55" s="28">
        <v>0.67197700000000005</v>
      </c>
      <c r="AV55" s="28">
        <v>-0.86238000000000004</v>
      </c>
      <c r="AW55" s="28">
        <v>-1.4978E-2</v>
      </c>
      <c r="AX55" s="28">
        <v>-0.68662100000000004</v>
      </c>
      <c r="AY55" s="28">
        <v>-0.70351300000000005</v>
      </c>
      <c r="AZ55" s="28">
        <v>0.82305600000000001</v>
      </c>
      <c r="BA55" s="28">
        <v>-1.439106</v>
      </c>
      <c r="BB55" s="28">
        <v>-0.61887300000000001</v>
      </c>
      <c r="BC55" s="28">
        <v>139.13447600000001</v>
      </c>
      <c r="BD55" s="28">
        <v>2337.3847660000001</v>
      </c>
      <c r="BE55" s="28">
        <v>1345.018433</v>
      </c>
      <c r="BF55" s="28">
        <v>27.256609000000001</v>
      </c>
      <c r="BG55" s="28">
        <v>3.6687999999999998E-2</v>
      </c>
    </row>
    <row r="56" spans="1:59">
      <c r="A56" s="27">
        <v>23</v>
      </c>
      <c r="B56" s="27">
        <v>49.917290000000001</v>
      </c>
      <c r="C56" s="27">
        <v>-3</v>
      </c>
      <c r="D56" s="27">
        <v>0</v>
      </c>
      <c r="E56" s="28">
        <v>0.62340799999999996</v>
      </c>
      <c r="F56" s="28">
        <v>-0.388465</v>
      </c>
      <c r="G56" s="28">
        <v>5.6070000000000002E-2</v>
      </c>
      <c r="H56" s="28">
        <v>7.9558000000000004E-2</v>
      </c>
      <c r="I56" s="28">
        <v>0.96263500000000002</v>
      </c>
      <c r="J56" s="28">
        <v>0.15728300000000001</v>
      </c>
      <c r="K56" s="28">
        <v>-0.16175100000000001</v>
      </c>
      <c r="L56" s="28">
        <v>0.80041499999999999</v>
      </c>
      <c r="M56" s="28">
        <v>-0.85971399999999998</v>
      </c>
      <c r="N56" s="28">
        <v>0.67834000000000005</v>
      </c>
      <c r="O56" s="28">
        <v>5.4384000000000002E-2</v>
      </c>
      <c r="P56" s="28">
        <v>-0.63309899999999997</v>
      </c>
      <c r="Q56" s="28">
        <v>-1.530619</v>
      </c>
      <c r="R56" s="28">
        <v>-1.4579279999999999</v>
      </c>
      <c r="S56" s="28">
        <v>0.20503399999999999</v>
      </c>
      <c r="T56" s="28">
        <v>0.92105700000000001</v>
      </c>
      <c r="U56" s="28">
        <v>0.62899000000000005</v>
      </c>
      <c r="V56" s="28">
        <v>-4.3908000000000003E-2</v>
      </c>
      <c r="W56" s="28">
        <v>0.28092299999999998</v>
      </c>
      <c r="X56" s="28">
        <v>-0.456926</v>
      </c>
      <c r="Y56" s="28">
        <v>0.85801099999999997</v>
      </c>
      <c r="Z56" s="28">
        <v>-0.24601700000000001</v>
      </c>
      <c r="AA56" s="28">
        <v>-0.61331400000000003</v>
      </c>
      <c r="AB56" s="28">
        <v>-0.403613</v>
      </c>
      <c r="AC56" s="28">
        <v>-0.86787400000000003</v>
      </c>
      <c r="AD56" s="28">
        <v>-8.0771999999999997E-2</v>
      </c>
      <c r="AE56" s="28">
        <v>-0.50662700000000005</v>
      </c>
      <c r="AF56" s="28">
        <v>-5.1968E-2</v>
      </c>
      <c r="AG56" s="28">
        <v>1.2316450000000001</v>
      </c>
      <c r="AH56" s="28">
        <v>-0.17550399999999999</v>
      </c>
      <c r="AI56" s="28">
        <v>0.39920099999999997</v>
      </c>
      <c r="AJ56" s="28">
        <v>-0.81987600000000005</v>
      </c>
      <c r="AK56" s="28">
        <v>0.87561999999999995</v>
      </c>
      <c r="AL56" s="28">
        <v>0.68350100000000003</v>
      </c>
      <c r="AM56" s="28">
        <v>-1.003925</v>
      </c>
      <c r="AN56" s="28">
        <v>-0.71970599999999996</v>
      </c>
      <c r="AO56" s="28">
        <v>0.49610500000000002</v>
      </c>
      <c r="AP56" s="28">
        <v>0.11883100000000001</v>
      </c>
      <c r="AQ56" s="28">
        <v>0.90245799999999998</v>
      </c>
      <c r="AR56" s="28">
        <v>0.146954</v>
      </c>
      <c r="AS56" s="28">
        <v>3.9683000000000003E-2</v>
      </c>
      <c r="AT56" s="28">
        <v>-1.390312</v>
      </c>
      <c r="AU56" s="28">
        <v>0.51397999999999999</v>
      </c>
      <c r="AV56" s="28">
        <v>-0.69938699999999998</v>
      </c>
      <c r="AW56" s="28">
        <v>-0.61740399999999995</v>
      </c>
      <c r="AX56" s="28">
        <v>-0.36079800000000001</v>
      </c>
      <c r="AY56" s="28">
        <v>-0.52576500000000004</v>
      </c>
      <c r="AZ56" s="28">
        <v>0.21933800000000001</v>
      </c>
      <c r="BA56" s="28">
        <v>-0.73863699999999999</v>
      </c>
      <c r="BB56" s="28">
        <v>0.98329599999999995</v>
      </c>
      <c r="BC56" s="28">
        <v>137.95581100000001</v>
      </c>
      <c r="BD56" s="28">
        <v>2392.9011230000001</v>
      </c>
      <c r="BE56" s="28">
        <v>1170.0936280000001</v>
      </c>
      <c r="BF56" s="28">
        <v>23.440646999999998</v>
      </c>
      <c r="BG56" s="28">
        <v>4.2660999999999998E-2</v>
      </c>
    </row>
    <row r="57" spans="1:59">
      <c r="A57" s="27">
        <v>24</v>
      </c>
      <c r="B57" s="27">
        <v>41.332656999999998</v>
      </c>
      <c r="C57" s="27">
        <v>-3</v>
      </c>
      <c r="D57" s="27">
        <v>0</v>
      </c>
      <c r="E57" s="28">
        <v>-0.699237</v>
      </c>
      <c r="F57" s="28">
        <v>0.77654800000000002</v>
      </c>
      <c r="G57" s="28">
        <v>-0.55426699999999995</v>
      </c>
      <c r="H57" s="28">
        <v>-0.338505</v>
      </c>
      <c r="I57" s="28">
        <v>1.5558449999999999</v>
      </c>
      <c r="J57" s="28">
        <v>0.435251</v>
      </c>
      <c r="K57" s="28">
        <v>0.44120799999999999</v>
      </c>
      <c r="L57" s="28">
        <v>-1.6388510000000001</v>
      </c>
      <c r="M57" s="28">
        <v>-0.106992</v>
      </c>
      <c r="N57" s="28">
        <v>2.0667999999999999E-2</v>
      </c>
      <c r="O57" s="28">
        <v>-0.542238</v>
      </c>
      <c r="P57" s="28">
        <v>-0.30153600000000003</v>
      </c>
      <c r="Q57" s="28">
        <v>-0.22511200000000001</v>
      </c>
      <c r="R57" s="28">
        <v>0.49783100000000002</v>
      </c>
      <c r="S57" s="28">
        <v>0.81537099999999996</v>
      </c>
      <c r="T57" s="28">
        <v>0.71334399999999998</v>
      </c>
      <c r="U57" s="28">
        <v>-0.192411</v>
      </c>
      <c r="V57" s="28">
        <v>0.178346</v>
      </c>
      <c r="W57" s="28">
        <v>0.76347699999999996</v>
      </c>
      <c r="X57" s="28">
        <v>0.35051199999999999</v>
      </c>
      <c r="Y57" s="28">
        <v>0.61338599999999999</v>
      </c>
      <c r="Z57" s="28">
        <v>-0.40745300000000001</v>
      </c>
      <c r="AA57" s="28">
        <v>0.86730300000000005</v>
      </c>
      <c r="AB57" s="28">
        <v>-1.021844</v>
      </c>
      <c r="AC57" s="28">
        <v>-0.55268799999999996</v>
      </c>
      <c r="AD57" s="28">
        <v>-0.19992099999999999</v>
      </c>
      <c r="AE57" s="28">
        <v>-0.64130600000000004</v>
      </c>
      <c r="AF57" s="28">
        <v>0.82286499999999996</v>
      </c>
      <c r="AG57" s="28">
        <v>1.1199330000000001</v>
      </c>
      <c r="AH57" s="28">
        <v>-0.224494</v>
      </c>
      <c r="AI57" s="28">
        <v>0.47010000000000002</v>
      </c>
      <c r="AJ57" s="28">
        <v>0.29121399999999997</v>
      </c>
      <c r="AK57" s="28">
        <v>-3.7795000000000002E-2</v>
      </c>
      <c r="AL57" s="28">
        <v>0.36605500000000002</v>
      </c>
      <c r="AM57" s="28">
        <v>-0.57834300000000005</v>
      </c>
      <c r="AN57" s="28">
        <v>-1.0184390000000001</v>
      </c>
      <c r="AO57" s="28">
        <v>-0.445689</v>
      </c>
      <c r="AP57" s="28">
        <v>-9.1711000000000001E-2</v>
      </c>
      <c r="AQ57" s="28">
        <v>0.26874500000000001</v>
      </c>
      <c r="AR57" s="28">
        <v>-4.7309999999999998E-2</v>
      </c>
      <c r="AS57" s="28">
        <v>-0.664856</v>
      </c>
      <c r="AT57" s="28">
        <v>-0.91440100000000002</v>
      </c>
      <c r="AU57" s="28">
        <v>0.25162600000000002</v>
      </c>
      <c r="AV57" s="28">
        <v>0.840341</v>
      </c>
      <c r="AW57" s="28">
        <v>-0.57918499999999995</v>
      </c>
      <c r="AX57" s="28">
        <v>-0.39771000000000001</v>
      </c>
      <c r="AY57" s="28">
        <v>0.49109000000000003</v>
      </c>
      <c r="AZ57" s="28">
        <v>-0.73852899999999999</v>
      </c>
      <c r="BA57" s="28">
        <v>-0.36857299999999998</v>
      </c>
      <c r="BB57" s="28">
        <v>-0.158419</v>
      </c>
      <c r="BC57" s="28">
        <v>168.97543300000001</v>
      </c>
      <c r="BD57" s="28">
        <v>1626.7232670000001</v>
      </c>
      <c r="BE57" s="28">
        <v>839.39624000000003</v>
      </c>
      <c r="BF57" s="28">
        <v>20.308306000000002</v>
      </c>
      <c r="BG57" s="28">
        <v>4.9241E-2</v>
      </c>
    </row>
    <row r="58" spans="1:59">
      <c r="A58" s="27">
        <v>25</v>
      </c>
      <c r="B58" s="27">
        <v>44.166007999999998</v>
      </c>
      <c r="C58" s="27">
        <v>-3</v>
      </c>
      <c r="D58" s="27">
        <v>0</v>
      </c>
      <c r="E58" s="28">
        <v>0.74165199999999998</v>
      </c>
      <c r="F58" s="28">
        <v>0.26011600000000001</v>
      </c>
      <c r="G58" s="28">
        <v>-0.19200700000000001</v>
      </c>
      <c r="H58" s="28">
        <v>0.39093</v>
      </c>
      <c r="I58" s="28">
        <v>0.431419</v>
      </c>
      <c r="J58" s="28">
        <v>-0.22012899999999999</v>
      </c>
      <c r="K58" s="28">
        <v>1.2590239999999999</v>
      </c>
      <c r="L58" s="28">
        <v>0.14258000000000001</v>
      </c>
      <c r="M58" s="28">
        <v>0.77181</v>
      </c>
      <c r="N58" s="28">
        <v>-0.21779200000000001</v>
      </c>
      <c r="O58" s="28">
        <v>0.87763599999999997</v>
      </c>
      <c r="P58" s="28">
        <v>0.84106300000000001</v>
      </c>
      <c r="Q58" s="28">
        <v>1.0041530000000001</v>
      </c>
      <c r="R58" s="28">
        <v>-0.97346200000000005</v>
      </c>
      <c r="S58" s="28">
        <v>0.962086</v>
      </c>
      <c r="T58" s="28">
        <v>-0.36222100000000002</v>
      </c>
      <c r="U58" s="28">
        <v>-0.85171399999999997</v>
      </c>
      <c r="V58" s="28">
        <v>-1.2297830000000001</v>
      </c>
      <c r="W58" s="28">
        <v>-1.113645</v>
      </c>
      <c r="X58" s="28">
        <v>-0.57122700000000004</v>
      </c>
      <c r="Y58" s="28">
        <v>-1.261752</v>
      </c>
      <c r="Z58" s="28">
        <v>-0.39733400000000002</v>
      </c>
      <c r="AA58" s="28">
        <v>-1.5360799999999999</v>
      </c>
      <c r="AB58" s="28">
        <v>0.38037500000000002</v>
      </c>
      <c r="AC58" s="28">
        <v>-1.6188039999999999</v>
      </c>
      <c r="AD58" s="28">
        <v>-7.8633999999999996E-2</v>
      </c>
      <c r="AE58" s="28">
        <v>-3.1660000000000001E-2</v>
      </c>
      <c r="AF58" s="28">
        <v>-0.88983500000000004</v>
      </c>
      <c r="AG58" s="28">
        <v>0.41203499999999998</v>
      </c>
      <c r="AH58" s="28">
        <v>0.777084</v>
      </c>
      <c r="AI58" s="28">
        <v>-0.33110000000000001</v>
      </c>
      <c r="AJ58" s="28">
        <v>-0.287018</v>
      </c>
      <c r="AK58" s="28">
        <v>1.363599</v>
      </c>
      <c r="AL58" s="28">
        <v>1.2083809999999999</v>
      </c>
      <c r="AM58" s="28">
        <v>0.41487400000000002</v>
      </c>
      <c r="AN58" s="28">
        <v>0.25899</v>
      </c>
      <c r="AO58" s="28">
        <v>0.58913000000000004</v>
      </c>
      <c r="AP58" s="28">
        <v>-0.20588100000000001</v>
      </c>
      <c r="AQ58" s="28">
        <v>-5.2186000000000003E-2</v>
      </c>
      <c r="AR58" s="28">
        <v>0.15509400000000001</v>
      </c>
      <c r="AS58" s="28">
        <v>0.41556300000000002</v>
      </c>
      <c r="AT58" s="28">
        <v>0.458899</v>
      </c>
      <c r="AU58" s="28">
        <v>0.20200000000000001</v>
      </c>
      <c r="AV58" s="28">
        <v>-0.41248099999999999</v>
      </c>
      <c r="AW58" s="28">
        <v>-1.231236</v>
      </c>
      <c r="AX58" s="28">
        <v>0.31484200000000001</v>
      </c>
      <c r="AY58" s="28">
        <v>0.376859</v>
      </c>
      <c r="AZ58" s="28">
        <v>-0.29426000000000002</v>
      </c>
      <c r="BA58" s="28">
        <v>0.62272400000000006</v>
      </c>
      <c r="BB58" s="28">
        <v>-3.891E-2</v>
      </c>
      <c r="BC58" s="28">
        <v>76.127266000000006</v>
      </c>
      <c r="BD58" s="28">
        <v>1863.3041989999999</v>
      </c>
      <c r="BE58" s="28">
        <v>1193.6641850000001</v>
      </c>
      <c r="BF58" s="28">
        <v>27.026762000000002</v>
      </c>
      <c r="BG58" s="28">
        <v>3.6999999999999998E-2</v>
      </c>
    </row>
    <row r="59" spans="1:59">
      <c r="A59" s="27">
        <v>26</v>
      </c>
      <c r="B59" s="27">
        <v>41.717033000000001</v>
      </c>
      <c r="C59" s="27">
        <v>-3</v>
      </c>
      <c r="D59" s="27">
        <v>0</v>
      </c>
      <c r="E59" s="28">
        <v>0.977024</v>
      </c>
      <c r="F59" s="28">
        <v>-0.77819899999999997</v>
      </c>
      <c r="G59" s="28">
        <v>0.28137000000000001</v>
      </c>
      <c r="H59" s="28">
        <v>0.210147</v>
      </c>
      <c r="I59" s="28">
        <v>0.75479200000000002</v>
      </c>
      <c r="J59" s="28">
        <v>-1.792562</v>
      </c>
      <c r="K59" s="28">
        <v>0.68064400000000003</v>
      </c>
      <c r="L59" s="28">
        <v>-0.47226499999999999</v>
      </c>
      <c r="M59" s="28">
        <v>-0.21042</v>
      </c>
      <c r="N59" s="28">
        <v>-0.56348200000000004</v>
      </c>
      <c r="O59" s="28">
        <v>0.35940800000000001</v>
      </c>
      <c r="P59" s="28">
        <v>-0.662134</v>
      </c>
      <c r="Q59" s="28">
        <v>-1.333936</v>
      </c>
      <c r="R59" s="28">
        <v>1.1656359999999999</v>
      </c>
      <c r="S59" s="28">
        <v>0.39030100000000001</v>
      </c>
      <c r="T59" s="28">
        <v>0.12973899999999999</v>
      </c>
      <c r="U59" s="28">
        <v>-0.52273099999999995</v>
      </c>
      <c r="V59" s="28">
        <v>1.156361</v>
      </c>
      <c r="W59" s="28">
        <v>-0.85358699999999998</v>
      </c>
      <c r="X59" s="28">
        <v>4.7983999999999999E-2</v>
      </c>
      <c r="Y59" s="28">
        <v>-0.40818500000000002</v>
      </c>
      <c r="Z59" s="28">
        <v>-0.96428700000000001</v>
      </c>
      <c r="AA59" s="28">
        <v>-0.70098700000000003</v>
      </c>
      <c r="AB59" s="28">
        <v>5.7111000000000002E-2</v>
      </c>
      <c r="AC59" s="28">
        <v>-0.157724</v>
      </c>
      <c r="AD59" s="28">
        <v>-0.310886</v>
      </c>
      <c r="AE59" s="28">
        <v>-0.24035500000000001</v>
      </c>
      <c r="AF59" s="28">
        <v>1.41211</v>
      </c>
      <c r="AG59" s="28">
        <v>0.32704899999999998</v>
      </c>
      <c r="AH59" s="28">
        <v>0.42012899999999997</v>
      </c>
      <c r="AI59" s="28">
        <v>0.648756</v>
      </c>
      <c r="AJ59" s="28">
        <v>0.87153599999999998</v>
      </c>
      <c r="AK59" s="28">
        <v>0.26472000000000001</v>
      </c>
      <c r="AL59" s="28">
        <v>3.2361000000000001E-2</v>
      </c>
      <c r="AM59" s="28">
        <v>4.2389000000000003E-2</v>
      </c>
      <c r="AN59" s="28">
        <v>0.51620500000000002</v>
      </c>
      <c r="AO59" s="28">
        <v>6.7905999999999994E-2</v>
      </c>
      <c r="AP59" s="28">
        <v>-0.15556400000000001</v>
      </c>
      <c r="AQ59" s="28">
        <v>-0.36950100000000002</v>
      </c>
      <c r="AR59" s="28">
        <v>0.35318699999999997</v>
      </c>
      <c r="AS59" s="28">
        <v>-0.182979</v>
      </c>
      <c r="AT59" s="28">
        <v>1.2469730000000001</v>
      </c>
      <c r="AU59" s="28">
        <v>0.56035299999999999</v>
      </c>
      <c r="AV59" s="28">
        <v>-9.7970000000000002E-3</v>
      </c>
      <c r="AW59" s="28">
        <v>0.322075</v>
      </c>
      <c r="AX59" s="28">
        <v>-1.2087969999999999</v>
      </c>
      <c r="AY59" s="28">
        <v>-0.42161300000000002</v>
      </c>
      <c r="AZ59" s="28">
        <v>0.54421399999999998</v>
      </c>
      <c r="BA59" s="28">
        <v>-0.45694699999999999</v>
      </c>
      <c r="BB59" s="28">
        <v>0.80196400000000001</v>
      </c>
      <c r="BC59" s="28">
        <v>157.729874</v>
      </c>
      <c r="BD59" s="28">
        <v>1657.876831</v>
      </c>
      <c r="BE59" s="28">
        <v>975.42541500000004</v>
      </c>
      <c r="BF59" s="28">
        <v>23.381947</v>
      </c>
      <c r="BG59" s="28">
        <v>4.2768E-2</v>
      </c>
    </row>
    <row r="60" spans="1:59">
      <c r="A60" s="27">
        <v>27</v>
      </c>
      <c r="B60" s="27">
        <v>50.852936</v>
      </c>
      <c r="C60" s="27">
        <v>-3</v>
      </c>
      <c r="D60" s="27">
        <v>0</v>
      </c>
      <c r="E60" s="28">
        <v>0.80271800000000004</v>
      </c>
      <c r="F60" s="28">
        <v>0.41569299999999998</v>
      </c>
      <c r="G60" s="28">
        <v>-0.65010199999999996</v>
      </c>
      <c r="H60" s="28">
        <v>1.421875</v>
      </c>
      <c r="I60" s="28">
        <v>-1.3561369999999999</v>
      </c>
      <c r="J60" s="28">
        <v>-0.280613</v>
      </c>
      <c r="K60" s="28">
        <v>-0.77776800000000001</v>
      </c>
      <c r="L60" s="28">
        <v>0.216886</v>
      </c>
      <c r="M60" s="28">
        <v>-9.5966999999999997E-2</v>
      </c>
      <c r="N60" s="28">
        <v>-1.415297</v>
      </c>
      <c r="O60" s="28">
        <v>0.40227499999999999</v>
      </c>
      <c r="P60" s="28">
        <v>5.2469999999999999E-3</v>
      </c>
      <c r="Q60" s="28">
        <v>-0.25848399999999999</v>
      </c>
      <c r="R60" s="28">
        <v>-0.59054499999999999</v>
      </c>
      <c r="S60" s="28">
        <v>-0.66590099999999997</v>
      </c>
      <c r="T60" s="28">
        <v>-1.029955</v>
      </c>
      <c r="U60" s="28">
        <v>0.46449499999999999</v>
      </c>
      <c r="V60" s="28">
        <v>1.274626</v>
      </c>
      <c r="W60" s="28">
        <v>-0.88309400000000005</v>
      </c>
      <c r="X60" s="28">
        <v>0.18010200000000001</v>
      </c>
      <c r="Y60" s="28">
        <v>-2.7584000000000001E-2</v>
      </c>
      <c r="Z60" s="28">
        <v>0.92403800000000003</v>
      </c>
      <c r="AA60" s="28">
        <v>0.16814299999999999</v>
      </c>
      <c r="AB60" s="28">
        <v>0.79659800000000003</v>
      </c>
      <c r="AC60" s="28">
        <v>-0.64390000000000003</v>
      </c>
      <c r="AD60" s="28">
        <v>-0.66383000000000003</v>
      </c>
      <c r="AE60" s="28">
        <v>-0.73873999999999995</v>
      </c>
      <c r="AF60" s="28">
        <v>-0.97223599999999999</v>
      </c>
      <c r="AG60" s="28">
        <v>0.71340599999999998</v>
      </c>
      <c r="AH60" s="28">
        <v>0.93837599999999999</v>
      </c>
      <c r="AI60" s="28">
        <v>-0.27566000000000002</v>
      </c>
      <c r="AJ60" s="28">
        <v>-0.31607000000000002</v>
      </c>
      <c r="AK60" s="28">
        <v>1.2694879999999999</v>
      </c>
      <c r="AL60" s="28">
        <v>0.28856700000000002</v>
      </c>
      <c r="AM60" s="28">
        <v>4.6719999999999999E-3</v>
      </c>
      <c r="AN60" s="28">
        <v>-1.6549000000000001E-2</v>
      </c>
      <c r="AO60" s="28">
        <v>0.64384699999999995</v>
      </c>
      <c r="AP60" s="28">
        <v>0.36836799999999997</v>
      </c>
      <c r="AQ60" s="28">
        <v>0.689689</v>
      </c>
      <c r="AR60" s="28">
        <v>0.12138500000000001</v>
      </c>
      <c r="AS60" s="28">
        <v>0.36139500000000002</v>
      </c>
      <c r="AT60" s="28">
        <v>1.077331</v>
      </c>
      <c r="AU60" s="28">
        <v>-1.804222</v>
      </c>
      <c r="AV60" s="28">
        <v>-0.78857100000000002</v>
      </c>
      <c r="AW60" s="28">
        <v>-1.718933</v>
      </c>
      <c r="AX60" s="28">
        <v>0.42726199999999998</v>
      </c>
      <c r="AY60" s="28">
        <v>0.47566399999999998</v>
      </c>
      <c r="AZ60" s="28">
        <v>0.336169</v>
      </c>
      <c r="BA60" s="28">
        <v>0.69408199999999998</v>
      </c>
      <c r="BB60" s="28">
        <v>-0.95454600000000001</v>
      </c>
      <c r="BC60" s="28">
        <v>126.99329400000001</v>
      </c>
      <c r="BD60" s="28">
        <v>2485.3151859999998</v>
      </c>
      <c r="BE60" s="28">
        <v>1565.2851559999999</v>
      </c>
      <c r="BF60" s="28">
        <v>30.780626000000002</v>
      </c>
      <c r="BG60" s="28">
        <v>3.2488000000000003E-2</v>
      </c>
    </row>
    <row r="61" spans="1:59">
      <c r="A61" s="27">
        <v>28</v>
      </c>
      <c r="B61" s="27">
        <v>40.134360999999998</v>
      </c>
      <c r="C61" s="27">
        <v>-3</v>
      </c>
      <c r="D61" s="27">
        <v>0</v>
      </c>
      <c r="E61" s="28">
        <v>-0.70089999999999997</v>
      </c>
      <c r="F61" s="28">
        <v>0.303508</v>
      </c>
      <c r="G61" s="28">
        <v>-0.69006000000000001</v>
      </c>
      <c r="H61" s="28">
        <v>-0.67655200000000004</v>
      </c>
      <c r="I61" s="28">
        <v>1.534826</v>
      </c>
      <c r="J61" s="28">
        <v>0.40433400000000003</v>
      </c>
      <c r="K61" s="28">
        <v>-6.9475999999999996E-2</v>
      </c>
      <c r="L61" s="28">
        <v>0.61652399999999996</v>
      </c>
      <c r="M61" s="28">
        <v>1.040888</v>
      </c>
      <c r="N61" s="28">
        <v>1.6124039999999999</v>
      </c>
      <c r="O61" s="28">
        <v>-1.017269</v>
      </c>
      <c r="P61" s="28">
        <v>-1.8738999999999999E-2</v>
      </c>
      <c r="Q61" s="28">
        <v>1.0668500000000001</v>
      </c>
      <c r="R61" s="28">
        <v>-0.71404100000000004</v>
      </c>
      <c r="S61" s="28">
        <v>-0.94616100000000003</v>
      </c>
      <c r="T61" s="28">
        <v>-0.99968599999999996</v>
      </c>
      <c r="U61" s="28">
        <v>0.31866100000000003</v>
      </c>
      <c r="V61" s="28">
        <v>0.41539799999999999</v>
      </c>
      <c r="W61" s="28">
        <v>0.74578199999999994</v>
      </c>
      <c r="X61" s="28">
        <v>-1.0294509999999999</v>
      </c>
      <c r="Y61" s="28">
        <v>-1.689397</v>
      </c>
      <c r="Z61" s="28">
        <v>-0.30818699999999999</v>
      </c>
      <c r="AA61" s="28">
        <v>0.26141500000000001</v>
      </c>
      <c r="AB61" s="28">
        <v>0.80872999999999995</v>
      </c>
      <c r="AC61" s="28">
        <v>-0.64111099999999999</v>
      </c>
      <c r="AD61" s="28">
        <v>-7.5176000000000007E-2</v>
      </c>
      <c r="AE61" s="28">
        <v>-0.66634099999999996</v>
      </c>
      <c r="AF61" s="28">
        <v>-1.5662959999999999</v>
      </c>
      <c r="AG61" s="28">
        <v>0.57636600000000004</v>
      </c>
      <c r="AH61" s="28">
        <v>0.88014099999999995</v>
      </c>
      <c r="AI61" s="28">
        <v>-0.23005100000000001</v>
      </c>
      <c r="AJ61" s="28">
        <v>-0.186805</v>
      </c>
      <c r="AK61" s="28">
        <v>9.8069000000000003E-2</v>
      </c>
      <c r="AL61" s="28">
        <v>0.25537300000000002</v>
      </c>
      <c r="AM61" s="28">
        <v>-7.3677999999999993E-2</v>
      </c>
      <c r="AN61" s="28">
        <v>-0.18715999999999999</v>
      </c>
      <c r="AO61" s="28">
        <v>0.66104200000000002</v>
      </c>
      <c r="AP61" s="28">
        <v>0.64547200000000005</v>
      </c>
      <c r="AQ61" s="28">
        <v>-0.19440199999999999</v>
      </c>
      <c r="AR61" s="28">
        <v>0.23189499999999999</v>
      </c>
      <c r="AS61" s="28">
        <v>0.38777699999999998</v>
      </c>
      <c r="AT61" s="28">
        <v>0.36163299999999998</v>
      </c>
      <c r="AU61" s="28">
        <v>-0.69426299999999996</v>
      </c>
      <c r="AV61" s="28">
        <v>-0.72806300000000002</v>
      </c>
      <c r="AW61" s="28">
        <v>0.17427500000000001</v>
      </c>
      <c r="AX61" s="28">
        <v>0.54662500000000003</v>
      </c>
      <c r="AY61" s="28">
        <v>0.48188700000000001</v>
      </c>
      <c r="AZ61" s="28">
        <v>-0.58981899999999998</v>
      </c>
      <c r="BA61" s="28">
        <v>1.0072989999999999</v>
      </c>
      <c r="BB61" s="28">
        <v>-0.84797800000000001</v>
      </c>
      <c r="BC61" s="28">
        <v>106.633804</v>
      </c>
      <c r="BD61" s="28">
        <v>1531.4982910000001</v>
      </c>
      <c r="BE61" s="28">
        <v>1113.6999510000001</v>
      </c>
      <c r="BF61" s="28">
        <v>27.749286999999999</v>
      </c>
      <c r="BG61" s="28">
        <v>3.6037E-2</v>
      </c>
    </row>
    <row r="62" spans="1:59">
      <c r="A62" s="27">
        <v>29</v>
      </c>
      <c r="B62" s="27">
        <v>36.462578000000001</v>
      </c>
      <c r="C62" s="27">
        <v>-3</v>
      </c>
      <c r="D62" s="27">
        <v>0</v>
      </c>
      <c r="E62" s="28">
        <v>0.89759299999999997</v>
      </c>
      <c r="F62" s="28">
        <v>0.96843999999999997</v>
      </c>
      <c r="G62" s="28">
        <v>-0.50884700000000005</v>
      </c>
      <c r="H62" s="28">
        <v>1.4576480000000001</v>
      </c>
      <c r="I62" s="28">
        <v>-0.255548</v>
      </c>
      <c r="J62" s="28">
        <v>0.63201200000000002</v>
      </c>
      <c r="K62" s="28">
        <v>0.926983</v>
      </c>
      <c r="L62" s="28">
        <v>0.31923400000000002</v>
      </c>
      <c r="M62" s="28">
        <v>-0.38211400000000001</v>
      </c>
      <c r="N62" s="28">
        <v>-1.9292640000000001</v>
      </c>
      <c r="O62" s="28">
        <v>1.6588039999999999</v>
      </c>
      <c r="P62" s="28">
        <v>8.1928000000000001E-2</v>
      </c>
      <c r="Q62" s="28">
        <v>-1.0484039999999999</v>
      </c>
      <c r="R62" s="28">
        <v>-0.27695799999999998</v>
      </c>
      <c r="S62" s="28">
        <v>0.139213</v>
      </c>
      <c r="T62" s="28">
        <v>0.82636900000000002</v>
      </c>
      <c r="U62" s="28">
        <v>0.78401500000000002</v>
      </c>
      <c r="V62" s="28">
        <v>-0.36284100000000002</v>
      </c>
      <c r="W62" s="28">
        <v>-0.46618500000000002</v>
      </c>
      <c r="X62" s="28">
        <v>-0.113596</v>
      </c>
      <c r="Y62" s="28">
        <v>0.23835600000000001</v>
      </c>
      <c r="Z62" s="28">
        <v>0.20816499999999999</v>
      </c>
      <c r="AA62" s="28">
        <v>-0.57906299999999999</v>
      </c>
      <c r="AB62" s="28">
        <v>-1.2771250000000001</v>
      </c>
      <c r="AC62" s="28">
        <v>0.28166799999999997</v>
      </c>
      <c r="AD62" s="28">
        <v>-0.66282399999999997</v>
      </c>
      <c r="AE62" s="28">
        <v>-4.0620999999999997E-2</v>
      </c>
      <c r="AF62" s="28">
        <v>0.90601200000000004</v>
      </c>
      <c r="AG62" s="28">
        <v>1.386987</v>
      </c>
      <c r="AH62" s="28">
        <v>0.411298</v>
      </c>
      <c r="AI62" s="28">
        <v>0.58528400000000003</v>
      </c>
      <c r="AJ62" s="28">
        <v>0.10331799999999999</v>
      </c>
      <c r="AK62" s="28">
        <v>-0.13944899999999999</v>
      </c>
      <c r="AL62" s="28">
        <v>0.16022500000000001</v>
      </c>
      <c r="AM62" s="28">
        <v>-0.46221400000000001</v>
      </c>
      <c r="AN62" s="28">
        <v>-0.15112800000000001</v>
      </c>
      <c r="AO62" s="28">
        <v>0.237843</v>
      </c>
      <c r="AP62" s="28">
        <v>-0.93554800000000005</v>
      </c>
      <c r="AQ62" s="28">
        <v>-0.28938199999999997</v>
      </c>
      <c r="AR62" s="28">
        <v>-1.641869</v>
      </c>
      <c r="AS62" s="28">
        <v>0.193</v>
      </c>
      <c r="AT62" s="28">
        <v>0.26955899999999999</v>
      </c>
      <c r="AU62" s="28">
        <v>1.5082E-2</v>
      </c>
      <c r="AV62" s="28">
        <v>-0.187055</v>
      </c>
      <c r="AW62" s="28">
        <v>0.56056499999999998</v>
      </c>
      <c r="AX62" s="28">
        <v>-0.65616799999999997</v>
      </c>
      <c r="AY62" s="28">
        <v>0.16697200000000001</v>
      </c>
      <c r="AZ62" s="28">
        <v>9.0427999999999994E-2</v>
      </c>
      <c r="BA62" s="28">
        <v>0.15723200000000001</v>
      </c>
      <c r="BB62" s="28">
        <v>0.29708699999999999</v>
      </c>
      <c r="BC62" s="28">
        <v>107.330742</v>
      </c>
      <c r="BD62" s="28">
        <v>1257.594482</v>
      </c>
      <c r="BE62" s="28">
        <v>945.10790999999995</v>
      </c>
      <c r="BF62" s="28">
        <v>25.919943</v>
      </c>
      <c r="BG62" s="28">
        <v>3.8580000000000003E-2</v>
      </c>
    </row>
    <row r="63" spans="1:59">
      <c r="A63" s="27">
        <v>30</v>
      </c>
      <c r="B63" s="27">
        <v>43.606934000000003</v>
      </c>
      <c r="C63" s="27">
        <v>-3</v>
      </c>
      <c r="D63" s="27">
        <v>0</v>
      </c>
      <c r="E63" s="28">
        <v>0.70118800000000003</v>
      </c>
      <c r="F63" s="28">
        <v>-0.77819899999999997</v>
      </c>
      <c r="G63" s="28">
        <v>3.1711999999999997E-2</v>
      </c>
      <c r="H63" s="28">
        <v>0.64301200000000003</v>
      </c>
      <c r="I63" s="28">
        <v>0.37828099999999998</v>
      </c>
      <c r="J63" s="28">
        <v>-0.91408699999999998</v>
      </c>
      <c r="K63" s="28">
        <v>0.68633999999999995</v>
      </c>
      <c r="L63" s="28">
        <v>-1.1864509999999999</v>
      </c>
      <c r="M63" s="28">
        <v>-8.1648999999999999E-2</v>
      </c>
      <c r="N63" s="28">
        <v>0.24657599999999999</v>
      </c>
      <c r="O63" s="28">
        <v>0.78340399999999999</v>
      </c>
      <c r="P63" s="28">
        <v>-0.88504099999999997</v>
      </c>
      <c r="Q63" s="28">
        <v>-0.51915699999999998</v>
      </c>
      <c r="R63" s="28">
        <v>1.035377</v>
      </c>
      <c r="S63" s="28">
        <v>-0.19822999999999999</v>
      </c>
      <c r="T63" s="28">
        <v>0.12973899999999999</v>
      </c>
      <c r="U63" s="28">
        <v>-0.52273099999999995</v>
      </c>
      <c r="V63" s="28">
        <v>-0.40881899999999999</v>
      </c>
      <c r="W63" s="28">
        <v>-0.65687399999999996</v>
      </c>
      <c r="X63" s="28">
        <v>0.66090300000000002</v>
      </c>
      <c r="Y63" s="28">
        <v>-1.2415909999999999</v>
      </c>
      <c r="Z63" s="28">
        <v>-0.96428700000000001</v>
      </c>
      <c r="AA63" s="28">
        <v>-0.34388299999999999</v>
      </c>
      <c r="AB63" s="28">
        <v>0.71516500000000005</v>
      </c>
      <c r="AC63" s="28">
        <v>-0.61223799999999995</v>
      </c>
      <c r="AD63" s="28">
        <v>-0.310886</v>
      </c>
      <c r="AE63" s="28">
        <v>-0.98727699999999996</v>
      </c>
      <c r="AF63" s="28">
        <v>0.66283499999999995</v>
      </c>
      <c r="AG63" s="28">
        <v>4.3470000000000002E-2</v>
      </c>
      <c r="AH63" s="28">
        <v>0.44044</v>
      </c>
      <c r="AI63" s="28">
        <v>0.65242</v>
      </c>
      <c r="AJ63" s="28">
        <v>0.223997</v>
      </c>
      <c r="AK63" s="28">
        <v>2.3810000000000001E-2</v>
      </c>
      <c r="AL63" s="28">
        <v>0.49069200000000002</v>
      </c>
      <c r="AM63" s="28">
        <v>-0.248358</v>
      </c>
      <c r="AN63" s="28">
        <v>0.80503199999999997</v>
      </c>
      <c r="AO63" s="28">
        <v>0.60842399999999996</v>
      </c>
      <c r="AP63" s="28">
        <v>5.6078000000000003E-2</v>
      </c>
      <c r="AQ63" s="28">
        <v>-0.54683099999999996</v>
      </c>
      <c r="AR63" s="28">
        <v>0.37801899999999999</v>
      </c>
      <c r="AS63" s="28">
        <v>-0.169601</v>
      </c>
      <c r="AT63" s="28">
        <v>0.31381100000000001</v>
      </c>
      <c r="AU63" s="28">
        <v>0.39277400000000001</v>
      </c>
      <c r="AV63" s="28">
        <v>-0.75850799999999996</v>
      </c>
      <c r="AW63" s="28">
        <v>0.97770299999999999</v>
      </c>
      <c r="AX63" s="28">
        <v>-0.82261600000000001</v>
      </c>
      <c r="AY63" s="28">
        <v>0.20293700000000001</v>
      </c>
      <c r="AZ63" s="28">
        <v>0.64005800000000002</v>
      </c>
      <c r="BA63" s="28">
        <v>-0.60011700000000001</v>
      </c>
      <c r="BB63" s="28">
        <v>1.5343000000000001E-2</v>
      </c>
      <c r="BC63" s="28">
        <v>164.347229</v>
      </c>
      <c r="BD63" s="28">
        <v>1815.3508300000001</v>
      </c>
      <c r="BE63" s="28">
        <v>840.10095200000001</v>
      </c>
      <c r="BF63" s="28">
        <v>19.265305999999999</v>
      </c>
      <c r="BG63" s="28">
        <v>5.1907000000000002E-2</v>
      </c>
    </row>
    <row r="64" spans="1:59">
      <c r="A64" s="27">
        <v>31</v>
      </c>
      <c r="B64" s="27">
        <v>43.807845999999998</v>
      </c>
      <c r="C64" s="27">
        <v>-3</v>
      </c>
      <c r="D64" s="27">
        <v>0</v>
      </c>
      <c r="E64" s="28">
        <v>1.440941</v>
      </c>
      <c r="F64" s="28">
        <v>1.299329</v>
      </c>
      <c r="G64" s="28">
        <v>0.281916</v>
      </c>
      <c r="H64" s="28">
        <v>-0.62502599999999997</v>
      </c>
      <c r="I64" s="28">
        <v>0.87468100000000004</v>
      </c>
      <c r="J64" s="28">
        <v>0.97413799999999995</v>
      </c>
      <c r="K64" s="28">
        <v>0.825268</v>
      </c>
      <c r="L64" s="28">
        <v>0.43290200000000001</v>
      </c>
      <c r="M64" s="28">
        <v>0.28018700000000002</v>
      </c>
      <c r="N64" s="28">
        <v>0.259573</v>
      </c>
      <c r="O64" s="28">
        <v>1.138341</v>
      </c>
      <c r="P64" s="28">
        <v>-9.8521999999999998E-2</v>
      </c>
      <c r="Q64" s="28">
        <v>0.94133299999999998</v>
      </c>
      <c r="R64" s="28">
        <v>-0.896123</v>
      </c>
      <c r="S64" s="28">
        <v>1.4025479999999999</v>
      </c>
      <c r="T64" s="28">
        <v>8.7759000000000004E-2</v>
      </c>
      <c r="U64" s="28">
        <v>-1.012005</v>
      </c>
      <c r="V64" s="28">
        <v>0.766428</v>
      </c>
      <c r="W64" s="28">
        <v>-0.20749899999999999</v>
      </c>
      <c r="X64" s="28">
        <v>-6.4310000000000001E-3</v>
      </c>
      <c r="Y64" s="28">
        <v>0.56614100000000001</v>
      </c>
      <c r="Z64" s="28">
        <v>-0.225073</v>
      </c>
      <c r="AA64" s="28">
        <v>0.74898699999999996</v>
      </c>
      <c r="AB64" s="28">
        <v>-0.57152199999999997</v>
      </c>
      <c r="AC64" s="28">
        <v>-0.55666499999999997</v>
      </c>
      <c r="AD64" s="28">
        <v>0.74126899999999996</v>
      </c>
      <c r="AE64" s="28">
        <v>-0.82163900000000001</v>
      </c>
      <c r="AF64" s="28">
        <v>1.5381590000000001</v>
      </c>
      <c r="AG64" s="28">
        <v>9.2231999999999995E-2</v>
      </c>
      <c r="AH64" s="28">
        <v>0.19169600000000001</v>
      </c>
      <c r="AI64" s="28">
        <v>-0.69573300000000005</v>
      </c>
      <c r="AJ64" s="28">
        <v>0.218058</v>
      </c>
      <c r="AK64" s="28">
        <v>-2.3509999999999998E-3</v>
      </c>
      <c r="AL64" s="28">
        <v>0.63448000000000004</v>
      </c>
      <c r="AM64" s="28">
        <v>-0.47769400000000001</v>
      </c>
      <c r="AN64" s="28">
        <v>0.57117300000000004</v>
      </c>
      <c r="AO64" s="28">
        <v>-0.908304</v>
      </c>
      <c r="AP64" s="28">
        <v>-1.360957</v>
      </c>
      <c r="AQ64" s="28">
        <v>-8.5694000000000006E-2</v>
      </c>
      <c r="AR64" s="28">
        <v>0.87209899999999996</v>
      </c>
      <c r="AS64" s="28">
        <v>-0.53004499999999999</v>
      </c>
      <c r="AT64" s="28">
        <v>-0.35658200000000001</v>
      </c>
      <c r="AU64" s="28">
        <v>0.675705</v>
      </c>
      <c r="AV64" s="28">
        <v>-0.60852499999999998</v>
      </c>
      <c r="AW64" s="28">
        <v>0.52091600000000005</v>
      </c>
      <c r="AX64" s="28">
        <v>0.99195999999999995</v>
      </c>
      <c r="AY64" s="28">
        <v>-0.19673099999999999</v>
      </c>
      <c r="AZ64" s="28">
        <v>-0.50486299999999995</v>
      </c>
      <c r="BA64" s="28">
        <v>-0.63707100000000005</v>
      </c>
      <c r="BB64" s="28">
        <v>0.184058</v>
      </c>
      <c r="BC64" s="28">
        <v>120.138161</v>
      </c>
      <c r="BD64" s="28">
        <v>1832.5117190000001</v>
      </c>
      <c r="BE64" s="28">
        <v>1180.578857</v>
      </c>
      <c r="BF64" s="28">
        <v>26.949027999999998</v>
      </c>
      <c r="BG64" s="28">
        <v>3.7107000000000001E-2</v>
      </c>
    </row>
    <row r="65" spans="1:59">
      <c r="A65" s="27">
        <v>32</v>
      </c>
      <c r="B65" s="27">
        <v>40.044941000000001</v>
      </c>
      <c r="C65" s="27">
        <v>-3</v>
      </c>
      <c r="D65" s="27">
        <v>0</v>
      </c>
      <c r="E65" s="28">
        <v>-1.0969869999999999</v>
      </c>
      <c r="F65" s="28">
        <v>0.38115300000000002</v>
      </c>
      <c r="G65" s="28">
        <v>0.52356899999999995</v>
      </c>
      <c r="H65" s="28">
        <v>-1.714448</v>
      </c>
      <c r="I65" s="28">
        <v>0.639714</v>
      </c>
      <c r="J65" s="28">
        <v>-0.27751399999999998</v>
      </c>
      <c r="K65" s="28">
        <v>0.22517899999999999</v>
      </c>
      <c r="L65" s="28">
        <v>-6.7871000000000001E-2</v>
      </c>
      <c r="M65" s="28">
        <v>-0.26596500000000001</v>
      </c>
      <c r="N65" s="28">
        <v>-3.7038000000000001E-2</v>
      </c>
      <c r="O65" s="28">
        <v>0.96115200000000001</v>
      </c>
      <c r="P65" s="28">
        <v>0.51594700000000004</v>
      </c>
      <c r="Q65" s="28">
        <v>0.59214999999999995</v>
      </c>
      <c r="R65" s="28">
        <v>-0.90259299999999998</v>
      </c>
      <c r="S65" s="28">
        <v>0.98840300000000003</v>
      </c>
      <c r="T65" s="28">
        <v>-0.674983</v>
      </c>
      <c r="U65" s="28">
        <v>0.97841800000000001</v>
      </c>
      <c r="V65" s="28">
        <v>0.82400099999999998</v>
      </c>
      <c r="W65" s="28">
        <v>1.396997</v>
      </c>
      <c r="X65" s="28">
        <v>-0.45306800000000003</v>
      </c>
      <c r="Y65" s="28">
        <v>0.68356899999999998</v>
      </c>
      <c r="Z65" s="28">
        <v>0.73449600000000004</v>
      </c>
      <c r="AA65" s="28">
        <v>0.567998</v>
      </c>
      <c r="AB65" s="28">
        <v>-0.45733400000000002</v>
      </c>
      <c r="AC65" s="28">
        <v>-1.048338</v>
      </c>
      <c r="AD65" s="28">
        <v>-1.1257E-2</v>
      </c>
      <c r="AE65" s="28">
        <v>0.294599</v>
      </c>
      <c r="AF65" s="28">
        <v>1.0457559999999999</v>
      </c>
      <c r="AG65" s="28">
        <v>-0.35778199999999999</v>
      </c>
      <c r="AH65" s="28">
        <v>-0.12554699999999999</v>
      </c>
      <c r="AI65" s="28">
        <v>-0.62191700000000005</v>
      </c>
      <c r="AJ65" s="28">
        <v>0.52560499999999999</v>
      </c>
      <c r="AK65" s="28">
        <v>2.4389000000000001E-2</v>
      </c>
      <c r="AL65" s="28">
        <v>-1.1259049999999999</v>
      </c>
      <c r="AM65" s="28">
        <v>0.78310400000000002</v>
      </c>
      <c r="AN65" s="28">
        <v>-0.625803</v>
      </c>
      <c r="AO65" s="28">
        <v>0.32439000000000001</v>
      </c>
      <c r="AP65" s="28">
        <v>-0.28769800000000001</v>
      </c>
      <c r="AQ65" s="28">
        <v>-0.81347199999999997</v>
      </c>
      <c r="AR65" s="28">
        <v>0.20236699999999999</v>
      </c>
      <c r="AS65" s="28">
        <v>0.71817299999999995</v>
      </c>
      <c r="AT65" s="28">
        <v>-1.6559000000000001E-2</v>
      </c>
      <c r="AU65" s="28">
        <v>-0.30865999999999999</v>
      </c>
      <c r="AV65" s="28">
        <v>-0.412381</v>
      </c>
      <c r="AW65" s="28">
        <v>-0.70930300000000002</v>
      </c>
      <c r="AX65" s="28">
        <v>-7.7965000000000007E-2</v>
      </c>
      <c r="AY65" s="28">
        <v>0.49343900000000002</v>
      </c>
      <c r="AZ65" s="28">
        <v>-0.40752500000000003</v>
      </c>
      <c r="BA65" s="28">
        <v>0.80309900000000001</v>
      </c>
      <c r="BB65" s="28">
        <v>-0.17697399999999999</v>
      </c>
      <c r="BC65" s="28">
        <v>127.936905</v>
      </c>
      <c r="BD65" s="28">
        <v>1524.5074460000001</v>
      </c>
      <c r="BE65" s="28">
        <v>917.90698199999997</v>
      </c>
      <c r="BF65" s="28">
        <v>22.921921000000001</v>
      </c>
      <c r="BG65" s="28">
        <v>4.3625999999999998E-2</v>
      </c>
    </row>
    <row r="66" spans="1:59">
      <c r="A66" s="27">
        <v>33</v>
      </c>
      <c r="B66" s="27">
        <v>50.604213999999999</v>
      </c>
      <c r="C66" s="27">
        <v>-3</v>
      </c>
      <c r="D66" s="27">
        <v>0</v>
      </c>
      <c r="E66" s="28">
        <v>-0.39273999999999998</v>
      </c>
      <c r="F66" s="28">
        <v>0.69454800000000005</v>
      </c>
      <c r="G66" s="28">
        <v>4.0208000000000001E-2</v>
      </c>
      <c r="H66" s="28">
        <v>0.54447299999999998</v>
      </c>
      <c r="I66" s="28">
        <v>-0.45896700000000001</v>
      </c>
      <c r="J66" s="28">
        <v>0.48727199999999998</v>
      </c>
      <c r="K66" s="28">
        <v>0.351439</v>
      </c>
      <c r="L66" s="28">
        <v>-0.191992</v>
      </c>
      <c r="M66" s="28">
        <v>-0.91768499999999997</v>
      </c>
      <c r="N66" s="28">
        <v>-1.2897940000000001</v>
      </c>
      <c r="O66" s="28">
        <v>8.7781999999999999E-2</v>
      </c>
      <c r="P66" s="28">
        <v>-0.10591399999999999</v>
      </c>
      <c r="Q66" s="28">
        <v>-0.44226599999999999</v>
      </c>
      <c r="R66" s="28">
        <v>0.35954999999999998</v>
      </c>
      <c r="S66" s="28">
        <v>0.43825799999999998</v>
      </c>
      <c r="T66" s="28">
        <v>-0.80034700000000003</v>
      </c>
      <c r="U66" s="28">
        <v>-0.54747699999999999</v>
      </c>
      <c r="V66" s="28">
        <v>-0.32855600000000001</v>
      </c>
      <c r="W66" s="28">
        <v>1.560214</v>
      </c>
      <c r="X66" s="28">
        <v>-0.30081000000000002</v>
      </c>
      <c r="Y66" s="28">
        <v>-1.457616</v>
      </c>
      <c r="Z66" s="28">
        <v>0.84435099999999996</v>
      </c>
      <c r="AA66" s="28">
        <v>6.3188999999999995E-2</v>
      </c>
      <c r="AB66" s="28">
        <v>0.83720799999999995</v>
      </c>
      <c r="AC66" s="28">
        <v>0.11751399999999999</v>
      </c>
      <c r="AD66" s="28">
        <v>-0.122228</v>
      </c>
      <c r="AE66" s="28">
        <v>0.275868</v>
      </c>
      <c r="AF66" s="28">
        <v>0.94771300000000003</v>
      </c>
      <c r="AG66" s="28">
        <v>0.39544499999999999</v>
      </c>
      <c r="AH66" s="28">
        <v>0.48274499999999998</v>
      </c>
      <c r="AI66" s="28">
        <v>0.54835100000000003</v>
      </c>
      <c r="AJ66" s="28">
        <v>-1.5755570000000001</v>
      </c>
      <c r="AK66" s="28">
        <v>0.320656</v>
      </c>
      <c r="AL66" s="28">
        <v>-1.3234319999999999</v>
      </c>
      <c r="AM66" s="28">
        <v>-1.224877</v>
      </c>
      <c r="AN66" s="28">
        <v>-0.186582</v>
      </c>
      <c r="AO66" s="28">
        <v>0.33895799999999998</v>
      </c>
      <c r="AP66" s="28">
        <v>9.2895000000000005E-2</v>
      </c>
      <c r="AQ66" s="28">
        <v>0.99318200000000001</v>
      </c>
      <c r="AR66" s="28">
        <v>0.50696799999999997</v>
      </c>
      <c r="AS66" s="28">
        <v>0.240587</v>
      </c>
      <c r="AT66" s="28">
        <v>0.16120300000000001</v>
      </c>
      <c r="AU66" s="28">
        <v>-0.61085699999999998</v>
      </c>
      <c r="AV66" s="28">
        <v>-0.13264599999999999</v>
      </c>
      <c r="AW66" s="28">
        <v>-0.26988699999999999</v>
      </c>
      <c r="AX66" s="28">
        <v>0.17993799999999999</v>
      </c>
      <c r="AY66" s="28">
        <v>0.35216399999999998</v>
      </c>
      <c r="AZ66" s="28">
        <v>-0.67868200000000001</v>
      </c>
      <c r="BA66" s="28">
        <v>-5.6218999999999998E-2</v>
      </c>
      <c r="BB66" s="28">
        <v>-1.2801910000000001</v>
      </c>
      <c r="BC66" s="28">
        <v>113.875626</v>
      </c>
      <c r="BD66" s="28">
        <v>2460.578125</v>
      </c>
      <c r="BE66" s="28">
        <v>1186.0922849999999</v>
      </c>
      <c r="BF66" s="28">
        <v>23.438606</v>
      </c>
      <c r="BG66" s="28">
        <v>4.2665000000000002E-2</v>
      </c>
    </row>
    <row r="67" spans="1:59">
      <c r="A67" s="27">
        <v>34</v>
      </c>
      <c r="B67" s="27">
        <v>41.218620000000001</v>
      </c>
      <c r="C67" s="27">
        <v>-3</v>
      </c>
      <c r="D67" s="27">
        <v>0</v>
      </c>
      <c r="E67" s="28">
        <v>-0.66622000000000003</v>
      </c>
      <c r="F67" s="28">
        <v>-0.53908500000000004</v>
      </c>
      <c r="G67" s="28">
        <v>1.3139609999999999</v>
      </c>
      <c r="H67" s="28">
        <v>0.37419999999999998</v>
      </c>
      <c r="I67" s="28">
        <v>0.31695899999999999</v>
      </c>
      <c r="J67" s="28">
        <v>0.31533600000000001</v>
      </c>
      <c r="K67" s="28">
        <v>0.65815500000000005</v>
      </c>
      <c r="L67" s="28">
        <v>0.12439</v>
      </c>
      <c r="M67" s="28">
        <v>-0.24601200000000001</v>
      </c>
      <c r="N67" s="28">
        <v>0.685338</v>
      </c>
      <c r="O67" s="28">
        <v>-1.6915340000000001</v>
      </c>
      <c r="P67" s="28">
        <v>1.7136009999999999</v>
      </c>
      <c r="Q67" s="28">
        <v>-0.175285</v>
      </c>
      <c r="R67" s="28">
        <v>-0.88014700000000001</v>
      </c>
      <c r="S67" s="28">
        <v>0.24867</v>
      </c>
      <c r="T67" s="28">
        <v>-0.24318600000000001</v>
      </c>
      <c r="U67" s="28">
        <v>1.020362</v>
      </c>
      <c r="V67" s="28">
        <v>-0.47453499999999998</v>
      </c>
      <c r="W67" s="28">
        <v>0.40415600000000002</v>
      </c>
      <c r="X67" s="28">
        <v>0.108114</v>
      </c>
      <c r="Y67" s="28">
        <v>-0.73552499999999998</v>
      </c>
      <c r="Z67" s="28">
        <v>0.56257599999999996</v>
      </c>
      <c r="AA67" s="28">
        <v>0.539435</v>
      </c>
      <c r="AB67" s="28">
        <v>0.74824500000000005</v>
      </c>
      <c r="AC67" s="28">
        <v>-0.71911400000000003</v>
      </c>
      <c r="AD67" s="28">
        <v>0.592117</v>
      </c>
      <c r="AE67" s="28">
        <v>-0.68152699999999999</v>
      </c>
      <c r="AF67" s="28">
        <v>-3.1071999999999999E-2</v>
      </c>
      <c r="AG67" s="28">
        <v>0.574847</v>
      </c>
      <c r="AH67" s="28">
        <v>4.0721E-2</v>
      </c>
      <c r="AI67" s="28">
        <v>-0.31113400000000002</v>
      </c>
      <c r="AJ67" s="28">
        <v>0.128106</v>
      </c>
      <c r="AK67" s="28">
        <v>0.75648499999999996</v>
      </c>
      <c r="AL67" s="28">
        <v>0.64789099999999999</v>
      </c>
      <c r="AM67" s="28">
        <v>0.62507000000000001</v>
      </c>
      <c r="AN67" s="28">
        <v>0.26489299999999999</v>
      </c>
      <c r="AO67" s="28">
        <v>-0.50260000000000005</v>
      </c>
      <c r="AP67" s="28">
        <v>-0.37491999999999998</v>
      </c>
      <c r="AQ67" s="28">
        <v>0.42408800000000002</v>
      </c>
      <c r="AR67" s="28">
        <v>0.13993700000000001</v>
      </c>
      <c r="AS67" s="28">
        <v>-0.25101899999999999</v>
      </c>
      <c r="AT67" s="28">
        <v>0.60972800000000005</v>
      </c>
      <c r="AU67" s="28">
        <v>-0.87458400000000003</v>
      </c>
      <c r="AV67" s="28">
        <v>0.52196799999999999</v>
      </c>
      <c r="AW67" s="28">
        <v>-0.47540500000000002</v>
      </c>
      <c r="AX67" s="28">
        <v>0.41020699999999999</v>
      </c>
      <c r="AY67" s="28">
        <v>0.496174</v>
      </c>
      <c r="AZ67" s="28">
        <v>0.10736800000000001</v>
      </c>
      <c r="BA67" s="28">
        <v>0.55427300000000002</v>
      </c>
      <c r="BB67" s="28">
        <v>-1.0216069999999999</v>
      </c>
      <c r="BC67" s="28">
        <v>172.48355100000001</v>
      </c>
      <c r="BD67" s="28">
        <v>1617.537476</v>
      </c>
      <c r="BE67" s="28">
        <v>863.63488800000005</v>
      </c>
      <c r="BF67" s="28">
        <v>20.952541</v>
      </c>
      <c r="BG67" s="28">
        <v>4.7726999999999999E-2</v>
      </c>
    </row>
    <row r="68" spans="1:59">
      <c r="A68" s="27">
        <v>35</v>
      </c>
      <c r="B68" s="27">
        <v>43.606934000000003</v>
      </c>
      <c r="C68" s="27">
        <v>-3</v>
      </c>
      <c r="D68" s="27">
        <v>0</v>
      </c>
      <c r="E68" s="28">
        <v>0.70118800000000003</v>
      </c>
      <c r="F68" s="28">
        <v>-0.77819899999999997</v>
      </c>
      <c r="G68" s="28">
        <v>3.1711999999999997E-2</v>
      </c>
      <c r="H68" s="28">
        <v>0.64301200000000003</v>
      </c>
      <c r="I68" s="28">
        <v>0.37828099999999998</v>
      </c>
      <c r="J68" s="28">
        <v>-0.91408699999999998</v>
      </c>
      <c r="K68" s="28">
        <v>0.68633999999999995</v>
      </c>
      <c r="L68" s="28">
        <v>-1.1864509999999999</v>
      </c>
      <c r="M68" s="28">
        <v>-8.1648999999999999E-2</v>
      </c>
      <c r="N68" s="28">
        <v>0.24657599999999999</v>
      </c>
      <c r="O68" s="28">
        <v>0.78340399999999999</v>
      </c>
      <c r="P68" s="28">
        <v>-0.88504099999999997</v>
      </c>
      <c r="Q68" s="28">
        <v>-0.51915699999999998</v>
      </c>
      <c r="R68" s="28">
        <v>1.035377</v>
      </c>
      <c r="S68" s="28">
        <v>-0.19822999999999999</v>
      </c>
      <c r="T68" s="28">
        <v>0.12973899999999999</v>
      </c>
      <c r="U68" s="28">
        <v>-0.52273099999999995</v>
      </c>
      <c r="V68" s="28">
        <v>-0.40881899999999999</v>
      </c>
      <c r="W68" s="28">
        <v>-0.65687399999999996</v>
      </c>
      <c r="X68" s="28">
        <v>0.66090300000000002</v>
      </c>
      <c r="Y68" s="28">
        <v>-1.2415909999999999</v>
      </c>
      <c r="Z68" s="28">
        <v>-0.96428700000000001</v>
      </c>
      <c r="AA68" s="28">
        <v>-0.34388299999999999</v>
      </c>
      <c r="AB68" s="28">
        <v>0.71516500000000005</v>
      </c>
      <c r="AC68" s="28">
        <v>-0.61223799999999995</v>
      </c>
      <c r="AD68" s="28">
        <v>-0.310886</v>
      </c>
      <c r="AE68" s="28">
        <v>-0.98727699999999996</v>
      </c>
      <c r="AF68" s="28">
        <v>0.66283499999999995</v>
      </c>
      <c r="AG68" s="28">
        <v>4.3470000000000002E-2</v>
      </c>
      <c r="AH68" s="28">
        <v>0.44044</v>
      </c>
      <c r="AI68" s="28">
        <v>0.65242</v>
      </c>
      <c r="AJ68" s="28">
        <v>0.223997</v>
      </c>
      <c r="AK68" s="28">
        <v>2.3810000000000001E-2</v>
      </c>
      <c r="AL68" s="28">
        <v>0.49069200000000002</v>
      </c>
      <c r="AM68" s="28">
        <v>-0.248358</v>
      </c>
      <c r="AN68" s="28">
        <v>0.80503199999999997</v>
      </c>
      <c r="AO68" s="28">
        <v>0.60842399999999996</v>
      </c>
      <c r="AP68" s="28">
        <v>5.6078000000000003E-2</v>
      </c>
      <c r="AQ68" s="28">
        <v>-0.54683099999999996</v>
      </c>
      <c r="AR68" s="28">
        <v>0.37801899999999999</v>
      </c>
      <c r="AS68" s="28">
        <v>-0.169601</v>
      </c>
      <c r="AT68" s="28">
        <v>0.31381100000000001</v>
      </c>
      <c r="AU68" s="28">
        <v>0.39277400000000001</v>
      </c>
      <c r="AV68" s="28">
        <v>-0.75850799999999996</v>
      </c>
      <c r="AW68" s="28">
        <v>0.97770299999999999</v>
      </c>
      <c r="AX68" s="28">
        <v>-0.82261600000000001</v>
      </c>
      <c r="AY68" s="28">
        <v>0.20293700000000001</v>
      </c>
      <c r="AZ68" s="28">
        <v>0.64005800000000002</v>
      </c>
      <c r="BA68" s="28">
        <v>-0.60011700000000001</v>
      </c>
      <c r="BB68" s="28">
        <v>1.5343000000000001E-2</v>
      </c>
      <c r="BC68" s="28">
        <v>164.347229</v>
      </c>
      <c r="BD68" s="28">
        <v>1815.3508300000001</v>
      </c>
      <c r="BE68" s="28">
        <v>840.10095200000001</v>
      </c>
      <c r="BF68" s="28">
        <v>19.265305999999999</v>
      </c>
      <c r="BG68" s="28">
        <v>5.1907000000000002E-2</v>
      </c>
    </row>
    <row r="69" spans="1:59">
      <c r="A69" s="27">
        <v>36</v>
      </c>
      <c r="B69" s="27">
        <v>47.164833000000002</v>
      </c>
      <c r="C69" s="27">
        <v>-3</v>
      </c>
      <c r="D69" s="27">
        <v>0</v>
      </c>
      <c r="E69" s="28">
        <v>0.14194000000000001</v>
      </c>
      <c r="F69" s="28">
        <v>1.2506390000000001</v>
      </c>
      <c r="G69" s="28">
        <v>-0.81791199999999997</v>
      </c>
      <c r="H69" s="28">
        <v>0.54447299999999998</v>
      </c>
      <c r="I69" s="28">
        <v>-0.45896700000000001</v>
      </c>
      <c r="J69" s="28">
        <v>0.69933100000000004</v>
      </c>
      <c r="K69" s="28">
        <v>0.81448100000000001</v>
      </c>
      <c r="L69" s="28">
        <v>-0.191992</v>
      </c>
      <c r="M69" s="28">
        <v>-0.18806999999999999</v>
      </c>
      <c r="N69" s="28">
        <v>0.104064</v>
      </c>
      <c r="O69" s="28">
        <v>-0.58274999999999999</v>
      </c>
      <c r="P69" s="28">
        <v>0.21702199999999999</v>
      </c>
      <c r="Q69" s="28">
        <v>-0.42371900000000001</v>
      </c>
      <c r="R69" s="28">
        <v>0.85927600000000004</v>
      </c>
      <c r="S69" s="28">
        <v>0.43825799999999998</v>
      </c>
      <c r="T69" s="28">
        <v>-0.80034700000000003</v>
      </c>
      <c r="U69" s="28">
        <v>-0.74512299999999998</v>
      </c>
      <c r="V69" s="28">
        <v>-0.32855600000000001</v>
      </c>
      <c r="W69" s="28">
        <v>1.5563480000000001</v>
      </c>
      <c r="X69" s="28">
        <v>-1.0259309999999999</v>
      </c>
      <c r="Y69" s="28">
        <v>-0.40920400000000001</v>
      </c>
      <c r="Z69" s="28">
        <v>9.3523999999999996E-2</v>
      </c>
      <c r="AA69" s="28">
        <v>6.3188999999999995E-2</v>
      </c>
      <c r="AB69" s="28">
        <v>0.15293499999999999</v>
      </c>
      <c r="AC69" s="28">
        <v>-0.72272800000000004</v>
      </c>
      <c r="AD69" s="28">
        <v>-0.51946199999999998</v>
      </c>
      <c r="AE69" s="28">
        <v>0.13444999999999999</v>
      </c>
      <c r="AF69" s="28">
        <v>0.94771300000000003</v>
      </c>
      <c r="AG69" s="28">
        <v>0.21096799999999999</v>
      </c>
      <c r="AH69" s="28">
        <v>0.60152000000000005</v>
      </c>
      <c r="AI69" s="28">
        <v>0.15823899999999999</v>
      </c>
      <c r="AJ69" s="28">
        <v>-0.80809200000000003</v>
      </c>
      <c r="AK69" s="28">
        <v>0.320656</v>
      </c>
      <c r="AL69" s="28">
        <v>-0.56914699999999996</v>
      </c>
      <c r="AM69" s="28">
        <v>0.104336</v>
      </c>
      <c r="AN69" s="28">
        <v>-0.14121300000000001</v>
      </c>
      <c r="AO69" s="28">
        <v>3.6859000000000003E-2</v>
      </c>
      <c r="AP69" s="28">
        <v>-0.66616200000000003</v>
      </c>
      <c r="AQ69" s="28">
        <v>0.64614499999999997</v>
      </c>
      <c r="AR69" s="28">
        <v>0.16065399999999999</v>
      </c>
      <c r="AS69" s="28">
        <v>1.140854</v>
      </c>
      <c r="AT69" s="28">
        <v>0.75732500000000003</v>
      </c>
      <c r="AU69" s="28">
        <v>0.56845500000000004</v>
      </c>
      <c r="AV69" s="28">
        <v>-1.2027939999999999</v>
      </c>
      <c r="AW69" s="28">
        <v>-6.7622000000000002E-2</v>
      </c>
      <c r="AX69" s="28">
        <v>-0.34335500000000002</v>
      </c>
      <c r="AY69" s="28">
        <v>0.84750599999999998</v>
      </c>
      <c r="AZ69" s="28">
        <v>-0.29188599999999998</v>
      </c>
      <c r="BA69" s="28">
        <v>-0.28097</v>
      </c>
      <c r="BB69" s="28">
        <v>-0.70093300000000003</v>
      </c>
      <c r="BC69" s="28">
        <v>178.82939099999999</v>
      </c>
      <c r="BD69" s="28">
        <v>2131.1918949999999</v>
      </c>
      <c r="BE69" s="28">
        <v>931.71661400000005</v>
      </c>
      <c r="BF69" s="28">
        <v>19.754477999999999</v>
      </c>
      <c r="BG69" s="28">
        <v>5.0620999999999999E-2</v>
      </c>
    </row>
    <row r="70" spans="1:59">
      <c r="A70" s="27">
        <v>37</v>
      </c>
      <c r="B70" s="27">
        <v>41.717033000000001</v>
      </c>
      <c r="C70" s="27">
        <v>-3</v>
      </c>
      <c r="D70" s="27">
        <v>0</v>
      </c>
      <c r="E70" s="28">
        <v>0.977024</v>
      </c>
      <c r="F70" s="28">
        <v>-0.77819899999999997</v>
      </c>
      <c r="G70" s="28">
        <v>0.28137000000000001</v>
      </c>
      <c r="H70" s="28">
        <v>0.210147</v>
      </c>
      <c r="I70" s="28">
        <v>0.75479200000000002</v>
      </c>
      <c r="J70" s="28">
        <v>-1.792562</v>
      </c>
      <c r="K70" s="28">
        <v>0.68064400000000003</v>
      </c>
      <c r="L70" s="28">
        <v>-0.47226499999999999</v>
      </c>
      <c r="M70" s="28">
        <v>-0.21042</v>
      </c>
      <c r="N70" s="28">
        <v>-0.56348200000000004</v>
      </c>
      <c r="O70" s="28">
        <v>0.35940800000000001</v>
      </c>
      <c r="P70" s="28">
        <v>-0.662134</v>
      </c>
      <c r="Q70" s="28">
        <v>-1.333936</v>
      </c>
      <c r="R70" s="28">
        <v>1.1656359999999999</v>
      </c>
      <c r="S70" s="28">
        <v>0.39030100000000001</v>
      </c>
      <c r="T70" s="28">
        <v>0.12973899999999999</v>
      </c>
      <c r="U70" s="28">
        <v>-0.52273099999999995</v>
      </c>
      <c r="V70" s="28">
        <v>1.156361</v>
      </c>
      <c r="W70" s="28">
        <v>-0.85358699999999998</v>
      </c>
      <c r="X70" s="28">
        <v>4.7983999999999999E-2</v>
      </c>
      <c r="Y70" s="28">
        <v>-0.40818500000000002</v>
      </c>
      <c r="Z70" s="28">
        <v>-0.96428700000000001</v>
      </c>
      <c r="AA70" s="28">
        <v>-0.70098700000000003</v>
      </c>
      <c r="AB70" s="28">
        <v>5.7111000000000002E-2</v>
      </c>
      <c r="AC70" s="28">
        <v>-0.157724</v>
      </c>
      <c r="AD70" s="28">
        <v>-0.310886</v>
      </c>
      <c r="AE70" s="28">
        <v>-0.24035500000000001</v>
      </c>
      <c r="AF70" s="28">
        <v>1.41211</v>
      </c>
      <c r="AG70" s="28">
        <v>0.32704899999999998</v>
      </c>
      <c r="AH70" s="28">
        <v>0.42012899999999997</v>
      </c>
      <c r="AI70" s="28">
        <v>0.648756</v>
      </c>
      <c r="AJ70" s="28">
        <v>0.87153599999999998</v>
      </c>
      <c r="AK70" s="28">
        <v>0.26472000000000001</v>
      </c>
      <c r="AL70" s="28">
        <v>3.2361000000000001E-2</v>
      </c>
      <c r="AM70" s="28">
        <v>4.2389000000000003E-2</v>
      </c>
      <c r="AN70" s="28">
        <v>0.51620500000000002</v>
      </c>
      <c r="AO70" s="28">
        <v>6.7905999999999994E-2</v>
      </c>
      <c r="AP70" s="28">
        <v>-0.15556400000000001</v>
      </c>
      <c r="AQ70" s="28">
        <v>-0.36950100000000002</v>
      </c>
      <c r="AR70" s="28">
        <v>0.35318699999999997</v>
      </c>
      <c r="AS70" s="28">
        <v>-0.182979</v>
      </c>
      <c r="AT70" s="28">
        <v>1.2469730000000001</v>
      </c>
      <c r="AU70" s="28">
        <v>0.56035299999999999</v>
      </c>
      <c r="AV70" s="28">
        <v>-9.7970000000000002E-3</v>
      </c>
      <c r="AW70" s="28">
        <v>0.322075</v>
      </c>
      <c r="AX70" s="28">
        <v>-1.2087969999999999</v>
      </c>
      <c r="AY70" s="28">
        <v>-0.42161300000000002</v>
      </c>
      <c r="AZ70" s="28">
        <v>0.54421399999999998</v>
      </c>
      <c r="BA70" s="28">
        <v>-0.45694699999999999</v>
      </c>
      <c r="BB70" s="28">
        <v>0.80196400000000001</v>
      </c>
      <c r="BC70" s="28">
        <v>157.729874</v>
      </c>
      <c r="BD70" s="28">
        <v>1657.876831</v>
      </c>
      <c r="BE70" s="28">
        <v>975.42541500000004</v>
      </c>
      <c r="BF70" s="28">
        <v>23.381947</v>
      </c>
      <c r="BG70" s="28">
        <v>4.2768E-2</v>
      </c>
    </row>
    <row r="71" spans="1:59">
      <c r="A71" s="27">
        <v>38</v>
      </c>
      <c r="B71" s="27">
        <v>48.719925000000003</v>
      </c>
      <c r="C71" s="27">
        <v>-3</v>
      </c>
      <c r="D71" s="27">
        <v>0</v>
      </c>
      <c r="E71" s="28">
        <v>-0.48004000000000002</v>
      </c>
      <c r="F71" s="28">
        <v>-0.29918</v>
      </c>
      <c r="G71" s="28">
        <v>-8.6808999999999997E-2</v>
      </c>
      <c r="H71" s="28">
        <v>-0.69194999999999995</v>
      </c>
      <c r="I71" s="28">
        <v>-0.40525699999999998</v>
      </c>
      <c r="J71" s="28">
        <v>-0.51694200000000001</v>
      </c>
      <c r="K71" s="28">
        <v>-0.72670100000000004</v>
      </c>
      <c r="L71" s="28">
        <v>-3.5962000000000001E-2</v>
      </c>
      <c r="M71" s="28">
        <v>1.1259E-2</v>
      </c>
      <c r="N71" s="28">
        <v>-1.295855</v>
      </c>
      <c r="O71" s="28">
        <v>0.30219099999999999</v>
      </c>
      <c r="P71" s="28">
        <v>0.20626800000000001</v>
      </c>
      <c r="Q71" s="28">
        <v>-0.99504499999999996</v>
      </c>
      <c r="R71" s="28">
        <v>-0.74937399999999998</v>
      </c>
      <c r="S71" s="28">
        <v>0.92351799999999995</v>
      </c>
      <c r="T71" s="28">
        <v>-1.7750000000000001E-3</v>
      </c>
      <c r="U71" s="28">
        <v>0.22767699999999999</v>
      </c>
      <c r="V71" s="28">
        <v>1.220369</v>
      </c>
      <c r="W71" s="28">
        <v>-1.7805999999999999E-2</v>
      </c>
      <c r="X71" s="28">
        <v>0.156726</v>
      </c>
      <c r="Y71" s="28">
        <v>0.29119299999999998</v>
      </c>
      <c r="Z71" s="28">
        <v>-7.0399999999999998E-4</v>
      </c>
      <c r="AA71" s="28">
        <v>1.1243050000000001</v>
      </c>
      <c r="AB71" s="28">
        <v>1.16414</v>
      </c>
      <c r="AC71" s="28">
        <v>-0.66853499999999999</v>
      </c>
      <c r="AD71" s="28">
        <v>-0.58297600000000005</v>
      </c>
      <c r="AE71" s="28">
        <v>-0.49433300000000002</v>
      </c>
      <c r="AF71" s="28">
        <v>-0.29913600000000001</v>
      </c>
      <c r="AG71" s="28">
        <v>0.11497400000000001</v>
      </c>
      <c r="AH71" s="28">
        <v>-0.58873399999999998</v>
      </c>
      <c r="AI71" s="28">
        <v>0.15962999999999999</v>
      </c>
      <c r="AJ71" s="28">
        <v>-1.332638</v>
      </c>
      <c r="AK71" s="28">
        <v>-0.57228599999999996</v>
      </c>
      <c r="AL71" s="28">
        <v>0.42866799999999999</v>
      </c>
      <c r="AM71" s="28">
        <v>-0.416159</v>
      </c>
      <c r="AN71" s="28">
        <v>-0.18428600000000001</v>
      </c>
      <c r="AO71" s="28">
        <v>-0.119572</v>
      </c>
      <c r="AP71" s="28">
        <v>0.54732899999999995</v>
      </c>
      <c r="AQ71" s="28">
        <v>1.4184840000000001</v>
      </c>
      <c r="AR71" s="28">
        <v>0.75049500000000002</v>
      </c>
      <c r="AS71" s="28">
        <v>-3.1882000000000001E-2</v>
      </c>
      <c r="AT71" s="28">
        <v>-0.35848099999999999</v>
      </c>
      <c r="AU71" s="28">
        <v>-0.38985799999999998</v>
      </c>
      <c r="AV71" s="28">
        <v>0.44205</v>
      </c>
      <c r="AW71" s="28">
        <v>-8.0337000000000006E-2</v>
      </c>
      <c r="AX71" s="28">
        <v>-0.148808</v>
      </c>
      <c r="AY71" s="28">
        <v>-0.64418399999999998</v>
      </c>
      <c r="AZ71" s="28">
        <v>-0.26361800000000002</v>
      </c>
      <c r="BA71" s="28">
        <v>-0.81189100000000003</v>
      </c>
      <c r="BB71" s="28">
        <v>-0.15987699999999999</v>
      </c>
      <c r="BC71" s="28">
        <v>143.04063400000001</v>
      </c>
      <c r="BD71" s="28">
        <v>2277.1911620000001</v>
      </c>
      <c r="BE71" s="28">
        <v>916.87182600000006</v>
      </c>
      <c r="BF71" s="28">
        <v>18.819237000000001</v>
      </c>
      <c r="BG71" s="28">
        <v>5.3136999999999997E-2</v>
      </c>
    </row>
    <row r="72" spans="1:59">
      <c r="A72" s="27">
        <v>39</v>
      </c>
      <c r="B72" s="27">
        <v>46.839354999999998</v>
      </c>
      <c r="C72" s="27">
        <v>-3</v>
      </c>
      <c r="D72" s="27">
        <v>0</v>
      </c>
      <c r="E72" s="28">
        <v>-0.133548</v>
      </c>
      <c r="F72" s="28">
        <v>-0.29202899999999998</v>
      </c>
      <c r="G72" s="28">
        <v>0.33238299999999998</v>
      </c>
      <c r="H72" s="28">
        <v>0.565195</v>
      </c>
      <c r="I72" s="28">
        <v>6.4107999999999998E-2</v>
      </c>
      <c r="J72" s="28">
        <v>0.75477300000000003</v>
      </c>
      <c r="K72" s="28">
        <v>-0.57425400000000004</v>
      </c>
      <c r="L72" s="28">
        <v>-0.91447599999999996</v>
      </c>
      <c r="M72" s="28">
        <v>-0.63048499999999996</v>
      </c>
      <c r="N72" s="28">
        <v>-0.54204799999999997</v>
      </c>
      <c r="O72" s="28">
        <v>-1.757128</v>
      </c>
      <c r="P72" s="28">
        <v>-0.26580500000000001</v>
      </c>
      <c r="Q72" s="28">
        <v>-8.7710999999999997E-2</v>
      </c>
      <c r="R72" s="28">
        <v>0.31640699999999999</v>
      </c>
      <c r="S72" s="28">
        <v>0.87713600000000003</v>
      </c>
      <c r="T72" s="28">
        <v>-0.48749700000000001</v>
      </c>
      <c r="U72" s="28">
        <v>-0.67758099999999999</v>
      </c>
      <c r="V72" s="28">
        <v>0.84513199999999999</v>
      </c>
      <c r="W72" s="28">
        <v>0.84059499999999998</v>
      </c>
      <c r="X72" s="28">
        <v>1.5749770000000001</v>
      </c>
      <c r="Y72" s="28">
        <v>-8.1018999999999994E-2</v>
      </c>
      <c r="Z72" s="28">
        <v>0.78932500000000005</v>
      </c>
      <c r="AA72" s="28">
        <v>-0.72892100000000004</v>
      </c>
      <c r="AB72" s="28">
        <v>-6.9540000000000005E-2</v>
      </c>
      <c r="AC72" s="28">
        <v>1.542127</v>
      </c>
      <c r="AD72" s="28">
        <v>-0.104186</v>
      </c>
      <c r="AE72" s="28">
        <v>1.1705099999999999</v>
      </c>
      <c r="AF72" s="28">
        <v>-0.59820099999999998</v>
      </c>
      <c r="AG72" s="28">
        <v>0.73749100000000001</v>
      </c>
      <c r="AH72" s="28">
        <v>-0.61648000000000003</v>
      </c>
      <c r="AI72" s="28">
        <v>0.71963299999999997</v>
      </c>
      <c r="AJ72" s="28">
        <v>-0.31334099999999998</v>
      </c>
      <c r="AK72" s="28">
        <v>-1.313091</v>
      </c>
      <c r="AL72" s="28">
        <v>0.65403699999999998</v>
      </c>
      <c r="AM72" s="28">
        <v>0.96404999999999996</v>
      </c>
      <c r="AN72" s="28">
        <v>-0.62397000000000002</v>
      </c>
      <c r="AO72" s="28">
        <v>-6.8447999999999995E-2</v>
      </c>
      <c r="AP72" s="28">
        <v>0.47805199999999998</v>
      </c>
      <c r="AQ72" s="28">
        <v>0.11666</v>
      </c>
      <c r="AR72" s="28">
        <v>-0.71418199999999998</v>
      </c>
      <c r="AS72" s="28">
        <v>0.81735800000000003</v>
      </c>
      <c r="AT72" s="28">
        <v>0.36291200000000001</v>
      </c>
      <c r="AU72" s="28">
        <v>0.179867</v>
      </c>
      <c r="AV72" s="28">
        <v>-1.4990380000000001</v>
      </c>
      <c r="AW72" s="28">
        <v>0.539632</v>
      </c>
      <c r="AX72" s="28">
        <v>0.16949900000000001</v>
      </c>
      <c r="AY72" s="28">
        <v>-0.14688100000000001</v>
      </c>
      <c r="AZ72" s="28">
        <v>0.21618299999999999</v>
      </c>
      <c r="BA72" s="28">
        <v>0.13854900000000001</v>
      </c>
      <c r="BB72" s="28">
        <v>-0.102879</v>
      </c>
      <c r="BC72" s="28">
        <v>86.890518</v>
      </c>
      <c r="BD72" s="28">
        <v>2101.2465820000002</v>
      </c>
      <c r="BE72" s="28">
        <v>1224.6263429999999</v>
      </c>
      <c r="BF72" s="28">
        <v>26.145244999999999</v>
      </c>
      <c r="BG72" s="28">
        <v>3.8247999999999997E-2</v>
      </c>
    </row>
    <row r="73" spans="1:59">
      <c r="A73" s="27">
        <v>40</v>
      </c>
      <c r="B73" s="27">
        <v>51.350974999999998</v>
      </c>
      <c r="C73" s="27">
        <v>-3</v>
      </c>
      <c r="D73" s="27">
        <v>0</v>
      </c>
      <c r="E73" s="28">
        <v>0.86573100000000003</v>
      </c>
      <c r="F73" s="28">
        <v>0.26011600000000001</v>
      </c>
      <c r="G73" s="28">
        <v>-0.19200700000000001</v>
      </c>
      <c r="H73" s="28">
        <v>-0.44339400000000001</v>
      </c>
      <c r="I73" s="28">
        <v>0.431925</v>
      </c>
      <c r="J73" s="28">
        <v>7.9322000000000004E-2</v>
      </c>
      <c r="K73" s="28">
        <v>0.51962200000000003</v>
      </c>
      <c r="L73" s="28">
        <v>-0.51019000000000003</v>
      </c>
      <c r="M73" s="28">
        <v>-0.20116000000000001</v>
      </c>
      <c r="N73" s="28">
        <v>-0.21779200000000001</v>
      </c>
      <c r="O73" s="28">
        <v>0.87763599999999997</v>
      </c>
      <c r="P73" s="28">
        <v>1.3365689999999999</v>
      </c>
      <c r="Q73" s="28">
        <v>0.80072900000000002</v>
      </c>
      <c r="R73" s="28">
        <v>-0.15603400000000001</v>
      </c>
      <c r="S73" s="28">
        <v>-0.19306799999999999</v>
      </c>
      <c r="T73" s="28">
        <v>-1.3053049999999999</v>
      </c>
      <c r="U73" s="28">
        <v>-0.85171399999999997</v>
      </c>
      <c r="V73" s="28">
        <v>-0.50067700000000004</v>
      </c>
      <c r="W73" s="28">
        <v>-0.79435599999999995</v>
      </c>
      <c r="X73" s="28">
        <v>-1.2058519999999999</v>
      </c>
      <c r="Y73" s="28">
        <v>-1.1045689999999999</v>
      </c>
      <c r="Z73" s="28">
        <v>-0.39733400000000002</v>
      </c>
      <c r="AA73" s="28">
        <v>-0.728078</v>
      </c>
      <c r="AB73" s="28">
        <v>0.93000499999999997</v>
      </c>
      <c r="AC73" s="28">
        <v>-1.10981</v>
      </c>
      <c r="AD73" s="28">
        <v>0.49109999999999998</v>
      </c>
      <c r="AE73" s="28">
        <v>0.45009300000000002</v>
      </c>
      <c r="AF73" s="28">
        <v>-0.49880099999999999</v>
      </c>
      <c r="AG73" s="28">
        <v>-1.379103</v>
      </c>
      <c r="AH73" s="28">
        <v>8.8372999999999993E-2</v>
      </c>
      <c r="AI73" s="28">
        <v>-0.87578100000000003</v>
      </c>
      <c r="AJ73" s="28">
        <v>-1.5870000000000001E-3</v>
      </c>
      <c r="AK73" s="28">
        <v>0.24960499999999999</v>
      </c>
      <c r="AL73" s="28">
        <v>0.51665499999999998</v>
      </c>
      <c r="AM73" s="28">
        <v>0.89010100000000003</v>
      </c>
      <c r="AN73" s="28">
        <v>0.14461299999999999</v>
      </c>
      <c r="AO73" s="28">
        <v>-0.121977</v>
      </c>
      <c r="AP73" s="28">
        <v>-1.275976</v>
      </c>
      <c r="AQ73" s="28">
        <v>0.71731</v>
      </c>
      <c r="AR73" s="28">
        <v>0.48627700000000001</v>
      </c>
      <c r="AS73" s="28">
        <v>0.94775399999999999</v>
      </c>
      <c r="AT73" s="28">
        <v>0.92302799999999996</v>
      </c>
      <c r="AU73" s="28">
        <v>-0.50062700000000004</v>
      </c>
      <c r="AV73" s="28">
        <v>0.52948799999999996</v>
      </c>
      <c r="AW73" s="28">
        <v>0.97743400000000003</v>
      </c>
      <c r="AX73" s="28">
        <v>-0.78965600000000002</v>
      </c>
      <c r="AY73" s="28">
        <v>-0.59387999999999996</v>
      </c>
      <c r="AZ73" s="28">
        <v>0.99133800000000005</v>
      </c>
      <c r="BA73" s="28">
        <v>0.22816400000000001</v>
      </c>
      <c r="BB73" s="28">
        <v>-0.48311799999999999</v>
      </c>
      <c r="BC73" s="28">
        <v>100.98942599999999</v>
      </c>
      <c r="BD73" s="28">
        <v>2535.220703</v>
      </c>
      <c r="BE73" s="28">
        <v>1349.3754879999999</v>
      </c>
      <c r="BF73" s="28">
        <v>26.277504</v>
      </c>
      <c r="BG73" s="28">
        <v>3.8054999999999999E-2</v>
      </c>
    </row>
    <row r="74" spans="1:59">
      <c r="A74" s="27">
        <v>41</v>
      </c>
      <c r="B74" s="27">
        <v>47.376514</v>
      </c>
      <c r="C74" s="27">
        <v>-3</v>
      </c>
      <c r="D74" s="27">
        <v>0</v>
      </c>
      <c r="E74" s="28">
        <v>0.94180900000000001</v>
      </c>
      <c r="F74" s="28">
        <v>-0.96661600000000003</v>
      </c>
      <c r="G74" s="28">
        <v>-0.14559800000000001</v>
      </c>
      <c r="H74" s="28">
        <v>-1.106069</v>
      </c>
      <c r="I74" s="28">
        <v>-0.74907900000000005</v>
      </c>
      <c r="J74" s="28">
        <v>-0.919377</v>
      </c>
      <c r="K74" s="28">
        <v>0.66791500000000004</v>
      </c>
      <c r="L74" s="28">
        <v>-0.78257600000000005</v>
      </c>
      <c r="M74" s="28">
        <v>0.45502300000000001</v>
      </c>
      <c r="N74" s="28">
        <v>0.18059900000000001</v>
      </c>
      <c r="O74" s="28">
        <v>-0.311589</v>
      </c>
      <c r="P74" s="28">
        <v>-1.3452040000000001</v>
      </c>
      <c r="Q74" s="28">
        <v>0.650173</v>
      </c>
      <c r="R74" s="28">
        <v>-0.66533900000000001</v>
      </c>
      <c r="S74" s="28">
        <v>0.103848</v>
      </c>
      <c r="T74" s="28">
        <v>7.9430000000000004E-3</v>
      </c>
      <c r="U74" s="28">
        <v>-0.96284999999999998</v>
      </c>
      <c r="V74" s="28">
        <v>0.97151299999999996</v>
      </c>
      <c r="W74" s="28">
        <v>0.37457000000000001</v>
      </c>
      <c r="X74" s="28">
        <v>-0.78102400000000005</v>
      </c>
      <c r="Y74" s="28">
        <v>0.64737999999999996</v>
      </c>
      <c r="Z74" s="28">
        <v>0.61243499999999995</v>
      </c>
      <c r="AA74" s="28">
        <v>0.67593400000000003</v>
      </c>
      <c r="AB74" s="28">
        <v>0.32172499999999998</v>
      </c>
      <c r="AC74" s="28">
        <v>-0.48714099999999999</v>
      </c>
      <c r="AD74" s="28">
        <v>-0.543597</v>
      </c>
      <c r="AE74" s="28">
        <v>-0.48388300000000001</v>
      </c>
      <c r="AF74" s="28">
        <v>0.19483600000000001</v>
      </c>
      <c r="AG74" s="28">
        <v>-0.32439400000000002</v>
      </c>
      <c r="AH74" s="28">
        <v>-0.83658999999999994</v>
      </c>
      <c r="AI74" s="28">
        <v>0.55989</v>
      </c>
      <c r="AJ74" s="28">
        <v>-0.69436900000000001</v>
      </c>
      <c r="AK74" s="28">
        <v>-0.33810499999999999</v>
      </c>
      <c r="AL74" s="28">
        <v>-0.29006900000000002</v>
      </c>
      <c r="AM74" s="28">
        <v>0.123238</v>
      </c>
      <c r="AN74" s="28">
        <v>-0.55665600000000004</v>
      </c>
      <c r="AO74" s="28">
        <v>-0.51344100000000004</v>
      </c>
      <c r="AP74" s="28">
        <v>0.89888999999999997</v>
      </c>
      <c r="AQ74" s="28">
        <v>0.18227299999999999</v>
      </c>
      <c r="AR74" s="28">
        <v>0.11677999999999999</v>
      </c>
      <c r="AS74" s="28">
        <v>-0.99398900000000001</v>
      </c>
      <c r="AT74" s="28">
        <v>0.56497900000000001</v>
      </c>
      <c r="AU74" s="28">
        <v>3.3732999999999999E-2</v>
      </c>
      <c r="AV74" s="28">
        <v>-0.67093899999999995</v>
      </c>
      <c r="AW74" s="28">
        <v>-0.15335799999999999</v>
      </c>
      <c r="AX74" s="28">
        <v>1.2475999999999999E-2</v>
      </c>
      <c r="AY74" s="28">
        <v>0.35095900000000002</v>
      </c>
      <c r="AZ74" s="28">
        <v>1.855777</v>
      </c>
      <c r="BA74" s="28">
        <v>0.22327900000000001</v>
      </c>
      <c r="BB74" s="28">
        <v>-0.75554200000000005</v>
      </c>
      <c r="BC74" s="28">
        <v>190.31178299999999</v>
      </c>
      <c r="BD74" s="28">
        <v>2150.7810060000002</v>
      </c>
      <c r="BE74" s="28">
        <v>1068.189697</v>
      </c>
      <c r="BF74" s="28">
        <v>22.546817999999998</v>
      </c>
      <c r="BG74" s="28">
        <v>4.4352000000000003E-2</v>
      </c>
    </row>
    <row r="75" spans="1:59">
      <c r="A75" s="27">
        <v>42</v>
      </c>
      <c r="B75" s="27">
        <v>34.979819999999997</v>
      </c>
      <c r="C75" s="27">
        <v>-3</v>
      </c>
      <c r="D75" s="27">
        <v>0</v>
      </c>
      <c r="E75" s="28">
        <v>-0.86982300000000001</v>
      </c>
      <c r="F75" s="28">
        <v>1.889802</v>
      </c>
      <c r="G75" s="28">
        <v>-1.1225270000000001</v>
      </c>
      <c r="H75" s="28">
        <v>-0.34977599999999998</v>
      </c>
      <c r="I75" s="28">
        <v>-0.80473399999999995</v>
      </c>
      <c r="J75" s="28">
        <v>0.29142800000000002</v>
      </c>
      <c r="K75" s="28">
        <v>0.75990800000000003</v>
      </c>
      <c r="L75" s="28">
        <v>1.163189</v>
      </c>
      <c r="M75" s="28">
        <v>-0.66398000000000001</v>
      </c>
      <c r="N75" s="28">
        <v>0.487176</v>
      </c>
      <c r="O75" s="28">
        <v>-0.19075700000000001</v>
      </c>
      <c r="P75" s="28">
        <v>0.50197999999999998</v>
      </c>
      <c r="Q75" s="28">
        <v>0.157609</v>
      </c>
      <c r="R75" s="28">
        <v>-1.1838409999999999</v>
      </c>
      <c r="S75" s="28">
        <v>1.0614680000000001</v>
      </c>
      <c r="T75" s="28">
        <v>0.30559799999999998</v>
      </c>
      <c r="U75" s="28">
        <v>-0.13653499999999999</v>
      </c>
      <c r="V75" s="28">
        <v>0.31205899999999998</v>
      </c>
      <c r="W75" s="28">
        <v>0.46628199999999997</v>
      </c>
      <c r="X75" s="28">
        <v>0.21223500000000001</v>
      </c>
      <c r="Y75" s="28">
        <v>9.8764000000000005E-2</v>
      </c>
      <c r="Z75" s="28">
        <v>0.25675900000000001</v>
      </c>
      <c r="AA75" s="28">
        <v>0.34425899999999998</v>
      </c>
      <c r="AB75" s="28">
        <v>1.039768</v>
      </c>
      <c r="AC75" s="28">
        <v>-1.5011E-2</v>
      </c>
      <c r="AD75" s="28">
        <v>-7.1163000000000004E-2</v>
      </c>
      <c r="AE75" s="28">
        <v>-0.35044500000000001</v>
      </c>
      <c r="AF75" s="28">
        <v>-0.37630000000000002</v>
      </c>
      <c r="AG75" s="28">
        <v>0.85758000000000001</v>
      </c>
      <c r="AH75" s="28">
        <v>-0.37266700000000003</v>
      </c>
      <c r="AI75" s="28">
        <v>9.6590999999999996E-2</v>
      </c>
      <c r="AJ75" s="28">
        <v>-0.49626199999999998</v>
      </c>
      <c r="AK75" s="28">
        <v>-0.49263200000000001</v>
      </c>
      <c r="AL75" s="28">
        <v>0.76931700000000003</v>
      </c>
      <c r="AM75" s="28">
        <v>0.28421000000000002</v>
      </c>
      <c r="AN75" s="28">
        <v>-0.15013099999999999</v>
      </c>
      <c r="AO75" s="28">
        <v>-0.69565399999999999</v>
      </c>
      <c r="AP75" s="28">
        <v>-0.11658499999999999</v>
      </c>
      <c r="AQ75" s="28">
        <v>-0.35742600000000002</v>
      </c>
      <c r="AR75" s="28">
        <v>0.65850399999999998</v>
      </c>
      <c r="AS75" s="28">
        <v>0.43789099999999997</v>
      </c>
      <c r="AT75" s="28">
        <v>-6.4140000000000003E-2</v>
      </c>
      <c r="AU75" s="28">
        <v>0.29995500000000003</v>
      </c>
      <c r="AV75" s="28">
        <v>-4.8040000000000001E-3</v>
      </c>
      <c r="AW75" s="28">
        <v>-0.124538</v>
      </c>
      <c r="AX75" s="28">
        <v>-1.383731</v>
      </c>
      <c r="AY75" s="28">
        <v>-0.356215</v>
      </c>
      <c r="AZ75" s="28">
        <v>-0.56691000000000003</v>
      </c>
      <c r="BA75" s="28">
        <v>0.491645</v>
      </c>
      <c r="BB75" s="28">
        <v>0.27995199999999998</v>
      </c>
      <c r="BC75" s="28">
        <v>204.854904</v>
      </c>
      <c r="BD75" s="28">
        <v>1154.6281739999999</v>
      </c>
      <c r="BE75" s="28">
        <v>700.33026099999995</v>
      </c>
      <c r="BF75" s="28">
        <v>20.020980999999999</v>
      </c>
      <c r="BG75" s="28">
        <v>4.9947999999999999E-2</v>
      </c>
    </row>
    <row r="76" spans="1:59">
      <c r="A76" s="27">
        <v>43</v>
      </c>
      <c r="B76" s="27">
        <v>43.807845999999998</v>
      </c>
      <c r="C76" s="27">
        <v>-3</v>
      </c>
      <c r="D76" s="27">
        <v>0</v>
      </c>
      <c r="E76" s="28">
        <v>1.440941</v>
      </c>
      <c r="F76" s="28">
        <v>1.299329</v>
      </c>
      <c r="G76" s="28">
        <v>0.281916</v>
      </c>
      <c r="H76" s="28">
        <v>-0.62502599999999997</v>
      </c>
      <c r="I76" s="28">
        <v>0.87468100000000004</v>
      </c>
      <c r="J76" s="28">
        <v>0.97413799999999995</v>
      </c>
      <c r="K76" s="28">
        <v>0.825268</v>
      </c>
      <c r="L76" s="28">
        <v>0.43290200000000001</v>
      </c>
      <c r="M76" s="28">
        <v>0.28018700000000002</v>
      </c>
      <c r="N76" s="28">
        <v>0.259573</v>
      </c>
      <c r="O76" s="28">
        <v>1.138341</v>
      </c>
      <c r="P76" s="28">
        <v>-9.8521999999999998E-2</v>
      </c>
      <c r="Q76" s="28">
        <v>0.94133299999999998</v>
      </c>
      <c r="R76" s="28">
        <v>-0.896123</v>
      </c>
      <c r="S76" s="28">
        <v>1.4025479999999999</v>
      </c>
      <c r="T76" s="28">
        <v>8.7759000000000004E-2</v>
      </c>
      <c r="U76" s="28">
        <v>-1.012005</v>
      </c>
      <c r="V76" s="28">
        <v>0.766428</v>
      </c>
      <c r="W76" s="28">
        <v>-0.20749899999999999</v>
      </c>
      <c r="X76" s="28">
        <v>-6.4310000000000001E-3</v>
      </c>
      <c r="Y76" s="28">
        <v>0.56614100000000001</v>
      </c>
      <c r="Z76" s="28">
        <v>-0.225073</v>
      </c>
      <c r="AA76" s="28">
        <v>0.74898699999999996</v>
      </c>
      <c r="AB76" s="28">
        <v>-0.57152199999999997</v>
      </c>
      <c r="AC76" s="28">
        <v>-0.55666499999999997</v>
      </c>
      <c r="AD76" s="28">
        <v>0.74126899999999996</v>
      </c>
      <c r="AE76" s="28">
        <v>-0.82163900000000001</v>
      </c>
      <c r="AF76" s="28">
        <v>1.5381590000000001</v>
      </c>
      <c r="AG76" s="28">
        <v>9.2231999999999995E-2</v>
      </c>
      <c r="AH76" s="28">
        <v>0.19169600000000001</v>
      </c>
      <c r="AI76" s="28">
        <v>-0.69573300000000005</v>
      </c>
      <c r="AJ76" s="28">
        <v>0.218058</v>
      </c>
      <c r="AK76" s="28">
        <v>-2.3509999999999998E-3</v>
      </c>
      <c r="AL76" s="28">
        <v>0.63448000000000004</v>
      </c>
      <c r="AM76" s="28">
        <v>-0.47769400000000001</v>
      </c>
      <c r="AN76" s="28">
        <v>0.57117300000000004</v>
      </c>
      <c r="AO76" s="28">
        <v>-0.908304</v>
      </c>
      <c r="AP76" s="28">
        <v>-1.360957</v>
      </c>
      <c r="AQ76" s="28">
        <v>-8.5694000000000006E-2</v>
      </c>
      <c r="AR76" s="28">
        <v>0.87209899999999996</v>
      </c>
      <c r="AS76" s="28">
        <v>-0.53004499999999999</v>
      </c>
      <c r="AT76" s="28">
        <v>-0.35658200000000001</v>
      </c>
      <c r="AU76" s="28">
        <v>0.675705</v>
      </c>
      <c r="AV76" s="28">
        <v>-0.60852499999999998</v>
      </c>
      <c r="AW76" s="28">
        <v>0.52091600000000005</v>
      </c>
      <c r="AX76" s="28">
        <v>0.99195999999999995</v>
      </c>
      <c r="AY76" s="28">
        <v>-0.19673099999999999</v>
      </c>
      <c r="AZ76" s="28">
        <v>-0.50486299999999995</v>
      </c>
      <c r="BA76" s="28">
        <v>-0.63707100000000005</v>
      </c>
      <c r="BB76" s="28">
        <v>0.184058</v>
      </c>
      <c r="BC76" s="28">
        <v>120.138161</v>
      </c>
      <c r="BD76" s="28">
        <v>1832.5117190000001</v>
      </c>
      <c r="BE76" s="28">
        <v>1180.578857</v>
      </c>
      <c r="BF76" s="28">
        <v>26.949027999999998</v>
      </c>
      <c r="BG76" s="28">
        <v>3.7107000000000001E-2</v>
      </c>
    </row>
    <row r="77" spans="1:59">
      <c r="A77" s="27">
        <v>44</v>
      </c>
      <c r="B77" s="27">
        <v>48.671658000000001</v>
      </c>
      <c r="C77" s="27">
        <v>-3</v>
      </c>
      <c r="D77" s="27">
        <v>0</v>
      </c>
      <c r="E77" s="28">
        <v>-0.252108</v>
      </c>
      <c r="F77" s="28">
        <v>-1.254791</v>
      </c>
      <c r="G77" s="28">
        <v>0.85070100000000004</v>
      </c>
      <c r="H77" s="28">
        <v>0.45818900000000001</v>
      </c>
      <c r="I77" s="28">
        <v>-1.107664</v>
      </c>
      <c r="J77" s="28">
        <v>-0.62712999999999997</v>
      </c>
      <c r="K77" s="28">
        <v>-0.87274200000000002</v>
      </c>
      <c r="L77" s="28">
        <v>0.69743699999999997</v>
      </c>
      <c r="M77" s="28">
        <v>-0.50827100000000003</v>
      </c>
      <c r="N77" s="28">
        <v>-0.17824699999999999</v>
      </c>
      <c r="O77" s="28">
        <v>-0.21669099999999999</v>
      </c>
      <c r="P77" s="28">
        <v>-0.156221</v>
      </c>
      <c r="Q77" s="28">
        <v>-1.057574</v>
      </c>
      <c r="R77" s="28">
        <v>0.95014900000000002</v>
      </c>
      <c r="S77" s="28">
        <v>0.287993</v>
      </c>
      <c r="T77" s="28">
        <v>0.70925700000000003</v>
      </c>
      <c r="U77" s="28">
        <v>-0.20768300000000001</v>
      </c>
      <c r="V77" s="28">
        <v>-0.45103900000000002</v>
      </c>
      <c r="W77" s="28">
        <v>0.44376500000000002</v>
      </c>
      <c r="X77" s="28">
        <v>0.98195399999999999</v>
      </c>
      <c r="Y77" s="28">
        <v>0.62348199999999998</v>
      </c>
      <c r="Z77" s="28">
        <v>0.57149399999999995</v>
      </c>
      <c r="AA77" s="28">
        <v>0.532169</v>
      </c>
      <c r="AB77" s="28">
        <v>1.39242</v>
      </c>
      <c r="AC77" s="28">
        <v>8.8690000000000005E-2</v>
      </c>
      <c r="AD77" s="28">
        <v>-1.7580560000000001</v>
      </c>
      <c r="AE77" s="28">
        <v>0.68662299999999998</v>
      </c>
      <c r="AF77" s="28">
        <v>0.81466400000000005</v>
      </c>
      <c r="AG77" s="28">
        <v>-0.62037600000000004</v>
      </c>
      <c r="AH77" s="28">
        <v>-0.72668100000000002</v>
      </c>
      <c r="AI77" s="28">
        <v>0.82117099999999998</v>
      </c>
      <c r="AJ77" s="28">
        <v>-0.90939599999999998</v>
      </c>
      <c r="AK77" s="28">
        <v>1.2582930000000001</v>
      </c>
      <c r="AL77" s="28">
        <v>-0.77181500000000003</v>
      </c>
      <c r="AM77" s="28">
        <v>0.26988899999999999</v>
      </c>
      <c r="AN77" s="28">
        <v>-0.31845499999999999</v>
      </c>
      <c r="AO77" s="28">
        <v>-0.89831000000000005</v>
      </c>
      <c r="AP77" s="28">
        <v>-0.80399500000000002</v>
      </c>
      <c r="AQ77" s="28">
        <v>-1.174266</v>
      </c>
      <c r="AR77" s="28">
        <v>-0.41018500000000002</v>
      </c>
      <c r="AS77" s="28">
        <v>-2.2689000000000001E-2</v>
      </c>
      <c r="AT77" s="28">
        <v>-9.2197000000000001E-2</v>
      </c>
      <c r="AU77" s="28">
        <v>-0.20809</v>
      </c>
      <c r="AV77" s="28">
        <v>0.20910000000000001</v>
      </c>
      <c r="AW77" s="28">
        <v>-0.84453800000000001</v>
      </c>
      <c r="AX77" s="28">
        <v>-0.78732199999999997</v>
      </c>
      <c r="AY77" s="28">
        <v>0.112526</v>
      </c>
      <c r="AZ77" s="28">
        <v>-0.17535300000000001</v>
      </c>
      <c r="BA77" s="28">
        <v>0.39268199999999998</v>
      </c>
      <c r="BB77" s="28">
        <v>-1.261163</v>
      </c>
      <c r="BC77" s="28">
        <v>122.85163900000001</v>
      </c>
      <c r="BD77" s="28">
        <v>2272.586914</v>
      </c>
      <c r="BE77" s="28">
        <v>1361.4864500000001</v>
      </c>
      <c r="BF77" s="28">
        <v>27.972881000000001</v>
      </c>
      <c r="BG77" s="28">
        <v>3.5749000000000003E-2</v>
      </c>
    </row>
    <row r="78" spans="1:59">
      <c r="A78" s="27">
        <v>45</v>
      </c>
      <c r="B78" s="27">
        <v>41.771571999999999</v>
      </c>
      <c r="C78" s="27">
        <v>-3</v>
      </c>
      <c r="D78" s="27">
        <v>0</v>
      </c>
      <c r="E78" s="28">
        <v>-0.31709100000000001</v>
      </c>
      <c r="F78" s="28">
        <v>-0.89203399999999999</v>
      </c>
      <c r="G78" s="28">
        <v>-0.50178699999999998</v>
      </c>
      <c r="H78" s="28">
        <v>1.341126</v>
      </c>
      <c r="I78" s="28">
        <v>-0.35331899999999999</v>
      </c>
      <c r="J78" s="28">
        <v>-0.81649300000000002</v>
      </c>
      <c r="K78" s="28">
        <v>0.76869500000000002</v>
      </c>
      <c r="L78" s="28">
        <v>0.78559599999999996</v>
      </c>
      <c r="M78" s="28">
        <v>-0.50029299999999999</v>
      </c>
      <c r="N78" s="28">
        <v>5.3810999999999998E-2</v>
      </c>
      <c r="O78" s="28">
        <v>-1.401068</v>
      </c>
      <c r="P78" s="28">
        <v>-0.34910000000000002</v>
      </c>
      <c r="Q78" s="28">
        <v>1.39639</v>
      </c>
      <c r="R78" s="28">
        <v>0.16563800000000001</v>
      </c>
      <c r="S78" s="28">
        <v>-0.78129099999999996</v>
      </c>
      <c r="T78" s="28">
        <v>0.19028100000000001</v>
      </c>
      <c r="U78" s="28">
        <v>-1.158496</v>
      </c>
      <c r="V78" s="28">
        <v>-8.0203999999999998E-2</v>
      </c>
      <c r="W78" s="28">
        <v>-5.5931000000000002E-2</v>
      </c>
      <c r="X78" s="28">
        <v>0.14855699999999999</v>
      </c>
      <c r="Y78" s="28">
        <v>-0.54910300000000001</v>
      </c>
      <c r="Z78" s="28">
        <v>-1.646245</v>
      </c>
      <c r="AA78" s="28">
        <v>0.36466599999999999</v>
      </c>
      <c r="AB78" s="28">
        <v>1.0881E-2</v>
      </c>
      <c r="AC78" s="28">
        <v>0.95167999999999997</v>
      </c>
      <c r="AD78" s="28">
        <v>0.35824299999999998</v>
      </c>
      <c r="AE78" s="28">
        <v>-0.28089999999999998</v>
      </c>
      <c r="AF78" s="28">
        <v>-0.410466</v>
      </c>
      <c r="AG78" s="28">
        <v>0.50322500000000003</v>
      </c>
      <c r="AH78" s="28">
        <v>0.31360100000000002</v>
      </c>
      <c r="AI78" s="28">
        <v>-1.7582420000000001</v>
      </c>
      <c r="AJ78" s="28">
        <v>1.1691739999999999</v>
      </c>
      <c r="AK78" s="28">
        <v>2.2877999999999999E-2</v>
      </c>
      <c r="AL78" s="28">
        <v>1.1598599999999999</v>
      </c>
      <c r="AM78" s="28">
        <v>-8.8025999999999993E-2</v>
      </c>
      <c r="AN78" s="28">
        <v>1.3394E-2</v>
      </c>
      <c r="AO78" s="28">
        <v>0.43396099999999999</v>
      </c>
      <c r="AP78" s="28">
        <v>-0.96805399999999997</v>
      </c>
      <c r="AQ78" s="28">
        <v>0.22781000000000001</v>
      </c>
      <c r="AR78" s="28">
        <v>4.8700000000000002E-4</v>
      </c>
      <c r="AS78" s="28">
        <v>-0.89963199999999999</v>
      </c>
      <c r="AT78" s="28">
        <v>0.18885199999999999</v>
      </c>
      <c r="AU78" s="28">
        <v>0.40491199999999999</v>
      </c>
      <c r="AV78" s="28">
        <v>0.131018</v>
      </c>
      <c r="AW78" s="28">
        <v>-0.14644599999999999</v>
      </c>
      <c r="AX78" s="28">
        <v>-0.53958099999999998</v>
      </c>
      <c r="AY78" s="28">
        <v>-0.81196599999999997</v>
      </c>
      <c r="AZ78" s="28">
        <v>7.3072999999999999E-2</v>
      </c>
      <c r="BA78" s="28">
        <v>0.273009</v>
      </c>
      <c r="BB78" s="28">
        <v>0.25028899999999998</v>
      </c>
      <c r="BC78" s="28">
        <v>103.838272</v>
      </c>
      <c r="BD78" s="28">
        <v>1662.3210449999999</v>
      </c>
      <c r="BE78" s="28">
        <v>1052.213379</v>
      </c>
      <c r="BF78" s="28">
        <v>25.189700999999999</v>
      </c>
      <c r="BG78" s="28">
        <v>3.9698999999999998E-2</v>
      </c>
    </row>
    <row r="79" spans="1:59">
      <c r="A79" s="27">
        <v>46</v>
      </c>
      <c r="B79" s="27">
        <v>41.771571999999999</v>
      </c>
      <c r="C79" s="27">
        <v>-3</v>
      </c>
      <c r="D79" s="27">
        <v>0</v>
      </c>
      <c r="E79" s="28">
        <v>-0.31709100000000001</v>
      </c>
      <c r="F79" s="28">
        <v>-0.89203399999999999</v>
      </c>
      <c r="G79" s="28">
        <v>-0.50178699999999998</v>
      </c>
      <c r="H79" s="28">
        <v>1.341126</v>
      </c>
      <c r="I79" s="28">
        <v>-0.35331899999999999</v>
      </c>
      <c r="J79" s="28">
        <v>-0.81649300000000002</v>
      </c>
      <c r="K79" s="28">
        <v>0.76869500000000002</v>
      </c>
      <c r="L79" s="28">
        <v>0.78559599999999996</v>
      </c>
      <c r="M79" s="28">
        <v>-0.50029299999999999</v>
      </c>
      <c r="N79" s="28">
        <v>5.3810999999999998E-2</v>
      </c>
      <c r="O79" s="28">
        <v>-1.401068</v>
      </c>
      <c r="P79" s="28">
        <v>-0.34910000000000002</v>
      </c>
      <c r="Q79" s="28">
        <v>1.39639</v>
      </c>
      <c r="R79" s="28">
        <v>0.16563800000000001</v>
      </c>
      <c r="S79" s="28">
        <v>-0.78129099999999996</v>
      </c>
      <c r="T79" s="28">
        <v>0.19028100000000001</v>
      </c>
      <c r="U79" s="28">
        <v>-1.158496</v>
      </c>
      <c r="V79" s="28">
        <v>-8.0203999999999998E-2</v>
      </c>
      <c r="W79" s="28">
        <v>-5.5931000000000002E-2</v>
      </c>
      <c r="X79" s="28">
        <v>0.14855699999999999</v>
      </c>
      <c r="Y79" s="28">
        <v>-0.54910300000000001</v>
      </c>
      <c r="Z79" s="28">
        <v>-1.646245</v>
      </c>
      <c r="AA79" s="28">
        <v>0.36466599999999999</v>
      </c>
      <c r="AB79" s="28">
        <v>1.0881E-2</v>
      </c>
      <c r="AC79" s="28">
        <v>0.95167999999999997</v>
      </c>
      <c r="AD79" s="28">
        <v>0.35824299999999998</v>
      </c>
      <c r="AE79" s="28">
        <v>-0.28089999999999998</v>
      </c>
      <c r="AF79" s="28">
        <v>-0.410466</v>
      </c>
      <c r="AG79" s="28">
        <v>0.50322500000000003</v>
      </c>
      <c r="AH79" s="28">
        <v>0.31360100000000002</v>
      </c>
      <c r="AI79" s="28">
        <v>-1.7582420000000001</v>
      </c>
      <c r="AJ79" s="28">
        <v>1.1691739999999999</v>
      </c>
      <c r="AK79" s="28">
        <v>2.2877999999999999E-2</v>
      </c>
      <c r="AL79" s="28">
        <v>1.1598599999999999</v>
      </c>
      <c r="AM79" s="28">
        <v>-8.8025999999999993E-2</v>
      </c>
      <c r="AN79" s="28">
        <v>1.3394E-2</v>
      </c>
      <c r="AO79" s="28">
        <v>0.43396099999999999</v>
      </c>
      <c r="AP79" s="28">
        <v>-0.96805399999999997</v>
      </c>
      <c r="AQ79" s="28">
        <v>0.22781000000000001</v>
      </c>
      <c r="AR79" s="28">
        <v>4.8700000000000002E-4</v>
      </c>
      <c r="AS79" s="28">
        <v>-0.89963199999999999</v>
      </c>
      <c r="AT79" s="28">
        <v>0.18885199999999999</v>
      </c>
      <c r="AU79" s="28">
        <v>0.40491199999999999</v>
      </c>
      <c r="AV79" s="28">
        <v>0.131018</v>
      </c>
      <c r="AW79" s="28">
        <v>-0.14644599999999999</v>
      </c>
      <c r="AX79" s="28">
        <v>-0.53958099999999998</v>
      </c>
      <c r="AY79" s="28">
        <v>-0.81196599999999997</v>
      </c>
      <c r="AZ79" s="28">
        <v>7.3072999999999999E-2</v>
      </c>
      <c r="BA79" s="28">
        <v>0.273009</v>
      </c>
      <c r="BB79" s="28">
        <v>0.25028899999999998</v>
      </c>
      <c r="BC79" s="28">
        <v>103.838272</v>
      </c>
      <c r="BD79" s="28">
        <v>1662.3210449999999</v>
      </c>
      <c r="BE79" s="28">
        <v>1052.213379</v>
      </c>
      <c r="BF79" s="28">
        <v>25.189700999999999</v>
      </c>
      <c r="BG79" s="28">
        <v>3.9698999999999998E-2</v>
      </c>
    </row>
    <row r="80" spans="1:59">
      <c r="A80" s="27">
        <v>47</v>
      </c>
      <c r="B80" s="27">
        <v>50.604213999999999</v>
      </c>
      <c r="C80" s="27">
        <v>-3</v>
      </c>
      <c r="D80" s="27">
        <v>0</v>
      </c>
      <c r="E80" s="28">
        <v>-0.39273999999999998</v>
      </c>
      <c r="F80" s="28">
        <v>0.69454800000000005</v>
      </c>
      <c r="G80" s="28">
        <v>4.0208000000000001E-2</v>
      </c>
      <c r="H80" s="28">
        <v>0.54447299999999998</v>
      </c>
      <c r="I80" s="28">
        <v>-0.45896700000000001</v>
      </c>
      <c r="J80" s="28">
        <v>0.48727199999999998</v>
      </c>
      <c r="K80" s="28">
        <v>0.351439</v>
      </c>
      <c r="L80" s="28">
        <v>-0.191992</v>
      </c>
      <c r="M80" s="28">
        <v>-0.91768499999999997</v>
      </c>
      <c r="N80" s="28">
        <v>-1.2897940000000001</v>
      </c>
      <c r="O80" s="28">
        <v>8.7781999999999999E-2</v>
      </c>
      <c r="P80" s="28">
        <v>-0.10591399999999999</v>
      </c>
      <c r="Q80" s="28">
        <v>-0.44226599999999999</v>
      </c>
      <c r="R80" s="28">
        <v>0.35954999999999998</v>
      </c>
      <c r="S80" s="28">
        <v>0.43825799999999998</v>
      </c>
      <c r="T80" s="28">
        <v>-0.80034700000000003</v>
      </c>
      <c r="U80" s="28">
        <v>-0.54747699999999999</v>
      </c>
      <c r="V80" s="28">
        <v>-0.32855600000000001</v>
      </c>
      <c r="W80" s="28">
        <v>1.560214</v>
      </c>
      <c r="X80" s="28">
        <v>-0.30081000000000002</v>
      </c>
      <c r="Y80" s="28">
        <v>-1.457616</v>
      </c>
      <c r="Z80" s="28">
        <v>0.84435099999999996</v>
      </c>
      <c r="AA80" s="28">
        <v>6.3188999999999995E-2</v>
      </c>
      <c r="AB80" s="28">
        <v>0.83720799999999995</v>
      </c>
      <c r="AC80" s="28">
        <v>0.11751399999999999</v>
      </c>
      <c r="AD80" s="28">
        <v>-0.122228</v>
      </c>
      <c r="AE80" s="28">
        <v>0.275868</v>
      </c>
      <c r="AF80" s="28">
        <v>0.94771300000000003</v>
      </c>
      <c r="AG80" s="28">
        <v>0.39544499999999999</v>
      </c>
      <c r="AH80" s="28">
        <v>0.48274499999999998</v>
      </c>
      <c r="AI80" s="28">
        <v>0.54835100000000003</v>
      </c>
      <c r="AJ80" s="28">
        <v>-1.5755570000000001</v>
      </c>
      <c r="AK80" s="28">
        <v>0.320656</v>
      </c>
      <c r="AL80" s="28">
        <v>-1.3234319999999999</v>
      </c>
      <c r="AM80" s="28">
        <v>-1.224877</v>
      </c>
      <c r="AN80" s="28">
        <v>-0.186582</v>
      </c>
      <c r="AO80" s="28">
        <v>0.33895799999999998</v>
      </c>
      <c r="AP80" s="28">
        <v>9.2895000000000005E-2</v>
      </c>
      <c r="AQ80" s="28">
        <v>0.99318200000000001</v>
      </c>
      <c r="AR80" s="28">
        <v>0.50696799999999997</v>
      </c>
      <c r="AS80" s="28">
        <v>0.240587</v>
      </c>
      <c r="AT80" s="28">
        <v>0.16120300000000001</v>
      </c>
      <c r="AU80" s="28">
        <v>-0.61085699999999998</v>
      </c>
      <c r="AV80" s="28">
        <v>-0.13264599999999999</v>
      </c>
      <c r="AW80" s="28">
        <v>-0.26988699999999999</v>
      </c>
      <c r="AX80" s="28">
        <v>0.17993799999999999</v>
      </c>
      <c r="AY80" s="28">
        <v>0.35216399999999998</v>
      </c>
      <c r="AZ80" s="28">
        <v>-0.67868200000000001</v>
      </c>
      <c r="BA80" s="28">
        <v>-5.6218999999999998E-2</v>
      </c>
      <c r="BB80" s="28">
        <v>-1.2801910000000001</v>
      </c>
      <c r="BC80" s="28">
        <v>113.875626</v>
      </c>
      <c r="BD80" s="28">
        <v>2460.578125</v>
      </c>
      <c r="BE80" s="28">
        <v>1186.0922849999999</v>
      </c>
      <c r="BF80" s="28">
        <v>23.438606</v>
      </c>
      <c r="BG80" s="28">
        <v>4.2665000000000002E-2</v>
      </c>
    </row>
    <row r="81" spans="1:59">
      <c r="A81" s="27">
        <v>48</v>
      </c>
      <c r="B81" s="27">
        <v>40.963859999999997</v>
      </c>
      <c r="C81" s="27">
        <v>-3</v>
      </c>
      <c r="D81" s="27">
        <v>0</v>
      </c>
      <c r="E81" s="28">
        <v>-0.40855599999999997</v>
      </c>
      <c r="F81" s="28">
        <v>-0.76658899999999996</v>
      </c>
      <c r="G81" s="28">
        <v>-0.83955400000000002</v>
      </c>
      <c r="H81" s="28">
        <v>0.16831699999999999</v>
      </c>
      <c r="I81" s="28">
        <v>-0.42879800000000001</v>
      </c>
      <c r="J81" s="28">
        <v>-0.57425800000000005</v>
      </c>
      <c r="K81" s="28">
        <v>0.72298700000000005</v>
      </c>
      <c r="L81" s="28">
        <v>0.59974899999999998</v>
      </c>
      <c r="M81" s="28">
        <v>-1.7849090000000001</v>
      </c>
      <c r="N81" s="28">
        <v>0.70619799999999999</v>
      </c>
      <c r="O81" s="28">
        <v>0.13431899999999999</v>
      </c>
      <c r="P81" s="28">
        <v>-7.6033000000000003E-2</v>
      </c>
      <c r="Q81" s="28">
        <v>1.2705770000000001</v>
      </c>
      <c r="R81" s="28">
        <v>0.87146000000000001</v>
      </c>
      <c r="S81" s="28">
        <v>-1.1070279999999999</v>
      </c>
      <c r="T81" s="28">
        <v>-0.60894499999999996</v>
      </c>
      <c r="U81" s="28">
        <v>0.67616900000000002</v>
      </c>
      <c r="V81" s="28">
        <v>-0.26446700000000001</v>
      </c>
      <c r="W81" s="28">
        <v>0.21237300000000001</v>
      </c>
      <c r="X81" s="28">
        <v>-0.108029</v>
      </c>
      <c r="Y81" s="28">
        <v>-7.2497000000000006E-2</v>
      </c>
      <c r="Z81" s="28">
        <v>1.130315</v>
      </c>
      <c r="AA81" s="28">
        <v>-0.467723</v>
      </c>
      <c r="AB81" s="28">
        <v>-0.44977099999999998</v>
      </c>
      <c r="AC81" s="28">
        <v>0.77346499999999996</v>
      </c>
      <c r="AD81" s="28">
        <v>-8.2304000000000002E-2</v>
      </c>
      <c r="AE81" s="28">
        <v>6.5312999999999996E-2</v>
      </c>
      <c r="AF81" s="28">
        <v>0.56351300000000004</v>
      </c>
      <c r="AG81" s="28">
        <v>0.87226499999999996</v>
      </c>
      <c r="AH81" s="28">
        <v>0.531609</v>
      </c>
      <c r="AI81" s="28">
        <v>0.59523499999999996</v>
      </c>
      <c r="AJ81" s="28">
        <v>-0.25506000000000001</v>
      </c>
      <c r="AK81" s="28">
        <v>-0.103106</v>
      </c>
      <c r="AL81" s="28">
        <v>-1.3946069999999999</v>
      </c>
      <c r="AM81" s="28">
        <v>0.62593600000000005</v>
      </c>
      <c r="AN81" s="28">
        <v>-0.18368200000000001</v>
      </c>
      <c r="AO81" s="28">
        <v>0.10294499999999999</v>
      </c>
      <c r="AP81" s="28">
        <v>0.13464899999999999</v>
      </c>
      <c r="AQ81" s="28">
        <v>-0.26313399999999998</v>
      </c>
      <c r="AR81" s="28">
        <v>1.0524979999999999</v>
      </c>
      <c r="AS81" s="28">
        <v>-0.30601200000000001</v>
      </c>
      <c r="AT81" s="28">
        <v>-0.44042999999999999</v>
      </c>
      <c r="AU81" s="28">
        <v>-0.89527999999999996</v>
      </c>
      <c r="AV81" s="28">
        <v>-0.50405900000000003</v>
      </c>
      <c r="AW81" s="28">
        <v>-0.85123700000000002</v>
      </c>
      <c r="AX81" s="28">
        <v>0.26190799999999997</v>
      </c>
      <c r="AY81" s="28">
        <v>0.100484</v>
      </c>
      <c r="AZ81" s="28">
        <v>0.38502500000000001</v>
      </c>
      <c r="BA81" s="28">
        <v>-0.28729900000000003</v>
      </c>
      <c r="BB81" s="28">
        <v>0.25708399999999998</v>
      </c>
      <c r="BC81" s="28">
        <v>135.94435100000001</v>
      </c>
      <c r="BD81" s="28">
        <v>1597.110107</v>
      </c>
      <c r="BE81" s="28">
        <v>871.30474900000002</v>
      </c>
      <c r="BF81" s="28">
        <v>21.270084000000001</v>
      </c>
      <c r="BG81" s="28">
        <v>4.7014E-2</v>
      </c>
    </row>
    <row r="82" spans="1:59">
      <c r="A82" s="27">
        <v>49</v>
      </c>
      <c r="B82" s="27">
        <v>40.871796000000003</v>
      </c>
      <c r="C82" s="27">
        <v>-3</v>
      </c>
      <c r="D82" s="27">
        <v>0</v>
      </c>
      <c r="E82" s="28">
        <v>0.14165700000000001</v>
      </c>
      <c r="F82" s="28">
        <v>0.93150100000000002</v>
      </c>
      <c r="G82" s="28">
        <v>0.21973599999999999</v>
      </c>
      <c r="H82" s="28">
        <v>8.7349999999999997E-2</v>
      </c>
      <c r="I82" s="28">
        <v>0.66057299999999997</v>
      </c>
      <c r="J82" s="28">
        <v>0.32617000000000002</v>
      </c>
      <c r="K82" s="28">
        <v>0.486794</v>
      </c>
      <c r="L82" s="28">
        <v>-0.60062700000000002</v>
      </c>
      <c r="M82" s="28">
        <v>1.7281930000000001</v>
      </c>
      <c r="N82" s="28">
        <v>1.279531</v>
      </c>
      <c r="O82" s="28">
        <v>-0.37542500000000001</v>
      </c>
      <c r="P82" s="28">
        <v>-0.86995599999999995</v>
      </c>
      <c r="Q82" s="28">
        <v>-0.88975000000000004</v>
      </c>
      <c r="R82" s="28">
        <v>-1.1213439999999999</v>
      </c>
      <c r="S82" s="28">
        <v>1.2563500000000001</v>
      </c>
      <c r="T82" s="28">
        <v>0.63623399999999997</v>
      </c>
      <c r="U82" s="28">
        <v>0.55337499999999995</v>
      </c>
      <c r="V82" s="28">
        <v>-0.316774</v>
      </c>
      <c r="W82" s="28">
        <v>-0.57559000000000005</v>
      </c>
      <c r="X82" s="28">
        <v>-0.77202599999999999</v>
      </c>
      <c r="Y82" s="28">
        <v>-0.78446899999999997</v>
      </c>
      <c r="Z82" s="28">
        <v>0.47545100000000001</v>
      </c>
      <c r="AA82" s="28">
        <v>0.97257099999999996</v>
      </c>
      <c r="AB82" s="28">
        <v>0.81458900000000001</v>
      </c>
      <c r="AC82" s="28">
        <v>0.34436099999999997</v>
      </c>
      <c r="AD82" s="28">
        <v>4.1963E-2</v>
      </c>
      <c r="AE82" s="28">
        <v>0.81816999999999995</v>
      </c>
      <c r="AF82" s="28">
        <v>0.49418299999999998</v>
      </c>
      <c r="AG82" s="28">
        <v>-0.74974099999999999</v>
      </c>
      <c r="AH82" s="28">
        <v>-1.1178939999999999</v>
      </c>
      <c r="AI82" s="28">
        <v>1.0275810000000001</v>
      </c>
      <c r="AJ82" s="28">
        <v>0.18726499999999999</v>
      </c>
      <c r="AK82" s="28">
        <v>-0.46878799999999998</v>
      </c>
      <c r="AL82" s="28">
        <v>0.21907799999999999</v>
      </c>
      <c r="AM82" s="28">
        <v>0.65311699999999995</v>
      </c>
      <c r="AN82" s="28">
        <v>-0.532003</v>
      </c>
      <c r="AO82" s="28">
        <v>0.80649400000000004</v>
      </c>
      <c r="AP82" s="28">
        <v>-0.388903</v>
      </c>
      <c r="AQ82" s="28">
        <v>-0.21298</v>
      </c>
      <c r="AR82" s="28">
        <v>-0.33707300000000001</v>
      </c>
      <c r="AS82" s="28">
        <v>-1.7750000000000001E-3</v>
      </c>
      <c r="AT82" s="28">
        <v>-0.43126399999999998</v>
      </c>
      <c r="AU82" s="28">
        <v>0.65154900000000004</v>
      </c>
      <c r="AV82" s="28">
        <v>-0.22847300000000001</v>
      </c>
      <c r="AW82" s="28">
        <v>-0.868004</v>
      </c>
      <c r="AX82" s="28">
        <v>-0.905532</v>
      </c>
      <c r="AY82" s="28">
        <v>0.25758300000000001</v>
      </c>
      <c r="AZ82" s="28">
        <v>-5.6763000000000001E-2</v>
      </c>
      <c r="BA82" s="28">
        <v>-0.61416400000000004</v>
      </c>
      <c r="BB82" s="28">
        <v>9.1121999999999995E-2</v>
      </c>
      <c r="BC82" s="28">
        <v>100.750473</v>
      </c>
      <c r="BD82" s="28">
        <v>1589.7601320000001</v>
      </c>
      <c r="BE82" s="28">
        <v>980.46466099999998</v>
      </c>
      <c r="BF82" s="28">
        <v>23.988785</v>
      </c>
      <c r="BG82" s="28">
        <v>4.1686000000000001E-2</v>
      </c>
    </row>
    <row r="83" spans="1:59">
      <c r="A83" s="27">
        <v>50</v>
      </c>
      <c r="B83" s="27">
        <v>40.044941000000001</v>
      </c>
      <c r="C83" s="27">
        <v>-3</v>
      </c>
      <c r="D83" s="27">
        <v>0</v>
      </c>
      <c r="E83" s="28">
        <v>-1.0969869999999999</v>
      </c>
      <c r="F83" s="28">
        <v>0.38115300000000002</v>
      </c>
      <c r="G83" s="28">
        <v>0.52356899999999995</v>
      </c>
      <c r="H83" s="28">
        <v>-1.714448</v>
      </c>
      <c r="I83" s="28">
        <v>0.639714</v>
      </c>
      <c r="J83" s="28">
        <v>-0.27751399999999998</v>
      </c>
      <c r="K83" s="28">
        <v>0.22517899999999999</v>
      </c>
      <c r="L83" s="28">
        <v>-6.7871000000000001E-2</v>
      </c>
      <c r="M83" s="28">
        <v>-0.26596500000000001</v>
      </c>
      <c r="N83" s="28">
        <v>-3.7038000000000001E-2</v>
      </c>
      <c r="O83" s="28">
        <v>0.96115200000000001</v>
      </c>
      <c r="P83" s="28">
        <v>0.51594700000000004</v>
      </c>
      <c r="Q83" s="28">
        <v>0.59214999999999995</v>
      </c>
      <c r="R83" s="28">
        <v>-0.90259299999999998</v>
      </c>
      <c r="S83" s="28">
        <v>0.98840300000000003</v>
      </c>
      <c r="T83" s="28">
        <v>-0.674983</v>
      </c>
      <c r="U83" s="28">
        <v>0.97841800000000001</v>
      </c>
      <c r="V83" s="28">
        <v>0.82400099999999998</v>
      </c>
      <c r="W83" s="28">
        <v>1.396997</v>
      </c>
      <c r="X83" s="28">
        <v>-0.45306800000000003</v>
      </c>
      <c r="Y83" s="28">
        <v>0.68356899999999998</v>
      </c>
      <c r="Z83" s="28">
        <v>0.73449600000000004</v>
      </c>
      <c r="AA83" s="28">
        <v>0.567998</v>
      </c>
      <c r="AB83" s="28">
        <v>-0.45733400000000002</v>
      </c>
      <c r="AC83" s="28">
        <v>-1.048338</v>
      </c>
      <c r="AD83" s="28">
        <v>-1.1257E-2</v>
      </c>
      <c r="AE83" s="28">
        <v>0.294599</v>
      </c>
      <c r="AF83" s="28">
        <v>1.0457559999999999</v>
      </c>
      <c r="AG83" s="28">
        <v>-0.35778199999999999</v>
      </c>
      <c r="AH83" s="28">
        <v>-0.12554699999999999</v>
      </c>
      <c r="AI83" s="28">
        <v>-0.62191700000000005</v>
      </c>
      <c r="AJ83" s="28">
        <v>0.52560499999999999</v>
      </c>
      <c r="AK83" s="28">
        <v>2.4389000000000001E-2</v>
      </c>
      <c r="AL83" s="28">
        <v>-1.1259049999999999</v>
      </c>
      <c r="AM83" s="28">
        <v>0.78310400000000002</v>
      </c>
      <c r="AN83" s="28">
        <v>-0.625803</v>
      </c>
      <c r="AO83" s="28">
        <v>0.32439000000000001</v>
      </c>
      <c r="AP83" s="28">
        <v>-0.28769800000000001</v>
      </c>
      <c r="AQ83" s="28">
        <v>-0.81347199999999997</v>
      </c>
      <c r="AR83" s="28">
        <v>0.20236699999999999</v>
      </c>
      <c r="AS83" s="28">
        <v>0.71817299999999995</v>
      </c>
      <c r="AT83" s="28">
        <v>-1.6559000000000001E-2</v>
      </c>
      <c r="AU83" s="28">
        <v>-0.30865999999999999</v>
      </c>
      <c r="AV83" s="28">
        <v>-0.412381</v>
      </c>
      <c r="AW83" s="28">
        <v>-0.70930300000000002</v>
      </c>
      <c r="AX83" s="28">
        <v>-7.7965000000000007E-2</v>
      </c>
      <c r="AY83" s="28">
        <v>0.49343900000000002</v>
      </c>
      <c r="AZ83" s="28">
        <v>-0.40752500000000003</v>
      </c>
      <c r="BA83" s="28">
        <v>0.80309900000000001</v>
      </c>
      <c r="BB83" s="28">
        <v>-0.17697399999999999</v>
      </c>
      <c r="BC83" s="28">
        <v>127.936905</v>
      </c>
      <c r="BD83" s="28">
        <v>1524.5074460000001</v>
      </c>
      <c r="BE83" s="28">
        <v>917.90698199999997</v>
      </c>
      <c r="BF83" s="28">
        <v>22.921921000000001</v>
      </c>
      <c r="BG83" s="28">
        <v>4.3625999999999998E-2</v>
      </c>
    </row>
    <row r="84" spans="1:59">
      <c r="A84" s="27">
        <v>51</v>
      </c>
      <c r="B84" s="27">
        <v>34.979819999999997</v>
      </c>
      <c r="C84" s="27">
        <v>-3</v>
      </c>
      <c r="D84" s="27">
        <v>0</v>
      </c>
      <c r="E84" s="28">
        <v>-0.86982300000000001</v>
      </c>
      <c r="F84" s="28">
        <v>1.889802</v>
      </c>
      <c r="G84" s="28">
        <v>-1.1225270000000001</v>
      </c>
      <c r="H84" s="28">
        <v>-0.34977599999999998</v>
      </c>
      <c r="I84" s="28">
        <v>-0.80473399999999995</v>
      </c>
      <c r="J84" s="28">
        <v>0.29142800000000002</v>
      </c>
      <c r="K84" s="28">
        <v>0.75990800000000003</v>
      </c>
      <c r="L84" s="28">
        <v>1.163189</v>
      </c>
      <c r="M84" s="28">
        <v>-0.66398000000000001</v>
      </c>
      <c r="N84" s="28">
        <v>0.487176</v>
      </c>
      <c r="O84" s="28">
        <v>-0.19075700000000001</v>
      </c>
      <c r="P84" s="28">
        <v>0.50197999999999998</v>
      </c>
      <c r="Q84" s="28">
        <v>0.157609</v>
      </c>
      <c r="R84" s="28">
        <v>-1.1838409999999999</v>
      </c>
      <c r="S84" s="28">
        <v>1.0614680000000001</v>
      </c>
      <c r="T84" s="28">
        <v>0.30559799999999998</v>
      </c>
      <c r="U84" s="28">
        <v>-0.13653499999999999</v>
      </c>
      <c r="V84" s="28">
        <v>0.31205899999999998</v>
      </c>
      <c r="W84" s="28">
        <v>0.46628199999999997</v>
      </c>
      <c r="X84" s="28">
        <v>0.21223500000000001</v>
      </c>
      <c r="Y84" s="28">
        <v>9.8764000000000005E-2</v>
      </c>
      <c r="Z84" s="28">
        <v>0.25675900000000001</v>
      </c>
      <c r="AA84" s="28">
        <v>0.34425899999999998</v>
      </c>
      <c r="AB84" s="28">
        <v>1.039768</v>
      </c>
      <c r="AC84" s="28">
        <v>-1.5011E-2</v>
      </c>
      <c r="AD84" s="28">
        <v>-7.1163000000000004E-2</v>
      </c>
      <c r="AE84" s="28">
        <v>-0.35044500000000001</v>
      </c>
      <c r="AF84" s="28">
        <v>-0.37630000000000002</v>
      </c>
      <c r="AG84" s="28">
        <v>0.85758000000000001</v>
      </c>
      <c r="AH84" s="28">
        <v>-0.37266700000000003</v>
      </c>
      <c r="AI84" s="28">
        <v>9.6590999999999996E-2</v>
      </c>
      <c r="AJ84" s="28">
        <v>-0.49626199999999998</v>
      </c>
      <c r="AK84" s="28">
        <v>-0.49263200000000001</v>
      </c>
      <c r="AL84" s="28">
        <v>0.76931700000000003</v>
      </c>
      <c r="AM84" s="28">
        <v>0.28421000000000002</v>
      </c>
      <c r="AN84" s="28">
        <v>-0.15013099999999999</v>
      </c>
      <c r="AO84" s="28">
        <v>-0.69565399999999999</v>
      </c>
      <c r="AP84" s="28">
        <v>-0.11658499999999999</v>
      </c>
      <c r="AQ84" s="28">
        <v>-0.35742600000000002</v>
      </c>
      <c r="AR84" s="28">
        <v>0.65850399999999998</v>
      </c>
      <c r="AS84" s="28">
        <v>0.43789099999999997</v>
      </c>
      <c r="AT84" s="28">
        <v>-6.4140000000000003E-2</v>
      </c>
      <c r="AU84" s="28">
        <v>0.29995500000000003</v>
      </c>
      <c r="AV84" s="28">
        <v>-4.8040000000000001E-3</v>
      </c>
      <c r="AW84" s="28">
        <v>-0.124538</v>
      </c>
      <c r="AX84" s="28">
        <v>-1.383731</v>
      </c>
      <c r="AY84" s="28">
        <v>-0.356215</v>
      </c>
      <c r="AZ84" s="28">
        <v>-0.56691000000000003</v>
      </c>
      <c r="BA84" s="28">
        <v>0.491645</v>
      </c>
      <c r="BB84" s="28">
        <v>0.27995199999999998</v>
      </c>
      <c r="BC84" s="28">
        <v>204.854904</v>
      </c>
      <c r="BD84" s="28">
        <v>1154.6281739999999</v>
      </c>
      <c r="BE84" s="28">
        <v>700.33026099999995</v>
      </c>
      <c r="BF84" s="28">
        <v>20.020980999999999</v>
      </c>
      <c r="BG84" s="28">
        <v>4.9947999999999999E-2</v>
      </c>
    </row>
    <row r="85" spans="1:59">
      <c r="A85" s="27">
        <v>52</v>
      </c>
      <c r="B85" s="27">
        <v>38.859901000000001</v>
      </c>
      <c r="C85" s="27">
        <v>-3</v>
      </c>
      <c r="D85" s="27">
        <v>0</v>
      </c>
      <c r="E85" s="28">
        <v>-0.95977299999999999</v>
      </c>
      <c r="F85" s="28">
        <v>1.3521590000000001</v>
      </c>
      <c r="G85" s="28">
        <v>-0.97222600000000003</v>
      </c>
      <c r="H85" s="28">
        <v>-0.63371699999999997</v>
      </c>
      <c r="I85" s="28">
        <v>-0.20852200000000001</v>
      </c>
      <c r="J85" s="28">
        <v>-0.52859100000000003</v>
      </c>
      <c r="K85" s="28">
        <v>0.77335600000000004</v>
      </c>
      <c r="L85" s="28">
        <v>-0.38056000000000001</v>
      </c>
      <c r="M85" s="28">
        <v>0.26928099999999999</v>
      </c>
      <c r="N85" s="28">
        <v>-0.345333</v>
      </c>
      <c r="O85" s="28">
        <v>0.298543</v>
      </c>
      <c r="P85" s="28">
        <v>-0.37693100000000002</v>
      </c>
      <c r="Q85" s="28">
        <v>0.91954400000000003</v>
      </c>
      <c r="R85" s="28">
        <v>1.5420609999999999</v>
      </c>
      <c r="S85" s="28">
        <v>-0.81930700000000001</v>
      </c>
      <c r="T85" s="28">
        <v>-1.2955650000000001</v>
      </c>
      <c r="U85" s="28">
        <v>0.37706600000000001</v>
      </c>
      <c r="V85" s="28">
        <v>0.276175</v>
      </c>
      <c r="W85" s="28">
        <v>0.97481499999999999</v>
      </c>
      <c r="X85" s="28">
        <v>0.74573299999999998</v>
      </c>
      <c r="Y85" s="28">
        <v>0.83898399999999995</v>
      </c>
      <c r="Z85" s="28">
        <v>-0.50897000000000003</v>
      </c>
      <c r="AA85" s="28">
        <v>-0.48234100000000002</v>
      </c>
      <c r="AB85" s="28">
        <v>0.26180900000000001</v>
      </c>
      <c r="AC85" s="28">
        <v>-9.3143000000000004E-2</v>
      </c>
      <c r="AD85" s="28">
        <v>-0.68452299999999999</v>
      </c>
      <c r="AE85" s="28">
        <v>-0.89580899999999997</v>
      </c>
      <c r="AF85" s="28">
        <v>0.81614200000000003</v>
      </c>
      <c r="AG85" s="28">
        <v>-0.72858000000000001</v>
      </c>
      <c r="AH85" s="28">
        <v>-0.30116700000000002</v>
      </c>
      <c r="AI85" s="28">
        <v>0.89139500000000005</v>
      </c>
      <c r="AJ85" s="28">
        <v>1.1832609999999999</v>
      </c>
      <c r="AK85" s="28">
        <v>-0.45641100000000001</v>
      </c>
      <c r="AL85" s="28">
        <v>0.82640999999999998</v>
      </c>
      <c r="AM85" s="28">
        <v>0.54644000000000004</v>
      </c>
      <c r="AN85" s="28">
        <v>-0.26073499999999999</v>
      </c>
      <c r="AO85" s="28">
        <v>0.37647000000000003</v>
      </c>
      <c r="AP85" s="28">
        <v>-0.51036899999999996</v>
      </c>
      <c r="AQ85" s="28">
        <v>-0.57530800000000004</v>
      </c>
      <c r="AR85" s="28">
        <v>0.68396199999999996</v>
      </c>
      <c r="AS85" s="28">
        <v>-0.49688300000000002</v>
      </c>
      <c r="AT85" s="28">
        <v>-9.1037000000000007E-2</v>
      </c>
      <c r="AU85" s="28">
        <v>-0.48456100000000002</v>
      </c>
      <c r="AV85" s="28">
        <v>-0.30803599999999998</v>
      </c>
      <c r="AW85" s="28">
        <v>0.31140099999999998</v>
      </c>
      <c r="AX85" s="28">
        <v>-0.64474600000000004</v>
      </c>
      <c r="AY85" s="28">
        <v>-0.25173899999999999</v>
      </c>
      <c r="AZ85" s="28">
        <v>-0.113664</v>
      </c>
      <c r="BA85" s="28">
        <v>-8.3446999999999993E-2</v>
      </c>
      <c r="BB85" s="28">
        <v>0.73359600000000003</v>
      </c>
      <c r="BC85" s="28">
        <v>120.641037</v>
      </c>
      <c r="BD85" s="28">
        <v>1433.372192</v>
      </c>
      <c r="BE85" s="28">
        <v>897.16406300000006</v>
      </c>
      <c r="BF85" s="28">
        <v>23.087143000000001</v>
      </c>
      <c r="BG85" s="28">
        <v>4.3313999999999998E-2</v>
      </c>
    </row>
    <row r="86" spans="1:59">
      <c r="A86" s="27">
        <v>53</v>
      </c>
      <c r="B86" s="27">
        <v>48.671658000000001</v>
      </c>
      <c r="C86" s="27">
        <v>-3</v>
      </c>
      <c r="D86" s="27">
        <v>0</v>
      </c>
      <c r="E86" s="28">
        <v>-0.252108</v>
      </c>
      <c r="F86" s="28">
        <v>-1.254791</v>
      </c>
      <c r="G86" s="28">
        <v>0.85070100000000004</v>
      </c>
      <c r="H86" s="28">
        <v>0.45818900000000001</v>
      </c>
      <c r="I86" s="28">
        <v>-1.107664</v>
      </c>
      <c r="J86" s="28">
        <v>-0.62712999999999997</v>
      </c>
      <c r="K86" s="28">
        <v>-0.87274200000000002</v>
      </c>
      <c r="L86" s="28">
        <v>0.69743699999999997</v>
      </c>
      <c r="M86" s="28">
        <v>-0.50827100000000003</v>
      </c>
      <c r="N86" s="28">
        <v>-0.17824699999999999</v>
      </c>
      <c r="O86" s="28">
        <v>-0.21669099999999999</v>
      </c>
      <c r="P86" s="28">
        <v>-0.156221</v>
      </c>
      <c r="Q86" s="28">
        <v>-1.057574</v>
      </c>
      <c r="R86" s="28">
        <v>0.95014900000000002</v>
      </c>
      <c r="S86" s="28">
        <v>0.287993</v>
      </c>
      <c r="T86" s="28">
        <v>0.70925700000000003</v>
      </c>
      <c r="U86" s="28">
        <v>-0.20768300000000001</v>
      </c>
      <c r="V86" s="28">
        <v>-0.45103900000000002</v>
      </c>
      <c r="W86" s="28">
        <v>0.44376500000000002</v>
      </c>
      <c r="X86" s="28">
        <v>0.98195399999999999</v>
      </c>
      <c r="Y86" s="28">
        <v>0.62348199999999998</v>
      </c>
      <c r="Z86" s="28">
        <v>0.57149399999999995</v>
      </c>
      <c r="AA86" s="28">
        <v>0.532169</v>
      </c>
      <c r="AB86" s="28">
        <v>1.39242</v>
      </c>
      <c r="AC86" s="28">
        <v>8.8690000000000005E-2</v>
      </c>
      <c r="AD86" s="28">
        <v>-1.7580560000000001</v>
      </c>
      <c r="AE86" s="28">
        <v>0.68662299999999998</v>
      </c>
      <c r="AF86" s="28">
        <v>0.81466400000000005</v>
      </c>
      <c r="AG86" s="28">
        <v>-0.62037600000000004</v>
      </c>
      <c r="AH86" s="28">
        <v>-0.72668100000000002</v>
      </c>
      <c r="AI86" s="28">
        <v>0.82117099999999998</v>
      </c>
      <c r="AJ86" s="28">
        <v>-0.90939599999999998</v>
      </c>
      <c r="AK86" s="28">
        <v>1.2582930000000001</v>
      </c>
      <c r="AL86" s="28">
        <v>-0.77181500000000003</v>
      </c>
      <c r="AM86" s="28">
        <v>0.26988899999999999</v>
      </c>
      <c r="AN86" s="28">
        <v>-0.31845499999999999</v>
      </c>
      <c r="AO86" s="28">
        <v>-0.89831000000000005</v>
      </c>
      <c r="AP86" s="28">
        <v>-0.80399500000000002</v>
      </c>
      <c r="AQ86" s="28">
        <v>-1.174266</v>
      </c>
      <c r="AR86" s="28">
        <v>-0.41018500000000002</v>
      </c>
      <c r="AS86" s="28">
        <v>-2.2689000000000001E-2</v>
      </c>
      <c r="AT86" s="28">
        <v>-9.2197000000000001E-2</v>
      </c>
      <c r="AU86" s="28">
        <v>-0.20809</v>
      </c>
      <c r="AV86" s="28">
        <v>0.20910000000000001</v>
      </c>
      <c r="AW86" s="28">
        <v>-0.84453800000000001</v>
      </c>
      <c r="AX86" s="28">
        <v>-0.78732199999999997</v>
      </c>
      <c r="AY86" s="28">
        <v>0.112526</v>
      </c>
      <c r="AZ86" s="28">
        <v>-0.17535300000000001</v>
      </c>
      <c r="BA86" s="28">
        <v>0.39268199999999998</v>
      </c>
      <c r="BB86" s="28">
        <v>-1.261163</v>
      </c>
      <c r="BC86" s="28">
        <v>122.85163900000001</v>
      </c>
      <c r="BD86" s="28">
        <v>2272.586914</v>
      </c>
      <c r="BE86" s="28">
        <v>1361.4864500000001</v>
      </c>
      <c r="BF86" s="28">
        <v>27.972881000000001</v>
      </c>
      <c r="BG86" s="28">
        <v>3.5749000000000003E-2</v>
      </c>
    </row>
    <row r="87" spans="1:59">
      <c r="A87" s="27">
        <v>54</v>
      </c>
      <c r="B87" s="27">
        <v>49.376567999999999</v>
      </c>
      <c r="C87" s="27">
        <v>-3</v>
      </c>
      <c r="D87" s="27">
        <v>0</v>
      </c>
      <c r="E87" s="28">
        <v>0.427541</v>
      </c>
      <c r="F87" s="28">
        <v>0.88970300000000002</v>
      </c>
      <c r="G87" s="28">
        <v>1.0445359999999999</v>
      </c>
      <c r="H87" s="28">
        <v>0.94583399999999995</v>
      </c>
      <c r="I87" s="28">
        <v>0.93252000000000002</v>
      </c>
      <c r="J87" s="28">
        <v>-0.110526</v>
      </c>
      <c r="K87" s="28">
        <v>0.421041</v>
      </c>
      <c r="L87" s="28">
        <v>0.74219599999999997</v>
      </c>
      <c r="M87" s="28">
        <v>0.85197999999999996</v>
      </c>
      <c r="N87" s="28">
        <v>-0.60107299999999997</v>
      </c>
      <c r="O87" s="28">
        <v>0.78763000000000005</v>
      </c>
      <c r="P87" s="28">
        <v>-0.54883300000000002</v>
      </c>
      <c r="Q87" s="28">
        <v>-9.8946999999999993E-2</v>
      </c>
      <c r="R87" s="28">
        <v>0.63033099999999997</v>
      </c>
      <c r="S87" s="28">
        <v>0.296014</v>
      </c>
      <c r="T87" s="28">
        <v>0.86529599999999995</v>
      </c>
      <c r="U87" s="28">
        <v>-0.46758699999999997</v>
      </c>
      <c r="V87" s="28">
        <v>-0.76345799999999997</v>
      </c>
      <c r="W87" s="28">
        <v>0.84248100000000004</v>
      </c>
      <c r="X87" s="28">
        <v>0.78327899999999995</v>
      </c>
      <c r="Y87" s="28">
        <v>0.61870999999999998</v>
      </c>
      <c r="Z87" s="28">
        <v>1.1808259999999999</v>
      </c>
      <c r="AA87" s="28">
        <v>-0.899088</v>
      </c>
      <c r="AB87" s="28">
        <v>-0.46016899999999999</v>
      </c>
      <c r="AC87" s="28">
        <v>-0.48933199999999999</v>
      </c>
      <c r="AD87" s="28">
        <v>-0.59450599999999998</v>
      </c>
      <c r="AE87" s="28">
        <v>-0.95906599999999997</v>
      </c>
      <c r="AF87" s="28">
        <v>-0.187248</v>
      </c>
      <c r="AG87" s="28">
        <v>-0.77245200000000003</v>
      </c>
      <c r="AH87" s="28">
        <v>0.42386499999999999</v>
      </c>
      <c r="AI87" s="28">
        <v>0.71424500000000002</v>
      </c>
      <c r="AJ87" s="28">
        <v>3.8719999999999997E-2</v>
      </c>
      <c r="AK87" s="28">
        <v>-1.5256479999999999</v>
      </c>
      <c r="AL87" s="28">
        <v>0.554342</v>
      </c>
      <c r="AM87" s="28">
        <v>-0.86659900000000001</v>
      </c>
      <c r="AN87" s="28">
        <v>1.9007750000000001</v>
      </c>
      <c r="AO87" s="28">
        <v>0.70712299999999995</v>
      </c>
      <c r="AP87" s="28">
        <v>0.26419999999999999</v>
      </c>
      <c r="AQ87" s="28">
        <v>0.85240400000000005</v>
      </c>
      <c r="AR87" s="28">
        <v>0.90576000000000001</v>
      </c>
      <c r="AS87" s="28">
        <v>-0.61505100000000001</v>
      </c>
      <c r="AT87" s="28">
        <v>0.29700199999999999</v>
      </c>
      <c r="AU87" s="28">
        <v>0.485425</v>
      </c>
      <c r="AV87" s="28">
        <v>-0.17513000000000001</v>
      </c>
      <c r="AW87" s="28">
        <v>0.58527099999999999</v>
      </c>
      <c r="AX87" s="28">
        <v>-3.61E-2</v>
      </c>
      <c r="AY87" s="28">
        <v>-0.11219899999999999</v>
      </c>
      <c r="AZ87" s="28">
        <v>-0.138653</v>
      </c>
      <c r="BA87" s="28">
        <v>-0.65617999999999999</v>
      </c>
      <c r="BB87" s="28">
        <v>-9.8567000000000002E-2</v>
      </c>
      <c r="BC87" s="28">
        <v>103.026314</v>
      </c>
      <c r="BD87" s="28">
        <v>2340.2922359999998</v>
      </c>
      <c r="BE87" s="28">
        <v>1295.857544</v>
      </c>
      <c r="BF87" s="28">
        <v>26.244382999999999</v>
      </c>
      <c r="BG87" s="28">
        <v>3.8102999999999998E-2</v>
      </c>
    </row>
    <row r="88" spans="1:59">
      <c r="A88" s="27">
        <v>55</v>
      </c>
      <c r="B88" s="27">
        <v>37.950839999999999</v>
      </c>
      <c r="C88" s="27">
        <v>-3</v>
      </c>
      <c r="D88" s="27">
        <v>0</v>
      </c>
      <c r="E88" s="28">
        <v>1.201147</v>
      </c>
      <c r="F88" s="28">
        <v>0.79544800000000004</v>
      </c>
      <c r="G88" s="28">
        <v>-0.347964</v>
      </c>
      <c r="H88" s="28">
        <v>0.64128600000000002</v>
      </c>
      <c r="I88" s="28">
        <v>-1.14191</v>
      </c>
      <c r="J88" s="28">
        <v>-0.75992899999999997</v>
      </c>
      <c r="K88" s="28">
        <v>-1.604358</v>
      </c>
      <c r="L88" s="28">
        <v>0.857491</v>
      </c>
      <c r="M88" s="28">
        <v>-0.38516099999999998</v>
      </c>
      <c r="N88" s="28">
        <v>-0.71442099999999997</v>
      </c>
      <c r="O88" s="28">
        <v>0.24291399999999999</v>
      </c>
      <c r="P88" s="28">
        <v>0.67096800000000001</v>
      </c>
      <c r="Q88" s="28">
        <v>-0.96941600000000006</v>
      </c>
      <c r="R88" s="28">
        <v>0.99116300000000002</v>
      </c>
      <c r="S88" s="28">
        <v>-0.74195800000000001</v>
      </c>
      <c r="T88" s="28">
        <v>-0.86413799999999996</v>
      </c>
      <c r="U88" s="28">
        <v>0.40667399999999998</v>
      </c>
      <c r="V88" s="28">
        <v>-0.128631</v>
      </c>
      <c r="W88" s="28">
        <v>0.52541599999999999</v>
      </c>
      <c r="X88" s="28">
        <v>-0.70207799999999998</v>
      </c>
      <c r="Y88" s="28">
        <v>0.44840099999999999</v>
      </c>
      <c r="Z88" s="28">
        <v>0.16995399999999999</v>
      </c>
      <c r="AA88" s="28">
        <v>-0.86248899999999995</v>
      </c>
      <c r="AB88" s="28">
        <v>-0.22888700000000001</v>
      </c>
      <c r="AC88" s="28">
        <v>0.45491999999999999</v>
      </c>
      <c r="AD88" s="28">
        <v>-0.72645800000000005</v>
      </c>
      <c r="AE88" s="28">
        <v>1.391367</v>
      </c>
      <c r="AF88" s="28">
        <v>9.3720000000000001E-3</v>
      </c>
      <c r="AG88" s="28">
        <v>0.78249100000000005</v>
      </c>
      <c r="AH88" s="28">
        <v>0.10928599999999999</v>
      </c>
      <c r="AI88" s="28">
        <v>0.149314</v>
      </c>
      <c r="AJ88" s="28">
        <v>-0.14735699999999999</v>
      </c>
      <c r="AK88" s="28">
        <v>-0.37022500000000003</v>
      </c>
      <c r="AL88" s="28">
        <v>0.68862100000000004</v>
      </c>
      <c r="AM88" s="28">
        <v>0.116507</v>
      </c>
      <c r="AN88" s="28">
        <v>0.70454499999999998</v>
      </c>
      <c r="AO88" s="28">
        <v>0.25917099999999998</v>
      </c>
      <c r="AP88" s="28">
        <v>0.58424699999999996</v>
      </c>
      <c r="AQ88" s="28">
        <v>0.43226199999999998</v>
      </c>
      <c r="AR88" s="28">
        <v>0.38578699999999999</v>
      </c>
      <c r="AS88" s="28">
        <v>1.4157839999999999</v>
      </c>
      <c r="AT88" s="28">
        <v>0.87623600000000001</v>
      </c>
      <c r="AU88" s="28">
        <v>-3.2625000000000001E-2</v>
      </c>
      <c r="AV88" s="28">
        <v>0.20579900000000001</v>
      </c>
      <c r="AW88" s="28">
        <v>0.16142899999999999</v>
      </c>
      <c r="AX88" s="28">
        <v>0.53557699999999997</v>
      </c>
      <c r="AY88" s="28">
        <v>2.696E-3</v>
      </c>
      <c r="AZ88" s="28">
        <v>0.41212700000000002</v>
      </c>
      <c r="BA88" s="28">
        <v>-9.1273000000000007E-2</v>
      </c>
      <c r="BB88" s="28">
        <v>-9.8309999999999995E-2</v>
      </c>
      <c r="BC88" s="28">
        <v>173.926163</v>
      </c>
      <c r="BD88" s="28">
        <v>1365.364624</v>
      </c>
      <c r="BE88" s="28">
        <v>860.86798099999999</v>
      </c>
      <c r="BF88" s="28">
        <v>22.683767</v>
      </c>
      <c r="BG88" s="28">
        <v>4.4083999999999998E-2</v>
      </c>
    </row>
    <row r="89" spans="1:59">
      <c r="A89" s="27">
        <v>56</v>
      </c>
      <c r="B89" s="27">
        <v>47.659041999999999</v>
      </c>
      <c r="C89" s="27">
        <v>-3</v>
      </c>
      <c r="D89" s="27">
        <v>0</v>
      </c>
      <c r="E89" s="28">
        <v>0.69282900000000003</v>
      </c>
      <c r="F89" s="28">
        <v>0.71467999999999998</v>
      </c>
      <c r="G89" s="28">
        <v>1.2126570000000001</v>
      </c>
      <c r="H89" s="28">
        <v>0.45126899999999998</v>
      </c>
      <c r="I89" s="28">
        <v>0.98350499999999996</v>
      </c>
      <c r="J89" s="28">
        <v>0.68548600000000004</v>
      </c>
      <c r="K89" s="28">
        <v>-0.48544799999999999</v>
      </c>
      <c r="L89" s="28">
        <v>-0.589256</v>
      </c>
      <c r="M89" s="28">
        <v>1.5953120000000001</v>
      </c>
      <c r="N89" s="28">
        <v>0.53074600000000005</v>
      </c>
      <c r="O89" s="28">
        <v>0.60611800000000005</v>
      </c>
      <c r="P89" s="28">
        <v>-0.25597799999999998</v>
      </c>
      <c r="Q89" s="28">
        <v>-0.82231299999999996</v>
      </c>
      <c r="R89" s="28">
        <v>0.101855</v>
      </c>
      <c r="S89" s="28">
        <v>-5.0455E-2</v>
      </c>
      <c r="T89" s="28">
        <v>-0.49763299999999999</v>
      </c>
      <c r="U89" s="28">
        <v>-0.41728700000000002</v>
      </c>
      <c r="V89" s="28">
        <v>0.94844899999999999</v>
      </c>
      <c r="W89" s="28">
        <v>1.5517179999999999</v>
      </c>
      <c r="X89" s="28">
        <v>-0.74891399999999997</v>
      </c>
      <c r="Y89" s="28">
        <v>-5.0248000000000001E-2</v>
      </c>
      <c r="Z89" s="28">
        <v>-1.2618000000000001E-2</v>
      </c>
      <c r="AA89" s="28">
        <v>0.34831000000000001</v>
      </c>
      <c r="AB89" s="28">
        <v>0.63383100000000003</v>
      </c>
      <c r="AC89" s="28">
        <v>0.53678700000000001</v>
      </c>
      <c r="AD89" s="28">
        <v>0.40151300000000001</v>
      </c>
      <c r="AE89" s="28">
        <v>-2.4989999999999998E-2</v>
      </c>
      <c r="AF89" s="28">
        <v>-0.154254</v>
      </c>
      <c r="AG89" s="28">
        <v>-0.74421000000000004</v>
      </c>
      <c r="AH89" s="28">
        <v>0.69545599999999996</v>
      </c>
      <c r="AI89" s="28">
        <v>0.92507300000000003</v>
      </c>
      <c r="AJ89" s="28">
        <v>0.50984099999999999</v>
      </c>
      <c r="AK89" s="28">
        <v>1.180007</v>
      </c>
      <c r="AL89" s="28">
        <v>-0.68346700000000005</v>
      </c>
      <c r="AM89" s="28">
        <v>0.350964</v>
      </c>
      <c r="AN89" s="28">
        <v>-0.80468099999999998</v>
      </c>
      <c r="AO89" s="28">
        <v>-0.99315799999999999</v>
      </c>
      <c r="AP89" s="28">
        <v>0.50609499999999996</v>
      </c>
      <c r="AQ89" s="28">
        <v>3.9163999999999997E-2</v>
      </c>
      <c r="AR89" s="28">
        <v>0.75449200000000005</v>
      </c>
      <c r="AS89" s="28">
        <v>-0.72423800000000005</v>
      </c>
      <c r="AT89" s="28">
        <v>-1.437047</v>
      </c>
      <c r="AU89" s="28">
        <v>0.22187799999999999</v>
      </c>
      <c r="AV89" s="28">
        <v>0.92526600000000003</v>
      </c>
      <c r="AW89" s="28">
        <v>0.57592299999999996</v>
      </c>
      <c r="AX89" s="28">
        <v>-0.42172900000000002</v>
      </c>
      <c r="AY89" s="28">
        <v>-0.86690800000000001</v>
      </c>
      <c r="AZ89" s="28">
        <v>-0.44526199999999999</v>
      </c>
      <c r="BA89" s="28">
        <v>-0.397623</v>
      </c>
      <c r="BB89" s="28">
        <v>-0.37359500000000001</v>
      </c>
      <c r="BC89" s="28">
        <v>123.503738</v>
      </c>
      <c r="BD89" s="28">
        <v>2177.0661620000001</v>
      </c>
      <c r="BE89" s="28">
        <v>1228.268677</v>
      </c>
      <c r="BF89" s="28">
        <v>25.771996999999999</v>
      </c>
      <c r="BG89" s="28">
        <v>3.8802000000000003E-2</v>
      </c>
    </row>
    <row r="90" spans="1:59">
      <c r="A90" s="27">
        <v>57</v>
      </c>
      <c r="B90" s="27">
        <v>54.130237999999999</v>
      </c>
      <c r="C90" s="27">
        <v>-3</v>
      </c>
      <c r="D90" s="27">
        <v>0</v>
      </c>
      <c r="E90" s="28">
        <v>-0.64072499999999999</v>
      </c>
      <c r="F90" s="28">
        <v>0.26803700000000003</v>
      </c>
      <c r="G90" s="28">
        <v>-0.239621</v>
      </c>
      <c r="H90" s="28">
        <v>0.25725999999999999</v>
      </c>
      <c r="I90" s="28">
        <v>-0.13240499999999999</v>
      </c>
      <c r="J90" s="28">
        <v>-0.69857199999999997</v>
      </c>
      <c r="K90" s="28">
        <v>-0.45666099999999998</v>
      </c>
      <c r="L90" s="28">
        <v>-0.89855799999999997</v>
      </c>
      <c r="M90" s="28">
        <v>-0.68262</v>
      </c>
      <c r="N90" s="28">
        <v>0.90382099999999999</v>
      </c>
      <c r="O90" s="28">
        <v>-1.22786</v>
      </c>
      <c r="P90" s="28">
        <v>-0.10549</v>
      </c>
      <c r="Q90" s="28">
        <v>0.36602600000000002</v>
      </c>
      <c r="R90" s="28">
        <v>-3.9303999999999999E-2</v>
      </c>
      <c r="S90" s="28">
        <v>-0.29153200000000001</v>
      </c>
      <c r="T90" s="28">
        <v>-0.24004600000000001</v>
      </c>
      <c r="U90" s="28">
        <v>-0.365172</v>
      </c>
      <c r="V90" s="28">
        <v>-1.7680560000000001</v>
      </c>
      <c r="W90" s="28">
        <v>-0.48832300000000001</v>
      </c>
      <c r="X90" s="28">
        <v>0.158077</v>
      </c>
      <c r="Y90" s="28">
        <v>-0.701048</v>
      </c>
      <c r="Z90" s="28">
        <v>-0.14253199999999999</v>
      </c>
      <c r="AA90" s="28">
        <v>3.8005999999999998E-2</v>
      </c>
      <c r="AB90" s="28">
        <v>-0.114546</v>
      </c>
      <c r="AC90" s="28">
        <v>0.33164199999999999</v>
      </c>
      <c r="AD90" s="28">
        <v>0.84590500000000002</v>
      </c>
      <c r="AE90" s="28">
        <v>-1.754562</v>
      </c>
      <c r="AF90" s="28">
        <v>1.178931</v>
      </c>
      <c r="AG90" s="28">
        <v>0.928234</v>
      </c>
      <c r="AH90" s="28">
        <v>-1.0962190000000001</v>
      </c>
      <c r="AI90" s="28">
        <v>-0.82793399999999995</v>
      </c>
      <c r="AJ90" s="28">
        <v>0.74485400000000002</v>
      </c>
      <c r="AK90" s="28">
        <v>-1.6927749999999999</v>
      </c>
      <c r="AL90" s="28">
        <v>0.249553</v>
      </c>
      <c r="AM90" s="28">
        <v>-0.37673699999999999</v>
      </c>
      <c r="AN90" s="28">
        <v>-0.35931999999999997</v>
      </c>
      <c r="AO90" s="28">
        <v>0.83486400000000005</v>
      </c>
      <c r="AP90" s="28">
        <v>0.14965300000000001</v>
      </c>
      <c r="AQ90" s="28">
        <v>0.442075</v>
      </c>
      <c r="AR90" s="28">
        <v>0.174349</v>
      </c>
      <c r="AS90" s="28">
        <v>-0.62146000000000001</v>
      </c>
      <c r="AT90" s="28">
        <v>1.086551</v>
      </c>
      <c r="AU90" s="28">
        <v>1.34995</v>
      </c>
      <c r="AV90" s="28">
        <v>0.109746</v>
      </c>
      <c r="AW90" s="28">
        <v>-0.40096199999999999</v>
      </c>
      <c r="AX90" s="28">
        <v>-0.50676600000000005</v>
      </c>
      <c r="AY90" s="28">
        <v>0.16062199999999999</v>
      </c>
      <c r="AZ90" s="28">
        <v>-0.47307700000000003</v>
      </c>
      <c r="BA90" s="28">
        <v>-0.945766</v>
      </c>
      <c r="BB90" s="28">
        <v>-0.22873299999999999</v>
      </c>
      <c r="BC90" s="28">
        <v>87.775199999999998</v>
      </c>
      <c r="BD90" s="28">
        <v>2822.8222660000001</v>
      </c>
      <c r="BE90" s="28">
        <v>1462.2257079999999</v>
      </c>
      <c r="BF90" s="28">
        <v>27.013104999999999</v>
      </c>
      <c r="BG90" s="28">
        <v>3.7019000000000003E-2</v>
      </c>
    </row>
    <row r="91" spans="1:59">
      <c r="A91" s="27">
        <v>58</v>
      </c>
      <c r="B91" s="27">
        <v>46.674900000000001</v>
      </c>
      <c r="C91" s="27">
        <v>-3</v>
      </c>
      <c r="D91" s="27">
        <v>0</v>
      </c>
      <c r="E91" s="28">
        <v>1.0107900000000001</v>
      </c>
      <c r="F91" s="28">
        <v>-0.88376999999999994</v>
      </c>
      <c r="G91" s="28">
        <v>-0.74157600000000001</v>
      </c>
      <c r="H91" s="28">
        <v>-0.76297199999999998</v>
      </c>
      <c r="I91" s="28">
        <v>-0.84866399999999997</v>
      </c>
      <c r="J91" s="28">
        <v>0.29241699999999998</v>
      </c>
      <c r="K91" s="28">
        <v>-0.57423900000000005</v>
      </c>
      <c r="L91" s="28">
        <v>0.78362399999999999</v>
      </c>
      <c r="M91" s="28">
        <v>0.84691899999999998</v>
      </c>
      <c r="N91" s="28">
        <v>0.54095300000000002</v>
      </c>
      <c r="O91" s="28">
        <v>-1.2010559999999999</v>
      </c>
      <c r="P91" s="28">
        <v>0.90051000000000003</v>
      </c>
      <c r="Q91" s="28">
        <v>0.25661400000000001</v>
      </c>
      <c r="R91" s="28">
        <v>-7.8424999999999995E-2</v>
      </c>
      <c r="S91" s="28">
        <v>0.83231200000000005</v>
      </c>
      <c r="T91" s="28">
        <v>-0.28163100000000002</v>
      </c>
      <c r="U91" s="28">
        <v>-0.18229799999999999</v>
      </c>
      <c r="V91" s="28">
        <v>0.49211300000000002</v>
      </c>
      <c r="W91" s="28">
        <v>1.135105</v>
      </c>
      <c r="X91" s="28">
        <v>-0.13441500000000001</v>
      </c>
      <c r="Y91" s="28">
        <v>0.28303899999999999</v>
      </c>
      <c r="Z91" s="28">
        <v>4.4645999999999998E-2</v>
      </c>
      <c r="AA91" s="28">
        <v>0.783196</v>
      </c>
      <c r="AB91" s="28">
        <v>-0.25130000000000002</v>
      </c>
      <c r="AC91" s="28">
        <v>1.254807</v>
      </c>
      <c r="AD91" s="28">
        <v>0.24223800000000001</v>
      </c>
      <c r="AE91" s="28">
        <v>-0.66971400000000003</v>
      </c>
      <c r="AF91" s="28">
        <v>-0.63559399999999999</v>
      </c>
      <c r="AG91" s="28">
        <v>0.83333999999999997</v>
      </c>
      <c r="AH91" s="28">
        <v>-0.51413600000000004</v>
      </c>
      <c r="AI91" s="28">
        <v>0.59201899999999996</v>
      </c>
      <c r="AJ91" s="28">
        <v>-0.88652399999999998</v>
      </c>
      <c r="AK91" s="28">
        <v>0.37301200000000001</v>
      </c>
      <c r="AL91" s="28">
        <v>-0.210336</v>
      </c>
      <c r="AM91" s="28">
        <v>0.299093</v>
      </c>
      <c r="AN91" s="28">
        <v>1.491269</v>
      </c>
      <c r="AO91" s="28">
        <v>0.41825699999999999</v>
      </c>
      <c r="AP91" s="28">
        <v>0.101591</v>
      </c>
      <c r="AQ91" s="28">
        <v>-0.26250099999999998</v>
      </c>
      <c r="AR91" s="28">
        <v>0.44266100000000003</v>
      </c>
      <c r="AS91" s="28">
        <v>0.94009100000000001</v>
      </c>
      <c r="AT91" s="28">
        <v>0.54240699999999997</v>
      </c>
      <c r="AU91" s="28">
        <v>0.25891700000000001</v>
      </c>
      <c r="AV91" s="28">
        <v>-0.27995100000000001</v>
      </c>
      <c r="AW91" s="28">
        <v>-0.27900700000000001</v>
      </c>
      <c r="AX91" s="28">
        <v>-0.518536</v>
      </c>
      <c r="AY91" s="28">
        <v>-1.1963159999999999</v>
      </c>
      <c r="AZ91" s="28">
        <v>-0.195964</v>
      </c>
      <c r="BA91" s="28">
        <v>1.0676159999999999</v>
      </c>
      <c r="BB91" s="28">
        <v>-0.19059999999999999</v>
      </c>
      <c r="BC91" s="28">
        <v>174.684448</v>
      </c>
      <c r="BD91" s="28">
        <v>2086.1965329999998</v>
      </c>
      <c r="BE91" s="28">
        <v>1072.400024</v>
      </c>
      <c r="BF91" s="28">
        <v>22.975946</v>
      </c>
      <c r="BG91" s="28">
        <v>4.3524E-2</v>
      </c>
    </row>
    <row r="92" spans="1:59">
      <c r="A92" s="27">
        <v>59</v>
      </c>
      <c r="B92" s="27">
        <v>45.692988999999997</v>
      </c>
      <c r="C92" s="27">
        <v>-3</v>
      </c>
      <c r="D92" s="27">
        <v>0</v>
      </c>
      <c r="E92" s="28">
        <v>0.26916400000000001</v>
      </c>
      <c r="F92" s="28">
        <v>-1.3101799999999999</v>
      </c>
      <c r="G92" s="28">
        <v>0.52901100000000001</v>
      </c>
      <c r="H92" s="28">
        <v>-0.44570799999999999</v>
      </c>
      <c r="I92" s="28">
        <v>0.55388999999999999</v>
      </c>
      <c r="J92" s="28">
        <v>0.846244</v>
      </c>
      <c r="K92" s="28">
        <v>-0.40750900000000001</v>
      </c>
      <c r="L92" s="28">
        <v>-0.78264500000000004</v>
      </c>
      <c r="M92" s="28">
        <v>8.3086999999999994E-2</v>
      </c>
      <c r="N92" s="28">
        <v>0.43715199999999999</v>
      </c>
      <c r="O92" s="28">
        <v>2.7615000000000001E-2</v>
      </c>
      <c r="P92" s="28">
        <v>0.200211</v>
      </c>
      <c r="Q92" s="28">
        <v>-1.3780669999999999</v>
      </c>
      <c r="R92" s="28">
        <v>1.7145189999999999</v>
      </c>
      <c r="S92" s="28">
        <v>0.93861499999999998</v>
      </c>
      <c r="T92" s="28">
        <v>-0.81486199999999998</v>
      </c>
      <c r="U92" s="28">
        <v>-1.705659</v>
      </c>
      <c r="V92" s="28">
        <v>0.21678700000000001</v>
      </c>
      <c r="W92" s="28">
        <v>1.0476019999999999</v>
      </c>
      <c r="X92" s="28">
        <v>0.86004400000000003</v>
      </c>
      <c r="Y92" s="28">
        <v>1.214334</v>
      </c>
      <c r="Z92" s="28">
        <v>-0.372975</v>
      </c>
      <c r="AA92" s="28">
        <v>-3.4550999999999998E-2</v>
      </c>
      <c r="AB92" s="28">
        <v>-0.82369300000000001</v>
      </c>
      <c r="AC92" s="28">
        <v>0.141236</v>
      </c>
      <c r="AD92" s="28">
        <v>0.97076099999999999</v>
      </c>
      <c r="AE92" s="28">
        <v>1.3347340000000001</v>
      </c>
      <c r="AF92" s="28">
        <v>0.42351100000000003</v>
      </c>
      <c r="AG92" s="28">
        <v>-0.16927600000000001</v>
      </c>
      <c r="AH92" s="28">
        <v>-0.60954900000000001</v>
      </c>
      <c r="AI92" s="28">
        <v>-0.21874399999999999</v>
      </c>
      <c r="AJ92" s="28">
        <v>0.67683800000000005</v>
      </c>
      <c r="AK92" s="28">
        <v>-0.34503200000000001</v>
      </c>
      <c r="AL92" s="28">
        <v>-1.592784</v>
      </c>
      <c r="AM92" s="28">
        <v>-0.178647</v>
      </c>
      <c r="AN92" s="28">
        <v>-1.0733680000000001</v>
      </c>
      <c r="AO92" s="28">
        <v>-1.0494779999999999</v>
      </c>
      <c r="AP92" s="28">
        <v>-1.740615</v>
      </c>
      <c r="AQ92" s="28">
        <v>-0.25975799999999999</v>
      </c>
      <c r="AR92" s="28">
        <v>0.314857</v>
      </c>
      <c r="AS92" s="28">
        <v>0.25784200000000002</v>
      </c>
      <c r="AT92" s="28">
        <v>-0.28676000000000001</v>
      </c>
      <c r="AU92" s="28">
        <v>0.72355199999999997</v>
      </c>
      <c r="AV92" s="28">
        <v>-0.34642800000000001</v>
      </c>
      <c r="AW92" s="28">
        <v>0.44734299999999999</v>
      </c>
      <c r="AX92" s="28">
        <v>0.52679399999999998</v>
      </c>
      <c r="AY92" s="28">
        <v>0.78414499999999998</v>
      </c>
      <c r="AZ92" s="28">
        <v>0.114131</v>
      </c>
      <c r="BA92" s="28">
        <v>-0.21354300000000001</v>
      </c>
      <c r="BB92" s="28">
        <v>0.89874399999999999</v>
      </c>
      <c r="BC92" s="28">
        <v>79.330948000000006</v>
      </c>
      <c r="BD92" s="28">
        <v>1997.4632570000001</v>
      </c>
      <c r="BE92" s="28">
        <v>1484.8682859999999</v>
      </c>
      <c r="BF92" s="28">
        <v>32.496631999999998</v>
      </c>
      <c r="BG92" s="28">
        <v>3.0772000000000001E-2</v>
      </c>
    </row>
    <row r="93" spans="1:59">
      <c r="A93" s="27">
        <v>60</v>
      </c>
      <c r="B93" s="27">
        <v>54.130237999999999</v>
      </c>
      <c r="C93" s="27">
        <v>-3</v>
      </c>
      <c r="D93" s="27">
        <v>0</v>
      </c>
      <c r="E93" s="28">
        <v>-0.64072499999999999</v>
      </c>
      <c r="F93" s="28">
        <v>0.26803700000000003</v>
      </c>
      <c r="G93" s="28">
        <v>-0.239621</v>
      </c>
      <c r="H93" s="28">
        <v>0.25725999999999999</v>
      </c>
      <c r="I93" s="28">
        <v>-0.13240499999999999</v>
      </c>
      <c r="J93" s="28">
        <v>-0.69857199999999997</v>
      </c>
      <c r="K93" s="28">
        <v>-0.45666099999999998</v>
      </c>
      <c r="L93" s="28">
        <v>-0.89855799999999997</v>
      </c>
      <c r="M93" s="28">
        <v>-0.68262</v>
      </c>
      <c r="N93" s="28">
        <v>0.90382099999999999</v>
      </c>
      <c r="O93" s="28">
        <v>-1.22786</v>
      </c>
      <c r="P93" s="28">
        <v>-0.10549</v>
      </c>
      <c r="Q93" s="28">
        <v>0.36602600000000002</v>
      </c>
      <c r="R93" s="28">
        <v>-3.9303999999999999E-2</v>
      </c>
      <c r="S93" s="28">
        <v>-0.29153200000000001</v>
      </c>
      <c r="T93" s="28">
        <v>-0.24004600000000001</v>
      </c>
      <c r="U93" s="28">
        <v>-0.365172</v>
      </c>
      <c r="V93" s="28">
        <v>-1.7680560000000001</v>
      </c>
      <c r="W93" s="28">
        <v>-0.48832300000000001</v>
      </c>
      <c r="X93" s="28">
        <v>0.158077</v>
      </c>
      <c r="Y93" s="28">
        <v>-0.701048</v>
      </c>
      <c r="Z93" s="28">
        <v>-0.14253199999999999</v>
      </c>
      <c r="AA93" s="28">
        <v>3.8005999999999998E-2</v>
      </c>
      <c r="AB93" s="28">
        <v>-0.114546</v>
      </c>
      <c r="AC93" s="28">
        <v>0.33164199999999999</v>
      </c>
      <c r="AD93" s="28">
        <v>0.84590500000000002</v>
      </c>
      <c r="AE93" s="28">
        <v>-1.754562</v>
      </c>
      <c r="AF93" s="28">
        <v>1.178931</v>
      </c>
      <c r="AG93" s="28">
        <v>0.928234</v>
      </c>
      <c r="AH93" s="28">
        <v>-1.0962190000000001</v>
      </c>
      <c r="AI93" s="28">
        <v>-0.82793399999999995</v>
      </c>
      <c r="AJ93" s="28">
        <v>0.74485400000000002</v>
      </c>
      <c r="AK93" s="28">
        <v>-1.6927749999999999</v>
      </c>
      <c r="AL93" s="28">
        <v>0.249553</v>
      </c>
      <c r="AM93" s="28">
        <v>-0.37673699999999999</v>
      </c>
      <c r="AN93" s="28">
        <v>-0.35931999999999997</v>
      </c>
      <c r="AO93" s="28">
        <v>0.83486400000000005</v>
      </c>
      <c r="AP93" s="28">
        <v>0.14965300000000001</v>
      </c>
      <c r="AQ93" s="28">
        <v>0.442075</v>
      </c>
      <c r="AR93" s="28">
        <v>0.174349</v>
      </c>
      <c r="AS93" s="28">
        <v>-0.62146000000000001</v>
      </c>
      <c r="AT93" s="28">
        <v>1.086551</v>
      </c>
      <c r="AU93" s="28">
        <v>1.34995</v>
      </c>
      <c r="AV93" s="28">
        <v>0.109746</v>
      </c>
      <c r="AW93" s="28">
        <v>-0.40096199999999999</v>
      </c>
      <c r="AX93" s="28">
        <v>-0.50676600000000005</v>
      </c>
      <c r="AY93" s="28">
        <v>0.16062199999999999</v>
      </c>
      <c r="AZ93" s="28">
        <v>-0.47307700000000003</v>
      </c>
      <c r="BA93" s="28">
        <v>-0.945766</v>
      </c>
      <c r="BB93" s="28">
        <v>-0.22873299999999999</v>
      </c>
      <c r="BC93" s="28">
        <v>87.775199999999998</v>
      </c>
      <c r="BD93" s="28">
        <v>2822.8222660000001</v>
      </c>
      <c r="BE93" s="28">
        <v>1462.2257079999999</v>
      </c>
      <c r="BF93" s="28">
        <v>27.013104999999999</v>
      </c>
      <c r="BG93" s="28">
        <v>3.7019000000000003E-2</v>
      </c>
    </row>
    <row r="94" spans="1:59">
      <c r="A94" s="27">
        <v>61</v>
      </c>
      <c r="B94" s="27">
        <v>39.498055000000001</v>
      </c>
      <c r="C94" s="27">
        <v>-3</v>
      </c>
      <c r="D94" s="27">
        <v>0</v>
      </c>
      <c r="E94" s="28">
        <v>1.6254040000000001</v>
      </c>
      <c r="F94" s="28">
        <v>-0.32974100000000001</v>
      </c>
      <c r="G94" s="28">
        <v>-0.96115799999999996</v>
      </c>
      <c r="H94" s="28">
        <v>-0.70081599999999999</v>
      </c>
      <c r="I94" s="28">
        <v>-1.4411430000000001</v>
      </c>
      <c r="J94" s="28">
        <v>-0.68226600000000004</v>
      </c>
      <c r="K94" s="28">
        <v>-0.89169799999999999</v>
      </c>
      <c r="L94" s="28">
        <v>0.85860499999999995</v>
      </c>
      <c r="M94" s="28">
        <v>-0.48549900000000001</v>
      </c>
      <c r="N94" s="28">
        <v>0.76777899999999999</v>
      </c>
      <c r="O94" s="28">
        <v>0.54898499999999995</v>
      </c>
      <c r="P94" s="28">
        <v>-0.81550199999999995</v>
      </c>
      <c r="Q94" s="28">
        <v>-0.86378900000000003</v>
      </c>
      <c r="R94" s="28">
        <v>0.79839000000000004</v>
      </c>
      <c r="S94" s="28">
        <v>-0.55228100000000002</v>
      </c>
      <c r="T94" s="28">
        <v>0.314245</v>
      </c>
      <c r="U94" s="28">
        <v>-1.4318789999999999</v>
      </c>
      <c r="V94" s="28">
        <v>-0.92930100000000004</v>
      </c>
      <c r="W94" s="28">
        <v>0.57114299999999996</v>
      </c>
      <c r="X94" s="28">
        <v>-0.26586100000000001</v>
      </c>
      <c r="Y94" s="28">
        <v>0.451239</v>
      </c>
      <c r="Z94" s="28">
        <v>-0.236091</v>
      </c>
      <c r="AA94" s="28">
        <v>1.634371</v>
      </c>
      <c r="AB94" s="28">
        <v>8.8885000000000006E-2</v>
      </c>
      <c r="AC94" s="28">
        <v>-1.4460789999999999</v>
      </c>
      <c r="AD94" s="28">
        <v>0.106548</v>
      </c>
      <c r="AE94" s="28">
        <v>0.447882</v>
      </c>
      <c r="AF94" s="28">
        <v>-0.80142199999999997</v>
      </c>
      <c r="AG94" s="28">
        <v>-0.182949</v>
      </c>
      <c r="AH94" s="28">
        <v>0.85319900000000004</v>
      </c>
      <c r="AI94" s="28">
        <v>0.76485499999999995</v>
      </c>
      <c r="AJ94" s="28">
        <v>-1.4253290000000001</v>
      </c>
      <c r="AK94" s="28">
        <v>-0.37792199999999998</v>
      </c>
      <c r="AL94" s="28">
        <v>-0.102326</v>
      </c>
      <c r="AM94" s="28">
        <v>0.76357299999999995</v>
      </c>
      <c r="AN94" s="28">
        <v>1.8122400000000001</v>
      </c>
      <c r="AO94" s="28">
        <v>7.0805000000000007E-2</v>
      </c>
      <c r="AP94" s="28">
        <v>-7.2219000000000005E-2</v>
      </c>
      <c r="AQ94" s="28">
        <v>0.31185000000000002</v>
      </c>
      <c r="AR94" s="28">
        <v>-0.25651600000000002</v>
      </c>
      <c r="AS94" s="28">
        <v>-0.31519399999999997</v>
      </c>
      <c r="AT94" s="28">
        <v>6.9620000000000003E-3</v>
      </c>
      <c r="AU94" s="28">
        <v>0.72981499999999999</v>
      </c>
      <c r="AV94" s="28">
        <v>0.65998199999999996</v>
      </c>
      <c r="AW94" s="28">
        <v>0.22279599999999999</v>
      </c>
      <c r="AX94" s="28">
        <v>8.8345000000000007E-2</v>
      </c>
      <c r="AY94" s="28">
        <v>0.31037700000000001</v>
      </c>
      <c r="AZ94" s="28">
        <v>-0.64868899999999996</v>
      </c>
      <c r="BA94" s="28">
        <v>-0.58344099999999999</v>
      </c>
      <c r="BB94" s="28">
        <v>-0.49345800000000001</v>
      </c>
      <c r="BC94" s="28">
        <v>92.293503000000001</v>
      </c>
      <c r="BD94" s="28">
        <v>1482.10022</v>
      </c>
      <c r="BE94" s="28">
        <v>1217.0039059999999</v>
      </c>
      <c r="BF94" s="28">
        <v>30.811743</v>
      </c>
      <c r="BG94" s="28">
        <v>3.2454999999999998E-2</v>
      </c>
    </row>
    <row r="95" spans="1:59">
      <c r="A95" s="27">
        <v>62</v>
      </c>
      <c r="B95" s="27">
        <v>49.917290000000001</v>
      </c>
      <c r="C95" s="27">
        <v>-3</v>
      </c>
      <c r="D95" s="27">
        <v>0</v>
      </c>
      <c r="E95" s="28">
        <v>0.62340799999999996</v>
      </c>
      <c r="F95" s="28">
        <v>-0.388465</v>
      </c>
      <c r="G95" s="28">
        <v>5.6070000000000002E-2</v>
      </c>
      <c r="H95" s="28">
        <v>7.9558000000000004E-2</v>
      </c>
      <c r="I95" s="28">
        <v>0.96263500000000002</v>
      </c>
      <c r="J95" s="28">
        <v>0.15728300000000001</v>
      </c>
      <c r="K95" s="28">
        <v>-0.16175100000000001</v>
      </c>
      <c r="L95" s="28">
        <v>0.80041499999999999</v>
      </c>
      <c r="M95" s="28">
        <v>-0.85971399999999998</v>
      </c>
      <c r="N95" s="28">
        <v>0.67834000000000005</v>
      </c>
      <c r="O95" s="28">
        <v>5.4384000000000002E-2</v>
      </c>
      <c r="P95" s="28">
        <v>-0.63309899999999997</v>
      </c>
      <c r="Q95" s="28">
        <v>-1.530619</v>
      </c>
      <c r="R95" s="28">
        <v>-1.4579279999999999</v>
      </c>
      <c r="S95" s="28">
        <v>0.20503399999999999</v>
      </c>
      <c r="T95" s="28">
        <v>0.92105700000000001</v>
      </c>
      <c r="U95" s="28">
        <v>0.62899000000000005</v>
      </c>
      <c r="V95" s="28">
        <v>-4.3908000000000003E-2</v>
      </c>
      <c r="W95" s="28">
        <v>0.28092299999999998</v>
      </c>
      <c r="X95" s="28">
        <v>-0.456926</v>
      </c>
      <c r="Y95" s="28">
        <v>0.85801099999999997</v>
      </c>
      <c r="Z95" s="28">
        <v>-0.24601700000000001</v>
      </c>
      <c r="AA95" s="28">
        <v>-0.61331400000000003</v>
      </c>
      <c r="AB95" s="28">
        <v>-0.403613</v>
      </c>
      <c r="AC95" s="28">
        <v>-0.86787400000000003</v>
      </c>
      <c r="AD95" s="28">
        <v>-8.0771999999999997E-2</v>
      </c>
      <c r="AE95" s="28">
        <v>-0.50662700000000005</v>
      </c>
      <c r="AF95" s="28">
        <v>-5.1968E-2</v>
      </c>
      <c r="AG95" s="28">
        <v>1.2316450000000001</v>
      </c>
      <c r="AH95" s="28">
        <v>-0.17550399999999999</v>
      </c>
      <c r="AI95" s="28">
        <v>0.39920099999999997</v>
      </c>
      <c r="AJ95" s="28">
        <v>-0.81987600000000005</v>
      </c>
      <c r="AK95" s="28">
        <v>0.87561999999999995</v>
      </c>
      <c r="AL95" s="28">
        <v>0.68350100000000003</v>
      </c>
      <c r="AM95" s="28">
        <v>-1.003925</v>
      </c>
      <c r="AN95" s="28">
        <v>-0.71970599999999996</v>
      </c>
      <c r="AO95" s="28">
        <v>0.49610500000000002</v>
      </c>
      <c r="AP95" s="28">
        <v>0.11883100000000001</v>
      </c>
      <c r="AQ95" s="28">
        <v>0.90245799999999998</v>
      </c>
      <c r="AR95" s="28">
        <v>0.146954</v>
      </c>
      <c r="AS95" s="28">
        <v>3.9683000000000003E-2</v>
      </c>
      <c r="AT95" s="28">
        <v>-1.390312</v>
      </c>
      <c r="AU95" s="28">
        <v>0.51397999999999999</v>
      </c>
      <c r="AV95" s="28">
        <v>-0.69938699999999998</v>
      </c>
      <c r="AW95" s="28">
        <v>-0.61740399999999995</v>
      </c>
      <c r="AX95" s="28">
        <v>-0.36079800000000001</v>
      </c>
      <c r="AY95" s="28">
        <v>-0.52576500000000004</v>
      </c>
      <c r="AZ95" s="28">
        <v>0.21933800000000001</v>
      </c>
      <c r="BA95" s="28">
        <v>-0.73863699999999999</v>
      </c>
      <c r="BB95" s="28">
        <v>0.98329599999999995</v>
      </c>
      <c r="BC95" s="28">
        <v>137.95581100000001</v>
      </c>
      <c r="BD95" s="28">
        <v>2392.9011230000001</v>
      </c>
      <c r="BE95" s="28">
        <v>1170.0936280000001</v>
      </c>
      <c r="BF95" s="28">
        <v>23.440646999999998</v>
      </c>
      <c r="BG95" s="28">
        <v>4.2660999999999998E-2</v>
      </c>
    </row>
    <row r="96" spans="1:59">
      <c r="A96" s="27">
        <v>63</v>
      </c>
      <c r="B96" s="27">
        <v>46.610035000000003</v>
      </c>
      <c r="C96" s="27">
        <v>-3</v>
      </c>
      <c r="D96" s="27">
        <v>0</v>
      </c>
      <c r="E96" s="28">
        <v>-0.24062800000000001</v>
      </c>
      <c r="F96" s="28">
        <v>-0.89815699999999998</v>
      </c>
      <c r="G96" s="28">
        <v>-1.1891830000000001</v>
      </c>
      <c r="H96" s="28">
        <v>0.91522499999999996</v>
      </c>
      <c r="I96" s="28">
        <v>-1.3426229999999999</v>
      </c>
      <c r="J96" s="28">
        <v>-1.0758650000000001</v>
      </c>
      <c r="K96" s="28">
        <v>0.72298700000000005</v>
      </c>
      <c r="L96" s="28">
        <v>0.59974899999999998</v>
      </c>
      <c r="M96" s="28">
        <v>-1.392889</v>
      </c>
      <c r="N96" s="28">
        <v>0.11608499999999999</v>
      </c>
      <c r="O96" s="28">
        <v>0.59754099999999999</v>
      </c>
      <c r="P96" s="28">
        <v>0.332096</v>
      </c>
      <c r="Q96" s="28">
        <v>0.62007900000000005</v>
      </c>
      <c r="R96" s="28">
        <v>0.663219</v>
      </c>
      <c r="S96" s="28">
        <v>0.37763799999999997</v>
      </c>
      <c r="T96" s="28">
        <v>-0.60894499999999996</v>
      </c>
      <c r="U96" s="28">
        <v>0.67616900000000002</v>
      </c>
      <c r="V96" s="28">
        <v>0.50792800000000005</v>
      </c>
      <c r="W96" s="28">
        <v>-0.57982</v>
      </c>
      <c r="X96" s="28">
        <v>-0.62389300000000003</v>
      </c>
      <c r="Y96" s="28">
        <v>-7.2497000000000006E-2</v>
      </c>
      <c r="Z96" s="28">
        <v>0.84505200000000003</v>
      </c>
      <c r="AA96" s="28">
        <v>-0.68402700000000005</v>
      </c>
      <c r="AB96" s="28">
        <v>-0.54195899999999997</v>
      </c>
      <c r="AC96" s="28">
        <v>0.627911</v>
      </c>
      <c r="AD96" s="28">
        <v>0.18995300000000001</v>
      </c>
      <c r="AE96" s="28">
        <v>1.5314939999999999</v>
      </c>
      <c r="AF96" s="28">
        <v>-0.44142799999999999</v>
      </c>
      <c r="AG96" s="28">
        <v>0.87226499999999996</v>
      </c>
      <c r="AH96" s="28">
        <v>-0.29833799999999999</v>
      </c>
      <c r="AI96" s="28">
        <v>-0.19894899999999999</v>
      </c>
      <c r="AJ96" s="28">
        <v>0.30160799999999999</v>
      </c>
      <c r="AK96" s="28">
        <v>-1.1018559999999999</v>
      </c>
      <c r="AL96" s="28">
        <v>0.81671000000000005</v>
      </c>
      <c r="AM96" s="28">
        <v>-0.603738</v>
      </c>
      <c r="AN96" s="28">
        <v>0.70987599999999995</v>
      </c>
      <c r="AO96" s="28">
        <v>-0.56420700000000001</v>
      </c>
      <c r="AP96" s="28">
        <v>1.0479320000000001</v>
      </c>
      <c r="AQ96" s="28">
        <v>-1.159268</v>
      </c>
      <c r="AR96" s="28">
        <v>-0.44070500000000001</v>
      </c>
      <c r="AS96" s="28">
        <v>0.41180099999999997</v>
      </c>
      <c r="AT96" s="28">
        <v>-0.57546799999999998</v>
      </c>
      <c r="AU96" s="28">
        <v>-1.441595</v>
      </c>
      <c r="AV96" s="28">
        <v>-0.99476200000000004</v>
      </c>
      <c r="AW96" s="28">
        <v>0.793296</v>
      </c>
      <c r="AX96" s="28">
        <v>-0.101851</v>
      </c>
      <c r="AY96" s="28">
        <v>0.63167300000000004</v>
      </c>
      <c r="AZ96" s="28">
        <v>-3.5050999999999999E-2</v>
      </c>
      <c r="BA96" s="28">
        <v>-0.15506200000000001</v>
      </c>
      <c r="BB96" s="28">
        <v>-0.89871599999999996</v>
      </c>
      <c r="BC96" s="28">
        <v>132.41085799999999</v>
      </c>
      <c r="BD96" s="28">
        <v>2080.2753910000001</v>
      </c>
      <c r="BE96" s="28">
        <v>1339.32312</v>
      </c>
      <c r="BF96" s="28">
        <v>28.734652000000001</v>
      </c>
      <c r="BG96" s="28">
        <v>3.4800999999999999E-2</v>
      </c>
    </row>
    <row r="97" spans="1:59">
      <c r="A97" s="27">
        <v>64</v>
      </c>
      <c r="B97" s="27">
        <v>41.771571999999999</v>
      </c>
      <c r="C97" s="27">
        <v>-3</v>
      </c>
      <c r="D97" s="27">
        <v>0</v>
      </c>
      <c r="E97" s="28">
        <v>-0.31709100000000001</v>
      </c>
      <c r="F97" s="28">
        <v>-0.89203399999999999</v>
      </c>
      <c r="G97" s="28">
        <v>-0.50178699999999998</v>
      </c>
      <c r="H97" s="28">
        <v>1.341126</v>
      </c>
      <c r="I97" s="28">
        <v>-0.35331899999999999</v>
      </c>
      <c r="J97" s="28">
        <v>-0.81649300000000002</v>
      </c>
      <c r="K97" s="28">
        <v>0.76869500000000002</v>
      </c>
      <c r="L97" s="28">
        <v>0.78559599999999996</v>
      </c>
      <c r="M97" s="28">
        <v>-0.50029299999999999</v>
      </c>
      <c r="N97" s="28">
        <v>5.3810999999999998E-2</v>
      </c>
      <c r="O97" s="28">
        <v>-1.401068</v>
      </c>
      <c r="P97" s="28">
        <v>-0.34910000000000002</v>
      </c>
      <c r="Q97" s="28">
        <v>1.39639</v>
      </c>
      <c r="R97" s="28">
        <v>0.16563800000000001</v>
      </c>
      <c r="S97" s="28">
        <v>-0.78129099999999996</v>
      </c>
      <c r="T97" s="28">
        <v>0.19028100000000001</v>
      </c>
      <c r="U97" s="28">
        <v>-1.158496</v>
      </c>
      <c r="V97" s="28">
        <v>-8.0203999999999998E-2</v>
      </c>
      <c r="W97" s="28">
        <v>-5.5931000000000002E-2</v>
      </c>
      <c r="X97" s="28">
        <v>0.14855699999999999</v>
      </c>
      <c r="Y97" s="28">
        <v>-0.54910300000000001</v>
      </c>
      <c r="Z97" s="28">
        <v>-1.646245</v>
      </c>
      <c r="AA97" s="28">
        <v>0.36466599999999999</v>
      </c>
      <c r="AB97" s="28">
        <v>1.0881E-2</v>
      </c>
      <c r="AC97" s="28">
        <v>0.95167999999999997</v>
      </c>
      <c r="AD97" s="28">
        <v>0.35824299999999998</v>
      </c>
      <c r="AE97" s="28">
        <v>-0.28089999999999998</v>
      </c>
      <c r="AF97" s="28">
        <v>-0.410466</v>
      </c>
      <c r="AG97" s="28">
        <v>0.50322500000000003</v>
      </c>
      <c r="AH97" s="28">
        <v>0.31360100000000002</v>
      </c>
      <c r="AI97" s="28">
        <v>-1.7582420000000001</v>
      </c>
      <c r="AJ97" s="28">
        <v>1.1691739999999999</v>
      </c>
      <c r="AK97" s="28">
        <v>2.2877999999999999E-2</v>
      </c>
      <c r="AL97" s="28">
        <v>1.1598599999999999</v>
      </c>
      <c r="AM97" s="28">
        <v>-8.8025999999999993E-2</v>
      </c>
      <c r="AN97" s="28">
        <v>1.3394E-2</v>
      </c>
      <c r="AO97" s="28">
        <v>0.43396099999999999</v>
      </c>
      <c r="AP97" s="28">
        <v>-0.96805399999999997</v>
      </c>
      <c r="AQ97" s="28">
        <v>0.22781000000000001</v>
      </c>
      <c r="AR97" s="28">
        <v>4.8700000000000002E-4</v>
      </c>
      <c r="AS97" s="28">
        <v>-0.89963199999999999</v>
      </c>
      <c r="AT97" s="28">
        <v>0.18885199999999999</v>
      </c>
      <c r="AU97" s="28">
        <v>0.40491199999999999</v>
      </c>
      <c r="AV97" s="28">
        <v>0.131018</v>
      </c>
      <c r="AW97" s="28">
        <v>-0.14644599999999999</v>
      </c>
      <c r="AX97" s="28">
        <v>-0.53958099999999998</v>
      </c>
      <c r="AY97" s="28">
        <v>-0.81196599999999997</v>
      </c>
      <c r="AZ97" s="28">
        <v>7.3072999999999999E-2</v>
      </c>
      <c r="BA97" s="28">
        <v>0.273009</v>
      </c>
      <c r="BB97" s="28">
        <v>0.25028899999999998</v>
      </c>
      <c r="BC97" s="28">
        <v>103.838272</v>
      </c>
      <c r="BD97" s="28">
        <v>1662.3210449999999</v>
      </c>
      <c r="BE97" s="28">
        <v>1052.213379</v>
      </c>
      <c r="BF97" s="28">
        <v>25.189700999999999</v>
      </c>
      <c r="BG97" s="28">
        <v>3.9698999999999998E-2</v>
      </c>
    </row>
    <row r="98" spans="1:59">
      <c r="A98" s="27">
        <v>65</v>
      </c>
      <c r="B98" s="27">
        <v>41.765403999999997</v>
      </c>
      <c r="C98" s="27">
        <v>-3</v>
      </c>
      <c r="D98" s="27">
        <v>0</v>
      </c>
      <c r="E98" s="28">
        <v>-0.28954200000000002</v>
      </c>
      <c r="F98" s="28">
        <v>-2.6342000000000001E-2</v>
      </c>
      <c r="G98" s="28">
        <v>1.5683940000000001</v>
      </c>
      <c r="H98" s="28">
        <v>-0.72652099999999997</v>
      </c>
      <c r="I98" s="28">
        <v>0.27178600000000003</v>
      </c>
      <c r="J98" s="28">
        <v>0.54248799999999997</v>
      </c>
      <c r="K98" s="28">
        <v>-0.79119200000000001</v>
      </c>
      <c r="L98" s="28">
        <v>-0.59809500000000004</v>
      </c>
      <c r="M98" s="28">
        <v>1.3168979999999999</v>
      </c>
      <c r="N98" s="28">
        <v>-0.467142</v>
      </c>
      <c r="O98" s="28">
        <v>0.15556900000000001</v>
      </c>
      <c r="P98" s="28">
        <v>0.64772600000000002</v>
      </c>
      <c r="Q98" s="28">
        <v>0.70243</v>
      </c>
      <c r="R98" s="28">
        <v>0.29363800000000001</v>
      </c>
      <c r="S98" s="28">
        <v>0.59576899999999999</v>
      </c>
      <c r="T98" s="28">
        <v>1.041228</v>
      </c>
      <c r="U98" s="28">
        <v>1.430679</v>
      </c>
      <c r="V98" s="28">
        <v>9.6909999999999996E-2</v>
      </c>
      <c r="W98" s="28">
        <v>0.20613200000000001</v>
      </c>
      <c r="X98" s="28">
        <v>-0.59160500000000005</v>
      </c>
      <c r="Y98" s="28">
        <v>-0.35940800000000001</v>
      </c>
      <c r="Z98" s="28">
        <v>0.53883199999999998</v>
      </c>
      <c r="AA98" s="28">
        <v>0.74221800000000004</v>
      </c>
      <c r="AB98" s="28">
        <v>-0.71087800000000001</v>
      </c>
      <c r="AC98" s="28">
        <v>-0.60980100000000004</v>
      </c>
      <c r="AD98" s="28">
        <v>-0.104517</v>
      </c>
      <c r="AE98" s="28">
        <v>-0.374529</v>
      </c>
      <c r="AF98" s="28">
        <v>0.42504999999999998</v>
      </c>
      <c r="AG98" s="28">
        <v>-1.4208430000000001</v>
      </c>
      <c r="AH98" s="28">
        <v>0.44993899999999998</v>
      </c>
      <c r="AI98" s="28">
        <v>0.73405699999999996</v>
      </c>
      <c r="AJ98" s="28">
        <v>-0.50785999999999998</v>
      </c>
      <c r="AK98" s="28">
        <v>0.81760900000000003</v>
      </c>
      <c r="AL98" s="28">
        <v>7.2500999999999996E-2</v>
      </c>
      <c r="AM98" s="28">
        <v>0.14438599999999999</v>
      </c>
      <c r="AN98" s="28">
        <v>0.67340699999999998</v>
      </c>
      <c r="AO98" s="28">
        <v>-0.45261000000000001</v>
      </c>
      <c r="AP98" s="28">
        <v>-0.11408500000000001</v>
      </c>
      <c r="AQ98" s="28">
        <v>-0.11279500000000001</v>
      </c>
      <c r="AR98" s="28">
        <v>0.55067200000000005</v>
      </c>
      <c r="AS98" s="28">
        <v>-0.61355700000000002</v>
      </c>
      <c r="AT98" s="28">
        <v>-0.21176</v>
      </c>
      <c r="AU98" s="28">
        <v>-0.25395499999999999</v>
      </c>
      <c r="AV98" s="28">
        <v>-0.79663799999999996</v>
      </c>
      <c r="AW98" s="28">
        <v>-0.38058199999999998</v>
      </c>
      <c r="AX98" s="28">
        <v>-1.3752599999999999</v>
      </c>
      <c r="AY98" s="28">
        <v>-1.6423E-2</v>
      </c>
      <c r="AZ98" s="28">
        <v>0.39559</v>
      </c>
      <c r="BA98" s="28">
        <v>5.9903999999999999E-2</v>
      </c>
      <c r="BB98" s="28">
        <v>0.10580299999999999</v>
      </c>
      <c r="BC98" s="28">
        <v>139.99292</v>
      </c>
      <c r="BD98" s="28">
        <v>1661.818115</v>
      </c>
      <c r="BE98" s="28">
        <v>897.75707999999997</v>
      </c>
      <c r="BF98" s="28">
        <v>21.495234</v>
      </c>
      <c r="BG98" s="28">
        <v>4.6522000000000001E-2</v>
      </c>
    </row>
    <row r="99" spans="1:59">
      <c r="A99" s="27">
        <v>66</v>
      </c>
      <c r="B99" s="27">
        <v>40.044941000000001</v>
      </c>
      <c r="C99" s="27">
        <v>-3</v>
      </c>
      <c r="D99" s="27">
        <v>0</v>
      </c>
      <c r="E99" s="28">
        <v>-1.0969869999999999</v>
      </c>
      <c r="F99" s="28">
        <v>0.38115300000000002</v>
      </c>
      <c r="G99" s="28">
        <v>0.52356899999999995</v>
      </c>
      <c r="H99" s="28">
        <v>-1.714448</v>
      </c>
      <c r="I99" s="28">
        <v>0.639714</v>
      </c>
      <c r="J99" s="28">
        <v>-0.27751399999999998</v>
      </c>
      <c r="K99" s="28">
        <v>0.22517899999999999</v>
      </c>
      <c r="L99" s="28">
        <v>-6.7871000000000001E-2</v>
      </c>
      <c r="M99" s="28">
        <v>-0.26596500000000001</v>
      </c>
      <c r="N99" s="28">
        <v>-3.7038000000000001E-2</v>
      </c>
      <c r="O99" s="28">
        <v>0.96115200000000001</v>
      </c>
      <c r="P99" s="28">
        <v>0.51594700000000004</v>
      </c>
      <c r="Q99" s="28">
        <v>0.59214999999999995</v>
      </c>
      <c r="R99" s="28">
        <v>-0.90259299999999998</v>
      </c>
      <c r="S99" s="28">
        <v>0.98840300000000003</v>
      </c>
      <c r="T99" s="28">
        <v>-0.674983</v>
      </c>
      <c r="U99" s="28">
        <v>0.97841800000000001</v>
      </c>
      <c r="V99" s="28">
        <v>0.82400099999999998</v>
      </c>
      <c r="W99" s="28">
        <v>1.396997</v>
      </c>
      <c r="X99" s="28">
        <v>-0.45306800000000003</v>
      </c>
      <c r="Y99" s="28">
        <v>0.68356899999999998</v>
      </c>
      <c r="Z99" s="28">
        <v>0.73449600000000004</v>
      </c>
      <c r="AA99" s="28">
        <v>0.567998</v>
      </c>
      <c r="AB99" s="28">
        <v>-0.45733400000000002</v>
      </c>
      <c r="AC99" s="28">
        <v>-1.048338</v>
      </c>
      <c r="AD99" s="28">
        <v>-1.1257E-2</v>
      </c>
      <c r="AE99" s="28">
        <v>0.294599</v>
      </c>
      <c r="AF99" s="28">
        <v>1.0457559999999999</v>
      </c>
      <c r="AG99" s="28">
        <v>-0.35778199999999999</v>
      </c>
      <c r="AH99" s="28">
        <v>-0.12554699999999999</v>
      </c>
      <c r="AI99" s="28">
        <v>-0.62191700000000005</v>
      </c>
      <c r="AJ99" s="28">
        <v>0.52560499999999999</v>
      </c>
      <c r="AK99" s="28">
        <v>2.4389000000000001E-2</v>
      </c>
      <c r="AL99" s="28">
        <v>-1.1259049999999999</v>
      </c>
      <c r="AM99" s="28">
        <v>0.78310400000000002</v>
      </c>
      <c r="AN99" s="28">
        <v>-0.625803</v>
      </c>
      <c r="AO99" s="28">
        <v>0.32439000000000001</v>
      </c>
      <c r="AP99" s="28">
        <v>-0.28769800000000001</v>
      </c>
      <c r="AQ99" s="28">
        <v>-0.81347199999999997</v>
      </c>
      <c r="AR99" s="28">
        <v>0.20236699999999999</v>
      </c>
      <c r="AS99" s="28">
        <v>0.71817299999999995</v>
      </c>
      <c r="AT99" s="28">
        <v>-1.6559000000000001E-2</v>
      </c>
      <c r="AU99" s="28">
        <v>-0.30865999999999999</v>
      </c>
      <c r="AV99" s="28">
        <v>-0.412381</v>
      </c>
      <c r="AW99" s="28">
        <v>-0.70930300000000002</v>
      </c>
      <c r="AX99" s="28">
        <v>-7.7965000000000007E-2</v>
      </c>
      <c r="AY99" s="28">
        <v>0.49343900000000002</v>
      </c>
      <c r="AZ99" s="28">
        <v>-0.40752500000000003</v>
      </c>
      <c r="BA99" s="28">
        <v>0.80309900000000001</v>
      </c>
      <c r="BB99" s="28">
        <v>-0.17697399999999999</v>
      </c>
      <c r="BC99" s="28">
        <v>127.936905</v>
      </c>
      <c r="BD99" s="28">
        <v>1524.5074460000001</v>
      </c>
      <c r="BE99" s="28">
        <v>917.90698199999997</v>
      </c>
      <c r="BF99" s="28">
        <v>22.921921000000001</v>
      </c>
      <c r="BG99" s="28">
        <v>4.3625999999999998E-2</v>
      </c>
    </row>
    <row r="100" spans="1:59">
      <c r="A100" s="27">
        <v>67</v>
      </c>
      <c r="B100" s="27">
        <v>46.124786</v>
      </c>
      <c r="C100" s="27">
        <v>-3</v>
      </c>
      <c r="D100" s="27">
        <v>0</v>
      </c>
      <c r="E100" s="28">
        <v>1.021855</v>
      </c>
      <c r="F100" s="28">
        <v>-0.51335299999999995</v>
      </c>
      <c r="G100" s="28">
        <v>0.84499000000000002</v>
      </c>
      <c r="H100" s="28">
        <v>0.221779</v>
      </c>
      <c r="I100" s="28">
        <v>-0.345945</v>
      </c>
      <c r="J100" s="28">
        <v>0.38443500000000003</v>
      </c>
      <c r="K100" s="28">
        <v>0.40000599999999997</v>
      </c>
      <c r="L100" s="28">
        <v>0.74851999999999996</v>
      </c>
      <c r="M100" s="28">
        <v>0.67580399999999996</v>
      </c>
      <c r="N100" s="28">
        <v>0.37582700000000002</v>
      </c>
      <c r="O100" s="28">
        <v>-0.451517</v>
      </c>
      <c r="P100" s="28">
        <v>0.72071799999999997</v>
      </c>
      <c r="Q100" s="28">
        <v>-0.823855</v>
      </c>
      <c r="R100" s="28">
        <v>-0.92714300000000005</v>
      </c>
      <c r="S100" s="28">
        <v>-1.432078</v>
      </c>
      <c r="T100" s="28">
        <v>0.16611200000000001</v>
      </c>
      <c r="U100" s="28">
        <v>-0.45099600000000001</v>
      </c>
      <c r="V100" s="28">
        <v>0.71827300000000005</v>
      </c>
      <c r="W100" s="28">
        <v>-1.286106</v>
      </c>
      <c r="X100" s="28">
        <v>0.18909400000000001</v>
      </c>
      <c r="Y100" s="28">
        <v>-0.96882500000000005</v>
      </c>
      <c r="Z100" s="28">
        <v>-0.55457999999999996</v>
      </c>
      <c r="AA100" s="28">
        <v>0.52403</v>
      </c>
      <c r="AB100" s="28">
        <v>-0.97477400000000003</v>
      </c>
      <c r="AC100" s="28">
        <v>0.67058799999999996</v>
      </c>
      <c r="AD100" s="28">
        <v>-0.11078499999999999</v>
      </c>
      <c r="AE100" s="28">
        <v>9.8577999999999999E-2</v>
      </c>
      <c r="AF100" s="28">
        <v>-0.23871600000000001</v>
      </c>
      <c r="AG100" s="28">
        <v>0.54095199999999999</v>
      </c>
      <c r="AH100" s="28">
        <v>-0.807531</v>
      </c>
      <c r="AI100" s="28">
        <v>-0.59443299999999999</v>
      </c>
      <c r="AJ100" s="28">
        <v>0.83320000000000005</v>
      </c>
      <c r="AK100" s="28">
        <v>-7.3070000000000001E-3</v>
      </c>
      <c r="AL100" s="28">
        <v>0.72152400000000005</v>
      </c>
      <c r="AM100" s="28">
        <v>-0.10818999999999999</v>
      </c>
      <c r="AN100" s="28">
        <v>-0.58541900000000002</v>
      </c>
      <c r="AO100" s="28">
        <v>0.47434900000000002</v>
      </c>
      <c r="AP100" s="28">
        <v>-0.68302300000000005</v>
      </c>
      <c r="AQ100" s="28">
        <v>0.82828199999999996</v>
      </c>
      <c r="AR100" s="28">
        <v>-0.40819499999999997</v>
      </c>
      <c r="AS100" s="28">
        <v>0.15193200000000001</v>
      </c>
      <c r="AT100" s="28">
        <v>-0.23450099999999999</v>
      </c>
      <c r="AU100" s="28">
        <v>-0.66697799999999996</v>
      </c>
      <c r="AV100" s="28">
        <v>-0.443963</v>
      </c>
      <c r="AW100" s="28">
        <v>0.68674900000000005</v>
      </c>
      <c r="AX100" s="28">
        <v>-6.0060000000000001E-3</v>
      </c>
      <c r="AY100" s="28">
        <v>-1.1411789999999999</v>
      </c>
      <c r="AZ100" s="28">
        <v>-0.85166600000000003</v>
      </c>
      <c r="BA100" s="28">
        <v>-0.37468200000000002</v>
      </c>
      <c r="BB100" s="28">
        <v>0.48577900000000002</v>
      </c>
      <c r="BC100" s="28">
        <v>165.78627</v>
      </c>
      <c r="BD100" s="28">
        <v>2036.2463379999999</v>
      </c>
      <c r="BE100" s="28">
        <v>987.65838599999995</v>
      </c>
      <c r="BF100" s="28">
        <v>21.412745999999999</v>
      </c>
      <c r="BG100" s="28">
        <v>4.6700999999999999E-2</v>
      </c>
    </row>
    <row r="101" spans="1:59">
      <c r="A101" s="27">
        <v>68</v>
      </c>
      <c r="B101" s="27">
        <v>52.459193999999997</v>
      </c>
      <c r="C101" s="27">
        <v>-3</v>
      </c>
      <c r="D101" s="27">
        <v>0</v>
      </c>
      <c r="E101" s="28">
        <v>0.59661299999999995</v>
      </c>
      <c r="F101" s="28">
        <v>4.6722E-2</v>
      </c>
      <c r="G101" s="28">
        <v>0.84499000000000002</v>
      </c>
      <c r="H101" s="28">
        <v>0.70559700000000003</v>
      </c>
      <c r="I101" s="28">
        <v>-0.26948</v>
      </c>
      <c r="J101" s="28">
        <v>0.55483099999999996</v>
      </c>
      <c r="K101" s="28">
        <v>0.27463599999999999</v>
      </c>
      <c r="L101" s="28">
        <v>1.007574</v>
      </c>
      <c r="M101" s="28">
        <v>0.67580399999999996</v>
      </c>
      <c r="N101" s="28">
        <v>0.95684100000000005</v>
      </c>
      <c r="O101" s="28">
        <v>-0.33118999999999998</v>
      </c>
      <c r="P101" s="28">
        <v>-0.18388299999999999</v>
      </c>
      <c r="Q101" s="28">
        <v>-0.823855</v>
      </c>
      <c r="R101" s="28">
        <v>-0.293875</v>
      </c>
      <c r="S101" s="28">
        <v>-1.150944</v>
      </c>
      <c r="T101" s="28">
        <v>-4.0208000000000001E-2</v>
      </c>
      <c r="U101" s="28">
        <v>9.1570000000000002E-3</v>
      </c>
      <c r="V101" s="28">
        <v>0.71827300000000005</v>
      </c>
      <c r="W101" s="28">
        <v>-1.014146</v>
      </c>
      <c r="X101" s="28">
        <v>0.18909400000000001</v>
      </c>
      <c r="Y101" s="28">
        <v>-0.137041</v>
      </c>
      <c r="Z101" s="28">
        <v>-1.0149090000000001</v>
      </c>
      <c r="AA101" s="28">
        <v>0.36501</v>
      </c>
      <c r="AB101" s="28">
        <v>-0.16683000000000001</v>
      </c>
      <c r="AC101" s="28">
        <v>-9.7029000000000004E-2</v>
      </c>
      <c r="AD101" s="28">
        <v>-0.11078499999999999</v>
      </c>
      <c r="AE101" s="28">
        <v>0.140847</v>
      </c>
      <c r="AF101" s="28">
        <v>0.76027500000000003</v>
      </c>
      <c r="AG101" s="28">
        <v>1.0447329999999999</v>
      </c>
      <c r="AH101" s="28">
        <v>-0.81359599999999999</v>
      </c>
      <c r="AI101" s="28">
        <v>-0.56049700000000002</v>
      </c>
      <c r="AJ101" s="28">
        <v>0.66468400000000005</v>
      </c>
      <c r="AK101" s="28">
        <v>-0.12205000000000001</v>
      </c>
      <c r="AL101" s="28">
        <v>-4.761E-2</v>
      </c>
      <c r="AM101" s="28">
        <v>4.7496999999999998E-2</v>
      </c>
      <c r="AN101" s="28">
        <v>-0.35219299999999998</v>
      </c>
      <c r="AO101" s="28">
        <v>-1.0246930000000001</v>
      </c>
      <c r="AP101" s="28">
        <v>-0.32544699999999999</v>
      </c>
      <c r="AQ101" s="28">
        <v>-0.489591</v>
      </c>
      <c r="AR101" s="28">
        <v>-0.74582700000000002</v>
      </c>
      <c r="AS101" s="28">
        <v>0.11329599999999999</v>
      </c>
      <c r="AT101" s="28">
        <v>-1.3594470000000001</v>
      </c>
      <c r="AU101" s="28">
        <v>0.52810699999999999</v>
      </c>
      <c r="AV101" s="28">
        <v>0.12609799999999999</v>
      </c>
      <c r="AW101" s="28">
        <v>-0.71600699999999995</v>
      </c>
      <c r="AX101" s="28">
        <v>-0.18382399999999999</v>
      </c>
      <c r="AY101" s="28">
        <v>0.247616</v>
      </c>
      <c r="AZ101" s="28">
        <v>1.6714249999999999</v>
      </c>
      <c r="BA101" s="28">
        <v>-0.43859100000000001</v>
      </c>
      <c r="BB101" s="28">
        <v>-0.45567000000000002</v>
      </c>
      <c r="BC101" s="28">
        <v>185.88214099999999</v>
      </c>
      <c r="BD101" s="28">
        <v>2648.0485840000001</v>
      </c>
      <c r="BE101" s="28">
        <v>1081.696289</v>
      </c>
      <c r="BF101" s="28">
        <v>20.619765999999998</v>
      </c>
      <c r="BG101" s="28">
        <v>4.8496999999999998E-2</v>
      </c>
    </row>
    <row r="102" spans="1:59">
      <c r="A102" s="27">
        <v>69</v>
      </c>
      <c r="B102" s="27">
        <v>50.000709999999998</v>
      </c>
      <c r="C102" s="27">
        <v>-3</v>
      </c>
      <c r="D102" s="27">
        <v>0</v>
      </c>
      <c r="E102" s="28">
        <v>-1.3680110000000001</v>
      </c>
      <c r="F102" s="28">
        <v>-0.85349200000000003</v>
      </c>
      <c r="G102" s="28">
        <v>0.48217700000000002</v>
      </c>
      <c r="H102" s="28">
        <v>0.32085900000000001</v>
      </c>
      <c r="I102" s="28">
        <v>0.36048200000000002</v>
      </c>
      <c r="J102" s="28">
        <v>6.2484999999999999E-2</v>
      </c>
      <c r="K102" s="28">
        <v>-0.42971900000000002</v>
      </c>
      <c r="L102" s="28">
        <v>2.7362000000000001E-2</v>
      </c>
      <c r="M102" s="28">
        <v>-0.67951099999999998</v>
      </c>
      <c r="N102" s="28">
        <v>0.74470199999999998</v>
      </c>
      <c r="O102" s="28">
        <v>-0.92654300000000001</v>
      </c>
      <c r="P102" s="28">
        <v>0.70228500000000005</v>
      </c>
      <c r="Q102" s="28">
        <v>-0.35286000000000001</v>
      </c>
      <c r="R102" s="28">
        <v>-0.65729199999999999</v>
      </c>
      <c r="S102" s="28">
        <v>8.7060000000000002E-3</v>
      </c>
      <c r="T102" s="28">
        <v>-0.23127600000000001</v>
      </c>
      <c r="U102" s="28">
        <v>0.38279999999999997</v>
      </c>
      <c r="V102" s="28">
        <v>0.34945500000000002</v>
      </c>
      <c r="W102" s="28">
        <v>0.35790499999999997</v>
      </c>
      <c r="X102" s="28">
        <v>-5.0867000000000002E-2</v>
      </c>
      <c r="Y102" s="28">
        <v>6.5620999999999999E-2</v>
      </c>
      <c r="Z102" s="28">
        <v>-4.7824999999999999E-2</v>
      </c>
      <c r="AA102" s="28">
        <v>-0.45417400000000002</v>
      </c>
      <c r="AB102" s="28">
        <v>0.74773699999999999</v>
      </c>
      <c r="AC102" s="28">
        <v>-0.56772599999999995</v>
      </c>
      <c r="AD102" s="28">
        <v>-0.43990400000000002</v>
      </c>
      <c r="AE102" s="28">
        <v>-1.2277720000000001</v>
      </c>
      <c r="AF102" s="28">
        <v>0.17562</v>
      </c>
      <c r="AG102" s="28">
        <v>1.066675</v>
      </c>
      <c r="AH102" s="28">
        <v>0.41585299999999997</v>
      </c>
      <c r="AI102" s="28">
        <v>-0.48087299999999999</v>
      </c>
      <c r="AJ102" s="28">
        <v>0.405055</v>
      </c>
      <c r="AK102" s="28">
        <v>0.71483399999999997</v>
      </c>
      <c r="AL102" s="28">
        <v>-0.29349799999999998</v>
      </c>
      <c r="AM102" s="28">
        <v>0.82778300000000005</v>
      </c>
      <c r="AN102" s="28">
        <v>2.3668999999999999E-2</v>
      </c>
      <c r="AO102" s="28">
        <v>-0.79423699999999997</v>
      </c>
      <c r="AP102" s="28">
        <v>-0.90337800000000001</v>
      </c>
      <c r="AQ102" s="28">
        <v>1.422147</v>
      </c>
      <c r="AR102" s="28">
        <v>0.89805599999999997</v>
      </c>
      <c r="AS102" s="28">
        <v>-0.66341700000000003</v>
      </c>
      <c r="AT102" s="28">
        <v>0.53328600000000004</v>
      </c>
      <c r="AU102" s="28">
        <v>0.27739599999999998</v>
      </c>
      <c r="AV102" s="28">
        <v>0.71682000000000001</v>
      </c>
      <c r="AW102" s="28">
        <v>-0.62051500000000004</v>
      </c>
      <c r="AX102" s="28">
        <v>0.157529</v>
      </c>
      <c r="AY102" s="28">
        <v>0.76336300000000001</v>
      </c>
      <c r="AZ102" s="28">
        <v>-0.35728799999999999</v>
      </c>
      <c r="BA102" s="28">
        <v>0.61300600000000005</v>
      </c>
      <c r="BB102" s="28">
        <v>-0.21090400000000001</v>
      </c>
      <c r="BC102" s="28">
        <v>189.55590799999999</v>
      </c>
      <c r="BD102" s="28">
        <v>2401.0695799999999</v>
      </c>
      <c r="BE102" s="28">
        <v>978.95251499999995</v>
      </c>
      <c r="BF102" s="28">
        <v>19.578772000000001</v>
      </c>
      <c r="BG102" s="28">
        <v>5.1076000000000003E-2</v>
      </c>
    </row>
    <row r="103" spans="1:59">
      <c r="A103" s="27">
        <v>70</v>
      </c>
      <c r="B103" s="27">
        <v>44.084747</v>
      </c>
      <c r="C103" s="27">
        <v>-3</v>
      </c>
      <c r="D103" s="27">
        <v>0</v>
      </c>
      <c r="E103" s="28">
        <v>0.94180900000000001</v>
      </c>
      <c r="F103" s="28">
        <v>-0.96661600000000003</v>
      </c>
      <c r="G103" s="28">
        <v>-1.701E-3</v>
      </c>
      <c r="H103" s="28">
        <v>-0.54540299999999997</v>
      </c>
      <c r="I103" s="28">
        <v>-0.43832100000000002</v>
      </c>
      <c r="J103" s="28">
        <v>-1.4298390000000001</v>
      </c>
      <c r="K103" s="28">
        <v>0.92647900000000005</v>
      </c>
      <c r="L103" s="28">
        <v>-0.78257600000000005</v>
      </c>
      <c r="M103" s="28">
        <v>0.45502300000000001</v>
      </c>
      <c r="N103" s="28">
        <v>0.18059900000000001</v>
      </c>
      <c r="O103" s="28">
        <v>-0.34862500000000002</v>
      </c>
      <c r="P103" s="28">
        <v>-0.84838400000000003</v>
      </c>
      <c r="Q103" s="28">
        <v>0.65981699999999999</v>
      </c>
      <c r="R103" s="28">
        <v>-1.4716579999999999</v>
      </c>
      <c r="S103" s="28">
        <v>1.3420000000000001E-3</v>
      </c>
      <c r="T103" s="28">
        <v>-3.8100000000000002E-2</v>
      </c>
      <c r="U103" s="28">
        <v>-0.96284999999999998</v>
      </c>
      <c r="V103" s="28">
        <v>0.84333599999999997</v>
      </c>
      <c r="W103" s="28">
        <v>0.60397100000000004</v>
      </c>
      <c r="X103" s="28">
        <v>-1.6871149999999999</v>
      </c>
      <c r="Y103" s="28">
        <v>-0.68394600000000005</v>
      </c>
      <c r="Z103" s="28">
        <v>0.61243499999999995</v>
      </c>
      <c r="AA103" s="28">
        <v>0.67593400000000003</v>
      </c>
      <c r="AB103" s="28">
        <v>0.32172499999999998</v>
      </c>
      <c r="AC103" s="28">
        <v>-0.48714099999999999</v>
      </c>
      <c r="AD103" s="28">
        <v>-0.543597</v>
      </c>
      <c r="AE103" s="28">
        <v>-0.49929000000000001</v>
      </c>
      <c r="AF103" s="28">
        <v>0.19483600000000001</v>
      </c>
      <c r="AG103" s="28">
        <v>-0.87549399999999999</v>
      </c>
      <c r="AH103" s="28">
        <v>-0.78691800000000001</v>
      </c>
      <c r="AI103" s="28">
        <v>0.32993400000000001</v>
      </c>
      <c r="AJ103" s="28">
        <v>-0.41718</v>
      </c>
      <c r="AK103" s="28">
        <v>-0.25569599999999998</v>
      </c>
      <c r="AL103" s="28">
        <v>-0.97838499999999995</v>
      </c>
      <c r="AM103" s="28">
        <v>-0.55299500000000001</v>
      </c>
      <c r="AN103" s="28">
        <v>-1.1587E-2</v>
      </c>
      <c r="AO103" s="28">
        <v>-0.10553800000000001</v>
      </c>
      <c r="AP103" s="28">
        <v>0.33248499999999998</v>
      </c>
      <c r="AQ103" s="28">
        <v>0.36088500000000001</v>
      </c>
      <c r="AR103" s="28">
        <v>0.129166</v>
      </c>
      <c r="AS103" s="28">
        <v>0.195464</v>
      </c>
      <c r="AT103" s="28">
        <v>-0.39376699999999998</v>
      </c>
      <c r="AU103" s="28">
        <v>0.58815799999999996</v>
      </c>
      <c r="AV103" s="28">
        <v>-0.56207700000000005</v>
      </c>
      <c r="AW103" s="28">
        <v>-0.127944</v>
      </c>
      <c r="AX103" s="28">
        <v>5.8170000000000001E-3</v>
      </c>
      <c r="AY103" s="28">
        <v>1.0401769999999999</v>
      </c>
      <c r="AZ103" s="28">
        <v>0.38863900000000001</v>
      </c>
      <c r="BA103" s="28">
        <v>0.71790500000000002</v>
      </c>
      <c r="BB103" s="28">
        <v>-1.2433989999999999</v>
      </c>
      <c r="BC103" s="28">
        <v>156.79804999999999</v>
      </c>
      <c r="BD103" s="28">
        <v>1856.2954099999999</v>
      </c>
      <c r="BE103" s="28">
        <v>1058.660034</v>
      </c>
      <c r="BF103" s="28">
        <v>24.014202000000001</v>
      </c>
      <c r="BG103" s="28">
        <v>4.1641999999999998E-2</v>
      </c>
    </row>
    <row r="104" spans="1:59">
      <c r="A104" s="27">
        <v>71</v>
      </c>
      <c r="B104" s="27">
        <v>51.800345999999998</v>
      </c>
      <c r="C104" s="27">
        <v>-3</v>
      </c>
      <c r="D104" s="27">
        <v>0</v>
      </c>
      <c r="E104" s="28">
        <v>0.42886099999999999</v>
      </c>
      <c r="F104" s="28">
        <v>0.18281</v>
      </c>
      <c r="G104" s="28">
        <v>1.0113160000000001</v>
      </c>
      <c r="H104" s="28">
        <v>0.833758</v>
      </c>
      <c r="I104" s="28">
        <v>0.72736800000000001</v>
      </c>
      <c r="J104" s="28">
        <v>-0.48835600000000001</v>
      </c>
      <c r="K104" s="28">
        <v>-0.16409099999999999</v>
      </c>
      <c r="L104" s="28">
        <v>-0.22639899999999999</v>
      </c>
      <c r="M104" s="28">
        <v>0.76419000000000004</v>
      </c>
      <c r="N104" s="28">
        <v>-0.41230899999999998</v>
      </c>
      <c r="O104" s="28">
        <v>-0.58820700000000004</v>
      </c>
      <c r="P104" s="28">
        <v>0.37289</v>
      </c>
      <c r="Q104" s="28">
        <v>0.71107600000000004</v>
      </c>
      <c r="R104" s="28">
        <v>0.64318900000000001</v>
      </c>
      <c r="S104" s="28">
        <v>-0.59041600000000005</v>
      </c>
      <c r="T104" s="28">
        <v>-0.56031699999999995</v>
      </c>
      <c r="U104" s="28">
        <v>0.57617799999999997</v>
      </c>
      <c r="V104" s="28">
        <v>-0.27173799999999998</v>
      </c>
      <c r="W104" s="28">
        <v>9.0342000000000006E-2</v>
      </c>
      <c r="X104" s="28">
        <v>-0.42563200000000001</v>
      </c>
      <c r="Y104" s="28">
        <v>-0.75923700000000005</v>
      </c>
      <c r="Z104" s="28">
        <v>-6.4381999999999995E-2</v>
      </c>
      <c r="AA104" s="28">
        <v>1.6861550000000001</v>
      </c>
      <c r="AB104" s="28">
        <v>1.1935979999999999</v>
      </c>
      <c r="AC104" s="28">
        <v>-0.86977000000000004</v>
      </c>
      <c r="AD104" s="28">
        <v>0.21907799999999999</v>
      </c>
      <c r="AE104" s="28">
        <v>-1.2230810000000001</v>
      </c>
      <c r="AF104" s="28">
        <v>1.108806</v>
      </c>
      <c r="AG104" s="28">
        <v>-0.64537299999999997</v>
      </c>
      <c r="AH104" s="28">
        <v>-0.142427</v>
      </c>
      <c r="AI104" s="28">
        <v>0.78876100000000005</v>
      </c>
      <c r="AJ104" s="28">
        <v>-9.7087000000000007E-2</v>
      </c>
      <c r="AK104" s="28">
        <v>0.10632999999999999</v>
      </c>
      <c r="AL104" s="28">
        <v>0.31070500000000001</v>
      </c>
      <c r="AM104" s="28">
        <v>0.79967900000000003</v>
      </c>
      <c r="AN104" s="28">
        <v>-0.91009600000000002</v>
      </c>
      <c r="AO104" s="28">
        <v>0.49046200000000001</v>
      </c>
      <c r="AP104" s="28">
        <v>0.71439600000000003</v>
      </c>
      <c r="AQ104" s="28">
        <v>0.275453</v>
      </c>
      <c r="AR104" s="28">
        <v>0.56044400000000005</v>
      </c>
      <c r="AS104" s="28">
        <v>0.49820900000000001</v>
      </c>
      <c r="AT104" s="28">
        <v>0.79888899999999996</v>
      </c>
      <c r="AU104" s="28">
        <v>0.229267</v>
      </c>
      <c r="AV104" s="28">
        <v>-1.005714</v>
      </c>
      <c r="AW104" s="28">
        <v>-0.80216100000000001</v>
      </c>
      <c r="AX104" s="28">
        <v>0.674404</v>
      </c>
      <c r="AY104" s="28">
        <v>0.71349200000000002</v>
      </c>
      <c r="AZ104" s="28">
        <v>0.19221099999999999</v>
      </c>
      <c r="BA104" s="28">
        <v>-0.75938799999999995</v>
      </c>
      <c r="BB104" s="28">
        <v>-0.37675500000000001</v>
      </c>
      <c r="BC104" s="28">
        <v>129.51959199999999</v>
      </c>
      <c r="BD104" s="28">
        <v>2580.6752929999998</v>
      </c>
      <c r="BE104" s="28">
        <v>1174.4951169999999</v>
      </c>
      <c r="BF104" s="28">
        <v>22.673500000000001</v>
      </c>
      <c r="BG104" s="28">
        <v>4.4103999999999997E-2</v>
      </c>
    </row>
    <row r="105" spans="1:59">
      <c r="A105" s="27">
        <v>72</v>
      </c>
      <c r="B105" s="27">
        <v>49.668033999999999</v>
      </c>
      <c r="C105" s="27">
        <v>-3</v>
      </c>
      <c r="D105" s="27">
        <v>0</v>
      </c>
      <c r="E105" s="28">
        <v>0.70405300000000004</v>
      </c>
      <c r="F105" s="28">
        <v>0.189886</v>
      </c>
      <c r="G105" s="28">
        <v>-0.29790899999999998</v>
      </c>
      <c r="H105" s="28">
        <v>0.97846299999999997</v>
      </c>
      <c r="I105" s="28">
        <v>0.29230600000000001</v>
      </c>
      <c r="J105" s="28">
        <v>-2.6873999999999999E-2</v>
      </c>
      <c r="K105" s="28">
        <v>0.130222</v>
      </c>
      <c r="L105" s="29">
        <v>-0.67488000000000004</v>
      </c>
      <c r="M105" s="28">
        <v>0.447604</v>
      </c>
      <c r="N105" s="28">
        <v>-0.91737900000000006</v>
      </c>
      <c r="O105" s="28">
        <v>-0.26982699999999998</v>
      </c>
      <c r="P105" s="28">
        <v>-1.6246039999999999</v>
      </c>
      <c r="Q105" s="28">
        <v>0.86949500000000002</v>
      </c>
      <c r="R105" s="28">
        <v>-0.86700600000000005</v>
      </c>
      <c r="S105" s="28">
        <v>0.37614900000000001</v>
      </c>
      <c r="T105" s="28">
        <v>0.39145999999999997</v>
      </c>
      <c r="U105" s="28">
        <v>-0.40725499999999998</v>
      </c>
      <c r="V105" s="28">
        <v>0.84033400000000003</v>
      </c>
      <c r="W105" s="28">
        <v>-0.634104</v>
      </c>
      <c r="X105" s="28">
        <v>-1.3065999999999999E-2</v>
      </c>
      <c r="Y105" s="28">
        <v>-0.312776</v>
      </c>
      <c r="Z105" s="28">
        <v>0.60697900000000005</v>
      </c>
      <c r="AA105" s="28">
        <v>1.4918089999999999</v>
      </c>
      <c r="AB105" s="28">
        <v>-0.98450700000000002</v>
      </c>
      <c r="AC105" s="28">
        <v>-0.138104</v>
      </c>
      <c r="AD105" s="28">
        <v>-0.28716900000000001</v>
      </c>
      <c r="AE105" s="28">
        <v>9.7927E-2</v>
      </c>
      <c r="AF105" s="28">
        <v>0.58560199999999996</v>
      </c>
      <c r="AG105" s="28">
        <v>-0.20683799999999999</v>
      </c>
      <c r="AH105" s="28">
        <v>-1.279379</v>
      </c>
      <c r="AI105" s="28">
        <v>1.172452</v>
      </c>
      <c r="AJ105" s="28">
        <v>-1.3849899999999999</v>
      </c>
      <c r="AK105" s="28">
        <v>0.75258700000000001</v>
      </c>
      <c r="AL105" s="28">
        <v>-0.83950499999999995</v>
      </c>
      <c r="AM105" s="28">
        <v>0.22764799999999999</v>
      </c>
      <c r="AN105" s="28">
        <v>0.73755899999999996</v>
      </c>
      <c r="AO105" s="28">
        <v>0.38729999999999998</v>
      </c>
      <c r="AP105" s="28">
        <v>-0.10398300000000001</v>
      </c>
      <c r="AQ105" s="28">
        <v>-1.4118850000000001</v>
      </c>
      <c r="AR105" s="28">
        <v>0.417939</v>
      </c>
      <c r="AS105" s="28">
        <v>-0.15954599999999999</v>
      </c>
      <c r="AT105" s="28">
        <v>-0.19655</v>
      </c>
      <c r="AU105" s="28">
        <v>-0.32601799999999997</v>
      </c>
      <c r="AV105" s="28">
        <v>5.8167000000000003E-2</v>
      </c>
      <c r="AW105" s="28">
        <v>0.37184699999999998</v>
      </c>
      <c r="AX105" s="28">
        <v>-0.92221500000000001</v>
      </c>
      <c r="AY105" s="28">
        <v>-0.63430200000000003</v>
      </c>
      <c r="AZ105" s="28">
        <v>0.33190599999999998</v>
      </c>
      <c r="BA105" s="28">
        <v>-0.53409600000000002</v>
      </c>
      <c r="BB105" s="28">
        <v>1.0541560000000001</v>
      </c>
      <c r="BC105" s="28">
        <v>110.81521600000001</v>
      </c>
      <c r="BD105" s="28">
        <v>2368.577393</v>
      </c>
      <c r="BE105" s="28">
        <v>1257.7016599999999</v>
      </c>
      <c r="BF105" s="28">
        <v>25.322154999999999</v>
      </c>
      <c r="BG105" s="28">
        <v>3.9490999999999998E-2</v>
      </c>
    </row>
    <row r="106" spans="1:59">
      <c r="A106" s="27">
        <v>73</v>
      </c>
      <c r="B106" s="27">
        <v>45.173915999999998</v>
      </c>
      <c r="C106" s="27">
        <v>-3</v>
      </c>
      <c r="D106" s="27">
        <v>0</v>
      </c>
      <c r="E106" s="28">
        <v>0.316693</v>
      </c>
      <c r="F106" s="28">
        <v>-0.30018699999999998</v>
      </c>
      <c r="G106" s="28">
        <v>-0.70582500000000004</v>
      </c>
      <c r="H106" s="28">
        <v>0.21092900000000001</v>
      </c>
      <c r="I106" s="28">
        <v>-0.81134099999999998</v>
      </c>
      <c r="J106" s="28">
        <v>-0.33339000000000002</v>
      </c>
      <c r="K106" s="28">
        <v>0.41412199999999999</v>
      </c>
      <c r="L106" s="29">
        <v>-0.91388100000000005</v>
      </c>
      <c r="M106" s="28">
        <v>-1.8170280000000001</v>
      </c>
      <c r="N106" s="28">
        <v>-0.71457499999999996</v>
      </c>
      <c r="O106" s="28">
        <v>0.46987699999999999</v>
      </c>
      <c r="P106" s="28">
        <v>6.9020000000000001E-3</v>
      </c>
      <c r="Q106" s="28">
        <v>0.932979</v>
      </c>
      <c r="R106" s="28">
        <v>1.0265759999999999</v>
      </c>
      <c r="S106" s="28">
        <v>-0.88664900000000002</v>
      </c>
      <c r="T106" s="28">
        <v>-0.56404299999999996</v>
      </c>
      <c r="U106" s="28">
        <v>-0.33663900000000002</v>
      </c>
      <c r="V106" s="28">
        <v>0.63464299999999996</v>
      </c>
      <c r="W106" s="28">
        <v>0.285107</v>
      </c>
      <c r="X106" s="28">
        <v>0.50770700000000002</v>
      </c>
      <c r="Y106" s="28">
        <v>0.32968599999999998</v>
      </c>
      <c r="Z106" s="28">
        <v>-0.38834800000000003</v>
      </c>
      <c r="AA106" s="28">
        <v>-0.62957300000000005</v>
      </c>
      <c r="AB106" s="28">
        <v>-0.13575200000000001</v>
      </c>
      <c r="AC106" s="28">
        <v>0.428365</v>
      </c>
      <c r="AD106" s="28">
        <v>-0.84453699999999998</v>
      </c>
      <c r="AE106" s="28">
        <v>-0.49519099999999999</v>
      </c>
      <c r="AF106" s="28">
        <v>0.81726100000000002</v>
      </c>
      <c r="AG106" s="28">
        <v>4.4997000000000002E-2</v>
      </c>
      <c r="AH106" s="28">
        <v>-3.4559999999999999E-3</v>
      </c>
      <c r="AI106" s="28">
        <v>4.2220000000000001E-2</v>
      </c>
      <c r="AJ106" s="28">
        <v>0.746112</v>
      </c>
      <c r="AK106" s="28">
        <v>-0.18641099999999999</v>
      </c>
      <c r="AL106" s="28">
        <v>-0.59467499999999995</v>
      </c>
      <c r="AM106" s="28">
        <v>-0.77396699999999996</v>
      </c>
      <c r="AN106" s="28">
        <v>-1.7034000000000001E-2</v>
      </c>
      <c r="AO106" s="28">
        <v>0.89082099999999997</v>
      </c>
      <c r="AP106" s="28">
        <v>-0.36768200000000001</v>
      </c>
      <c r="AQ106" s="28">
        <v>-0.33218700000000001</v>
      </c>
      <c r="AR106" s="28">
        <v>0.15631100000000001</v>
      </c>
      <c r="AS106" s="28">
        <v>0.50167499999999998</v>
      </c>
      <c r="AT106" s="28">
        <v>0.95774199999999998</v>
      </c>
      <c r="AU106" s="28">
        <v>0.69609699999999997</v>
      </c>
      <c r="AV106" s="28">
        <v>0.19927600000000001</v>
      </c>
      <c r="AW106" s="28">
        <v>1.5352520000000001</v>
      </c>
      <c r="AX106" s="28">
        <v>0.27076899999999998</v>
      </c>
      <c r="AY106" s="28">
        <v>-0.24607899999999999</v>
      </c>
      <c r="AZ106" s="28">
        <v>-0.40809499999999999</v>
      </c>
      <c r="BA106" s="28">
        <v>-0.36500199999999999</v>
      </c>
      <c r="BB106" s="28">
        <v>-0.53218699999999997</v>
      </c>
      <c r="BC106" s="28">
        <v>169.55943300000001</v>
      </c>
      <c r="BD106" s="28">
        <v>1951.3348390000001</v>
      </c>
      <c r="BE106" s="28">
        <v>916.53131099999996</v>
      </c>
      <c r="BF106" s="28">
        <v>20.28895</v>
      </c>
      <c r="BG106" s="28">
        <v>4.9287999999999998E-2</v>
      </c>
    </row>
    <row r="107" spans="1:59">
      <c r="A107" s="27">
        <v>74</v>
      </c>
      <c r="B107" s="27">
        <v>41.594425000000001</v>
      </c>
      <c r="C107" s="27">
        <v>-3</v>
      </c>
      <c r="D107" s="27">
        <v>0</v>
      </c>
      <c r="E107" s="28">
        <v>-1.0345310000000001</v>
      </c>
      <c r="F107" s="28">
        <v>1.1446890000000001</v>
      </c>
      <c r="G107" s="28">
        <v>0.27109</v>
      </c>
      <c r="H107" s="28">
        <v>0.61382199999999998</v>
      </c>
      <c r="I107" s="28">
        <v>-0.62524100000000005</v>
      </c>
      <c r="J107" s="28">
        <v>0.57052199999999997</v>
      </c>
      <c r="K107" s="28">
        <v>-0.77776800000000001</v>
      </c>
      <c r="L107" s="29">
        <v>0.75486200000000003</v>
      </c>
      <c r="M107" s="30">
        <v>-0.90419799999999995</v>
      </c>
      <c r="N107" s="28">
        <v>-0.95964000000000005</v>
      </c>
      <c r="O107" s="28">
        <v>1.5676810000000001</v>
      </c>
      <c r="P107" s="28">
        <v>-0.53586599999999995</v>
      </c>
      <c r="Q107" s="28">
        <v>-0.13311999999999999</v>
      </c>
      <c r="R107" s="28">
        <v>-0.63129900000000005</v>
      </c>
      <c r="S107" s="28">
        <v>-0.530088</v>
      </c>
      <c r="T107" s="28">
        <v>-0.336281</v>
      </c>
      <c r="U107" s="28">
        <v>1.0221979999999999</v>
      </c>
      <c r="V107" s="28">
        <v>1.086654</v>
      </c>
      <c r="W107" s="28">
        <v>-0.88309400000000005</v>
      </c>
      <c r="X107" s="28">
        <v>-0.158607</v>
      </c>
      <c r="Y107" s="28">
        <v>0.15149299999999999</v>
      </c>
      <c r="Z107" s="28">
        <v>1.380085</v>
      </c>
      <c r="AA107" s="28">
        <v>0.85262700000000002</v>
      </c>
      <c r="AB107" s="28">
        <v>0.79659800000000003</v>
      </c>
      <c r="AC107" s="28">
        <v>-8.4574999999999997E-2</v>
      </c>
      <c r="AD107" s="28">
        <v>0.15743399999999999</v>
      </c>
      <c r="AE107" s="28">
        <v>-0.73873999999999995</v>
      </c>
      <c r="AF107" s="28">
        <v>-0.97223599999999999</v>
      </c>
      <c r="AG107" s="28">
        <v>1.427076</v>
      </c>
      <c r="AH107" s="28">
        <v>0.204545</v>
      </c>
      <c r="AI107" s="28">
        <v>-6.4873E-2</v>
      </c>
      <c r="AJ107" s="28">
        <v>-0.55223900000000004</v>
      </c>
      <c r="AK107" s="28">
        <v>-0.19831699999999999</v>
      </c>
      <c r="AL107" s="28">
        <v>0.52182799999999996</v>
      </c>
      <c r="AM107" s="28">
        <v>-0.60875699999999999</v>
      </c>
      <c r="AN107" s="28">
        <v>-0.28527799999999998</v>
      </c>
      <c r="AO107" s="28">
        <v>0.29369400000000001</v>
      </c>
      <c r="AP107" s="28">
        <v>0.73476699999999995</v>
      </c>
      <c r="AQ107" s="28">
        <v>0.84933599999999998</v>
      </c>
      <c r="AR107" s="28">
        <v>0.40474900000000003</v>
      </c>
      <c r="AS107" s="28">
        <v>0.18462899999999999</v>
      </c>
      <c r="AT107" s="28">
        <v>-0.52167699999999995</v>
      </c>
      <c r="AU107" s="28">
        <v>-0.74660899999999997</v>
      </c>
      <c r="AV107" s="28">
        <v>-0.69701199999999996</v>
      </c>
      <c r="AW107" s="28">
        <v>3.0133E-2</v>
      </c>
      <c r="AX107" s="28">
        <v>1.8644999999999998E-2</v>
      </c>
      <c r="AY107" s="28">
        <v>-0.68263099999999999</v>
      </c>
      <c r="AZ107" s="28">
        <v>-0.20174300000000001</v>
      </c>
      <c r="BA107" s="28">
        <v>0.47851300000000002</v>
      </c>
      <c r="BB107" s="28">
        <v>-1.1940109999999999</v>
      </c>
      <c r="BC107" s="28">
        <v>122.633804</v>
      </c>
      <c r="BD107" s="28">
        <v>1647.9073490000001</v>
      </c>
      <c r="BE107" s="28">
        <v>1082.823975</v>
      </c>
      <c r="BF107" s="28">
        <v>26.032910999999999</v>
      </c>
      <c r="BG107" s="28">
        <v>3.8413000000000003E-2</v>
      </c>
    </row>
    <row r="108" spans="1:59">
      <c r="A108" s="27">
        <v>75</v>
      </c>
      <c r="B108" s="27">
        <v>50.076698</v>
      </c>
      <c r="C108" s="27">
        <v>-3</v>
      </c>
      <c r="D108" s="27">
        <v>0</v>
      </c>
      <c r="E108" s="28">
        <v>0.21737699999999999</v>
      </c>
      <c r="F108" s="28">
        <v>0.14487800000000001</v>
      </c>
      <c r="G108" s="28">
        <v>-0.83955400000000002</v>
      </c>
      <c r="H108" s="28">
        <v>0.16831699999999999</v>
      </c>
      <c r="I108" s="28">
        <v>-0.42879800000000001</v>
      </c>
      <c r="J108" s="28">
        <v>-0.57425800000000005</v>
      </c>
      <c r="K108" s="28">
        <v>-6.8325999999999998E-2</v>
      </c>
      <c r="L108" s="28">
        <v>0.79547000000000001</v>
      </c>
      <c r="M108" s="28">
        <v>9.1750000000000009E-3</v>
      </c>
      <c r="N108" s="28">
        <v>0.315826</v>
      </c>
      <c r="O108" s="28">
        <v>1.2041200000000001</v>
      </c>
      <c r="P108" s="28">
        <v>-7.6033000000000003E-2</v>
      </c>
      <c r="Q108" s="28">
        <v>0.93650800000000001</v>
      </c>
      <c r="R108" s="28">
        <v>0.87146000000000001</v>
      </c>
      <c r="S108" s="28">
        <v>-0.58244700000000005</v>
      </c>
      <c r="T108" s="28">
        <v>-0.60894499999999996</v>
      </c>
      <c r="U108" s="28">
        <v>-4.9778000000000003E-2</v>
      </c>
      <c r="V108" s="28">
        <v>0.24624699999999999</v>
      </c>
      <c r="W108" s="28">
        <v>-0.57982</v>
      </c>
      <c r="X108" s="28">
        <v>-0.62389300000000003</v>
      </c>
      <c r="Y108" s="28">
        <v>0.68608000000000002</v>
      </c>
      <c r="Z108" s="28">
        <v>0.20273099999999999</v>
      </c>
      <c r="AA108" s="28">
        <v>-1.581968</v>
      </c>
      <c r="AB108" s="28">
        <v>-0.44977099999999998</v>
      </c>
      <c r="AC108" s="28">
        <v>0.48746499999999998</v>
      </c>
      <c r="AD108" s="28">
        <v>-0.74534199999999995</v>
      </c>
      <c r="AE108" s="28">
        <v>0.81455200000000005</v>
      </c>
      <c r="AF108" s="28">
        <v>-0.478717</v>
      </c>
      <c r="AG108" s="28">
        <v>0.87226499999999996</v>
      </c>
      <c r="AH108" s="28">
        <v>0.531609</v>
      </c>
      <c r="AI108" s="28">
        <v>-0.19894899999999999</v>
      </c>
      <c r="AJ108" s="28">
        <v>0.30160799999999999</v>
      </c>
      <c r="AK108" s="28">
        <v>-0.103106</v>
      </c>
      <c r="AL108" s="28">
        <v>0.81671000000000005</v>
      </c>
      <c r="AM108" s="28">
        <v>-1.422342</v>
      </c>
      <c r="AN108" s="28">
        <v>0.70987599999999995</v>
      </c>
      <c r="AO108" s="28">
        <v>-0.70594000000000001</v>
      </c>
      <c r="AP108" s="28">
        <v>-0.21564800000000001</v>
      </c>
      <c r="AQ108" s="28">
        <v>-0.34107199999999999</v>
      </c>
      <c r="AR108" s="28">
        <v>-0.48190300000000003</v>
      </c>
      <c r="AS108" s="28">
        <v>0.330486</v>
      </c>
      <c r="AT108" s="28">
        <v>-0.53271500000000005</v>
      </c>
      <c r="AU108" s="28">
        <v>-0.65382799999999996</v>
      </c>
      <c r="AV108" s="28">
        <v>-0.35823100000000002</v>
      </c>
      <c r="AW108" s="28">
        <v>0.83191700000000002</v>
      </c>
      <c r="AX108" s="28">
        <v>-0.37991900000000001</v>
      </c>
      <c r="AY108" s="28">
        <v>-0.65685199999999999</v>
      </c>
      <c r="AZ108" s="28">
        <v>-0.39264900000000003</v>
      </c>
      <c r="BA108" s="28">
        <v>-7.7480999999999994E-2</v>
      </c>
      <c r="BB108" s="28">
        <v>-0.74588100000000002</v>
      </c>
      <c r="BC108" s="28">
        <v>147.89006000000001</v>
      </c>
      <c r="BD108" s="28">
        <v>2408.5222170000002</v>
      </c>
      <c r="BE108" s="28">
        <v>989.06115699999998</v>
      </c>
      <c r="BF108" s="28">
        <v>19.750927000000001</v>
      </c>
      <c r="BG108" s="28">
        <v>5.0631000000000002E-2</v>
      </c>
    </row>
    <row r="109" spans="1:59">
      <c r="A109" s="27">
        <v>76</v>
      </c>
      <c r="B109" s="27">
        <v>40.871796000000003</v>
      </c>
      <c r="C109" s="27">
        <v>-3</v>
      </c>
      <c r="D109" s="27">
        <v>0</v>
      </c>
      <c r="E109" s="28">
        <v>0.14165700000000001</v>
      </c>
      <c r="F109" s="28">
        <v>0.93150100000000002</v>
      </c>
      <c r="G109" s="28">
        <v>0.21973599999999999</v>
      </c>
      <c r="H109" s="28">
        <v>8.7349999999999997E-2</v>
      </c>
      <c r="I109" s="28">
        <v>0.66057299999999997</v>
      </c>
      <c r="J109" s="28">
        <v>0.32617000000000002</v>
      </c>
      <c r="K109" s="28">
        <v>0.486794</v>
      </c>
      <c r="L109" s="28">
        <v>-0.60062700000000002</v>
      </c>
      <c r="M109" s="28">
        <v>1.7281930000000001</v>
      </c>
      <c r="N109" s="28">
        <v>1.279531</v>
      </c>
      <c r="O109" s="28">
        <v>-0.37542500000000001</v>
      </c>
      <c r="P109" s="28">
        <v>-0.86995599999999995</v>
      </c>
      <c r="Q109" s="28">
        <v>-0.88975000000000004</v>
      </c>
      <c r="R109" s="28">
        <v>-1.1213439999999999</v>
      </c>
      <c r="S109" s="28">
        <v>1.2563500000000001</v>
      </c>
      <c r="T109" s="28">
        <v>0.63623399999999997</v>
      </c>
      <c r="U109" s="28">
        <v>0.55337499999999995</v>
      </c>
      <c r="V109" s="28">
        <v>-0.316774</v>
      </c>
      <c r="W109" s="28">
        <v>-0.57559000000000005</v>
      </c>
      <c r="X109" s="28">
        <v>-0.77202599999999999</v>
      </c>
      <c r="Y109" s="28">
        <v>-0.78446899999999997</v>
      </c>
      <c r="Z109" s="28">
        <v>0.47545100000000001</v>
      </c>
      <c r="AA109" s="28">
        <v>0.97257099999999996</v>
      </c>
      <c r="AB109" s="28">
        <v>0.81458900000000001</v>
      </c>
      <c r="AC109" s="28">
        <v>0.34436099999999997</v>
      </c>
      <c r="AD109" s="28">
        <v>4.1963E-2</v>
      </c>
      <c r="AE109" s="28">
        <v>0.81816999999999995</v>
      </c>
      <c r="AF109" s="28">
        <v>0.49418299999999998</v>
      </c>
      <c r="AG109" s="28">
        <v>-0.74974099999999999</v>
      </c>
      <c r="AH109" s="28">
        <v>-1.1178939999999999</v>
      </c>
      <c r="AI109" s="28">
        <v>1.0275810000000001</v>
      </c>
      <c r="AJ109" s="28">
        <v>0.18726499999999999</v>
      </c>
      <c r="AK109" s="28">
        <v>-0.46878799999999998</v>
      </c>
      <c r="AL109" s="28">
        <v>0.21907799999999999</v>
      </c>
      <c r="AM109" s="28">
        <v>0.65311699999999995</v>
      </c>
      <c r="AN109" s="28">
        <v>-0.532003</v>
      </c>
      <c r="AO109" s="28">
        <v>0.80649400000000004</v>
      </c>
      <c r="AP109" s="28">
        <v>-0.388903</v>
      </c>
      <c r="AQ109" s="28">
        <v>-0.21298</v>
      </c>
      <c r="AR109" s="28">
        <v>-0.33707300000000001</v>
      </c>
      <c r="AS109" s="28">
        <v>-1.7750000000000001E-3</v>
      </c>
      <c r="AT109" s="28">
        <v>-0.43126399999999998</v>
      </c>
      <c r="AU109" s="28">
        <v>0.65154900000000004</v>
      </c>
      <c r="AV109" s="28">
        <v>-0.22847300000000001</v>
      </c>
      <c r="AW109" s="28">
        <v>-0.868004</v>
      </c>
      <c r="AX109" s="28">
        <v>-0.905532</v>
      </c>
      <c r="AY109" s="28">
        <v>0.25758300000000001</v>
      </c>
      <c r="AZ109" s="28">
        <v>-5.6763000000000001E-2</v>
      </c>
      <c r="BA109" s="28">
        <v>-0.61416400000000004</v>
      </c>
      <c r="BB109" s="28">
        <v>9.1121999999999995E-2</v>
      </c>
      <c r="BC109" s="28">
        <v>100.750473</v>
      </c>
      <c r="BD109" s="28">
        <v>1589.7601320000001</v>
      </c>
      <c r="BE109" s="28">
        <v>980.46466099999998</v>
      </c>
      <c r="BF109" s="28">
        <v>23.988785</v>
      </c>
      <c r="BG109" s="28">
        <v>4.1686000000000001E-2</v>
      </c>
    </row>
    <row r="110" spans="1:59">
      <c r="A110" s="27">
        <v>77</v>
      </c>
      <c r="B110" s="27">
        <v>44.084747</v>
      </c>
      <c r="C110" s="27">
        <v>-3</v>
      </c>
      <c r="D110" s="27">
        <v>0</v>
      </c>
      <c r="E110" s="28">
        <v>0.94180900000000001</v>
      </c>
      <c r="F110" s="28">
        <v>-0.96661600000000003</v>
      </c>
      <c r="G110" s="28">
        <v>-1.701E-3</v>
      </c>
      <c r="H110" s="28">
        <v>-0.54540299999999997</v>
      </c>
      <c r="I110" s="28">
        <v>-0.43832100000000002</v>
      </c>
      <c r="J110" s="28">
        <v>-1.4298390000000001</v>
      </c>
      <c r="K110" s="28">
        <v>0.92647900000000005</v>
      </c>
      <c r="L110" s="28">
        <v>-0.78257600000000005</v>
      </c>
      <c r="M110" s="28">
        <v>0.45502300000000001</v>
      </c>
      <c r="N110" s="28">
        <v>0.18059900000000001</v>
      </c>
      <c r="O110" s="28">
        <v>-0.34862500000000002</v>
      </c>
      <c r="P110" s="28">
        <v>-0.84838400000000003</v>
      </c>
      <c r="Q110" s="28">
        <v>0.65981699999999999</v>
      </c>
      <c r="R110" s="28">
        <v>-1.4716579999999999</v>
      </c>
      <c r="S110" s="28">
        <v>1.3420000000000001E-3</v>
      </c>
      <c r="T110" s="28">
        <v>-3.8100000000000002E-2</v>
      </c>
      <c r="U110" s="28">
        <v>-0.96284999999999998</v>
      </c>
      <c r="V110" s="28">
        <v>0.84333599999999997</v>
      </c>
      <c r="W110" s="28">
        <v>0.60397100000000004</v>
      </c>
      <c r="X110" s="28">
        <v>-1.6871149999999999</v>
      </c>
      <c r="Y110" s="28">
        <v>-0.68394600000000005</v>
      </c>
      <c r="Z110" s="28">
        <v>0.61243499999999995</v>
      </c>
      <c r="AA110" s="28">
        <v>0.67593400000000003</v>
      </c>
      <c r="AB110" s="28">
        <v>0.32172499999999998</v>
      </c>
      <c r="AC110" s="28">
        <v>-0.48714099999999999</v>
      </c>
      <c r="AD110" s="28">
        <v>-0.543597</v>
      </c>
      <c r="AE110" s="28">
        <v>-0.49929000000000001</v>
      </c>
      <c r="AF110" s="28">
        <v>0.19483600000000001</v>
      </c>
      <c r="AG110" s="28">
        <v>-0.87549399999999999</v>
      </c>
      <c r="AH110" s="28">
        <v>-0.78691800000000001</v>
      </c>
      <c r="AI110" s="28">
        <v>0.32993400000000001</v>
      </c>
      <c r="AJ110" s="28">
        <v>-0.41718</v>
      </c>
      <c r="AK110" s="28">
        <v>-0.25569599999999998</v>
      </c>
      <c r="AL110" s="28">
        <v>-0.97838499999999995</v>
      </c>
      <c r="AM110" s="28">
        <v>-0.55299500000000001</v>
      </c>
      <c r="AN110" s="28">
        <v>-1.1587E-2</v>
      </c>
      <c r="AO110" s="28">
        <v>-0.10553800000000001</v>
      </c>
      <c r="AP110" s="28">
        <v>0.33248499999999998</v>
      </c>
      <c r="AQ110" s="28">
        <v>0.36088500000000001</v>
      </c>
      <c r="AR110" s="28">
        <v>0.129166</v>
      </c>
      <c r="AS110" s="28">
        <v>0.195464</v>
      </c>
      <c r="AT110" s="28">
        <v>-0.39376699999999998</v>
      </c>
      <c r="AU110" s="28">
        <v>0.58815799999999996</v>
      </c>
      <c r="AV110" s="28">
        <v>-0.56207700000000005</v>
      </c>
      <c r="AW110" s="28">
        <v>-0.127944</v>
      </c>
      <c r="AX110" s="28">
        <v>5.8170000000000001E-3</v>
      </c>
      <c r="AY110" s="28">
        <v>1.0401769999999999</v>
      </c>
      <c r="AZ110" s="28">
        <v>0.38863900000000001</v>
      </c>
      <c r="BA110" s="28">
        <v>0.71790500000000002</v>
      </c>
      <c r="BB110" s="28">
        <v>-1.2433989999999999</v>
      </c>
      <c r="BC110" s="28">
        <v>156.79804999999999</v>
      </c>
      <c r="BD110" s="28">
        <v>1856.2954099999999</v>
      </c>
      <c r="BE110" s="28">
        <v>1058.660034</v>
      </c>
      <c r="BF110" s="28">
        <v>24.014202000000001</v>
      </c>
      <c r="BG110" s="28">
        <v>4.1641999999999998E-2</v>
      </c>
    </row>
    <row r="111" spans="1:59">
      <c r="A111" s="27">
        <v>78</v>
      </c>
      <c r="B111" s="27">
        <v>44.166007999999998</v>
      </c>
      <c r="C111" s="27">
        <v>-3</v>
      </c>
      <c r="D111" s="27">
        <v>0</v>
      </c>
      <c r="E111" s="28">
        <v>0.74165199999999998</v>
      </c>
      <c r="F111" s="28">
        <v>0.26011600000000001</v>
      </c>
      <c r="G111" s="28">
        <v>-0.19200700000000001</v>
      </c>
      <c r="H111" s="28">
        <v>0.39093</v>
      </c>
      <c r="I111" s="28">
        <v>0.431419</v>
      </c>
      <c r="J111" s="28">
        <v>-0.22012899999999999</v>
      </c>
      <c r="K111" s="28">
        <v>1.2590239999999999</v>
      </c>
      <c r="L111" s="28">
        <v>0.14258000000000001</v>
      </c>
      <c r="M111" s="28">
        <v>0.77181</v>
      </c>
      <c r="N111" s="28">
        <v>-0.21779200000000001</v>
      </c>
      <c r="O111" s="28">
        <v>0.87763599999999997</v>
      </c>
      <c r="P111" s="28">
        <v>0.84106300000000001</v>
      </c>
      <c r="Q111" s="28">
        <v>1.0041530000000001</v>
      </c>
      <c r="R111" s="28">
        <v>-0.97346200000000005</v>
      </c>
      <c r="S111" s="28">
        <v>0.962086</v>
      </c>
      <c r="T111" s="28">
        <v>-0.36222100000000002</v>
      </c>
      <c r="U111" s="28">
        <v>-0.85171399999999997</v>
      </c>
      <c r="V111" s="28">
        <v>-1.2297830000000001</v>
      </c>
      <c r="W111" s="28">
        <v>-1.113645</v>
      </c>
      <c r="X111" s="28">
        <v>-0.57122700000000004</v>
      </c>
      <c r="Y111" s="28">
        <v>-1.261752</v>
      </c>
      <c r="Z111" s="28">
        <v>-0.39733400000000002</v>
      </c>
      <c r="AA111" s="28">
        <v>-1.5360799999999999</v>
      </c>
      <c r="AB111" s="28">
        <v>0.38037500000000002</v>
      </c>
      <c r="AC111" s="28">
        <v>-1.6188039999999999</v>
      </c>
      <c r="AD111" s="28">
        <v>-7.8633999999999996E-2</v>
      </c>
      <c r="AE111" s="28">
        <v>-3.1660000000000001E-2</v>
      </c>
      <c r="AF111" s="28">
        <v>-0.88983500000000004</v>
      </c>
      <c r="AG111" s="28">
        <v>0.41203499999999998</v>
      </c>
      <c r="AH111" s="28">
        <v>0.777084</v>
      </c>
      <c r="AI111" s="28">
        <v>-0.33110000000000001</v>
      </c>
      <c r="AJ111" s="28">
        <v>-0.287018</v>
      </c>
      <c r="AK111" s="28">
        <v>1.363599</v>
      </c>
      <c r="AL111" s="28">
        <v>1.2083809999999999</v>
      </c>
      <c r="AM111" s="28">
        <v>0.41487400000000002</v>
      </c>
      <c r="AN111" s="28">
        <v>0.25899</v>
      </c>
      <c r="AO111" s="28">
        <v>0.58913000000000004</v>
      </c>
      <c r="AP111" s="28">
        <v>-0.20588100000000001</v>
      </c>
      <c r="AQ111" s="28">
        <v>-5.2186000000000003E-2</v>
      </c>
      <c r="AR111" s="28">
        <v>0.15509400000000001</v>
      </c>
      <c r="AS111" s="28">
        <v>0.41556300000000002</v>
      </c>
      <c r="AT111" s="28">
        <v>0.458899</v>
      </c>
      <c r="AU111" s="28">
        <v>0.20200000000000001</v>
      </c>
      <c r="AV111" s="28">
        <v>-0.41248099999999999</v>
      </c>
      <c r="AW111" s="28">
        <v>-1.231236</v>
      </c>
      <c r="AX111" s="28">
        <v>0.31484200000000001</v>
      </c>
      <c r="AY111" s="28">
        <v>0.376859</v>
      </c>
      <c r="AZ111" s="28">
        <v>-0.29426000000000002</v>
      </c>
      <c r="BA111" s="28">
        <v>0.62272400000000006</v>
      </c>
      <c r="BB111" s="28">
        <v>-3.891E-2</v>
      </c>
      <c r="BC111" s="28">
        <v>76.127266000000006</v>
      </c>
      <c r="BD111" s="28">
        <v>1863.3041989999999</v>
      </c>
      <c r="BE111" s="28">
        <v>1193.6641850000001</v>
      </c>
      <c r="BF111" s="28">
        <v>27.026762000000002</v>
      </c>
      <c r="BG111" s="28">
        <v>3.6999999999999998E-2</v>
      </c>
    </row>
    <row r="112" spans="1:59">
      <c r="A112" s="27">
        <v>79</v>
      </c>
      <c r="B112" s="27">
        <v>46.628653999999997</v>
      </c>
      <c r="C112" s="27">
        <v>-3</v>
      </c>
      <c r="D112" s="27">
        <v>0</v>
      </c>
      <c r="E112" s="28">
        <v>-0.96952099999999997</v>
      </c>
      <c r="F112" s="28">
        <v>0.66410999999999998</v>
      </c>
      <c r="G112" s="28">
        <v>-0.97222600000000003</v>
      </c>
      <c r="H112" s="28">
        <v>-0.63371699999999997</v>
      </c>
      <c r="I112" s="28">
        <v>-0.20852200000000001</v>
      </c>
      <c r="J112" s="28">
        <v>-0.52859100000000003</v>
      </c>
      <c r="K112" s="28">
        <v>1.0724800000000001</v>
      </c>
      <c r="L112" s="28">
        <v>0.25561099999999998</v>
      </c>
      <c r="M112" s="28">
        <v>0.13075899999999999</v>
      </c>
      <c r="N112" s="28">
        <v>-0.345333</v>
      </c>
      <c r="O112" s="28">
        <v>-6.3410000000000003E-3</v>
      </c>
      <c r="P112" s="28">
        <v>0.30458099999999999</v>
      </c>
      <c r="Q112" s="28">
        <v>0.91954400000000003</v>
      </c>
      <c r="R112" s="28">
        <v>1.6418710000000001</v>
      </c>
      <c r="S112" s="28">
        <v>-5.1436000000000003E-2</v>
      </c>
      <c r="T112" s="28">
        <v>-0.56040000000000001</v>
      </c>
      <c r="U112" s="28">
        <v>8.0870000000000004E-3</v>
      </c>
      <c r="V112" s="28">
        <v>-7.4077000000000004E-2</v>
      </c>
      <c r="W112" s="28">
        <v>1.7126790000000001</v>
      </c>
      <c r="X112" s="28">
        <v>0.74573299999999998</v>
      </c>
      <c r="Y112" s="28">
        <v>-0.127611</v>
      </c>
      <c r="Z112" s="28">
        <v>-1.00105</v>
      </c>
      <c r="AA112" s="28">
        <v>0.130331</v>
      </c>
      <c r="AB112" s="28">
        <v>-0.115831</v>
      </c>
      <c r="AC112" s="28">
        <v>-0.10696799999999999</v>
      </c>
      <c r="AD112" s="28">
        <v>-0.68452299999999999</v>
      </c>
      <c r="AE112" s="28">
        <v>-0.99203300000000005</v>
      </c>
      <c r="AF112" s="28">
        <v>2.9193E-2</v>
      </c>
      <c r="AG112" s="28">
        <v>-0.54664699999999999</v>
      </c>
      <c r="AH112" s="28">
        <v>-0.81507300000000005</v>
      </c>
      <c r="AI112" s="28">
        <v>1.367518</v>
      </c>
      <c r="AJ112" s="28">
        <v>-8.6235999999999993E-2</v>
      </c>
      <c r="AK112" s="28">
        <v>-0.514575</v>
      </c>
      <c r="AL112" s="28">
        <v>0.82640999999999998</v>
      </c>
      <c r="AM112" s="28">
        <v>0.45799499999999999</v>
      </c>
      <c r="AN112" s="28">
        <v>-0.85157499999999997</v>
      </c>
      <c r="AO112" s="28">
        <v>-1.3882490000000001</v>
      </c>
      <c r="AP112" s="28">
        <v>-0.79769599999999996</v>
      </c>
      <c r="AQ112" s="28">
        <v>-0.59496199999999999</v>
      </c>
      <c r="AR112" s="28">
        <v>0.27181300000000003</v>
      </c>
      <c r="AS112" s="28">
        <v>-0.75547600000000004</v>
      </c>
      <c r="AT112" s="28">
        <v>-2.6192E-2</v>
      </c>
      <c r="AU112" s="28">
        <v>0.29480499999999998</v>
      </c>
      <c r="AV112" s="28">
        <v>-0.12639400000000001</v>
      </c>
      <c r="AW112" s="28">
        <v>0.55312499999999998</v>
      </c>
      <c r="AX112" s="28">
        <v>-0.12640100000000001</v>
      </c>
      <c r="AY112" s="28">
        <v>0.25186700000000001</v>
      </c>
      <c r="AZ112" s="28">
        <v>-0.52502599999999999</v>
      </c>
      <c r="BA112" s="28">
        <v>-0.55027700000000002</v>
      </c>
      <c r="BB112" s="28">
        <v>1.1503829999999999</v>
      </c>
      <c r="BC112" s="28">
        <v>125.54039</v>
      </c>
      <c r="BD112" s="28">
        <v>2081.9741210000002</v>
      </c>
      <c r="BE112" s="28">
        <v>1167.510254</v>
      </c>
      <c r="BF112" s="28">
        <v>25.038473</v>
      </c>
      <c r="BG112" s="28">
        <v>3.9939000000000002E-2</v>
      </c>
    </row>
    <row r="113" spans="1:162">
      <c r="A113" s="27">
        <v>80</v>
      </c>
      <c r="B113" s="27">
        <v>41.717033000000001</v>
      </c>
      <c r="C113" s="27">
        <v>-3</v>
      </c>
      <c r="D113" s="27">
        <v>0</v>
      </c>
      <c r="E113" s="28">
        <v>0.977024</v>
      </c>
      <c r="F113" s="28">
        <v>-0.77819899999999997</v>
      </c>
      <c r="G113" s="28">
        <v>0.28137000000000001</v>
      </c>
      <c r="H113" s="28">
        <v>0.210147</v>
      </c>
      <c r="I113" s="28">
        <v>0.75479200000000002</v>
      </c>
      <c r="J113" s="28">
        <v>-1.792562</v>
      </c>
      <c r="K113" s="28">
        <v>0.68064400000000003</v>
      </c>
      <c r="L113" s="28">
        <v>-0.47226499999999999</v>
      </c>
      <c r="M113" s="28">
        <v>-0.21042</v>
      </c>
      <c r="N113" s="28">
        <v>-0.56348200000000004</v>
      </c>
      <c r="O113" s="28">
        <v>0.35940800000000001</v>
      </c>
      <c r="P113" s="28">
        <v>-0.662134</v>
      </c>
      <c r="Q113" s="28">
        <v>-1.333936</v>
      </c>
      <c r="R113" s="28">
        <v>1.1656359999999999</v>
      </c>
      <c r="S113" s="28">
        <v>0.39030100000000001</v>
      </c>
      <c r="T113" s="28">
        <v>0.12973899999999999</v>
      </c>
      <c r="U113" s="28">
        <v>-0.52273099999999995</v>
      </c>
      <c r="V113" s="28">
        <v>1.156361</v>
      </c>
      <c r="W113" s="28">
        <v>-0.85358699999999998</v>
      </c>
      <c r="X113" s="28">
        <v>4.7983999999999999E-2</v>
      </c>
      <c r="Y113" s="28">
        <v>-0.40818500000000002</v>
      </c>
      <c r="Z113" s="28">
        <v>-0.96428700000000001</v>
      </c>
      <c r="AA113" s="28">
        <v>-0.70098700000000003</v>
      </c>
      <c r="AB113" s="28">
        <v>5.7111000000000002E-2</v>
      </c>
      <c r="AC113" s="28">
        <v>-0.157724</v>
      </c>
      <c r="AD113" s="28">
        <v>-0.310886</v>
      </c>
      <c r="AE113" s="28">
        <v>-0.24035500000000001</v>
      </c>
      <c r="AF113" s="28">
        <v>1.41211</v>
      </c>
      <c r="AG113" s="28">
        <v>0.32704899999999998</v>
      </c>
      <c r="AH113" s="28">
        <v>0.42012899999999997</v>
      </c>
      <c r="AI113" s="28">
        <v>0.648756</v>
      </c>
      <c r="AJ113" s="28">
        <v>0.87153599999999998</v>
      </c>
      <c r="AK113" s="28">
        <v>0.26472000000000001</v>
      </c>
      <c r="AL113" s="28">
        <v>3.2361000000000001E-2</v>
      </c>
      <c r="AM113" s="28">
        <v>4.2389000000000003E-2</v>
      </c>
      <c r="AN113" s="28">
        <v>0.51620500000000002</v>
      </c>
      <c r="AO113" s="28">
        <v>6.7905999999999994E-2</v>
      </c>
      <c r="AP113" s="28">
        <v>-0.15556400000000001</v>
      </c>
      <c r="AQ113" s="28">
        <v>-0.36950100000000002</v>
      </c>
      <c r="AR113" s="28">
        <v>0.35318699999999997</v>
      </c>
      <c r="AS113" s="28">
        <v>-0.182979</v>
      </c>
      <c r="AT113" s="28">
        <v>1.2469730000000001</v>
      </c>
      <c r="AU113" s="28">
        <v>0.56035299999999999</v>
      </c>
      <c r="AV113" s="28">
        <v>-9.7970000000000002E-3</v>
      </c>
      <c r="AW113" s="28">
        <v>0.322075</v>
      </c>
      <c r="AX113" s="28">
        <v>-1.2087969999999999</v>
      </c>
      <c r="AY113" s="28">
        <v>-0.42161300000000002</v>
      </c>
      <c r="AZ113" s="28">
        <v>0.54421399999999998</v>
      </c>
      <c r="BA113" s="28">
        <v>-0.45694699999999999</v>
      </c>
      <c r="BB113" s="28">
        <v>0.80196400000000001</v>
      </c>
      <c r="BC113" s="28">
        <v>157.729874</v>
      </c>
      <c r="BD113" s="28">
        <v>1657.876831</v>
      </c>
      <c r="BE113" s="28">
        <v>975.42541500000004</v>
      </c>
      <c r="BF113" s="28">
        <v>23.381947</v>
      </c>
      <c r="BG113" s="28">
        <v>4.2768E-2</v>
      </c>
    </row>
    <row r="114" spans="1:162">
      <c r="A114" s="27">
        <v>81</v>
      </c>
      <c r="B114" s="27">
        <v>41.771571999999999</v>
      </c>
      <c r="C114" s="27">
        <v>-3</v>
      </c>
      <c r="D114" s="27">
        <v>0</v>
      </c>
      <c r="E114" s="28">
        <v>-0.31709100000000001</v>
      </c>
      <c r="F114" s="28">
        <v>-0.89203399999999999</v>
      </c>
      <c r="G114" s="28">
        <v>-0.50178699999999998</v>
      </c>
      <c r="H114" s="28">
        <v>1.341126</v>
      </c>
      <c r="I114" s="28">
        <v>-0.35331899999999999</v>
      </c>
      <c r="J114" s="28">
        <v>-0.81649300000000002</v>
      </c>
      <c r="K114" s="28">
        <v>0.76869500000000002</v>
      </c>
      <c r="L114" s="28">
        <v>0.78559599999999996</v>
      </c>
      <c r="M114" s="28">
        <v>-0.50029299999999999</v>
      </c>
      <c r="N114" s="28">
        <v>5.3810999999999998E-2</v>
      </c>
      <c r="O114" s="28">
        <v>-1.401068</v>
      </c>
      <c r="P114" s="28">
        <v>-0.34910000000000002</v>
      </c>
      <c r="Q114" s="28">
        <v>1.39639</v>
      </c>
      <c r="R114" s="28">
        <v>0.16563800000000001</v>
      </c>
      <c r="S114" s="28">
        <v>-0.78129099999999996</v>
      </c>
      <c r="T114" s="28">
        <v>0.19028100000000001</v>
      </c>
      <c r="U114" s="28">
        <v>-1.158496</v>
      </c>
      <c r="V114" s="28">
        <v>-8.0203999999999998E-2</v>
      </c>
      <c r="W114" s="28">
        <v>-5.5931000000000002E-2</v>
      </c>
      <c r="X114" s="28">
        <v>0.14855699999999999</v>
      </c>
      <c r="Y114" s="28">
        <v>-0.54910300000000001</v>
      </c>
      <c r="Z114" s="28">
        <v>-1.646245</v>
      </c>
      <c r="AA114" s="28">
        <v>0.36466599999999999</v>
      </c>
      <c r="AB114" s="28">
        <v>1.0881E-2</v>
      </c>
      <c r="AC114" s="28">
        <v>0.95167999999999997</v>
      </c>
      <c r="AD114" s="28">
        <v>0.35824299999999998</v>
      </c>
      <c r="AE114" s="28">
        <v>-0.28089999999999998</v>
      </c>
      <c r="AF114" s="28">
        <v>-0.410466</v>
      </c>
      <c r="AG114" s="28">
        <v>0.50322500000000003</v>
      </c>
      <c r="AH114" s="28">
        <v>0.31360100000000002</v>
      </c>
      <c r="AI114" s="28">
        <v>-1.7582420000000001</v>
      </c>
      <c r="AJ114" s="28">
        <v>1.1691739999999999</v>
      </c>
      <c r="AK114" s="28">
        <v>2.2877999999999999E-2</v>
      </c>
      <c r="AL114" s="28">
        <v>1.1598599999999999</v>
      </c>
      <c r="AM114" s="28">
        <v>-8.8025999999999993E-2</v>
      </c>
      <c r="AN114" s="28">
        <v>1.3394E-2</v>
      </c>
      <c r="AO114" s="28">
        <v>0.43396099999999999</v>
      </c>
      <c r="AP114" s="28">
        <v>-0.96805399999999997</v>
      </c>
      <c r="AQ114" s="28">
        <v>0.22781000000000001</v>
      </c>
      <c r="AR114" s="28">
        <v>4.8700000000000002E-4</v>
      </c>
      <c r="AS114" s="28">
        <v>-0.89963199999999999</v>
      </c>
      <c r="AT114" s="28">
        <v>0.18885199999999999</v>
      </c>
      <c r="AU114" s="28">
        <v>0.40491199999999999</v>
      </c>
      <c r="AV114" s="28">
        <v>0.131018</v>
      </c>
      <c r="AW114" s="28">
        <v>-0.14644599999999999</v>
      </c>
      <c r="AX114" s="28">
        <v>-0.53958099999999998</v>
      </c>
      <c r="AY114" s="28">
        <v>-0.81196599999999997</v>
      </c>
      <c r="AZ114" s="28">
        <v>7.3072999999999999E-2</v>
      </c>
      <c r="BA114" s="28">
        <v>0.273009</v>
      </c>
      <c r="BB114" s="28">
        <v>0.25028899999999998</v>
      </c>
      <c r="BC114" s="28">
        <v>103.838272</v>
      </c>
      <c r="BD114" s="28">
        <v>1662.3210449999999</v>
      </c>
      <c r="BE114" s="28">
        <v>1052.213379</v>
      </c>
      <c r="BF114" s="28">
        <v>25.189700999999999</v>
      </c>
      <c r="BG114" s="28">
        <v>3.9698999999999998E-2</v>
      </c>
    </row>
    <row r="115" spans="1:162">
      <c r="A115" s="27">
        <v>82</v>
      </c>
      <c r="B115" s="27">
        <v>46.674900000000001</v>
      </c>
      <c r="C115" s="27">
        <v>-3</v>
      </c>
      <c r="D115" s="27">
        <v>0</v>
      </c>
      <c r="E115" s="28">
        <v>1.0107900000000001</v>
      </c>
      <c r="F115" s="28">
        <v>-0.88376999999999994</v>
      </c>
      <c r="G115" s="28">
        <v>-0.74157600000000001</v>
      </c>
      <c r="H115" s="28">
        <v>-0.76297199999999998</v>
      </c>
      <c r="I115" s="28">
        <v>-0.84866399999999997</v>
      </c>
      <c r="J115" s="28">
        <v>0.29241699999999998</v>
      </c>
      <c r="K115" s="28">
        <v>-0.57423900000000005</v>
      </c>
      <c r="L115" s="28">
        <v>0.78362399999999999</v>
      </c>
      <c r="M115" s="28">
        <v>0.84691899999999998</v>
      </c>
      <c r="N115" s="28">
        <v>0.54095300000000002</v>
      </c>
      <c r="O115" s="28">
        <v>-1.2010559999999999</v>
      </c>
      <c r="P115" s="28">
        <v>0.90051000000000003</v>
      </c>
      <c r="Q115" s="28">
        <v>0.25661400000000001</v>
      </c>
      <c r="R115" s="28">
        <v>-7.8424999999999995E-2</v>
      </c>
      <c r="S115" s="28">
        <v>0.83231200000000005</v>
      </c>
      <c r="T115" s="28">
        <v>-0.28163100000000002</v>
      </c>
      <c r="U115" s="28">
        <v>-0.18229799999999999</v>
      </c>
      <c r="V115" s="28">
        <v>0.49211300000000002</v>
      </c>
      <c r="W115" s="28">
        <v>1.135105</v>
      </c>
      <c r="X115" s="28">
        <v>-0.13441500000000001</v>
      </c>
      <c r="Y115" s="28">
        <v>0.28303899999999999</v>
      </c>
      <c r="Z115" s="28">
        <v>4.4645999999999998E-2</v>
      </c>
      <c r="AA115" s="28">
        <v>0.783196</v>
      </c>
      <c r="AB115" s="28">
        <v>-0.25130000000000002</v>
      </c>
      <c r="AC115" s="28">
        <v>1.254807</v>
      </c>
      <c r="AD115" s="28">
        <v>0.24223800000000001</v>
      </c>
      <c r="AE115" s="28">
        <v>-0.66971400000000003</v>
      </c>
      <c r="AF115" s="28">
        <v>-0.63559399999999999</v>
      </c>
      <c r="AG115" s="28">
        <v>0.83333999999999997</v>
      </c>
      <c r="AH115" s="28">
        <v>-0.51413600000000004</v>
      </c>
      <c r="AI115" s="28">
        <v>0.59201899999999996</v>
      </c>
      <c r="AJ115" s="28">
        <v>-0.88652399999999998</v>
      </c>
      <c r="AK115" s="28">
        <v>0.37301200000000001</v>
      </c>
      <c r="AL115" s="28">
        <v>-0.210336</v>
      </c>
      <c r="AM115" s="28">
        <v>0.299093</v>
      </c>
      <c r="AN115" s="28">
        <v>1.491269</v>
      </c>
      <c r="AO115" s="28">
        <v>0.41825699999999999</v>
      </c>
      <c r="AP115" s="28">
        <v>0.101591</v>
      </c>
      <c r="AQ115" s="28">
        <v>-0.26250099999999998</v>
      </c>
      <c r="AR115" s="28">
        <v>0.44266100000000003</v>
      </c>
      <c r="AS115" s="28">
        <v>0.94009100000000001</v>
      </c>
      <c r="AT115" s="28">
        <v>0.54240699999999997</v>
      </c>
      <c r="AU115" s="28">
        <v>0.25891700000000001</v>
      </c>
      <c r="AV115" s="28">
        <v>-0.27995100000000001</v>
      </c>
      <c r="AW115" s="28">
        <v>-0.27900700000000001</v>
      </c>
      <c r="AX115" s="28">
        <v>-0.518536</v>
      </c>
      <c r="AY115" s="28">
        <v>-1.1963159999999999</v>
      </c>
      <c r="AZ115" s="28">
        <v>-0.195964</v>
      </c>
      <c r="BA115" s="28">
        <v>1.0676159999999999</v>
      </c>
      <c r="BB115" s="28">
        <v>-0.19059999999999999</v>
      </c>
      <c r="BC115" s="28">
        <v>174.684448</v>
      </c>
      <c r="BD115" s="28">
        <v>2086.1965329999998</v>
      </c>
      <c r="BE115" s="28">
        <v>1072.400024</v>
      </c>
      <c r="BF115" s="28">
        <v>22.975946</v>
      </c>
      <c r="BG115" s="28">
        <v>4.3524E-2</v>
      </c>
    </row>
    <row r="116" spans="1:162">
      <c r="A116" s="27">
        <v>83</v>
      </c>
      <c r="B116" s="27">
        <v>40.131003999999997</v>
      </c>
      <c r="C116" s="27">
        <v>-3</v>
      </c>
      <c r="D116" s="27">
        <v>0</v>
      </c>
      <c r="E116" s="28">
        <v>0.57696199999999997</v>
      </c>
      <c r="F116" s="28">
        <v>-1.4874590000000001</v>
      </c>
      <c r="G116" s="28">
        <v>0.952291</v>
      </c>
      <c r="H116" s="28">
        <v>0.77326700000000004</v>
      </c>
      <c r="I116" s="28">
        <v>0.68866700000000003</v>
      </c>
      <c r="J116" s="28">
        <v>1.7243740000000001</v>
      </c>
      <c r="K116" s="28">
        <v>0.71753599999999995</v>
      </c>
      <c r="L116" s="28">
        <v>-0.16437399999999999</v>
      </c>
      <c r="M116" s="28">
        <v>-0.93447999999999998</v>
      </c>
      <c r="N116" s="28">
        <v>0.85742600000000002</v>
      </c>
      <c r="O116" s="28">
        <v>0.73014000000000001</v>
      </c>
      <c r="P116" s="28">
        <v>-0.70085299999999995</v>
      </c>
      <c r="Q116" s="28">
        <v>-0.52315500000000004</v>
      </c>
      <c r="R116" s="28">
        <v>0.13569300000000001</v>
      </c>
      <c r="S116" s="28">
        <v>0.29335800000000001</v>
      </c>
      <c r="T116" s="28">
        <v>0.14247599999999999</v>
      </c>
      <c r="U116" s="28">
        <v>-1.601702</v>
      </c>
      <c r="V116" s="28">
        <v>0.20288600000000001</v>
      </c>
      <c r="W116" s="28">
        <v>-7.2257000000000002E-2</v>
      </c>
      <c r="X116" s="28">
        <v>-0.57675200000000004</v>
      </c>
      <c r="Y116" s="28">
        <v>-0.76120500000000002</v>
      </c>
      <c r="Z116" s="28">
        <v>0.44364799999999999</v>
      </c>
      <c r="AA116" s="28">
        <v>-0.96713899999999997</v>
      </c>
      <c r="AB116" s="28">
        <v>-0.476827</v>
      </c>
      <c r="AC116" s="28">
        <v>0.82053100000000001</v>
      </c>
      <c r="AD116" s="28">
        <v>0.50718799999999997</v>
      </c>
      <c r="AE116" s="28">
        <v>0.67582600000000004</v>
      </c>
      <c r="AF116" s="28">
        <v>-0.82073300000000005</v>
      </c>
      <c r="AG116" s="28">
        <v>-0.12155100000000001</v>
      </c>
      <c r="AH116" s="28">
        <v>-0.88685800000000004</v>
      </c>
      <c r="AI116" s="28">
        <v>0.95257199999999997</v>
      </c>
      <c r="AJ116" s="28">
        <v>-0.26838699999999999</v>
      </c>
      <c r="AK116" s="28">
        <v>-0.74785000000000001</v>
      </c>
      <c r="AL116" s="28">
        <v>-0.24892</v>
      </c>
      <c r="AM116" s="28">
        <v>1.508637</v>
      </c>
      <c r="AN116" s="28">
        <v>-0.489956</v>
      </c>
      <c r="AO116" s="28">
        <v>-0.17260800000000001</v>
      </c>
      <c r="AP116" s="28">
        <v>0.88971900000000004</v>
      </c>
      <c r="AQ116" s="28">
        <v>-0.54454499999999995</v>
      </c>
      <c r="AR116" s="28">
        <v>-0.20375699999999999</v>
      </c>
      <c r="AS116" s="28">
        <v>5.0379999999999999E-3</v>
      </c>
      <c r="AT116" s="28">
        <v>-0.27812399999999998</v>
      </c>
      <c r="AU116" s="28">
        <v>0.50661299999999998</v>
      </c>
      <c r="AV116" s="28">
        <v>-0.91919600000000001</v>
      </c>
      <c r="AW116" s="28">
        <v>-0.54686199999999996</v>
      </c>
      <c r="AX116" s="28">
        <v>-0.19409399999999999</v>
      </c>
      <c r="AY116" s="28">
        <v>-0.57920000000000005</v>
      </c>
      <c r="AZ116" s="28">
        <v>0.247589</v>
      </c>
      <c r="BA116" s="28">
        <v>1.1391500000000001</v>
      </c>
      <c r="BB116" s="28">
        <v>0.30823800000000001</v>
      </c>
      <c r="BC116" s="28">
        <v>127.624306</v>
      </c>
      <c r="BD116" s="28">
        <v>1531.2354740000001</v>
      </c>
      <c r="BE116" s="28">
        <v>1099.505249</v>
      </c>
      <c r="BF116" s="28">
        <v>27.397901999999998</v>
      </c>
      <c r="BG116" s="28">
        <v>3.6498999999999997E-2</v>
      </c>
    </row>
    <row r="117" spans="1:162">
      <c r="A117" s="27">
        <v>84</v>
      </c>
      <c r="B117" s="27">
        <v>47.443126999999997</v>
      </c>
      <c r="C117" s="27">
        <v>-3</v>
      </c>
      <c r="D117" s="27">
        <v>0</v>
      </c>
      <c r="E117" s="28">
        <v>0.92113900000000004</v>
      </c>
      <c r="F117" s="28">
        <v>-0.29337000000000002</v>
      </c>
      <c r="G117" s="28">
        <v>0.44889099999999998</v>
      </c>
      <c r="H117" s="28">
        <v>0.75926700000000003</v>
      </c>
      <c r="I117" s="28">
        <v>1.6478440000000001</v>
      </c>
      <c r="J117" s="28">
        <v>0.93362199999999995</v>
      </c>
      <c r="K117" s="28">
        <v>5.6568E-2</v>
      </c>
      <c r="L117" s="28">
        <v>1.2903420000000001</v>
      </c>
      <c r="M117" s="28">
        <v>0.406779</v>
      </c>
      <c r="N117" s="28">
        <v>-0.81093899999999997</v>
      </c>
      <c r="O117" s="28">
        <v>0.94307600000000003</v>
      </c>
      <c r="P117" s="28">
        <v>-0.74760400000000005</v>
      </c>
      <c r="Q117" s="28">
        <v>1.547347</v>
      </c>
      <c r="R117" s="28">
        <v>-0.329567</v>
      </c>
      <c r="S117" s="28">
        <v>7.3186000000000001E-2</v>
      </c>
      <c r="T117" s="28">
        <v>-0.147924</v>
      </c>
      <c r="U117" s="28">
        <v>1.4850099999999999</v>
      </c>
      <c r="V117" s="28">
        <v>-0.77529400000000004</v>
      </c>
      <c r="W117" s="28">
        <v>0.84227600000000002</v>
      </c>
      <c r="X117" s="28">
        <v>0.92862999999999996</v>
      </c>
      <c r="Y117" s="28">
        <v>0.82414200000000004</v>
      </c>
      <c r="Z117" s="28">
        <v>-0.63624700000000001</v>
      </c>
      <c r="AA117" s="28">
        <v>0.323988</v>
      </c>
      <c r="AB117" s="28">
        <v>0.23015099999999999</v>
      </c>
      <c r="AC117" s="28">
        <v>0.44046299999999999</v>
      </c>
      <c r="AD117" s="28">
        <v>-0.68194399999999999</v>
      </c>
      <c r="AE117" s="28">
        <v>0.29517700000000002</v>
      </c>
      <c r="AF117" s="28">
        <v>-1.4813989999999999</v>
      </c>
      <c r="AG117" s="28">
        <v>0.408771</v>
      </c>
      <c r="AH117" s="28">
        <v>0.72226400000000002</v>
      </c>
      <c r="AI117" s="28">
        <v>0.23936499999999999</v>
      </c>
      <c r="AJ117" s="28">
        <v>0.93853299999999995</v>
      </c>
      <c r="AK117" s="28">
        <v>-0.94483899999999998</v>
      </c>
      <c r="AL117" s="28">
        <v>-0.971854</v>
      </c>
      <c r="AM117" s="28">
        <v>-0.39461200000000002</v>
      </c>
      <c r="AN117" s="28">
        <v>0.90890499999999996</v>
      </c>
      <c r="AO117" s="28">
        <v>0.66777500000000001</v>
      </c>
      <c r="AP117" s="28">
        <v>1.8090900000000001</v>
      </c>
      <c r="AQ117" s="28">
        <v>3.8622999999999998E-2</v>
      </c>
      <c r="AR117" s="28">
        <v>-0.18663099999999999</v>
      </c>
      <c r="AS117" s="28">
        <v>-0.28596199999999999</v>
      </c>
      <c r="AT117" s="28">
        <v>0.35414800000000002</v>
      </c>
      <c r="AU117" s="28">
        <v>-0.25786999999999999</v>
      </c>
      <c r="AV117" s="28">
        <v>-0.74679899999999999</v>
      </c>
      <c r="AW117" s="28">
        <v>-0.64471500000000004</v>
      </c>
      <c r="AX117" s="28">
        <v>-0.44550400000000001</v>
      </c>
      <c r="AY117" s="28">
        <v>-0.234232</v>
      </c>
      <c r="AZ117" s="28">
        <v>1.110959</v>
      </c>
      <c r="BA117" s="28">
        <v>-0.47712300000000002</v>
      </c>
      <c r="BB117" s="28">
        <v>0.72406599999999999</v>
      </c>
      <c r="BC117" s="28">
        <v>101.47468600000001</v>
      </c>
      <c r="BD117" s="28">
        <v>2156.9641109999998</v>
      </c>
      <c r="BE117" s="28">
        <v>1519.0173339999999</v>
      </c>
      <c r="BF117" s="28">
        <v>32.017646999999997</v>
      </c>
      <c r="BG117" s="28">
        <v>3.1233E-2</v>
      </c>
    </row>
    <row r="118" spans="1:162">
      <c r="A118" s="27">
        <v>85</v>
      </c>
      <c r="B118" s="27">
        <v>41.771571999999999</v>
      </c>
      <c r="C118" s="27">
        <v>-3</v>
      </c>
      <c r="D118" s="27">
        <v>0</v>
      </c>
      <c r="E118" s="28">
        <v>-0.31709100000000001</v>
      </c>
      <c r="F118" s="28">
        <v>-0.89203399999999999</v>
      </c>
      <c r="G118" s="28">
        <v>-0.50178699999999998</v>
      </c>
      <c r="H118" s="28">
        <v>1.341126</v>
      </c>
      <c r="I118" s="28">
        <v>-0.35331899999999999</v>
      </c>
      <c r="J118" s="28">
        <v>-0.81649300000000002</v>
      </c>
      <c r="K118" s="28">
        <v>0.76869500000000002</v>
      </c>
      <c r="L118" s="28">
        <v>0.78559599999999996</v>
      </c>
      <c r="M118" s="28">
        <v>-0.50029299999999999</v>
      </c>
      <c r="N118" s="28">
        <v>5.3810999999999998E-2</v>
      </c>
      <c r="O118" s="28">
        <v>-1.401068</v>
      </c>
      <c r="P118" s="28">
        <v>-0.34910000000000002</v>
      </c>
      <c r="Q118" s="28">
        <v>1.39639</v>
      </c>
      <c r="R118" s="28">
        <v>0.16563800000000001</v>
      </c>
      <c r="S118" s="28">
        <v>-0.78129099999999996</v>
      </c>
      <c r="T118" s="28">
        <v>0.19028100000000001</v>
      </c>
      <c r="U118" s="28">
        <v>-1.158496</v>
      </c>
      <c r="V118" s="28">
        <v>-8.0203999999999998E-2</v>
      </c>
      <c r="W118" s="28">
        <v>-5.5931000000000002E-2</v>
      </c>
      <c r="X118" s="28">
        <v>0.14855699999999999</v>
      </c>
      <c r="Y118" s="28">
        <v>-0.54910300000000001</v>
      </c>
      <c r="Z118" s="28">
        <v>-1.646245</v>
      </c>
      <c r="AA118" s="28">
        <v>0.36466599999999999</v>
      </c>
      <c r="AB118" s="28">
        <v>1.0881E-2</v>
      </c>
      <c r="AC118" s="28">
        <v>0.95167999999999997</v>
      </c>
      <c r="AD118" s="28">
        <v>0.35824299999999998</v>
      </c>
      <c r="AE118" s="28">
        <v>-0.28089999999999998</v>
      </c>
      <c r="AF118" s="28">
        <v>-0.410466</v>
      </c>
      <c r="AG118" s="28">
        <v>0.50322500000000003</v>
      </c>
      <c r="AH118" s="28">
        <v>0.31360100000000002</v>
      </c>
      <c r="AI118" s="28">
        <v>-1.7582420000000001</v>
      </c>
      <c r="AJ118" s="28">
        <v>1.1691739999999999</v>
      </c>
      <c r="AK118" s="28">
        <v>2.2877999999999999E-2</v>
      </c>
      <c r="AL118" s="28">
        <v>1.1598599999999999</v>
      </c>
      <c r="AM118" s="28">
        <v>-8.8025999999999993E-2</v>
      </c>
      <c r="AN118" s="28">
        <v>1.3394E-2</v>
      </c>
      <c r="AO118" s="28">
        <v>0.43396099999999999</v>
      </c>
      <c r="AP118" s="28">
        <v>-0.96805399999999997</v>
      </c>
      <c r="AQ118" s="28">
        <v>0.22781000000000001</v>
      </c>
      <c r="AR118" s="28">
        <v>4.8700000000000002E-4</v>
      </c>
      <c r="AS118" s="28">
        <v>-0.89963199999999999</v>
      </c>
      <c r="AT118" s="28">
        <v>0.18885199999999999</v>
      </c>
      <c r="AU118" s="28">
        <v>0.40491199999999999</v>
      </c>
      <c r="AV118" s="28">
        <v>0.131018</v>
      </c>
      <c r="AW118" s="28">
        <v>-0.14644599999999999</v>
      </c>
      <c r="AX118" s="28">
        <v>-0.53958099999999998</v>
      </c>
      <c r="AY118" s="28">
        <v>-0.81196599999999997</v>
      </c>
      <c r="AZ118" s="28">
        <v>7.3072999999999999E-2</v>
      </c>
      <c r="BA118" s="28">
        <v>0.273009</v>
      </c>
      <c r="BB118" s="28">
        <v>0.25028899999999998</v>
      </c>
      <c r="BC118" s="28">
        <v>103.838272</v>
      </c>
      <c r="BD118" s="28">
        <v>1662.3210449999999</v>
      </c>
      <c r="BE118" s="28">
        <v>1052.213379</v>
      </c>
      <c r="BF118" s="28">
        <v>25.189700999999999</v>
      </c>
      <c r="BG118" s="28">
        <v>3.9698999999999998E-2</v>
      </c>
    </row>
    <row r="119" spans="1:162">
      <c r="A119" s="27">
        <v>86</v>
      </c>
      <c r="B119" s="27">
        <v>50.852936</v>
      </c>
      <c r="C119" s="27">
        <v>-3</v>
      </c>
      <c r="D119" s="27">
        <v>0</v>
      </c>
      <c r="E119" s="28">
        <v>0.80271800000000004</v>
      </c>
      <c r="F119" s="28">
        <v>0.41569299999999998</v>
      </c>
      <c r="G119" s="28">
        <v>-0.65010199999999996</v>
      </c>
      <c r="H119" s="28">
        <v>1.421875</v>
      </c>
      <c r="I119" s="28">
        <v>-1.3561369999999999</v>
      </c>
      <c r="J119" s="28">
        <v>-0.280613</v>
      </c>
      <c r="K119" s="28">
        <v>-0.77776800000000001</v>
      </c>
      <c r="L119" s="28">
        <v>0.216886</v>
      </c>
      <c r="M119" s="28">
        <v>-9.5966999999999997E-2</v>
      </c>
      <c r="N119" s="28">
        <v>-1.415297</v>
      </c>
      <c r="O119" s="28">
        <v>0.40227499999999999</v>
      </c>
      <c r="P119" s="28">
        <v>5.2469999999999999E-3</v>
      </c>
      <c r="Q119" s="28">
        <v>-0.25848399999999999</v>
      </c>
      <c r="R119" s="28">
        <v>-0.59054499999999999</v>
      </c>
      <c r="S119" s="28">
        <v>-0.66590099999999997</v>
      </c>
      <c r="T119" s="28">
        <v>-1.029955</v>
      </c>
      <c r="U119" s="28">
        <v>0.46449499999999999</v>
      </c>
      <c r="V119" s="28">
        <v>1.274626</v>
      </c>
      <c r="W119" s="28">
        <v>-0.88309400000000005</v>
      </c>
      <c r="X119" s="28">
        <v>0.18010200000000001</v>
      </c>
      <c r="Y119" s="28">
        <v>-2.7584000000000001E-2</v>
      </c>
      <c r="Z119" s="28">
        <v>0.92403800000000003</v>
      </c>
      <c r="AA119" s="28">
        <v>0.16814299999999999</v>
      </c>
      <c r="AB119" s="28">
        <v>0.79659800000000003</v>
      </c>
      <c r="AC119" s="28">
        <v>-0.64390000000000003</v>
      </c>
      <c r="AD119" s="28">
        <v>-0.66383000000000003</v>
      </c>
      <c r="AE119" s="28">
        <v>-0.73873999999999995</v>
      </c>
      <c r="AF119" s="28">
        <v>-0.97223599999999999</v>
      </c>
      <c r="AG119" s="28">
        <v>0.71340599999999998</v>
      </c>
      <c r="AH119" s="28">
        <v>0.93837599999999999</v>
      </c>
      <c r="AI119" s="28">
        <v>-0.27566000000000002</v>
      </c>
      <c r="AJ119" s="28">
        <v>-0.31607000000000002</v>
      </c>
      <c r="AK119" s="28">
        <v>1.2694879999999999</v>
      </c>
      <c r="AL119" s="28">
        <v>0.28856700000000002</v>
      </c>
      <c r="AM119" s="28">
        <v>4.6719999999999999E-3</v>
      </c>
      <c r="AN119" s="28">
        <v>-1.6549000000000001E-2</v>
      </c>
      <c r="AO119" s="28">
        <v>0.64384699999999995</v>
      </c>
      <c r="AP119" s="28">
        <v>0.36836799999999997</v>
      </c>
      <c r="AQ119" s="28">
        <v>0.689689</v>
      </c>
      <c r="AR119" s="28">
        <v>0.12138500000000001</v>
      </c>
      <c r="AS119" s="28">
        <v>0.36139500000000002</v>
      </c>
      <c r="AT119" s="28">
        <v>1.077331</v>
      </c>
      <c r="AU119" s="28">
        <v>-1.804222</v>
      </c>
      <c r="AV119" s="28">
        <v>-0.78857100000000002</v>
      </c>
      <c r="AW119" s="28">
        <v>-1.718933</v>
      </c>
      <c r="AX119" s="28">
        <v>0.42726199999999998</v>
      </c>
      <c r="AY119" s="28">
        <v>0.47566399999999998</v>
      </c>
      <c r="AZ119" s="28">
        <v>0.336169</v>
      </c>
      <c r="BA119" s="28">
        <v>0.69408199999999998</v>
      </c>
      <c r="BB119" s="28">
        <v>-0.95454600000000001</v>
      </c>
      <c r="BC119" s="28">
        <v>126.99329400000001</v>
      </c>
      <c r="BD119" s="28">
        <v>2485.3151859999998</v>
      </c>
      <c r="BE119" s="28">
        <v>1565.2851559999999</v>
      </c>
      <c r="BF119" s="28">
        <v>30.780626000000002</v>
      </c>
      <c r="BG119" s="28">
        <v>3.2488000000000003E-2</v>
      </c>
    </row>
    <row r="120" spans="1:162">
      <c r="A120" s="27">
        <v>87</v>
      </c>
      <c r="B120" s="27">
        <v>47.164833000000002</v>
      </c>
      <c r="C120" s="27">
        <v>-3</v>
      </c>
      <c r="D120" s="27">
        <v>0</v>
      </c>
      <c r="E120" s="28">
        <v>0.14194000000000001</v>
      </c>
      <c r="F120" s="28">
        <v>1.2506390000000001</v>
      </c>
      <c r="G120" s="28">
        <v>-0.81791199999999997</v>
      </c>
      <c r="H120" s="28">
        <v>0.54447299999999998</v>
      </c>
      <c r="I120" s="28">
        <v>-0.45896700000000001</v>
      </c>
      <c r="J120" s="28">
        <v>0.69933100000000004</v>
      </c>
      <c r="K120" s="28">
        <v>0.81448100000000001</v>
      </c>
      <c r="L120" s="28">
        <v>-0.191992</v>
      </c>
      <c r="M120" s="28">
        <v>-0.18806999999999999</v>
      </c>
      <c r="N120" s="28">
        <v>0.104064</v>
      </c>
      <c r="O120" s="28">
        <v>-0.58274999999999999</v>
      </c>
      <c r="P120" s="28">
        <v>0.21702199999999999</v>
      </c>
      <c r="Q120" s="28">
        <v>-0.42371900000000001</v>
      </c>
      <c r="R120" s="28">
        <v>0.85927600000000004</v>
      </c>
      <c r="S120" s="28">
        <v>0.43825799999999998</v>
      </c>
      <c r="T120" s="28">
        <v>-0.80034700000000003</v>
      </c>
      <c r="U120" s="28">
        <v>-0.74512299999999998</v>
      </c>
      <c r="V120" s="28">
        <v>-0.32855600000000001</v>
      </c>
      <c r="W120" s="28">
        <v>1.5563480000000001</v>
      </c>
      <c r="X120" s="28">
        <v>-1.0259309999999999</v>
      </c>
      <c r="Y120" s="28">
        <v>-0.40920400000000001</v>
      </c>
      <c r="Z120" s="28">
        <v>9.3523999999999996E-2</v>
      </c>
      <c r="AA120" s="28">
        <v>6.3188999999999995E-2</v>
      </c>
      <c r="AB120" s="28">
        <v>0.15293499999999999</v>
      </c>
      <c r="AC120" s="28">
        <v>-0.72272800000000004</v>
      </c>
      <c r="AD120" s="28">
        <v>-0.51946199999999998</v>
      </c>
      <c r="AE120" s="28">
        <v>0.13444999999999999</v>
      </c>
      <c r="AF120" s="28">
        <v>0.94771300000000003</v>
      </c>
      <c r="AG120" s="28">
        <v>0.21096799999999999</v>
      </c>
      <c r="AH120" s="28">
        <v>0.60152000000000005</v>
      </c>
      <c r="AI120" s="28">
        <v>0.15823899999999999</v>
      </c>
      <c r="AJ120" s="28">
        <v>-0.80809200000000003</v>
      </c>
      <c r="AK120" s="28">
        <v>0.320656</v>
      </c>
      <c r="AL120" s="28">
        <v>-0.56914699999999996</v>
      </c>
      <c r="AM120" s="28">
        <v>0.104336</v>
      </c>
      <c r="AN120" s="28">
        <v>-0.14121300000000001</v>
      </c>
      <c r="AO120" s="28">
        <v>3.6859000000000003E-2</v>
      </c>
      <c r="AP120" s="28">
        <v>-0.66616200000000003</v>
      </c>
      <c r="AQ120" s="28">
        <v>0.64614499999999997</v>
      </c>
      <c r="AR120" s="28">
        <v>0.16065399999999999</v>
      </c>
      <c r="AS120" s="28">
        <v>1.140854</v>
      </c>
      <c r="AT120" s="28">
        <v>0.75732500000000003</v>
      </c>
      <c r="AU120" s="28">
        <v>0.56845500000000004</v>
      </c>
      <c r="AV120" s="28">
        <v>-1.2027939999999999</v>
      </c>
      <c r="AW120" s="28">
        <v>-6.7622000000000002E-2</v>
      </c>
      <c r="AX120" s="28">
        <v>-0.34335500000000002</v>
      </c>
      <c r="AY120" s="28">
        <v>0.84750599999999998</v>
      </c>
      <c r="AZ120" s="28">
        <v>-0.29188599999999998</v>
      </c>
      <c r="BA120" s="28">
        <v>-0.28097</v>
      </c>
      <c r="BB120" s="28">
        <v>-0.70093300000000003</v>
      </c>
      <c r="BC120" s="28">
        <v>178.82939099999999</v>
      </c>
      <c r="BD120" s="28">
        <v>2131.1918949999999</v>
      </c>
      <c r="BE120" s="28">
        <v>931.71661400000005</v>
      </c>
      <c r="BF120" s="28">
        <v>19.754477999999999</v>
      </c>
      <c r="BG120" s="28">
        <v>5.0620999999999999E-2</v>
      </c>
    </row>
    <row r="121" spans="1:162">
      <c r="A121" s="27">
        <v>88</v>
      </c>
      <c r="B121" s="27">
        <v>49.376567999999999</v>
      </c>
      <c r="C121" s="27">
        <v>-3</v>
      </c>
      <c r="D121" s="27">
        <v>0</v>
      </c>
      <c r="E121" s="28">
        <v>0.427541</v>
      </c>
      <c r="F121" s="28">
        <v>0.88970300000000002</v>
      </c>
      <c r="G121" s="28">
        <v>1.0445359999999999</v>
      </c>
      <c r="H121" s="28">
        <v>0.94583399999999995</v>
      </c>
      <c r="I121" s="28">
        <v>0.93252000000000002</v>
      </c>
      <c r="J121" s="28">
        <v>-0.110526</v>
      </c>
      <c r="K121" s="28">
        <v>0.421041</v>
      </c>
      <c r="L121" s="28">
        <v>0.74219599999999997</v>
      </c>
      <c r="M121" s="28">
        <v>0.85197999999999996</v>
      </c>
      <c r="N121" s="28">
        <v>-0.60107299999999997</v>
      </c>
      <c r="O121" s="28">
        <v>0.78763000000000005</v>
      </c>
      <c r="P121" s="28">
        <v>-0.54883300000000002</v>
      </c>
      <c r="Q121" s="28">
        <v>-9.8946999999999993E-2</v>
      </c>
      <c r="R121" s="28">
        <v>0.63033099999999997</v>
      </c>
      <c r="S121" s="28">
        <v>0.296014</v>
      </c>
      <c r="T121" s="28">
        <v>0.86529599999999995</v>
      </c>
      <c r="U121" s="28">
        <v>-0.46758699999999997</v>
      </c>
      <c r="V121" s="28">
        <v>-0.76345799999999997</v>
      </c>
      <c r="W121" s="28">
        <v>0.84248100000000004</v>
      </c>
      <c r="X121" s="28">
        <v>0.78327899999999995</v>
      </c>
      <c r="Y121" s="28">
        <v>0.61870999999999998</v>
      </c>
      <c r="Z121" s="28">
        <v>1.1808259999999999</v>
      </c>
      <c r="AA121" s="28">
        <v>-0.899088</v>
      </c>
      <c r="AB121" s="28">
        <v>-0.46016899999999999</v>
      </c>
      <c r="AC121" s="28">
        <v>-0.48933199999999999</v>
      </c>
      <c r="AD121" s="28">
        <v>-0.59450599999999998</v>
      </c>
      <c r="AE121" s="28">
        <v>-0.95906599999999997</v>
      </c>
      <c r="AF121" s="28">
        <v>-0.187248</v>
      </c>
      <c r="AG121" s="28">
        <v>-0.77245200000000003</v>
      </c>
      <c r="AH121" s="28">
        <v>0.42386499999999999</v>
      </c>
      <c r="AI121" s="28">
        <v>0.71424500000000002</v>
      </c>
      <c r="AJ121" s="28">
        <v>3.8719999999999997E-2</v>
      </c>
      <c r="AK121" s="28">
        <v>-1.5256479999999999</v>
      </c>
      <c r="AL121" s="28">
        <v>0.554342</v>
      </c>
      <c r="AM121" s="28">
        <v>-0.86659900000000001</v>
      </c>
      <c r="AN121" s="28">
        <v>1.9007750000000001</v>
      </c>
      <c r="AO121" s="28">
        <v>0.70712299999999995</v>
      </c>
      <c r="AP121" s="28">
        <v>0.26419999999999999</v>
      </c>
      <c r="AQ121" s="28">
        <v>0.85240400000000005</v>
      </c>
      <c r="AR121" s="28">
        <v>0.90576000000000001</v>
      </c>
      <c r="AS121" s="28">
        <v>-0.61505100000000001</v>
      </c>
      <c r="AT121" s="28">
        <v>0.29700199999999999</v>
      </c>
      <c r="AU121" s="28">
        <v>0.485425</v>
      </c>
      <c r="AV121" s="28">
        <v>-0.17513000000000001</v>
      </c>
      <c r="AW121" s="28">
        <v>0.58527099999999999</v>
      </c>
      <c r="AX121" s="28">
        <v>-3.61E-2</v>
      </c>
      <c r="AY121" s="28">
        <v>-0.11219899999999999</v>
      </c>
      <c r="AZ121" s="28">
        <v>-0.138653</v>
      </c>
      <c r="BA121" s="28">
        <v>-0.65617999999999999</v>
      </c>
      <c r="BB121" s="28">
        <v>-9.8567000000000002E-2</v>
      </c>
      <c r="BC121" s="28">
        <v>103.026314</v>
      </c>
      <c r="BD121" s="28">
        <v>2340.2922359999998</v>
      </c>
      <c r="BE121" s="28">
        <v>1295.857544</v>
      </c>
      <c r="BF121" s="28">
        <v>26.244382999999999</v>
      </c>
      <c r="BG121" s="28">
        <v>3.8102999999999998E-2</v>
      </c>
    </row>
    <row r="122" spans="1:162">
      <c r="A122" s="27">
        <v>89</v>
      </c>
      <c r="B122" s="27">
        <v>41.765403999999997</v>
      </c>
      <c r="C122" s="27">
        <v>-3</v>
      </c>
      <c r="D122" s="27">
        <v>0</v>
      </c>
      <c r="E122" s="28">
        <v>-0.28954200000000002</v>
      </c>
      <c r="F122" s="28">
        <v>-2.6342000000000001E-2</v>
      </c>
      <c r="G122" s="28">
        <v>1.5683940000000001</v>
      </c>
      <c r="H122" s="28">
        <v>-0.72652099999999997</v>
      </c>
      <c r="I122" s="28">
        <v>0.27178600000000003</v>
      </c>
      <c r="J122" s="28">
        <v>0.54248799999999997</v>
      </c>
      <c r="K122" s="28">
        <v>-0.79119200000000001</v>
      </c>
      <c r="L122" s="28">
        <v>-0.59809500000000004</v>
      </c>
      <c r="M122" s="28">
        <v>1.3168979999999999</v>
      </c>
      <c r="N122" s="28">
        <v>-0.467142</v>
      </c>
      <c r="O122" s="28">
        <v>0.15556900000000001</v>
      </c>
      <c r="P122" s="28">
        <v>0.64772600000000002</v>
      </c>
      <c r="Q122" s="28">
        <v>0.70243</v>
      </c>
      <c r="R122" s="28">
        <v>0.29363800000000001</v>
      </c>
      <c r="S122" s="28">
        <v>0.59576899999999999</v>
      </c>
      <c r="T122" s="28">
        <v>1.041228</v>
      </c>
      <c r="U122" s="28">
        <v>1.430679</v>
      </c>
      <c r="V122" s="28">
        <v>9.6909999999999996E-2</v>
      </c>
      <c r="W122" s="28">
        <v>0.20613200000000001</v>
      </c>
      <c r="X122" s="28">
        <v>-0.59160500000000005</v>
      </c>
      <c r="Y122" s="28">
        <v>-0.35940800000000001</v>
      </c>
      <c r="Z122" s="28">
        <v>0.53883199999999998</v>
      </c>
      <c r="AA122" s="28">
        <v>0.74221800000000004</v>
      </c>
      <c r="AB122" s="28">
        <v>-0.71087800000000001</v>
      </c>
      <c r="AC122" s="28">
        <v>-0.60980100000000004</v>
      </c>
      <c r="AD122" s="28">
        <v>-0.104517</v>
      </c>
      <c r="AE122" s="28">
        <v>-0.374529</v>
      </c>
      <c r="AF122" s="28">
        <v>0.42504999999999998</v>
      </c>
      <c r="AG122" s="28">
        <v>-1.4208430000000001</v>
      </c>
      <c r="AH122" s="28">
        <v>0.44993899999999998</v>
      </c>
      <c r="AI122" s="28">
        <v>0.73405699999999996</v>
      </c>
      <c r="AJ122" s="28">
        <v>-0.50785999999999998</v>
      </c>
      <c r="AK122" s="28">
        <v>0.81760900000000003</v>
      </c>
      <c r="AL122" s="28">
        <v>7.2500999999999996E-2</v>
      </c>
      <c r="AM122" s="28">
        <v>0.14438599999999999</v>
      </c>
      <c r="AN122" s="28">
        <v>0.67340699999999998</v>
      </c>
      <c r="AO122" s="28">
        <v>-0.45261000000000001</v>
      </c>
      <c r="AP122" s="28">
        <v>-0.11408500000000001</v>
      </c>
      <c r="AQ122" s="28">
        <v>-0.11279500000000001</v>
      </c>
      <c r="AR122" s="28">
        <v>0.55067200000000005</v>
      </c>
      <c r="AS122" s="28">
        <v>-0.61355700000000002</v>
      </c>
      <c r="AT122" s="28">
        <v>-0.21176</v>
      </c>
      <c r="AU122" s="28">
        <v>-0.25395499999999999</v>
      </c>
      <c r="AV122" s="28">
        <v>-0.79663799999999996</v>
      </c>
      <c r="AW122" s="28">
        <v>-0.38058199999999998</v>
      </c>
      <c r="AX122" s="28">
        <v>-1.3752599999999999</v>
      </c>
      <c r="AY122" s="28">
        <v>-1.6423E-2</v>
      </c>
      <c r="AZ122" s="28">
        <v>0.39559</v>
      </c>
      <c r="BA122" s="28">
        <v>5.9903999999999999E-2</v>
      </c>
      <c r="BB122" s="28">
        <v>0.10580299999999999</v>
      </c>
      <c r="BC122" s="28">
        <v>139.99292</v>
      </c>
      <c r="BD122" s="28">
        <v>1661.818115</v>
      </c>
      <c r="BE122" s="28">
        <v>897.75707999999997</v>
      </c>
      <c r="BF122" s="28">
        <v>21.495234</v>
      </c>
      <c r="BG122" s="28">
        <v>4.6522000000000001E-2</v>
      </c>
    </row>
    <row r="123" spans="1:162">
      <c r="A123" s="27">
        <v>90</v>
      </c>
      <c r="B123" s="27">
        <v>49.241458999999999</v>
      </c>
      <c r="C123" s="27">
        <v>-3</v>
      </c>
      <c r="D123" s="27">
        <v>0</v>
      </c>
      <c r="E123" s="28">
        <v>-1.1206419999999999</v>
      </c>
      <c r="F123" s="28">
        <v>-1.3029770000000001</v>
      </c>
      <c r="G123" s="28">
        <v>0.63195299999999999</v>
      </c>
      <c r="H123" s="28">
        <v>0.98210200000000003</v>
      </c>
      <c r="I123" s="28">
        <v>-0.57215499999999997</v>
      </c>
      <c r="J123" s="28">
        <v>-0.43438700000000002</v>
      </c>
      <c r="K123" s="28">
        <v>-0.78777299999999995</v>
      </c>
      <c r="L123" s="28">
        <v>0.70708700000000002</v>
      </c>
      <c r="M123" s="28">
        <v>-0.69861499999999999</v>
      </c>
      <c r="N123" s="28">
        <v>0.17693</v>
      </c>
      <c r="O123" s="28">
        <v>-3.4855999999999998E-2</v>
      </c>
      <c r="P123" s="28">
        <v>-0.24126500000000001</v>
      </c>
      <c r="Q123" s="28">
        <v>-0.76626899999999998</v>
      </c>
      <c r="R123" s="28">
        <v>0.76902300000000001</v>
      </c>
      <c r="S123" s="28">
        <v>0.34150900000000001</v>
      </c>
      <c r="T123" s="28">
        <v>1.2394810000000001</v>
      </c>
      <c r="U123" s="28">
        <v>9.9690000000000001E-2</v>
      </c>
      <c r="V123" s="28">
        <v>-0.23971600000000001</v>
      </c>
      <c r="W123" s="28">
        <v>0.92815599999999998</v>
      </c>
      <c r="X123" s="28">
        <v>1.4252050000000001</v>
      </c>
      <c r="Y123" s="28">
        <v>0.64546000000000003</v>
      </c>
      <c r="Z123" s="28">
        <v>0.69140599999999997</v>
      </c>
      <c r="AA123" s="28">
        <v>0.424819</v>
      </c>
      <c r="AB123" s="28">
        <v>-0.34880899999999998</v>
      </c>
      <c r="AC123" s="28">
        <v>-9.5500000000000001E-4</v>
      </c>
      <c r="AD123" s="28">
        <v>-1.0865530000000001</v>
      </c>
      <c r="AE123" s="28">
        <v>0.57345100000000004</v>
      </c>
      <c r="AF123" s="28">
        <v>0.34295399999999998</v>
      </c>
      <c r="AG123" s="28">
        <v>0.13766200000000001</v>
      </c>
      <c r="AH123" s="28">
        <v>-1.1162510000000001</v>
      </c>
      <c r="AI123" s="28">
        <v>0.73047600000000001</v>
      </c>
      <c r="AJ123" s="28">
        <v>0.68080600000000002</v>
      </c>
      <c r="AK123" s="28">
        <v>0.863236</v>
      </c>
      <c r="AL123" s="28">
        <v>-0.58311199999999996</v>
      </c>
      <c r="AM123" s="28">
        <v>0.47052300000000002</v>
      </c>
      <c r="AN123" s="28">
        <v>-0.24438599999999999</v>
      </c>
      <c r="AO123" s="28">
        <v>0.61097999999999997</v>
      </c>
      <c r="AP123" s="28">
        <v>-0.82228699999999999</v>
      </c>
      <c r="AQ123" s="28">
        <v>-0.55370900000000001</v>
      </c>
      <c r="AR123" s="28">
        <v>-1.9292E-2</v>
      </c>
      <c r="AS123" s="28">
        <v>-1.0748390000000001</v>
      </c>
      <c r="AT123" s="28">
        <v>-0.47066599999999997</v>
      </c>
      <c r="AU123" s="28">
        <v>-1.5998859999999999</v>
      </c>
      <c r="AV123" s="28">
        <v>3.5397999999999999E-2</v>
      </c>
      <c r="AW123" s="28">
        <v>-0.80943900000000002</v>
      </c>
      <c r="AX123" s="28">
        <v>-0.61132799999999998</v>
      </c>
      <c r="AY123" s="28">
        <v>0.132438</v>
      </c>
      <c r="AZ123" s="28">
        <v>-0.14102799999999999</v>
      </c>
      <c r="BA123" s="28">
        <v>1.547493</v>
      </c>
      <c r="BB123" s="28">
        <v>-0.62312100000000004</v>
      </c>
      <c r="BC123" s="28">
        <v>144.30387899999999</v>
      </c>
      <c r="BD123" s="28">
        <v>2327.2382809999999</v>
      </c>
      <c r="BE123" s="28">
        <v>1374.830078</v>
      </c>
      <c r="BF123" s="28">
        <v>27.920172000000001</v>
      </c>
      <c r="BG123" s="28">
        <v>3.5816000000000001E-2</v>
      </c>
    </row>
    <row r="124" spans="1:162">
      <c r="A124" s="27">
        <v>91</v>
      </c>
      <c r="B124" s="27">
        <v>50.788933</v>
      </c>
      <c r="C124" s="27">
        <v>-3</v>
      </c>
      <c r="D124" s="27">
        <v>0</v>
      </c>
      <c r="E124" s="28">
        <v>0.90972600000000003</v>
      </c>
      <c r="F124" s="28">
        <v>-0.45310499999999998</v>
      </c>
      <c r="G124" s="28">
        <v>-1.0521959999999999</v>
      </c>
      <c r="H124" s="28">
        <v>5.6633000000000003E-2</v>
      </c>
      <c r="I124" s="28">
        <v>0.449739</v>
      </c>
      <c r="J124" s="28">
        <v>0.845279</v>
      </c>
      <c r="K124" s="28">
        <v>0.38819399999999998</v>
      </c>
      <c r="L124" s="28">
        <v>0.97882199999999997</v>
      </c>
      <c r="M124" s="28">
        <v>-0.136128</v>
      </c>
      <c r="N124" s="28">
        <v>0.45363300000000001</v>
      </c>
      <c r="O124" s="28">
        <v>0.65946899999999997</v>
      </c>
      <c r="P124" s="28">
        <v>-0.32113700000000001</v>
      </c>
      <c r="Q124" s="28">
        <v>-0.63678500000000005</v>
      </c>
      <c r="R124" s="28">
        <v>1.073164</v>
      </c>
      <c r="S124" s="28">
        <v>-0.51376999999999995</v>
      </c>
      <c r="T124" s="28">
        <v>0.63609599999999999</v>
      </c>
      <c r="U124" s="28">
        <v>0.40853899999999999</v>
      </c>
      <c r="V124" s="28">
        <v>0.51034400000000002</v>
      </c>
      <c r="W124" s="28">
        <v>0.83618800000000004</v>
      </c>
      <c r="X124" s="28">
        <v>0.82614699999999996</v>
      </c>
      <c r="Y124" s="28">
        <v>-9.1495000000000007E-2</v>
      </c>
      <c r="Z124" s="28">
        <v>-1.8576859999999999</v>
      </c>
      <c r="AA124" s="28">
        <v>-7.9833000000000001E-2</v>
      </c>
      <c r="AB124" s="28">
        <v>-0.62732200000000005</v>
      </c>
      <c r="AC124" s="28">
        <v>0.68394600000000005</v>
      </c>
      <c r="AD124" s="28">
        <v>0.124973</v>
      </c>
      <c r="AE124" s="28">
        <v>1.392938</v>
      </c>
      <c r="AF124" s="28">
        <v>-0.38086300000000001</v>
      </c>
      <c r="AG124" s="28">
        <v>-0.81379299999999999</v>
      </c>
      <c r="AH124" s="28">
        <v>-0.59833099999999995</v>
      </c>
      <c r="AI124" s="28">
        <v>0.67982200000000004</v>
      </c>
      <c r="AJ124" s="28">
        <v>0.80859700000000001</v>
      </c>
      <c r="AK124" s="28">
        <v>-0.582121</v>
      </c>
      <c r="AL124" s="28">
        <v>0.78030100000000002</v>
      </c>
      <c r="AM124" s="28">
        <v>1.738081</v>
      </c>
      <c r="AN124" s="28">
        <v>-0.22570399999999999</v>
      </c>
      <c r="AO124" s="28">
        <v>1.471268</v>
      </c>
      <c r="AP124" s="28">
        <v>-1.0703499999999999</v>
      </c>
      <c r="AQ124" s="28">
        <v>0.96555400000000002</v>
      </c>
      <c r="AR124" s="28">
        <v>-1.3589549999999999</v>
      </c>
      <c r="AS124" s="28">
        <v>-0.49991099999999999</v>
      </c>
      <c r="AT124" s="28">
        <v>3.5972999999999998E-2</v>
      </c>
      <c r="AU124" s="28">
        <v>-0.77413399999999999</v>
      </c>
      <c r="AV124" s="28">
        <v>-0.40991499999999997</v>
      </c>
      <c r="AW124" s="28">
        <v>-0.111816</v>
      </c>
      <c r="AX124" s="28">
        <v>-4.861E-2</v>
      </c>
      <c r="AY124" s="28">
        <v>-0.36741800000000002</v>
      </c>
      <c r="AZ124" s="28">
        <v>-0.16547500000000001</v>
      </c>
      <c r="BA124" s="28">
        <v>-0.41493799999999997</v>
      </c>
      <c r="BB124" s="28">
        <v>0.59654700000000005</v>
      </c>
      <c r="BC124" s="28">
        <v>81.974853999999993</v>
      </c>
      <c r="BD124" s="28">
        <v>2478.9377439999998</v>
      </c>
      <c r="BE124" s="28">
        <v>1491.3129879999999</v>
      </c>
      <c r="BF124" s="28">
        <v>29.362950999999999</v>
      </c>
      <c r="BG124" s="28">
        <v>3.4056999999999997E-2</v>
      </c>
    </row>
    <row r="125" spans="1:162">
      <c r="A125" s="27">
        <v>92</v>
      </c>
      <c r="B125" s="27">
        <v>41.337344999999999</v>
      </c>
      <c r="C125" s="27">
        <v>-3</v>
      </c>
      <c r="D125" s="27">
        <v>0</v>
      </c>
      <c r="E125" s="28">
        <v>-8.9701000000000003E-2</v>
      </c>
      <c r="F125" s="28">
        <v>-1.062033</v>
      </c>
      <c r="G125" s="28">
        <v>0.99671799999999999</v>
      </c>
      <c r="H125" s="28">
        <v>-0.50319899999999995</v>
      </c>
      <c r="I125" s="28">
        <v>-1.3004290000000001</v>
      </c>
      <c r="J125" s="28">
        <v>-3.0889E-2</v>
      </c>
      <c r="K125" s="28">
        <v>0.88186699999999996</v>
      </c>
      <c r="L125" s="28">
        <v>0.71436999999999995</v>
      </c>
      <c r="M125" s="28">
        <v>-0.26535799999999998</v>
      </c>
      <c r="N125" s="28">
        <v>-0.51729899999999995</v>
      </c>
      <c r="O125" s="28">
        <v>-1.3392459999999999</v>
      </c>
      <c r="P125" s="28">
        <v>7.4237999999999998E-2</v>
      </c>
      <c r="Q125" s="28">
        <v>0.51790199999999997</v>
      </c>
      <c r="R125" s="28">
        <v>-0.42674699999999999</v>
      </c>
      <c r="S125" s="28">
        <v>0.20774899999999999</v>
      </c>
      <c r="T125" s="28">
        <v>-0.73572700000000002</v>
      </c>
      <c r="U125" s="28">
        <v>0.70632300000000003</v>
      </c>
      <c r="V125" s="28">
        <v>0.33780100000000002</v>
      </c>
      <c r="W125" s="28">
        <v>0.563886</v>
      </c>
      <c r="X125" s="28">
        <v>-0.70856399999999997</v>
      </c>
      <c r="Y125" s="28">
        <v>0.72263100000000002</v>
      </c>
      <c r="Z125" s="28">
        <v>-0.23342099999999999</v>
      </c>
      <c r="AA125" s="28">
        <v>-7.2009000000000004E-2</v>
      </c>
      <c r="AB125" s="28">
        <v>-1.2075830000000001</v>
      </c>
      <c r="AC125" s="28">
        <v>-0.440944</v>
      </c>
      <c r="AD125" s="28">
        <v>1.379237</v>
      </c>
      <c r="AE125" s="28">
        <v>1.701673</v>
      </c>
      <c r="AF125" s="28">
        <v>-0.17763499999999999</v>
      </c>
      <c r="AG125" s="28">
        <v>-0.97233800000000004</v>
      </c>
      <c r="AH125" s="28">
        <v>-0.75466800000000001</v>
      </c>
      <c r="AI125" s="28">
        <v>0.47717900000000002</v>
      </c>
      <c r="AJ125" s="28">
        <v>-1.487E-2</v>
      </c>
      <c r="AK125" s="28">
        <v>0.19036</v>
      </c>
      <c r="AL125" s="28">
        <v>-5.2224E-2</v>
      </c>
      <c r="AM125" s="28">
        <v>-0.67636700000000005</v>
      </c>
      <c r="AN125" s="28">
        <v>-0.44637100000000002</v>
      </c>
      <c r="AO125" s="28">
        <v>0.46221600000000002</v>
      </c>
      <c r="AP125" s="28">
        <v>0.33387099999999997</v>
      </c>
      <c r="AQ125" s="28">
        <v>1.359496</v>
      </c>
      <c r="AR125" s="28">
        <v>0.58911400000000003</v>
      </c>
      <c r="AS125" s="28">
        <v>-0.38329999999999997</v>
      </c>
      <c r="AT125" s="28">
        <v>0.37964500000000001</v>
      </c>
      <c r="AU125" s="28">
        <v>-0.30181799999999998</v>
      </c>
      <c r="AV125" s="28">
        <v>7.979E-2</v>
      </c>
      <c r="AW125" s="28">
        <v>-0.33604899999999999</v>
      </c>
      <c r="AX125" s="28">
        <v>0.165774</v>
      </c>
      <c r="AY125" s="28">
        <v>0.53484799999999999</v>
      </c>
      <c r="AZ125" s="28">
        <v>0.34875499999999998</v>
      </c>
      <c r="BA125" s="28">
        <v>-3.4063999999999997E-2</v>
      </c>
      <c r="BB125" s="28">
        <v>0.59342600000000001</v>
      </c>
      <c r="BC125" s="28">
        <v>116.923553</v>
      </c>
      <c r="BD125" s="28">
        <v>1627.1014399999999</v>
      </c>
      <c r="BE125" s="28">
        <v>962.35894800000005</v>
      </c>
      <c r="BF125" s="28">
        <v>23.280616999999999</v>
      </c>
      <c r="BG125" s="28">
        <v>4.2953999999999999E-2</v>
      </c>
    </row>
    <row r="126" spans="1:162">
      <c r="A126" s="27">
        <v>93</v>
      </c>
      <c r="B126" s="27">
        <v>44.372821999999999</v>
      </c>
      <c r="C126" s="27">
        <v>-3</v>
      </c>
      <c r="D126" s="27">
        <v>0</v>
      </c>
      <c r="E126" s="28">
        <v>-0.26093499999999997</v>
      </c>
      <c r="F126" s="28">
        <v>0.79002799999999995</v>
      </c>
      <c r="G126" s="28">
        <v>-2.0379999999999999E-2</v>
      </c>
      <c r="H126" s="28">
        <v>1.2761089999999999</v>
      </c>
      <c r="I126" s="28">
        <v>-0.45896700000000001</v>
      </c>
      <c r="J126" s="28">
        <v>0.61991799999999997</v>
      </c>
      <c r="K126" s="28">
        <v>1.3424970000000001</v>
      </c>
      <c r="L126" s="28">
        <v>-0.191992</v>
      </c>
      <c r="M126" s="28">
        <v>-0.57312300000000005</v>
      </c>
      <c r="N126" s="28">
        <v>-0.59387599999999996</v>
      </c>
      <c r="O126" s="28">
        <v>0.39508100000000002</v>
      </c>
      <c r="P126" s="28">
        <v>-0.29557899999999998</v>
      </c>
      <c r="Q126" s="28">
        <v>-1.2123299999999999</v>
      </c>
      <c r="R126" s="28">
        <v>0.53608199999999995</v>
      </c>
      <c r="S126" s="28">
        <v>0.43825799999999998</v>
      </c>
      <c r="T126" s="28">
        <v>-1.0462629999999999</v>
      </c>
      <c r="U126" s="28">
        <v>-0.92386999999999997</v>
      </c>
      <c r="V126" s="28">
        <v>-0.32855600000000001</v>
      </c>
      <c r="W126" s="28">
        <v>0.79715599999999998</v>
      </c>
      <c r="X126" s="28">
        <v>-0.18821499999999999</v>
      </c>
      <c r="Y126" s="28">
        <v>-0.87919400000000003</v>
      </c>
      <c r="Z126" s="28">
        <v>0.84435099999999996</v>
      </c>
      <c r="AA126" s="28">
        <v>0.41101399999999999</v>
      </c>
      <c r="AB126" s="28">
        <v>0.83720799999999995</v>
      </c>
      <c r="AC126" s="28">
        <v>-0.17442299999999999</v>
      </c>
      <c r="AD126" s="28">
        <v>8.8509999999999995E-3</v>
      </c>
      <c r="AE126" s="28">
        <v>0.275868</v>
      </c>
      <c r="AF126" s="28">
        <v>1.348231</v>
      </c>
      <c r="AG126" s="28">
        <v>0.35782199999999997</v>
      </c>
      <c r="AH126" s="28">
        <v>-0.22400200000000001</v>
      </c>
      <c r="AI126" s="28">
        <v>0.19275999999999999</v>
      </c>
      <c r="AJ126" s="28">
        <v>-0.74942500000000001</v>
      </c>
      <c r="AK126" s="28">
        <v>0.40764099999999998</v>
      </c>
      <c r="AL126" s="28">
        <v>-0.98532500000000001</v>
      </c>
      <c r="AM126" s="28">
        <v>-0.25914599999999999</v>
      </c>
      <c r="AN126" s="28">
        <v>8.0591999999999997E-2</v>
      </c>
      <c r="AO126" s="28">
        <v>0.10335999999999999</v>
      </c>
      <c r="AP126" s="28">
        <v>-0.26106299999999999</v>
      </c>
      <c r="AQ126" s="28">
        <v>2.9864000000000002E-2</v>
      </c>
      <c r="AR126" s="28">
        <v>-0.54261499999999996</v>
      </c>
      <c r="AS126" s="28">
        <v>-0.50171699999999997</v>
      </c>
      <c r="AT126" s="28">
        <v>-1.11639</v>
      </c>
      <c r="AU126" s="28">
        <v>-2.0365999999999999E-2</v>
      </c>
      <c r="AV126" s="28">
        <v>-0.60032099999999999</v>
      </c>
      <c r="AW126" s="28">
        <v>-7.0127999999999996E-2</v>
      </c>
      <c r="AX126" s="28">
        <v>-0.63070599999999999</v>
      </c>
      <c r="AY126" s="28">
        <v>8.1457000000000002E-2</v>
      </c>
      <c r="AZ126" s="28">
        <v>-0.582561</v>
      </c>
      <c r="BA126" s="28">
        <v>-0.51460499999999998</v>
      </c>
      <c r="BB126" s="28">
        <v>-1.1069009999999999</v>
      </c>
      <c r="BC126" s="28">
        <v>193.70124799999999</v>
      </c>
      <c r="BD126" s="28">
        <v>1881.2016599999999</v>
      </c>
      <c r="BE126" s="28">
        <v>936.07195999999999</v>
      </c>
      <c r="BF126" s="28">
        <v>21.095614999999999</v>
      </c>
      <c r="BG126" s="28">
        <v>4.7403000000000001E-2</v>
      </c>
      <c r="DI126" s="49" t="s">
        <v>276</v>
      </c>
    </row>
    <row r="127" spans="1:162">
      <c r="A127" s="27">
        <v>94</v>
      </c>
      <c r="B127" s="27">
        <v>39.498055000000001</v>
      </c>
      <c r="C127" s="27">
        <v>-3</v>
      </c>
      <c r="D127" s="27">
        <v>0</v>
      </c>
      <c r="E127" s="28">
        <v>1.6254040000000001</v>
      </c>
      <c r="F127" s="28">
        <v>-0.32974100000000001</v>
      </c>
      <c r="G127" s="28">
        <v>-0.96115799999999996</v>
      </c>
      <c r="H127" s="28">
        <v>-0.70081599999999999</v>
      </c>
      <c r="I127" s="28">
        <v>-1.4411430000000001</v>
      </c>
      <c r="J127" s="28">
        <v>-0.68226600000000004</v>
      </c>
      <c r="K127" s="28">
        <v>-0.89169799999999999</v>
      </c>
      <c r="L127" s="28">
        <v>0.85860499999999995</v>
      </c>
      <c r="M127" s="28">
        <v>-0.48549900000000001</v>
      </c>
      <c r="N127" s="28">
        <v>0.76777899999999999</v>
      </c>
      <c r="O127" s="28">
        <v>0.54898499999999995</v>
      </c>
      <c r="P127" s="28">
        <v>-0.81550199999999995</v>
      </c>
      <c r="Q127" s="28">
        <v>-0.86378900000000003</v>
      </c>
      <c r="R127" s="28">
        <v>0.79839000000000004</v>
      </c>
      <c r="S127" s="28">
        <v>-0.55228100000000002</v>
      </c>
      <c r="T127" s="28">
        <v>0.314245</v>
      </c>
      <c r="U127" s="28">
        <v>-1.4318789999999999</v>
      </c>
      <c r="V127" s="28">
        <v>-0.92930100000000004</v>
      </c>
      <c r="W127" s="28">
        <v>0.57114299999999996</v>
      </c>
      <c r="X127" s="28">
        <v>-0.26586100000000001</v>
      </c>
      <c r="Y127" s="28">
        <v>0.451239</v>
      </c>
      <c r="Z127" s="28">
        <v>-0.236091</v>
      </c>
      <c r="AA127" s="28">
        <v>1.634371</v>
      </c>
      <c r="AB127" s="28">
        <v>8.8885000000000006E-2</v>
      </c>
      <c r="AC127" s="28">
        <v>-1.4460789999999999</v>
      </c>
      <c r="AD127" s="28">
        <v>0.106548</v>
      </c>
      <c r="AE127" s="28">
        <v>0.447882</v>
      </c>
      <c r="AF127" s="28">
        <v>-0.80142199999999997</v>
      </c>
      <c r="AG127" s="28">
        <v>-0.182949</v>
      </c>
      <c r="AH127" s="28">
        <v>0.85319900000000004</v>
      </c>
      <c r="AI127" s="28">
        <v>0.76485499999999995</v>
      </c>
      <c r="AJ127" s="28">
        <v>-1.4253290000000001</v>
      </c>
      <c r="AK127" s="28">
        <v>-0.37792199999999998</v>
      </c>
      <c r="AL127" s="28">
        <v>-0.102326</v>
      </c>
      <c r="AM127" s="28">
        <v>0.76357299999999995</v>
      </c>
      <c r="AN127" s="28">
        <v>1.8122400000000001</v>
      </c>
      <c r="AO127" s="28">
        <v>7.0805000000000007E-2</v>
      </c>
      <c r="AP127" s="28">
        <v>-7.2219000000000005E-2</v>
      </c>
      <c r="AQ127" s="28">
        <v>0.31185000000000002</v>
      </c>
      <c r="AR127" s="28">
        <v>-0.25651600000000002</v>
      </c>
      <c r="AS127" s="28">
        <v>-0.31519399999999997</v>
      </c>
      <c r="AT127" s="28">
        <v>6.9620000000000003E-3</v>
      </c>
      <c r="AU127" s="28">
        <v>0.72981499999999999</v>
      </c>
      <c r="AV127" s="28">
        <v>0.65998199999999996</v>
      </c>
      <c r="AW127" s="28">
        <v>0.22279599999999999</v>
      </c>
      <c r="AX127" s="28">
        <v>8.8345000000000007E-2</v>
      </c>
      <c r="AY127" s="28">
        <v>0.31037700000000001</v>
      </c>
      <c r="AZ127" s="28">
        <v>-0.64868899999999996</v>
      </c>
      <c r="BA127" s="28">
        <v>-0.58344099999999999</v>
      </c>
      <c r="BB127" s="28">
        <v>-0.49345800000000001</v>
      </c>
      <c r="BC127" s="28">
        <v>92.293503000000001</v>
      </c>
      <c r="BD127" s="28">
        <v>1482.10022</v>
      </c>
      <c r="BE127" s="28">
        <v>1217.0039059999999</v>
      </c>
      <c r="BF127" s="28">
        <v>30.811743</v>
      </c>
      <c r="BG127" s="28">
        <v>3.2454999999999998E-2</v>
      </c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</row>
    <row r="128" spans="1:162">
      <c r="A128" s="27">
        <v>95</v>
      </c>
      <c r="B128" s="27">
        <v>40.131003999999997</v>
      </c>
      <c r="C128" s="27">
        <v>-3</v>
      </c>
      <c r="D128" s="27">
        <v>0</v>
      </c>
      <c r="E128" s="28">
        <v>0.57696199999999997</v>
      </c>
      <c r="F128" s="28">
        <v>-1.4874590000000001</v>
      </c>
      <c r="G128" s="28">
        <v>0.952291</v>
      </c>
      <c r="H128" s="28">
        <v>0.77326700000000004</v>
      </c>
      <c r="I128" s="28">
        <v>0.68866700000000003</v>
      </c>
      <c r="J128" s="28">
        <v>1.7243740000000001</v>
      </c>
      <c r="K128" s="28">
        <v>0.71753599999999995</v>
      </c>
      <c r="L128" s="28">
        <v>-0.16437399999999999</v>
      </c>
      <c r="M128" s="28">
        <v>-0.93447999999999998</v>
      </c>
      <c r="N128" s="28">
        <v>0.85742600000000002</v>
      </c>
      <c r="O128" s="28">
        <v>0.73014000000000001</v>
      </c>
      <c r="P128" s="28">
        <v>-0.70085299999999995</v>
      </c>
      <c r="Q128" s="28">
        <v>-0.52315500000000004</v>
      </c>
      <c r="R128" s="28">
        <v>0.13569300000000001</v>
      </c>
      <c r="S128" s="28">
        <v>0.29335800000000001</v>
      </c>
      <c r="T128" s="28">
        <v>0.14247599999999999</v>
      </c>
      <c r="U128" s="28">
        <v>-1.601702</v>
      </c>
      <c r="V128" s="28">
        <v>0.20288600000000001</v>
      </c>
      <c r="W128" s="28">
        <v>-7.2257000000000002E-2</v>
      </c>
      <c r="X128" s="28">
        <v>-0.57675200000000004</v>
      </c>
      <c r="Y128" s="28">
        <v>-0.76120500000000002</v>
      </c>
      <c r="Z128" s="28">
        <v>0.44364799999999999</v>
      </c>
      <c r="AA128" s="28">
        <v>-0.96713899999999997</v>
      </c>
      <c r="AB128" s="28">
        <v>-0.476827</v>
      </c>
      <c r="AC128" s="28">
        <v>0.82053100000000001</v>
      </c>
      <c r="AD128" s="28">
        <v>0.50718799999999997</v>
      </c>
      <c r="AE128" s="28">
        <v>0.67582600000000004</v>
      </c>
      <c r="AF128" s="28">
        <v>-0.82073300000000005</v>
      </c>
      <c r="AG128" s="28">
        <v>-0.12155100000000001</v>
      </c>
      <c r="AH128" s="28">
        <v>-0.88685800000000004</v>
      </c>
      <c r="AI128" s="28">
        <v>0.95257199999999997</v>
      </c>
      <c r="AJ128" s="28">
        <v>-0.26838699999999999</v>
      </c>
      <c r="AK128" s="28">
        <v>-0.74785000000000001</v>
      </c>
      <c r="AL128" s="28">
        <v>-0.24892</v>
      </c>
      <c r="AM128" s="28">
        <v>1.508637</v>
      </c>
      <c r="AN128" s="28">
        <v>-0.489956</v>
      </c>
      <c r="AO128" s="28">
        <v>-0.17260800000000001</v>
      </c>
      <c r="AP128" s="28">
        <v>0.88971900000000004</v>
      </c>
      <c r="AQ128" s="28">
        <v>-0.54454499999999995</v>
      </c>
      <c r="AR128" s="28">
        <v>-0.20375699999999999</v>
      </c>
      <c r="AS128" s="28">
        <v>5.0379999999999999E-3</v>
      </c>
      <c r="AT128" s="28">
        <v>-0.27812399999999998</v>
      </c>
      <c r="AU128" s="28">
        <v>0.50661299999999998</v>
      </c>
      <c r="AV128" s="28">
        <v>-0.91919600000000001</v>
      </c>
      <c r="AW128" s="28">
        <v>-0.54686199999999996</v>
      </c>
      <c r="AX128" s="28">
        <v>-0.19409399999999999</v>
      </c>
      <c r="AY128" s="28">
        <v>-0.57920000000000005</v>
      </c>
      <c r="AZ128" s="28">
        <v>0.247589</v>
      </c>
      <c r="BA128" s="28">
        <v>1.1391500000000001</v>
      </c>
      <c r="BB128" s="28">
        <v>0.30823800000000001</v>
      </c>
      <c r="BC128" s="28">
        <v>127.624306</v>
      </c>
      <c r="BD128" s="28">
        <v>1531.2354740000001</v>
      </c>
      <c r="BE128" s="28">
        <v>1099.505249</v>
      </c>
      <c r="BF128" s="28">
        <v>27.397901999999998</v>
      </c>
      <c r="BG128" s="28">
        <v>3.6498999999999997E-2</v>
      </c>
      <c r="DZ128" t="s">
        <v>97</v>
      </c>
      <c r="EA128" t="s">
        <v>98</v>
      </c>
      <c r="EB128" t="s">
        <v>63</v>
      </c>
      <c r="EC128" t="s">
        <v>99</v>
      </c>
    </row>
    <row r="129" spans="1:213">
      <c r="A129" s="27">
        <v>96</v>
      </c>
      <c r="B129" s="27">
        <v>46.674900000000001</v>
      </c>
      <c r="C129" s="27">
        <v>-3</v>
      </c>
      <c r="D129" s="27">
        <v>0</v>
      </c>
      <c r="E129" s="28">
        <v>1.0107900000000001</v>
      </c>
      <c r="F129" s="28">
        <v>-0.88376999999999994</v>
      </c>
      <c r="G129" s="28">
        <v>-0.74157600000000001</v>
      </c>
      <c r="H129" s="28">
        <v>-0.76297199999999998</v>
      </c>
      <c r="I129" s="28">
        <v>-0.84866399999999997</v>
      </c>
      <c r="J129" s="28">
        <v>0.29241699999999998</v>
      </c>
      <c r="K129" s="28">
        <v>-0.57423900000000005</v>
      </c>
      <c r="L129" s="28">
        <v>0.78362399999999999</v>
      </c>
      <c r="M129" s="28">
        <v>0.84691899999999998</v>
      </c>
      <c r="N129" s="28">
        <v>0.54095300000000002</v>
      </c>
      <c r="O129" s="28">
        <v>-1.2010559999999999</v>
      </c>
      <c r="P129" s="28">
        <v>0.90051000000000003</v>
      </c>
      <c r="Q129" s="28">
        <v>0.25661400000000001</v>
      </c>
      <c r="R129" s="28">
        <v>-7.8424999999999995E-2</v>
      </c>
      <c r="S129" s="28">
        <v>0.83231200000000005</v>
      </c>
      <c r="T129" s="28">
        <v>-0.28163100000000002</v>
      </c>
      <c r="U129" s="28">
        <v>-0.18229799999999999</v>
      </c>
      <c r="V129" s="28">
        <v>0.49211300000000002</v>
      </c>
      <c r="W129" s="28">
        <v>1.135105</v>
      </c>
      <c r="X129" s="28">
        <v>-0.13441500000000001</v>
      </c>
      <c r="Y129" s="28">
        <v>0.28303899999999999</v>
      </c>
      <c r="Z129" s="28">
        <v>4.4645999999999998E-2</v>
      </c>
      <c r="AA129" s="28">
        <v>0.783196</v>
      </c>
      <c r="AB129" s="28">
        <v>-0.25130000000000002</v>
      </c>
      <c r="AC129" s="28">
        <v>1.254807</v>
      </c>
      <c r="AD129" s="28">
        <v>0.24223800000000001</v>
      </c>
      <c r="AE129" s="28">
        <v>-0.66971400000000003</v>
      </c>
      <c r="AF129" s="28">
        <v>-0.63559399999999999</v>
      </c>
      <c r="AG129" s="28">
        <v>0.83333999999999997</v>
      </c>
      <c r="AH129" s="28">
        <v>-0.51413600000000004</v>
      </c>
      <c r="AI129" s="28">
        <v>0.59201899999999996</v>
      </c>
      <c r="AJ129" s="28">
        <v>-0.88652399999999998</v>
      </c>
      <c r="AK129" s="28">
        <v>0.37301200000000001</v>
      </c>
      <c r="AL129" s="28">
        <v>-0.210336</v>
      </c>
      <c r="AM129" s="28">
        <v>0.299093</v>
      </c>
      <c r="AN129" s="28">
        <v>1.491269</v>
      </c>
      <c r="AO129" s="28">
        <v>0.41825699999999999</v>
      </c>
      <c r="AP129" s="28">
        <v>0.101591</v>
      </c>
      <c r="AQ129" s="28">
        <v>-0.26250099999999998</v>
      </c>
      <c r="AR129" s="28">
        <v>0.44266100000000003</v>
      </c>
      <c r="AS129" s="28">
        <v>0.94009100000000001</v>
      </c>
      <c r="AT129" s="28">
        <v>0.54240699999999997</v>
      </c>
      <c r="AU129" s="28">
        <v>0.25891700000000001</v>
      </c>
      <c r="AV129" s="28">
        <v>-0.27995100000000001</v>
      </c>
      <c r="AW129" s="28">
        <v>-0.27900700000000001</v>
      </c>
      <c r="AX129" s="28">
        <v>-0.518536</v>
      </c>
      <c r="AY129" s="28">
        <v>-1.1963159999999999</v>
      </c>
      <c r="AZ129" s="28">
        <v>-0.195964</v>
      </c>
      <c r="BA129" s="28">
        <v>1.0676159999999999</v>
      </c>
      <c r="BB129" s="28">
        <v>-0.19059999999999999</v>
      </c>
      <c r="BC129" s="28">
        <v>174.684448</v>
      </c>
      <c r="BD129" s="28">
        <v>2086.1965329999998</v>
      </c>
      <c r="BE129" s="28">
        <v>1072.400024</v>
      </c>
      <c r="BF129" s="28">
        <v>22.975946</v>
      </c>
      <c r="BG129" s="28">
        <v>4.3524E-2</v>
      </c>
      <c r="DI129" s="45" t="s">
        <v>166</v>
      </c>
      <c r="DJ129" s="46">
        <f ca="1">MIN(DI132:FF132)</f>
        <v>-1.9532529999999999</v>
      </c>
      <c r="DY129" t="s">
        <v>22</v>
      </c>
      <c r="DZ129">
        <v>1.8270000000000001E-3</v>
      </c>
      <c r="EA129">
        <v>0.89333899999999999</v>
      </c>
      <c r="EB129">
        <v>0.83325400000000005</v>
      </c>
      <c r="EC129">
        <f>EB129*DZ129 + (1 - EB129)*EA129</f>
        <v>0.15048305995199995</v>
      </c>
    </row>
    <row r="130" spans="1:213">
      <c r="A130" s="27">
        <v>97</v>
      </c>
      <c r="B130" s="27">
        <v>44.625304999999997</v>
      </c>
      <c r="C130" s="27">
        <v>-3</v>
      </c>
      <c r="D130" s="27">
        <v>0</v>
      </c>
      <c r="E130" s="28">
        <v>1.614214</v>
      </c>
      <c r="F130" s="28">
        <v>0.23215</v>
      </c>
      <c r="G130" s="28">
        <v>0.25669599999999998</v>
      </c>
      <c r="H130" s="28">
        <v>-0.116481</v>
      </c>
      <c r="I130" s="28">
        <v>1.692396</v>
      </c>
      <c r="J130" s="28">
        <v>2.0740000000000001E-2</v>
      </c>
      <c r="K130" s="28">
        <v>0.43417099999999997</v>
      </c>
      <c r="L130" s="28">
        <v>0.15672700000000001</v>
      </c>
      <c r="M130" s="28">
        <v>0.84644900000000001</v>
      </c>
      <c r="N130" s="28">
        <v>-0.326988</v>
      </c>
      <c r="O130" s="28">
        <v>0.35654599999999997</v>
      </c>
      <c r="P130" s="28">
        <v>-0.69081700000000001</v>
      </c>
      <c r="Q130" s="28">
        <v>-1.5205679999999999</v>
      </c>
      <c r="R130" s="28">
        <v>0.101855</v>
      </c>
      <c r="S130" s="28">
        <v>-5.0455E-2</v>
      </c>
      <c r="T130" s="28">
        <v>0.73058999999999996</v>
      </c>
      <c r="U130" s="28">
        <v>-1.4077809999999999</v>
      </c>
      <c r="V130" s="28">
        <v>0.94844899999999999</v>
      </c>
      <c r="W130" s="28">
        <v>0.60904899999999995</v>
      </c>
      <c r="X130" s="28">
        <v>-0.75822400000000001</v>
      </c>
      <c r="Y130" s="28">
        <v>0.56430199999999997</v>
      </c>
      <c r="Z130" s="28">
        <v>0.21484500000000001</v>
      </c>
      <c r="AA130" s="28">
        <v>0.75581500000000001</v>
      </c>
      <c r="AB130" s="28">
        <v>0.199127</v>
      </c>
      <c r="AC130" s="28">
        <v>-0.65629000000000004</v>
      </c>
      <c r="AD130" s="28">
        <v>-0.14308100000000001</v>
      </c>
      <c r="AE130" s="28">
        <v>3.3890000000000003E-2</v>
      </c>
      <c r="AF130" s="28">
        <v>0.30363499999999999</v>
      </c>
      <c r="AG130" s="28">
        <v>-0.53788599999999998</v>
      </c>
      <c r="AH130" s="28">
        <v>-0.13880600000000001</v>
      </c>
      <c r="AI130" s="28">
        <v>1.799318</v>
      </c>
      <c r="AJ130" s="28">
        <v>-0.298431</v>
      </c>
      <c r="AK130" s="28">
        <v>0.81237499999999996</v>
      </c>
      <c r="AL130" s="28">
        <v>-0.84752400000000006</v>
      </c>
      <c r="AM130" s="28">
        <v>-0.52254</v>
      </c>
      <c r="AN130" s="28">
        <v>0.27977600000000002</v>
      </c>
      <c r="AO130" s="28">
        <v>1.7250000000000001E-2</v>
      </c>
      <c r="AP130" s="28">
        <v>8.5168999999999995E-2</v>
      </c>
      <c r="AQ130" s="28">
        <v>-0.88034800000000002</v>
      </c>
      <c r="AR130" s="28">
        <v>-0.25476799999999999</v>
      </c>
      <c r="AS130" s="28">
        <v>0.21149499999999999</v>
      </c>
      <c r="AT130" s="28">
        <v>-0.44474599999999997</v>
      </c>
      <c r="AU130" s="28">
        <v>-1.1809909999999999</v>
      </c>
      <c r="AV130" s="28">
        <v>0.28868300000000002</v>
      </c>
      <c r="AW130" s="28">
        <v>0.70152700000000001</v>
      </c>
      <c r="AX130" s="28">
        <v>-0.30702600000000002</v>
      </c>
      <c r="AY130" s="28">
        <v>-0.76923600000000003</v>
      </c>
      <c r="AZ130" s="28">
        <v>0.71762300000000001</v>
      </c>
      <c r="BA130" s="28">
        <v>-1.0298890000000001</v>
      </c>
      <c r="BB130" s="28">
        <v>-0.94150599999999995</v>
      </c>
      <c r="BC130" s="28">
        <v>139.77810700000001</v>
      </c>
      <c r="BD130" s="28">
        <v>1903.167236</v>
      </c>
      <c r="BE130" s="28">
        <v>1205.9381100000001</v>
      </c>
      <c r="BF130" s="28">
        <v>27.02364</v>
      </c>
      <c r="BG130" s="28">
        <v>3.7005000000000003E-2</v>
      </c>
      <c r="BJ130" s="9">
        <f>BJ131-BJ170</f>
        <v>-1.00875</v>
      </c>
      <c r="BK130" s="9">
        <f t="shared" ref="BK130:DG130" si="1">BK131-BK170</f>
        <v>0.30102799999999996</v>
      </c>
      <c r="BL130" s="9">
        <f t="shared" si="1"/>
        <v>-8.8701999999999975E-2</v>
      </c>
      <c r="BM130" s="9">
        <f t="shared" si="1"/>
        <v>0.15336799999999995</v>
      </c>
      <c r="BN130" s="9">
        <f t="shared" si="1"/>
        <v>-0.59676799999999997</v>
      </c>
      <c r="BO130" s="9">
        <f t="shared" si="1"/>
        <v>0.65532299999999999</v>
      </c>
      <c r="BP130" s="9">
        <f t="shared" si="1"/>
        <v>-0.30065099999999989</v>
      </c>
      <c r="BQ130" s="9">
        <f t="shared" si="1"/>
        <v>-0.41596500000000003</v>
      </c>
      <c r="BR130" s="9">
        <f t="shared" si="1"/>
        <v>-0.41926000000000002</v>
      </c>
      <c r="BS130" s="9">
        <f t="shared" si="1"/>
        <v>0.54461499999999996</v>
      </c>
      <c r="BT130" s="9">
        <f t="shared" si="1"/>
        <v>-0.82813499999999995</v>
      </c>
      <c r="BU130" s="9">
        <f t="shared" si="1"/>
        <v>-1.361281</v>
      </c>
      <c r="BV130" s="9">
        <f t="shared" si="1"/>
        <v>-0.13944200000000007</v>
      </c>
      <c r="BW130" s="9">
        <f t="shared" si="1"/>
        <v>0.342553</v>
      </c>
      <c r="BX130" s="9">
        <f t="shared" si="1"/>
        <v>-0.22137099999999998</v>
      </c>
      <c r="BY130" s="9">
        <f t="shared" si="1"/>
        <v>-0.29649000000000003</v>
      </c>
      <c r="BZ130" s="9">
        <f t="shared" si="1"/>
        <v>0.52675300000000003</v>
      </c>
      <c r="CA130" s="9">
        <f t="shared" si="1"/>
        <v>0.95417000000000007</v>
      </c>
      <c r="CB130" s="9">
        <f t="shared" si="1"/>
        <v>0.84532600000000002</v>
      </c>
      <c r="CC130" s="9">
        <f t="shared" si="1"/>
        <v>1.3333660000000001</v>
      </c>
      <c r="CD130" s="9">
        <f t="shared" si="1"/>
        <v>0.36127299999999996</v>
      </c>
      <c r="CE130" s="9">
        <f t="shared" si="1"/>
        <v>6.156900000000004E-2</v>
      </c>
      <c r="CF130" s="9">
        <f t="shared" si="1"/>
        <v>1.0977429999999999</v>
      </c>
      <c r="CG130" s="9">
        <f t="shared" si="1"/>
        <v>-0.10152700000000003</v>
      </c>
      <c r="CH130" s="9">
        <f t="shared" si="1"/>
        <v>1.234332</v>
      </c>
      <c r="CI130" s="9">
        <f t="shared" si="1"/>
        <v>-0.69238600000000006</v>
      </c>
      <c r="CJ130" s="9">
        <f t="shared" si="1"/>
        <v>0.30223700000000003</v>
      </c>
      <c r="CK130" s="9">
        <f t="shared" si="1"/>
        <v>1.7230210000000001</v>
      </c>
      <c r="CL130" s="9">
        <f t="shared" si="1"/>
        <v>-8.6410000000000098E-3</v>
      </c>
      <c r="CM130" s="9">
        <f t="shared" si="1"/>
        <v>-1.0662469999999999</v>
      </c>
      <c r="CN130" s="9">
        <f t="shared" si="1"/>
        <v>1.0995870000000001</v>
      </c>
      <c r="CO130" s="9">
        <f t="shared" si="1"/>
        <v>0.438085</v>
      </c>
      <c r="CP130" s="9">
        <f t="shared" si="1"/>
        <v>-2.112371</v>
      </c>
      <c r="CQ130" s="9">
        <f t="shared" si="1"/>
        <v>-1.542986</v>
      </c>
      <c r="CR130" s="9">
        <f t="shared" si="1"/>
        <v>-1.228375</v>
      </c>
      <c r="CS130" s="9">
        <f t="shared" si="1"/>
        <v>-0.36995499999999998</v>
      </c>
      <c r="CT130" s="9">
        <f t="shared" si="1"/>
        <v>-1.4235060000000002</v>
      </c>
      <c r="CU130" s="9">
        <f t="shared" si="1"/>
        <v>0.40715100000000004</v>
      </c>
      <c r="CV130" s="9">
        <f t="shared" si="1"/>
        <v>-0.13245099999999999</v>
      </c>
      <c r="CW130" s="9">
        <f t="shared" si="1"/>
        <v>-1.074678</v>
      </c>
      <c r="CX130" s="9">
        <f t="shared" si="1"/>
        <v>-0.13744800000000001</v>
      </c>
      <c r="CY130" s="9">
        <f t="shared" si="1"/>
        <v>-0.73011700000000002</v>
      </c>
      <c r="CZ130" s="9">
        <f t="shared" si="1"/>
        <v>0.50114600000000009</v>
      </c>
      <c r="DA130" s="9">
        <f t="shared" si="1"/>
        <v>0.82502999999999993</v>
      </c>
      <c r="DB130" s="9">
        <f t="shared" si="1"/>
        <v>0.62196399999999996</v>
      </c>
      <c r="DC130" s="9">
        <f t="shared" si="1"/>
        <v>-0.69266099999999997</v>
      </c>
      <c r="DD130" s="9">
        <f t="shared" si="1"/>
        <v>-0.87855299999999992</v>
      </c>
      <c r="DE130" s="9">
        <f t="shared" si="1"/>
        <v>-0.186193</v>
      </c>
      <c r="DF130" s="9">
        <f t="shared" si="1"/>
        <v>-0.72303800000000007</v>
      </c>
      <c r="DG130" s="9">
        <f t="shared" si="1"/>
        <v>-0.25504399999999999</v>
      </c>
      <c r="DI130" s="45" t="s">
        <v>167</v>
      </c>
      <c r="DJ130" s="46">
        <f ca="1">MAX(DI132:FF132)</f>
        <v>1.3577360000000001</v>
      </c>
    </row>
    <row r="131" spans="1:213">
      <c r="A131" s="27">
        <v>98</v>
      </c>
      <c r="B131" s="27">
        <v>44.084747</v>
      </c>
      <c r="C131" s="27">
        <v>-3</v>
      </c>
      <c r="D131" s="27">
        <v>0</v>
      </c>
      <c r="E131" s="28">
        <v>0.94180900000000001</v>
      </c>
      <c r="F131" s="28">
        <v>-0.96661600000000003</v>
      </c>
      <c r="G131" s="28">
        <v>-1.701E-3</v>
      </c>
      <c r="H131" s="28">
        <v>-0.54540299999999997</v>
      </c>
      <c r="I131" s="28">
        <v>-0.43832100000000002</v>
      </c>
      <c r="J131" s="28">
        <v>-1.4298390000000001</v>
      </c>
      <c r="K131" s="28">
        <v>0.92647900000000005</v>
      </c>
      <c r="L131" s="28">
        <v>-0.78257600000000005</v>
      </c>
      <c r="M131" s="28">
        <v>0.45502300000000001</v>
      </c>
      <c r="N131" s="28">
        <v>0.18059900000000001</v>
      </c>
      <c r="O131" s="28">
        <v>-0.34862500000000002</v>
      </c>
      <c r="P131" s="28">
        <v>-0.84838400000000003</v>
      </c>
      <c r="Q131" s="28">
        <v>0.65981699999999999</v>
      </c>
      <c r="R131" s="28">
        <v>-1.4716579999999999</v>
      </c>
      <c r="S131" s="28">
        <v>1.3420000000000001E-3</v>
      </c>
      <c r="T131" s="28">
        <v>-3.8100000000000002E-2</v>
      </c>
      <c r="U131" s="28">
        <v>-0.96284999999999998</v>
      </c>
      <c r="V131" s="28">
        <v>0.84333599999999997</v>
      </c>
      <c r="W131" s="28">
        <v>0.60397100000000004</v>
      </c>
      <c r="X131" s="28">
        <v>-1.6871149999999999</v>
      </c>
      <c r="Y131" s="28">
        <v>-0.68394600000000005</v>
      </c>
      <c r="Z131" s="28">
        <v>0.61243499999999995</v>
      </c>
      <c r="AA131" s="28">
        <v>0.67593400000000003</v>
      </c>
      <c r="AB131" s="28">
        <v>0.32172499999999998</v>
      </c>
      <c r="AC131" s="28">
        <v>-0.48714099999999999</v>
      </c>
      <c r="AD131" s="28">
        <v>-0.543597</v>
      </c>
      <c r="AE131" s="28">
        <v>-0.49929000000000001</v>
      </c>
      <c r="AF131" s="28">
        <v>0.19483600000000001</v>
      </c>
      <c r="AG131" s="28">
        <v>-0.87549399999999999</v>
      </c>
      <c r="AH131" s="28">
        <v>-0.78691800000000001</v>
      </c>
      <c r="AI131" s="28">
        <v>0.32993400000000001</v>
      </c>
      <c r="AJ131" s="28">
        <v>-0.41718</v>
      </c>
      <c r="AK131" s="28">
        <v>-0.25569599999999998</v>
      </c>
      <c r="AL131" s="28">
        <v>-0.97838499999999995</v>
      </c>
      <c r="AM131" s="28">
        <v>-0.55299500000000001</v>
      </c>
      <c r="AN131" s="28">
        <v>-1.1587E-2</v>
      </c>
      <c r="AO131" s="28">
        <v>-0.10553800000000001</v>
      </c>
      <c r="AP131" s="28">
        <v>0.33248499999999998</v>
      </c>
      <c r="AQ131" s="28">
        <v>0.36088500000000001</v>
      </c>
      <c r="AR131" s="28">
        <v>0.129166</v>
      </c>
      <c r="AS131" s="28">
        <v>0.195464</v>
      </c>
      <c r="AT131" s="28">
        <v>-0.39376699999999998</v>
      </c>
      <c r="AU131" s="28">
        <v>0.58815799999999996</v>
      </c>
      <c r="AV131" s="28">
        <v>-0.56207700000000005</v>
      </c>
      <c r="AW131" s="28">
        <v>-0.127944</v>
      </c>
      <c r="AX131" s="28">
        <v>5.8170000000000001E-3</v>
      </c>
      <c r="AY131" s="28">
        <v>1.0401769999999999</v>
      </c>
      <c r="AZ131" s="28">
        <v>0.38863900000000001</v>
      </c>
      <c r="BA131" s="28">
        <v>0.71790500000000002</v>
      </c>
      <c r="BB131" s="28">
        <v>-1.2433989999999999</v>
      </c>
      <c r="BC131" s="28">
        <v>156.79804999999999</v>
      </c>
      <c r="BD131" s="28">
        <v>1856.2954099999999</v>
      </c>
      <c r="BE131" s="28">
        <v>1058.660034</v>
      </c>
      <c r="BF131" s="28">
        <v>24.014202000000001</v>
      </c>
      <c r="BG131" s="28">
        <v>4.1641999999999998E-2</v>
      </c>
      <c r="BJ131" s="28">
        <v>-0.267098</v>
      </c>
      <c r="BK131" s="28">
        <v>0.56114399999999998</v>
      </c>
      <c r="BL131" s="28">
        <v>-0.28070899999999999</v>
      </c>
      <c r="BM131" s="28">
        <v>0.54429799999999995</v>
      </c>
      <c r="BN131" s="28">
        <v>-0.165349</v>
      </c>
      <c r="BO131" s="28">
        <v>0.43519400000000003</v>
      </c>
      <c r="BP131" s="28">
        <v>0.95837300000000003</v>
      </c>
      <c r="BQ131" s="28">
        <v>-0.27338499999999999</v>
      </c>
      <c r="BR131" s="28">
        <v>0.35254999999999997</v>
      </c>
      <c r="BS131" s="28">
        <v>0.32682299999999997</v>
      </c>
      <c r="BT131" s="28">
        <v>4.9501000000000003E-2</v>
      </c>
      <c r="BU131" s="28">
        <v>-0.52021799999999996</v>
      </c>
      <c r="BV131" s="28">
        <v>0.86471100000000001</v>
      </c>
      <c r="BW131" s="28">
        <v>-0.63090900000000005</v>
      </c>
      <c r="BX131" s="28">
        <v>0.74071500000000001</v>
      </c>
      <c r="BY131" s="28">
        <v>-0.65871100000000005</v>
      </c>
      <c r="BZ131" s="28">
        <v>-0.324961</v>
      </c>
      <c r="CA131" s="28">
        <v>-0.275613</v>
      </c>
      <c r="CB131" s="28">
        <v>-0.26831899999999997</v>
      </c>
      <c r="CC131" s="28">
        <v>0.76213900000000001</v>
      </c>
      <c r="CD131" s="28">
        <v>-0.90047900000000003</v>
      </c>
      <c r="CE131" s="28">
        <v>-0.33576499999999998</v>
      </c>
      <c r="CF131" s="28">
        <v>-0.43833699999999998</v>
      </c>
      <c r="CG131" s="28">
        <v>0.27884799999999998</v>
      </c>
      <c r="CH131" s="28">
        <v>-0.38447199999999998</v>
      </c>
      <c r="CI131" s="28">
        <v>-0.77102000000000004</v>
      </c>
      <c r="CJ131" s="28">
        <v>0.27057700000000001</v>
      </c>
      <c r="CK131" s="28">
        <v>0.83318599999999998</v>
      </c>
      <c r="CL131" s="28">
        <v>0.40339399999999997</v>
      </c>
      <c r="CM131" s="28">
        <v>-0.289163</v>
      </c>
      <c r="CN131" s="28">
        <v>0.76848700000000003</v>
      </c>
      <c r="CO131" s="28">
        <v>0.15106700000000001</v>
      </c>
      <c r="CP131" s="28">
        <v>-0.74877199999999999</v>
      </c>
      <c r="CQ131" s="28">
        <v>-0.33460499999999999</v>
      </c>
      <c r="CR131" s="28">
        <v>-0.81350100000000003</v>
      </c>
      <c r="CS131" s="28">
        <v>-0.11096499999999999</v>
      </c>
      <c r="CT131" s="28">
        <v>-0.83437600000000001</v>
      </c>
      <c r="CU131" s="28">
        <v>0.20127</v>
      </c>
      <c r="CV131" s="28">
        <v>-0.184637</v>
      </c>
      <c r="CW131" s="28">
        <v>-0.91958399999999996</v>
      </c>
      <c r="CX131" s="28">
        <v>0.278115</v>
      </c>
      <c r="CY131" s="28">
        <v>-0.27121800000000001</v>
      </c>
      <c r="CZ131" s="28">
        <v>0.70314600000000005</v>
      </c>
      <c r="DA131" s="28">
        <v>0.412549</v>
      </c>
      <c r="DB131" s="28">
        <v>-0.60927200000000004</v>
      </c>
      <c r="DC131" s="28">
        <v>-0.37781900000000002</v>
      </c>
      <c r="DD131" s="28">
        <v>-0.50169399999999997</v>
      </c>
      <c r="DE131" s="28">
        <v>-0.48045300000000002</v>
      </c>
      <c r="DF131" s="28">
        <v>-0.100314</v>
      </c>
      <c r="DG131" s="28">
        <v>-0.29395399999999999</v>
      </c>
      <c r="DI131" s="49">
        <v>0.138096</v>
      </c>
      <c r="DJ131" s="49">
        <v>-0.23014000000000001</v>
      </c>
      <c r="DK131" s="49">
        <v>-0.114719</v>
      </c>
      <c r="DL131" s="49">
        <v>0.46327099999999999</v>
      </c>
      <c r="DM131" s="49">
        <v>0.99411000000000005</v>
      </c>
      <c r="DN131" s="49">
        <v>-0.510239</v>
      </c>
      <c r="DO131" s="49">
        <v>0.526536</v>
      </c>
      <c r="DP131" s="49">
        <v>0.51603699999999997</v>
      </c>
      <c r="DQ131" s="49">
        <v>-0.54139800000000005</v>
      </c>
      <c r="DR131" s="49">
        <v>-0.66414399999999996</v>
      </c>
      <c r="DS131" s="49">
        <v>-0.167241</v>
      </c>
      <c r="DT131" s="49">
        <v>-0.40946700000000003</v>
      </c>
      <c r="DU131" s="49">
        <v>0.17722099999999999</v>
      </c>
      <c r="DV131" s="49">
        <v>-0.29514899999999999</v>
      </c>
      <c r="DW131" s="49">
        <v>0.18492700000000001</v>
      </c>
      <c r="DX131" s="49">
        <v>-0.60214400000000001</v>
      </c>
      <c r="DY131" s="49">
        <v>-0.10560600000000001</v>
      </c>
      <c r="DZ131" s="49">
        <v>6.2812000000000007E-2</v>
      </c>
      <c r="EA131" s="49">
        <v>-0.37060999999999999</v>
      </c>
      <c r="EB131" s="49">
        <v>-4.3359000000000002E-2</v>
      </c>
      <c r="EC131" s="49">
        <v>0.43783499999999997</v>
      </c>
      <c r="ED131" s="49">
        <v>-0.74530099999999999</v>
      </c>
      <c r="EE131" s="49">
        <v>-0.487788</v>
      </c>
      <c r="EF131" s="49">
        <v>0.50253300000000001</v>
      </c>
      <c r="EG131" s="49">
        <v>0.60494499999999995</v>
      </c>
      <c r="EH131" s="49">
        <v>-0.10366599999999999</v>
      </c>
      <c r="EI131" s="49">
        <v>0.15858800000000001</v>
      </c>
      <c r="EJ131" s="49">
        <v>-0.48786600000000002</v>
      </c>
      <c r="EK131" s="49">
        <v>8.7320000000000002E-3</v>
      </c>
      <c r="EL131" s="49">
        <v>-4.2199E-2</v>
      </c>
      <c r="EM131" s="49">
        <v>-0.17191799999999999</v>
      </c>
      <c r="EN131" s="49">
        <v>0.430259</v>
      </c>
      <c r="EO131" s="49">
        <v>-0.12531700000000001</v>
      </c>
      <c r="EP131" s="49">
        <v>0.97486799999999996</v>
      </c>
      <c r="EQ131" s="49">
        <v>-0.74919599999999997</v>
      </c>
      <c r="ER131" s="49">
        <v>0.14685300000000001</v>
      </c>
      <c r="ES131" s="49">
        <v>0.62419800000000003</v>
      </c>
      <c r="ET131" s="49">
        <v>-0.44081500000000001</v>
      </c>
      <c r="EU131" s="49">
        <v>-0.77568000000000004</v>
      </c>
      <c r="EV131" s="49">
        <v>-0.23456199999999999</v>
      </c>
      <c r="EW131" s="49">
        <v>-0.49300100000000002</v>
      </c>
      <c r="EX131" s="49">
        <v>-0.82835000000000003</v>
      </c>
      <c r="EY131" s="49">
        <v>0.69415800000000005</v>
      </c>
      <c r="EZ131" s="49">
        <v>-0.56478200000000001</v>
      </c>
      <c r="FA131" s="49">
        <v>-2.0154999999999999E-2</v>
      </c>
      <c r="FB131" s="49">
        <v>0.13097</v>
      </c>
      <c r="FC131" s="49">
        <v>-0.13638</v>
      </c>
      <c r="FD131" s="49">
        <v>-0.60403300000000004</v>
      </c>
      <c r="FE131" s="49">
        <v>0.25680599999999998</v>
      </c>
      <c r="FF131" s="49">
        <v>7.9408000000000006E-2</v>
      </c>
    </row>
    <row r="132" spans="1:213">
      <c r="A132" s="27">
        <v>99</v>
      </c>
      <c r="B132" s="27">
        <v>40.871796000000003</v>
      </c>
      <c r="C132" s="27">
        <v>-3</v>
      </c>
      <c r="D132" s="27">
        <v>0</v>
      </c>
      <c r="E132" s="28">
        <v>0.14165700000000001</v>
      </c>
      <c r="F132" s="28">
        <v>0.93150100000000002</v>
      </c>
      <c r="G132" s="28">
        <v>0.21973599999999999</v>
      </c>
      <c r="H132" s="28">
        <v>8.7349999999999997E-2</v>
      </c>
      <c r="I132" s="28">
        <v>0.66057299999999997</v>
      </c>
      <c r="J132" s="28">
        <v>0.32617000000000002</v>
      </c>
      <c r="K132" s="28">
        <v>0.486794</v>
      </c>
      <c r="L132" s="28">
        <v>-0.60062700000000002</v>
      </c>
      <c r="M132" s="28">
        <v>1.7281930000000001</v>
      </c>
      <c r="N132" s="28">
        <v>1.279531</v>
      </c>
      <c r="O132" s="28">
        <v>-0.37542500000000001</v>
      </c>
      <c r="P132" s="28">
        <v>-0.86995599999999995</v>
      </c>
      <c r="Q132" s="28">
        <v>-0.88975000000000004</v>
      </c>
      <c r="R132" s="28">
        <v>-1.1213439999999999</v>
      </c>
      <c r="S132" s="28">
        <v>1.2563500000000001</v>
      </c>
      <c r="T132" s="28">
        <v>0.63623399999999997</v>
      </c>
      <c r="U132" s="28">
        <v>0.55337499999999995</v>
      </c>
      <c r="V132" s="28">
        <v>-0.316774</v>
      </c>
      <c r="W132" s="28">
        <v>-0.57559000000000005</v>
      </c>
      <c r="X132" s="28">
        <v>-0.77202599999999999</v>
      </c>
      <c r="Y132" s="28">
        <v>-0.78446899999999997</v>
      </c>
      <c r="Z132" s="28">
        <v>0.47545100000000001</v>
      </c>
      <c r="AA132" s="28">
        <v>0.97257099999999996</v>
      </c>
      <c r="AB132" s="28">
        <v>0.81458900000000001</v>
      </c>
      <c r="AC132" s="28">
        <v>0.34436099999999997</v>
      </c>
      <c r="AD132" s="28">
        <v>4.1963E-2</v>
      </c>
      <c r="AE132" s="28">
        <v>0.81816999999999995</v>
      </c>
      <c r="AF132" s="28">
        <v>0.49418299999999998</v>
      </c>
      <c r="AG132" s="28">
        <v>-0.74974099999999999</v>
      </c>
      <c r="AH132" s="28">
        <v>-1.1178939999999999</v>
      </c>
      <c r="AI132" s="28">
        <v>1.0275810000000001</v>
      </c>
      <c r="AJ132" s="28">
        <v>0.18726499999999999</v>
      </c>
      <c r="AK132" s="28">
        <v>-0.46878799999999998</v>
      </c>
      <c r="AL132" s="28">
        <v>0.21907799999999999</v>
      </c>
      <c r="AM132" s="28">
        <v>0.65311699999999995</v>
      </c>
      <c r="AN132" s="28">
        <v>-0.532003</v>
      </c>
      <c r="AO132" s="28">
        <v>0.80649400000000004</v>
      </c>
      <c r="AP132" s="28">
        <v>-0.388903</v>
      </c>
      <c r="AQ132" s="28">
        <v>-0.21298</v>
      </c>
      <c r="AR132" s="28">
        <v>-0.33707300000000001</v>
      </c>
      <c r="AS132" s="28">
        <v>-1.7750000000000001E-3</v>
      </c>
      <c r="AT132" s="28">
        <v>-0.43126399999999998</v>
      </c>
      <c r="AU132" s="28">
        <v>0.65154900000000004</v>
      </c>
      <c r="AV132" s="28">
        <v>-0.22847300000000001</v>
      </c>
      <c r="AW132" s="28">
        <v>-0.868004</v>
      </c>
      <c r="AX132" s="28">
        <v>-0.905532</v>
      </c>
      <c r="AY132" s="28">
        <v>0.25758300000000001</v>
      </c>
      <c r="AZ132" s="28">
        <v>-5.6763000000000001E-2</v>
      </c>
      <c r="BA132" s="28">
        <v>-0.61416400000000004</v>
      </c>
      <c r="BB132" s="28">
        <v>9.1121999999999995E-2</v>
      </c>
      <c r="BC132" s="28">
        <v>100.750473</v>
      </c>
      <c r="BD132" s="28">
        <v>1589.7601320000001</v>
      </c>
      <c r="BE132" s="28">
        <v>980.46466099999998</v>
      </c>
      <c r="BF132" s="28">
        <v>23.988785</v>
      </c>
      <c r="BG132" s="28">
        <v>4.1686000000000001E-2</v>
      </c>
      <c r="DI132" s="47">
        <f ca="1">DI235-DI131</f>
        <v>0.80371300000000001</v>
      </c>
      <c r="DJ132" s="48">
        <f t="shared" ref="DJ132:FF132" ca="1" si="2">DJ235-DJ131</f>
        <v>-0.73103112553400007</v>
      </c>
      <c r="DK132" s="48">
        <f t="shared" ca="1" si="2"/>
        <v>0.113983568874</v>
      </c>
      <c r="DL132" s="48">
        <f t="shared" ca="1" si="2"/>
        <v>-0.97433118333000002</v>
      </c>
      <c r="DM132" s="48">
        <f t="shared" ca="1" si="2"/>
        <v>-1.432431</v>
      </c>
      <c r="DN132" s="48">
        <f t="shared" ca="1" si="2"/>
        <v>-0.91960000000000008</v>
      </c>
      <c r="DO132" s="48">
        <f t="shared" ca="1" si="2"/>
        <v>0.39994300000000005</v>
      </c>
      <c r="DP132" s="48">
        <f t="shared" ca="1" si="2"/>
        <v>-1.298613</v>
      </c>
      <c r="DQ132" s="48">
        <f t="shared" ca="1" si="2"/>
        <v>0.996421</v>
      </c>
      <c r="DR132" s="48">
        <f t="shared" ca="1" si="2"/>
        <v>0.84474300000000002</v>
      </c>
      <c r="DS132" s="48">
        <f t="shared" ca="1" si="2"/>
        <v>-0.18138400000000002</v>
      </c>
      <c r="DT132" s="48">
        <f t="shared" ca="1" si="2"/>
        <v>-0.438917</v>
      </c>
      <c r="DU132" s="48">
        <f t="shared" ca="1" si="2"/>
        <v>0.48259600000000002</v>
      </c>
      <c r="DV132" s="48">
        <f t="shared" ca="1" si="2"/>
        <v>-1.1765089999999998</v>
      </c>
      <c r="DW132" s="48">
        <f t="shared" ca="1" si="2"/>
        <v>-0.183585</v>
      </c>
      <c r="DX132" s="48">
        <f t="shared" ca="1" si="2"/>
        <v>0.56404399999999999</v>
      </c>
      <c r="DY132" s="48">
        <f t="shared" ca="1" si="2"/>
        <v>-0.85724400000000001</v>
      </c>
      <c r="DZ132" s="48">
        <f t="shared" ca="1" si="2"/>
        <v>0.780524</v>
      </c>
      <c r="EA132" s="48">
        <f t="shared" ca="1" si="2"/>
        <v>0.97458100000000003</v>
      </c>
      <c r="EB132" s="48">
        <f t="shared" ca="1" si="2"/>
        <v>-1.643756</v>
      </c>
      <c r="EC132" s="48">
        <f t="shared" ca="1" si="2"/>
        <v>-1.1217809999999999</v>
      </c>
      <c r="ED132" s="48">
        <f t="shared" ca="1" si="2"/>
        <v>1.3577360000000001</v>
      </c>
      <c r="EE132" s="48">
        <f t="shared" ca="1" si="2"/>
        <v>1.1637219999999999</v>
      </c>
      <c r="EF132" s="48">
        <f t="shared" ca="1" si="2"/>
        <v>-0.18080800000000002</v>
      </c>
      <c r="EG132" s="48">
        <f t="shared" ca="1" si="2"/>
        <v>-1.0920859999999999</v>
      </c>
      <c r="EH132" s="48">
        <f t="shared" ca="1" si="2"/>
        <v>-0.43993100000000002</v>
      </c>
      <c r="EI132" s="48">
        <f t="shared" ca="1" si="2"/>
        <v>-0.65787799999999996</v>
      </c>
      <c r="EJ132" s="48">
        <f t="shared" ca="1" si="2"/>
        <v>0.68270200000000003</v>
      </c>
      <c r="EK132" s="48">
        <f t="shared" ca="1" si="2"/>
        <v>-0.88422599999999996</v>
      </c>
      <c r="EL132" s="48">
        <f t="shared" ca="1" si="2"/>
        <v>-0.74471900000000002</v>
      </c>
      <c r="EM132" s="48">
        <f t="shared" ca="1" si="2"/>
        <v>0.50185199999999996</v>
      </c>
      <c r="EN132" s="48">
        <f t="shared" ca="1" si="2"/>
        <v>-0.84743900000000005</v>
      </c>
      <c r="EO132" s="48">
        <f t="shared" ca="1" si="2"/>
        <v>-0.13037899999999997</v>
      </c>
      <c r="EP132" s="48">
        <f t="shared" ca="1" si="2"/>
        <v>-1.9532529999999999</v>
      </c>
      <c r="EQ132" s="48">
        <f t="shared" ca="1" si="2"/>
        <v>0.19620099999999996</v>
      </c>
      <c r="ER132" s="48">
        <f t="shared" ca="1" si="2"/>
        <v>-0.15844000000000003</v>
      </c>
      <c r="ES132" s="48">
        <f t="shared" ca="1" si="2"/>
        <v>-0.72973600000000005</v>
      </c>
      <c r="ET132" s="48">
        <f t="shared" ca="1" si="2"/>
        <v>0.77329999999999999</v>
      </c>
      <c r="EU132" s="48">
        <f t="shared" ca="1" si="2"/>
        <v>1.136565</v>
      </c>
      <c r="EV132" s="48">
        <f t="shared" ca="1" si="2"/>
        <v>0.363728</v>
      </c>
      <c r="EW132" s="48">
        <f t="shared" ca="1" si="2"/>
        <v>0.68846499999999999</v>
      </c>
      <c r="EX132" s="48">
        <f t="shared" ca="1" si="2"/>
        <v>0.43458300000000005</v>
      </c>
      <c r="EY132" s="48">
        <f t="shared" ca="1" si="2"/>
        <v>-0.10600000000000009</v>
      </c>
      <c r="EZ132" s="48">
        <f t="shared" ca="1" si="2"/>
        <v>2.7049999999999574E-3</v>
      </c>
      <c r="FA132" s="48">
        <f t="shared" ca="1" si="2"/>
        <v>-0.107789</v>
      </c>
      <c r="FB132" s="48">
        <f t="shared" ca="1" si="2"/>
        <v>-0.12515300000000001</v>
      </c>
      <c r="FC132" s="48">
        <f t="shared" ca="1" si="2"/>
        <v>1.1765569999999999</v>
      </c>
      <c r="FD132" s="48">
        <f t="shared" ca="1" si="2"/>
        <v>0.992672</v>
      </c>
      <c r="FE132" s="48">
        <f t="shared" ca="1" si="2"/>
        <v>0.46109900000000004</v>
      </c>
      <c r="FF132" s="48">
        <f t="shared" ca="1" si="2"/>
        <v>-1.3228069999999998</v>
      </c>
    </row>
    <row r="133" spans="1:213"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</row>
    <row r="134" spans="1:213">
      <c r="A134" t="s">
        <v>59</v>
      </c>
      <c r="G134" s="38" t="s">
        <v>141</v>
      </c>
      <c r="H134" s="39">
        <f>B18</f>
        <v>0.75</v>
      </c>
      <c r="K134" s="31">
        <f>E31</f>
        <v>5</v>
      </c>
      <c r="L134" s="31">
        <f t="shared" ref="L134:BH134" si="3">F31</f>
        <v>6</v>
      </c>
      <c r="M134" s="31">
        <f t="shared" si="3"/>
        <v>7</v>
      </c>
      <c r="N134" s="31">
        <f t="shared" si="3"/>
        <v>8</v>
      </c>
      <c r="O134" s="31">
        <f t="shared" si="3"/>
        <v>9</v>
      </c>
      <c r="P134" s="31">
        <f t="shared" si="3"/>
        <v>10</v>
      </c>
      <c r="Q134" s="31">
        <f t="shared" si="3"/>
        <v>11</v>
      </c>
      <c r="R134" s="31">
        <f t="shared" si="3"/>
        <v>12</v>
      </c>
      <c r="S134" s="31">
        <f t="shared" si="3"/>
        <v>13</v>
      </c>
      <c r="T134" s="31">
        <f t="shared" si="3"/>
        <v>14</v>
      </c>
      <c r="U134" s="31">
        <f t="shared" si="3"/>
        <v>15</v>
      </c>
      <c r="V134" s="31">
        <f t="shared" si="3"/>
        <v>16</v>
      </c>
      <c r="W134" s="31">
        <f t="shared" si="3"/>
        <v>17</v>
      </c>
      <c r="X134" s="31">
        <f t="shared" si="3"/>
        <v>18</v>
      </c>
      <c r="Y134" s="31">
        <f t="shared" si="3"/>
        <v>19</v>
      </c>
      <c r="Z134" s="31">
        <f t="shared" si="3"/>
        <v>20</v>
      </c>
      <c r="AA134" s="31">
        <f t="shared" si="3"/>
        <v>21</v>
      </c>
      <c r="AB134" s="31">
        <f t="shared" si="3"/>
        <v>22</v>
      </c>
      <c r="AC134" s="31">
        <f t="shared" si="3"/>
        <v>23</v>
      </c>
      <c r="AD134" s="31">
        <f t="shared" si="3"/>
        <v>24</v>
      </c>
      <c r="AE134" s="31">
        <f t="shared" si="3"/>
        <v>25</v>
      </c>
      <c r="AF134" s="31">
        <f t="shared" si="3"/>
        <v>26</v>
      </c>
      <c r="AG134" s="31">
        <f t="shared" si="3"/>
        <v>27</v>
      </c>
      <c r="AH134" s="31">
        <f t="shared" si="3"/>
        <v>28</v>
      </c>
      <c r="AI134" s="31">
        <f t="shared" si="3"/>
        <v>29</v>
      </c>
      <c r="AJ134" s="31">
        <f t="shared" si="3"/>
        <v>30</v>
      </c>
      <c r="AK134" s="31">
        <f t="shared" si="3"/>
        <v>31</v>
      </c>
      <c r="AL134" s="31">
        <f t="shared" si="3"/>
        <v>32</v>
      </c>
      <c r="AM134" s="31">
        <f t="shared" si="3"/>
        <v>33</v>
      </c>
      <c r="AN134" s="31">
        <f t="shared" si="3"/>
        <v>34</v>
      </c>
      <c r="AO134" s="31">
        <f t="shared" si="3"/>
        <v>35</v>
      </c>
      <c r="AP134" s="31">
        <f t="shared" si="3"/>
        <v>36</v>
      </c>
      <c r="AQ134" s="31">
        <f t="shared" si="3"/>
        <v>37</v>
      </c>
      <c r="AR134" s="31">
        <f t="shared" si="3"/>
        <v>38</v>
      </c>
      <c r="AS134" s="31">
        <f t="shared" si="3"/>
        <v>39</v>
      </c>
      <c r="AT134" s="31">
        <f t="shared" si="3"/>
        <v>40</v>
      </c>
      <c r="AU134" s="31">
        <f t="shared" si="3"/>
        <v>41</v>
      </c>
      <c r="AV134" s="31">
        <f t="shared" si="3"/>
        <v>42</v>
      </c>
      <c r="AW134" s="31">
        <f t="shared" si="3"/>
        <v>43</v>
      </c>
      <c r="AX134" s="31">
        <f t="shared" si="3"/>
        <v>44</v>
      </c>
      <c r="AY134" s="31">
        <f t="shared" si="3"/>
        <v>45</v>
      </c>
      <c r="AZ134" s="31">
        <f t="shared" si="3"/>
        <v>46</v>
      </c>
      <c r="BA134" s="31">
        <f t="shared" si="3"/>
        <v>47</v>
      </c>
      <c r="BB134" s="31">
        <f t="shared" si="3"/>
        <v>48</v>
      </c>
      <c r="BC134" s="31">
        <f t="shared" si="3"/>
        <v>49</v>
      </c>
      <c r="BD134" s="31">
        <f t="shared" si="3"/>
        <v>50</v>
      </c>
      <c r="BE134" s="31">
        <f t="shared" si="3"/>
        <v>51</v>
      </c>
      <c r="BF134" s="31">
        <f t="shared" si="3"/>
        <v>52</v>
      </c>
      <c r="BG134" s="31">
        <f t="shared" si="3"/>
        <v>53</v>
      </c>
      <c r="BH134" s="31">
        <f t="shared" si="3"/>
        <v>54</v>
      </c>
      <c r="BJ134" s="41">
        <f>E31</f>
        <v>5</v>
      </c>
      <c r="BK134" s="41">
        <f t="shared" ref="BK134:DG134" si="4">F31</f>
        <v>6</v>
      </c>
      <c r="BL134" s="41">
        <f t="shared" si="4"/>
        <v>7</v>
      </c>
      <c r="BM134" s="41">
        <f t="shared" si="4"/>
        <v>8</v>
      </c>
      <c r="BN134" s="41">
        <f t="shared" si="4"/>
        <v>9</v>
      </c>
      <c r="BO134" s="41">
        <f t="shared" si="4"/>
        <v>10</v>
      </c>
      <c r="BP134" s="41">
        <f t="shared" si="4"/>
        <v>11</v>
      </c>
      <c r="BQ134" s="41">
        <f t="shared" si="4"/>
        <v>12</v>
      </c>
      <c r="BR134" s="41">
        <f t="shared" si="4"/>
        <v>13</v>
      </c>
      <c r="BS134" s="41">
        <f t="shared" si="4"/>
        <v>14</v>
      </c>
      <c r="BT134" s="41">
        <f t="shared" si="4"/>
        <v>15</v>
      </c>
      <c r="BU134" s="41">
        <f t="shared" si="4"/>
        <v>16</v>
      </c>
      <c r="BV134" s="41">
        <f t="shared" si="4"/>
        <v>17</v>
      </c>
      <c r="BW134" s="41">
        <f t="shared" si="4"/>
        <v>18</v>
      </c>
      <c r="BX134" s="41">
        <f t="shared" si="4"/>
        <v>19</v>
      </c>
      <c r="BY134" s="41">
        <f t="shared" si="4"/>
        <v>20</v>
      </c>
      <c r="BZ134" s="41">
        <f t="shared" si="4"/>
        <v>21</v>
      </c>
      <c r="CA134" s="41">
        <f t="shared" si="4"/>
        <v>22</v>
      </c>
      <c r="CB134" s="41">
        <f t="shared" si="4"/>
        <v>23</v>
      </c>
      <c r="CC134" s="41">
        <f t="shared" si="4"/>
        <v>24</v>
      </c>
      <c r="CD134" s="41">
        <f t="shared" si="4"/>
        <v>25</v>
      </c>
      <c r="CE134" s="41">
        <f t="shared" si="4"/>
        <v>26</v>
      </c>
      <c r="CF134" s="41">
        <f t="shared" si="4"/>
        <v>27</v>
      </c>
      <c r="CG134" s="41">
        <f t="shared" si="4"/>
        <v>28</v>
      </c>
      <c r="CH134" s="41">
        <f t="shared" si="4"/>
        <v>29</v>
      </c>
      <c r="CI134" s="41">
        <f t="shared" si="4"/>
        <v>30</v>
      </c>
      <c r="CJ134" s="41">
        <f t="shared" si="4"/>
        <v>31</v>
      </c>
      <c r="CK134" s="41">
        <f t="shared" si="4"/>
        <v>32</v>
      </c>
      <c r="CL134" s="41">
        <f t="shared" si="4"/>
        <v>33</v>
      </c>
      <c r="CM134" s="41">
        <f t="shared" si="4"/>
        <v>34</v>
      </c>
      <c r="CN134" s="41">
        <f t="shared" si="4"/>
        <v>35</v>
      </c>
      <c r="CO134" s="41">
        <f t="shared" si="4"/>
        <v>36</v>
      </c>
      <c r="CP134" s="41">
        <f t="shared" si="4"/>
        <v>37</v>
      </c>
      <c r="CQ134" s="41">
        <f t="shared" si="4"/>
        <v>38</v>
      </c>
      <c r="CR134" s="41">
        <f t="shared" si="4"/>
        <v>39</v>
      </c>
      <c r="CS134" s="41">
        <f t="shared" si="4"/>
        <v>40</v>
      </c>
      <c r="CT134" s="41">
        <f t="shared" si="4"/>
        <v>41</v>
      </c>
      <c r="CU134" s="41">
        <f t="shared" si="4"/>
        <v>42</v>
      </c>
      <c r="CV134" s="41">
        <f t="shared" si="4"/>
        <v>43</v>
      </c>
      <c r="CW134" s="41">
        <f t="shared" si="4"/>
        <v>44</v>
      </c>
      <c r="CX134" s="41">
        <f t="shared" si="4"/>
        <v>45</v>
      </c>
      <c r="CY134" s="41">
        <f t="shared" si="4"/>
        <v>46</v>
      </c>
      <c r="CZ134" s="41">
        <f t="shared" si="4"/>
        <v>47</v>
      </c>
      <c r="DA134" s="41">
        <f t="shared" si="4"/>
        <v>48</v>
      </c>
      <c r="DB134" s="41">
        <f t="shared" si="4"/>
        <v>49</v>
      </c>
      <c r="DC134" s="41">
        <f t="shared" si="4"/>
        <v>50</v>
      </c>
      <c r="DD134" s="41">
        <f t="shared" si="4"/>
        <v>51</v>
      </c>
      <c r="DE134" s="41">
        <f t="shared" si="4"/>
        <v>52</v>
      </c>
      <c r="DF134" s="41">
        <f t="shared" si="4"/>
        <v>53</v>
      </c>
      <c r="DG134" s="41">
        <f t="shared" si="4"/>
        <v>54</v>
      </c>
      <c r="DH134" s="9"/>
      <c r="DI134" s="31">
        <v>0</v>
      </c>
      <c r="DJ134" s="31">
        <f>DI134+1</f>
        <v>1</v>
      </c>
      <c r="DK134" s="31">
        <f t="shared" ref="DK134:FF134" si="5">DJ134+1</f>
        <v>2</v>
      </c>
      <c r="DL134" s="31">
        <f t="shared" si="5"/>
        <v>3</v>
      </c>
      <c r="DM134" s="31">
        <f t="shared" si="5"/>
        <v>4</v>
      </c>
      <c r="DN134" s="31">
        <f t="shared" si="5"/>
        <v>5</v>
      </c>
      <c r="DO134" s="31">
        <f t="shared" si="5"/>
        <v>6</v>
      </c>
      <c r="DP134" s="31">
        <f t="shared" si="5"/>
        <v>7</v>
      </c>
      <c r="DQ134" s="31">
        <f t="shared" si="5"/>
        <v>8</v>
      </c>
      <c r="DR134" s="31">
        <f t="shared" si="5"/>
        <v>9</v>
      </c>
      <c r="DS134" s="31">
        <f t="shared" si="5"/>
        <v>10</v>
      </c>
      <c r="DT134" s="31">
        <f t="shared" si="5"/>
        <v>11</v>
      </c>
      <c r="DU134" s="31">
        <f t="shared" si="5"/>
        <v>12</v>
      </c>
      <c r="DV134" s="31">
        <f t="shared" si="5"/>
        <v>13</v>
      </c>
      <c r="DW134" s="31">
        <f t="shared" si="5"/>
        <v>14</v>
      </c>
      <c r="DX134" s="31">
        <f t="shared" si="5"/>
        <v>15</v>
      </c>
      <c r="DY134" s="31">
        <f t="shared" si="5"/>
        <v>16</v>
      </c>
      <c r="DZ134" s="31">
        <f t="shared" si="5"/>
        <v>17</v>
      </c>
      <c r="EA134" s="31">
        <f t="shared" si="5"/>
        <v>18</v>
      </c>
      <c r="EB134" s="31">
        <f t="shared" si="5"/>
        <v>19</v>
      </c>
      <c r="EC134" s="31">
        <f t="shared" si="5"/>
        <v>20</v>
      </c>
      <c r="ED134" s="31">
        <f t="shared" si="5"/>
        <v>21</v>
      </c>
      <c r="EE134" s="31">
        <f t="shared" si="5"/>
        <v>22</v>
      </c>
      <c r="EF134" s="31">
        <f t="shared" si="5"/>
        <v>23</v>
      </c>
      <c r="EG134" s="31">
        <f t="shared" si="5"/>
        <v>24</v>
      </c>
      <c r="EH134" s="31">
        <f t="shared" si="5"/>
        <v>25</v>
      </c>
      <c r="EI134" s="31">
        <f t="shared" si="5"/>
        <v>26</v>
      </c>
      <c r="EJ134" s="31">
        <f t="shared" si="5"/>
        <v>27</v>
      </c>
      <c r="EK134" s="31">
        <f t="shared" si="5"/>
        <v>28</v>
      </c>
      <c r="EL134" s="31">
        <f t="shared" si="5"/>
        <v>29</v>
      </c>
      <c r="EM134" s="31">
        <f t="shared" si="5"/>
        <v>30</v>
      </c>
      <c r="EN134" s="31">
        <f t="shared" si="5"/>
        <v>31</v>
      </c>
      <c r="EO134" s="31">
        <f t="shared" si="5"/>
        <v>32</v>
      </c>
      <c r="EP134" s="31">
        <f t="shared" si="5"/>
        <v>33</v>
      </c>
      <c r="EQ134" s="31">
        <f t="shared" si="5"/>
        <v>34</v>
      </c>
      <c r="ER134" s="31">
        <f t="shared" si="5"/>
        <v>35</v>
      </c>
      <c r="ES134" s="31">
        <f t="shared" si="5"/>
        <v>36</v>
      </c>
      <c r="ET134" s="31">
        <f t="shared" si="5"/>
        <v>37</v>
      </c>
      <c r="EU134" s="31">
        <f t="shared" si="5"/>
        <v>38</v>
      </c>
      <c r="EV134" s="31">
        <f t="shared" si="5"/>
        <v>39</v>
      </c>
      <c r="EW134" s="31">
        <f t="shared" si="5"/>
        <v>40</v>
      </c>
      <c r="EX134" s="31">
        <f t="shared" si="5"/>
        <v>41</v>
      </c>
      <c r="EY134" s="31">
        <f t="shared" si="5"/>
        <v>42</v>
      </c>
      <c r="EZ134" s="31">
        <f t="shared" si="5"/>
        <v>43</v>
      </c>
      <c r="FA134" s="31">
        <f t="shared" si="5"/>
        <v>44</v>
      </c>
      <c r="FB134" s="31">
        <f t="shared" si="5"/>
        <v>45</v>
      </c>
      <c r="FC134" s="31">
        <f t="shared" si="5"/>
        <v>46</v>
      </c>
      <c r="FD134" s="31">
        <f t="shared" si="5"/>
        <v>47</v>
      </c>
      <c r="FE134" s="31">
        <f t="shared" si="5"/>
        <v>48</v>
      </c>
      <c r="FF134" s="31">
        <f t="shared" si="5"/>
        <v>49</v>
      </c>
      <c r="FH134" s="35">
        <v>0</v>
      </c>
      <c r="FI134" s="35">
        <f>FH134+1</f>
        <v>1</v>
      </c>
      <c r="FJ134" s="35">
        <f t="shared" ref="FJ134" si="6">FI134+1</f>
        <v>2</v>
      </c>
      <c r="FK134" s="35">
        <f t="shared" ref="FK134" si="7">FJ134+1</f>
        <v>3</v>
      </c>
      <c r="FL134" s="35">
        <f t="shared" ref="FL134" si="8">FK134+1</f>
        <v>4</v>
      </c>
      <c r="FM134" s="35">
        <f t="shared" ref="FM134" si="9">FL134+1</f>
        <v>5</v>
      </c>
      <c r="FN134" s="35">
        <f t="shared" ref="FN134" si="10">FM134+1</f>
        <v>6</v>
      </c>
      <c r="FO134" s="35">
        <f t="shared" ref="FO134" si="11">FN134+1</f>
        <v>7</v>
      </c>
      <c r="FP134" s="35">
        <f t="shared" ref="FP134" si="12">FO134+1</f>
        <v>8</v>
      </c>
      <c r="FQ134" s="35">
        <f t="shared" ref="FQ134" si="13">FP134+1</f>
        <v>9</v>
      </c>
      <c r="FR134" s="35">
        <f t="shared" ref="FR134" si="14">FQ134+1</f>
        <v>10</v>
      </c>
      <c r="FS134" s="35">
        <f t="shared" ref="FS134" si="15">FR134+1</f>
        <v>11</v>
      </c>
      <c r="FT134" s="35">
        <f t="shared" ref="FT134" si="16">FS134+1</f>
        <v>12</v>
      </c>
      <c r="FU134" s="35">
        <f t="shared" ref="FU134" si="17">FT134+1</f>
        <v>13</v>
      </c>
      <c r="FV134" s="35">
        <f t="shared" ref="FV134" si="18">FU134+1</f>
        <v>14</v>
      </c>
      <c r="FW134" s="35">
        <f t="shared" ref="FW134" si="19">FV134+1</f>
        <v>15</v>
      </c>
      <c r="FX134" s="35">
        <f t="shared" ref="FX134" si="20">FW134+1</f>
        <v>16</v>
      </c>
      <c r="FY134" s="35">
        <f t="shared" ref="FY134" si="21">FX134+1</f>
        <v>17</v>
      </c>
      <c r="FZ134" s="35">
        <f t="shared" ref="FZ134" si="22">FY134+1</f>
        <v>18</v>
      </c>
      <c r="GA134" s="35">
        <f t="shared" ref="GA134" si="23">FZ134+1</f>
        <v>19</v>
      </c>
      <c r="GB134" s="35">
        <f t="shared" ref="GB134" si="24">GA134+1</f>
        <v>20</v>
      </c>
      <c r="GC134" s="35">
        <f t="shared" ref="GC134" si="25">GB134+1</f>
        <v>21</v>
      </c>
      <c r="GD134" s="35">
        <f t="shared" ref="GD134" si="26">GC134+1</f>
        <v>22</v>
      </c>
      <c r="GE134" s="35">
        <f t="shared" ref="GE134" si="27">GD134+1</f>
        <v>23</v>
      </c>
      <c r="GF134" s="35">
        <f t="shared" ref="GF134" si="28">GE134+1</f>
        <v>24</v>
      </c>
      <c r="GG134" s="35">
        <f t="shared" ref="GG134" si="29">GF134+1</f>
        <v>25</v>
      </c>
      <c r="GH134" s="35">
        <f t="shared" ref="GH134" si="30">GG134+1</f>
        <v>26</v>
      </c>
      <c r="GI134" s="35">
        <f t="shared" ref="GI134" si="31">GH134+1</f>
        <v>27</v>
      </c>
      <c r="GJ134" s="35">
        <f t="shared" ref="GJ134" si="32">GI134+1</f>
        <v>28</v>
      </c>
      <c r="GK134" s="35">
        <f t="shared" ref="GK134" si="33">GJ134+1</f>
        <v>29</v>
      </c>
      <c r="GL134" s="35">
        <f t="shared" ref="GL134" si="34">GK134+1</f>
        <v>30</v>
      </c>
      <c r="GM134" s="35">
        <f t="shared" ref="GM134" si="35">GL134+1</f>
        <v>31</v>
      </c>
      <c r="GN134" s="35">
        <f t="shared" ref="GN134" si="36">GM134+1</f>
        <v>32</v>
      </c>
      <c r="GO134" s="35">
        <f t="shared" ref="GO134" si="37">GN134+1</f>
        <v>33</v>
      </c>
      <c r="GP134" s="35">
        <f t="shared" ref="GP134" si="38">GO134+1</f>
        <v>34</v>
      </c>
      <c r="GQ134" s="35">
        <f t="shared" ref="GQ134" si="39">GP134+1</f>
        <v>35</v>
      </c>
      <c r="GR134" s="35">
        <f t="shared" ref="GR134" si="40">GQ134+1</f>
        <v>36</v>
      </c>
      <c r="GS134" s="35">
        <f t="shared" ref="GS134" si="41">GR134+1</f>
        <v>37</v>
      </c>
      <c r="GT134" s="35">
        <f t="shared" ref="GT134" si="42">GS134+1</f>
        <v>38</v>
      </c>
      <c r="GU134" s="35">
        <f t="shared" ref="GU134" si="43">GT134+1</f>
        <v>39</v>
      </c>
      <c r="GV134" s="35">
        <f t="shared" ref="GV134" si="44">GU134+1</f>
        <v>40</v>
      </c>
      <c r="GW134" s="35">
        <f t="shared" ref="GW134" si="45">GV134+1</f>
        <v>41</v>
      </c>
      <c r="GX134" s="35">
        <f t="shared" ref="GX134" si="46">GW134+1</f>
        <v>42</v>
      </c>
      <c r="GY134" s="35">
        <f t="shared" ref="GY134" si="47">GX134+1</f>
        <v>43</v>
      </c>
      <c r="GZ134" s="35">
        <f t="shared" ref="GZ134" si="48">GY134+1</f>
        <v>44</v>
      </c>
      <c r="HA134" s="35">
        <f t="shared" ref="HA134" si="49">GZ134+1</f>
        <v>45</v>
      </c>
      <c r="HB134" s="35">
        <f t="shared" ref="HB134" si="50">HA134+1</f>
        <v>46</v>
      </c>
      <c r="HC134" s="35">
        <f t="shared" ref="HC134" si="51">HB134+1</f>
        <v>47</v>
      </c>
      <c r="HD134" s="35">
        <f t="shared" ref="HD134" si="52">HC134+1</f>
        <v>48</v>
      </c>
      <c r="HE134" s="35">
        <f t="shared" ref="HE134" si="53">HD134+1</f>
        <v>49</v>
      </c>
    </row>
    <row r="135" spans="1:213">
      <c r="A135" t="s">
        <v>57</v>
      </c>
      <c r="G135" s="40" t="s">
        <v>142</v>
      </c>
      <c r="H135" s="39">
        <f>SUM(J137:J236)/COUNTA(H137:H236)</f>
        <v>0.77</v>
      </c>
      <c r="K135" s="3" t="s">
        <v>100</v>
      </c>
      <c r="L135" s="3"/>
      <c r="M135" s="3"/>
      <c r="BJ135" s="5" t="s">
        <v>95</v>
      </c>
      <c r="DI135" s="8" t="s">
        <v>96</v>
      </c>
      <c r="DJ135" s="8"/>
      <c r="FH135" s="10" t="s">
        <v>102</v>
      </c>
      <c r="FI135" s="10"/>
      <c r="FJ135" s="11"/>
      <c r="FK135" s="11"/>
      <c r="FL135" s="11"/>
    </row>
    <row r="136" spans="1:213">
      <c r="A136" s="32" t="s">
        <v>60</v>
      </c>
      <c r="B136" s="32" t="s">
        <v>61</v>
      </c>
      <c r="C136" s="32" t="s">
        <v>62</v>
      </c>
      <c r="D136" s="32" t="s">
        <v>63</v>
      </c>
      <c r="E136" s="32" t="s">
        <v>64</v>
      </c>
      <c r="F136" s="32" t="s">
        <v>65</v>
      </c>
      <c r="G136" s="32" t="s">
        <v>93</v>
      </c>
      <c r="H136" s="32" t="s">
        <v>94</v>
      </c>
      <c r="I136" s="32" t="s">
        <v>92</v>
      </c>
      <c r="K136" s="4" t="s">
        <v>3</v>
      </c>
      <c r="L136" s="4" t="s">
        <v>4</v>
      </c>
      <c r="M136" s="4" t="s">
        <v>5</v>
      </c>
      <c r="N136" s="4" t="s">
        <v>6</v>
      </c>
      <c r="O136" s="4" t="s">
        <v>7</v>
      </c>
      <c r="P136" s="4" t="s">
        <v>8</v>
      </c>
      <c r="Q136" s="4" t="s">
        <v>9</v>
      </c>
      <c r="R136" s="4" t="s">
        <v>10</v>
      </c>
      <c r="S136" s="4" t="s">
        <v>11</v>
      </c>
      <c r="T136" s="4" t="s">
        <v>12</v>
      </c>
      <c r="U136" s="4" t="s">
        <v>13</v>
      </c>
      <c r="V136" s="4" t="s">
        <v>14</v>
      </c>
      <c r="W136" s="4" t="s">
        <v>15</v>
      </c>
      <c r="X136" s="4" t="s">
        <v>16</v>
      </c>
      <c r="Y136" s="4" t="s">
        <v>17</v>
      </c>
      <c r="Z136" s="4" t="s">
        <v>18</v>
      </c>
      <c r="AA136" s="4" t="s">
        <v>19</v>
      </c>
      <c r="AB136" s="4" t="s">
        <v>20</v>
      </c>
      <c r="AC136" s="4" t="s">
        <v>21</v>
      </c>
      <c r="AD136" s="4" t="s">
        <v>22</v>
      </c>
      <c r="AE136" s="4" t="s">
        <v>27</v>
      </c>
      <c r="AF136" s="4" t="s">
        <v>28</v>
      </c>
      <c r="AG136" s="4" t="s">
        <v>29</v>
      </c>
      <c r="AH136" s="4" t="s">
        <v>30</v>
      </c>
      <c r="AI136" s="4" t="s">
        <v>31</v>
      </c>
      <c r="AJ136" s="4" t="s">
        <v>32</v>
      </c>
      <c r="AK136" s="4" t="s">
        <v>33</v>
      </c>
      <c r="AL136" s="4" t="s">
        <v>34</v>
      </c>
      <c r="AM136" s="4" t="s">
        <v>35</v>
      </c>
      <c r="AN136" s="4" t="s">
        <v>36</v>
      </c>
      <c r="AO136" s="4" t="s">
        <v>37</v>
      </c>
      <c r="AP136" s="4" t="s">
        <v>38</v>
      </c>
      <c r="AQ136" s="4" t="s">
        <v>39</v>
      </c>
      <c r="AR136" s="4" t="s">
        <v>40</v>
      </c>
      <c r="AS136" s="4" t="s">
        <v>41</v>
      </c>
      <c r="AT136" s="4" t="s">
        <v>42</v>
      </c>
      <c r="AU136" s="4" t="s">
        <v>43</v>
      </c>
      <c r="AV136" s="4" t="s">
        <v>44</v>
      </c>
      <c r="AW136" s="4" t="s">
        <v>45</v>
      </c>
      <c r="AX136" s="4" t="s">
        <v>46</v>
      </c>
      <c r="AY136" s="4" t="s">
        <v>47</v>
      </c>
      <c r="AZ136" s="4" t="s">
        <v>48</v>
      </c>
      <c r="BA136" s="4" t="s">
        <v>49</v>
      </c>
      <c r="BB136" s="4" t="s">
        <v>50</v>
      </c>
      <c r="BC136" s="4" t="s">
        <v>51</v>
      </c>
      <c r="BD136" s="4" t="s">
        <v>52</v>
      </c>
      <c r="BE136" s="4" t="s">
        <v>53</v>
      </c>
      <c r="BF136" s="4" t="s">
        <v>54</v>
      </c>
      <c r="BG136" s="4" t="s">
        <v>55</v>
      </c>
      <c r="BH136" s="4" t="s">
        <v>56</v>
      </c>
      <c r="BJ136" s="6" t="s">
        <v>3</v>
      </c>
      <c r="BK136" s="6" t="s">
        <v>4</v>
      </c>
      <c r="BL136" s="6" t="s">
        <v>5</v>
      </c>
      <c r="BM136" s="6" t="s">
        <v>6</v>
      </c>
      <c r="BN136" s="6" t="s">
        <v>7</v>
      </c>
      <c r="BO136" s="6" t="s">
        <v>8</v>
      </c>
      <c r="BP136" s="6" t="s">
        <v>9</v>
      </c>
      <c r="BQ136" s="6" t="s">
        <v>10</v>
      </c>
      <c r="BR136" s="6" t="s">
        <v>11</v>
      </c>
      <c r="BS136" s="6" t="s">
        <v>12</v>
      </c>
      <c r="BT136" s="6" t="s">
        <v>13</v>
      </c>
      <c r="BU136" s="6" t="s">
        <v>14</v>
      </c>
      <c r="BV136" s="6" t="s">
        <v>15</v>
      </c>
      <c r="BW136" s="6" t="s">
        <v>16</v>
      </c>
      <c r="BX136" s="6" t="s">
        <v>17</v>
      </c>
      <c r="BY136" s="6" t="s">
        <v>18</v>
      </c>
      <c r="BZ136" s="6" t="s">
        <v>19</v>
      </c>
      <c r="CA136" s="6" t="s">
        <v>20</v>
      </c>
      <c r="CB136" s="6" t="s">
        <v>21</v>
      </c>
      <c r="CC136" s="6" t="s">
        <v>22</v>
      </c>
      <c r="CD136" s="6" t="s">
        <v>27</v>
      </c>
      <c r="CE136" s="6" t="s">
        <v>28</v>
      </c>
      <c r="CF136" s="6" t="s">
        <v>29</v>
      </c>
      <c r="CG136" s="6" t="s">
        <v>30</v>
      </c>
      <c r="CH136" s="6" t="s">
        <v>31</v>
      </c>
      <c r="CI136" s="6" t="s">
        <v>32</v>
      </c>
      <c r="CJ136" s="6" t="s">
        <v>33</v>
      </c>
      <c r="CK136" s="6" t="s">
        <v>34</v>
      </c>
      <c r="CL136" s="6" t="s">
        <v>35</v>
      </c>
      <c r="CM136" s="6" t="s">
        <v>36</v>
      </c>
      <c r="CN136" s="6" t="s">
        <v>37</v>
      </c>
      <c r="CO136" s="6" t="s">
        <v>38</v>
      </c>
      <c r="CP136" s="6" t="s">
        <v>39</v>
      </c>
      <c r="CQ136" s="6" t="s">
        <v>40</v>
      </c>
      <c r="CR136" s="6" t="s">
        <v>41</v>
      </c>
      <c r="CS136" s="6" t="s">
        <v>42</v>
      </c>
      <c r="CT136" s="6" t="s">
        <v>43</v>
      </c>
      <c r="CU136" s="6" t="s">
        <v>44</v>
      </c>
      <c r="CV136" s="6" t="s">
        <v>45</v>
      </c>
      <c r="CW136" s="6" t="s">
        <v>46</v>
      </c>
      <c r="CX136" s="6" t="s">
        <v>47</v>
      </c>
      <c r="CY136" s="6" t="s">
        <v>48</v>
      </c>
      <c r="CZ136" s="6" t="s">
        <v>49</v>
      </c>
      <c r="DA136" s="6" t="s">
        <v>50</v>
      </c>
      <c r="DB136" s="6" t="s">
        <v>51</v>
      </c>
      <c r="DC136" s="6" t="s">
        <v>52</v>
      </c>
      <c r="DD136" s="6" t="s">
        <v>53</v>
      </c>
      <c r="DE136" s="6" t="s">
        <v>54</v>
      </c>
      <c r="DF136" s="6" t="s">
        <v>55</v>
      </c>
      <c r="DG136" s="6" t="s">
        <v>56</v>
      </c>
      <c r="DI136" s="7" t="s">
        <v>3</v>
      </c>
      <c r="DJ136" s="7" t="s">
        <v>4</v>
      </c>
      <c r="DK136" s="7" t="s">
        <v>5</v>
      </c>
      <c r="DL136" s="7" t="s">
        <v>6</v>
      </c>
      <c r="DM136" s="7" t="s">
        <v>7</v>
      </c>
      <c r="DN136" s="7" t="s">
        <v>8</v>
      </c>
      <c r="DO136" s="7" t="s">
        <v>9</v>
      </c>
      <c r="DP136" s="7" t="s">
        <v>10</v>
      </c>
      <c r="DQ136" s="7" t="s">
        <v>11</v>
      </c>
      <c r="DR136" s="7" t="s">
        <v>12</v>
      </c>
      <c r="DS136" s="7" t="s">
        <v>13</v>
      </c>
      <c r="DT136" s="7" t="s">
        <v>14</v>
      </c>
      <c r="DU136" s="7" t="s">
        <v>15</v>
      </c>
      <c r="DV136" s="7" t="s">
        <v>16</v>
      </c>
      <c r="DW136" s="7" t="s">
        <v>17</v>
      </c>
      <c r="DX136" s="7" t="s">
        <v>18</v>
      </c>
      <c r="DY136" s="7" t="s">
        <v>19</v>
      </c>
      <c r="DZ136" s="7" t="s">
        <v>20</v>
      </c>
      <c r="EA136" s="7" t="s">
        <v>21</v>
      </c>
      <c r="EB136" s="7" t="s">
        <v>22</v>
      </c>
      <c r="EC136" s="7" t="s">
        <v>27</v>
      </c>
      <c r="ED136" s="7" t="s">
        <v>28</v>
      </c>
      <c r="EE136" s="7" t="s">
        <v>29</v>
      </c>
      <c r="EF136" s="7" t="s">
        <v>30</v>
      </c>
      <c r="EG136" s="7" t="s">
        <v>31</v>
      </c>
      <c r="EH136" s="7" t="s">
        <v>32</v>
      </c>
      <c r="EI136" s="7" t="s">
        <v>33</v>
      </c>
      <c r="EJ136" s="7" t="s">
        <v>34</v>
      </c>
      <c r="EK136" s="7" t="s">
        <v>35</v>
      </c>
      <c r="EL136" s="7" t="s">
        <v>36</v>
      </c>
      <c r="EM136" s="7" t="s">
        <v>37</v>
      </c>
      <c r="EN136" s="7" t="s">
        <v>38</v>
      </c>
      <c r="EO136" s="7" t="s">
        <v>39</v>
      </c>
      <c r="EP136" s="7" t="s">
        <v>40</v>
      </c>
      <c r="EQ136" s="7" t="s">
        <v>41</v>
      </c>
      <c r="ER136" s="7" t="s">
        <v>42</v>
      </c>
      <c r="ES136" s="7" t="s">
        <v>43</v>
      </c>
      <c r="ET136" s="7" t="s">
        <v>44</v>
      </c>
      <c r="EU136" s="7" t="s">
        <v>45</v>
      </c>
      <c r="EV136" s="7" t="s">
        <v>46</v>
      </c>
      <c r="EW136" s="7" t="s">
        <v>47</v>
      </c>
      <c r="EX136" s="7" t="s">
        <v>48</v>
      </c>
      <c r="EY136" s="7" t="s">
        <v>49</v>
      </c>
      <c r="EZ136" s="7" t="s">
        <v>50</v>
      </c>
      <c r="FA136" s="7" t="s">
        <v>51</v>
      </c>
      <c r="FB136" s="7" t="s">
        <v>52</v>
      </c>
      <c r="FC136" s="7" t="s">
        <v>53</v>
      </c>
      <c r="FD136" s="7" t="s">
        <v>54</v>
      </c>
      <c r="FE136" s="7" t="s">
        <v>55</v>
      </c>
      <c r="FF136" s="7" t="s">
        <v>56</v>
      </c>
      <c r="FH136" s="56" t="s">
        <v>3</v>
      </c>
      <c r="FI136" s="56" t="s">
        <v>4</v>
      </c>
      <c r="FJ136" s="56" t="s">
        <v>5</v>
      </c>
      <c r="FK136" s="56" t="s">
        <v>6</v>
      </c>
      <c r="FL136" s="56" t="s">
        <v>7</v>
      </c>
      <c r="FM136" s="56" t="s">
        <v>8</v>
      </c>
      <c r="FN136" s="56" t="s">
        <v>9</v>
      </c>
      <c r="FO136" s="56" t="s">
        <v>10</v>
      </c>
      <c r="FP136" s="56" t="s">
        <v>11</v>
      </c>
      <c r="FQ136" s="56" t="s">
        <v>12</v>
      </c>
      <c r="FR136" s="56" t="s">
        <v>13</v>
      </c>
      <c r="FS136" s="56" t="s">
        <v>14</v>
      </c>
      <c r="FT136" s="56" t="s">
        <v>15</v>
      </c>
      <c r="FU136" s="56" t="s">
        <v>16</v>
      </c>
      <c r="FV136" s="56" t="s">
        <v>17</v>
      </c>
      <c r="FW136" s="56" t="s">
        <v>18</v>
      </c>
      <c r="FX136" s="56" t="s">
        <v>19</v>
      </c>
      <c r="FY136" s="56" t="s">
        <v>20</v>
      </c>
      <c r="FZ136" s="56" t="s">
        <v>21</v>
      </c>
      <c r="GA136" s="56" t="s">
        <v>22</v>
      </c>
      <c r="GB136" s="56" t="s">
        <v>27</v>
      </c>
      <c r="GC136" s="56" t="s">
        <v>28</v>
      </c>
      <c r="GD136" s="56" t="s">
        <v>29</v>
      </c>
      <c r="GE136" s="56" t="s">
        <v>30</v>
      </c>
      <c r="GF136" s="56" t="s">
        <v>31</v>
      </c>
      <c r="GG136" s="56" t="s">
        <v>32</v>
      </c>
      <c r="GH136" s="56" t="s">
        <v>33</v>
      </c>
      <c r="GI136" s="56" t="s">
        <v>34</v>
      </c>
      <c r="GJ136" s="56" t="s">
        <v>35</v>
      </c>
      <c r="GK136" s="56" t="s">
        <v>36</v>
      </c>
      <c r="GL136" s="56" t="s">
        <v>37</v>
      </c>
      <c r="GM136" s="56" t="s">
        <v>38</v>
      </c>
      <c r="GN136" s="56" t="s">
        <v>39</v>
      </c>
      <c r="GO136" s="56" t="s">
        <v>40</v>
      </c>
      <c r="GP136" s="56" t="s">
        <v>41</v>
      </c>
      <c r="GQ136" s="56" t="s">
        <v>42</v>
      </c>
      <c r="GR136" s="56" t="s">
        <v>43</v>
      </c>
      <c r="GS136" s="56" t="s">
        <v>44</v>
      </c>
      <c r="GT136" s="56" t="s">
        <v>45</v>
      </c>
      <c r="GU136" s="56" t="s">
        <v>46</v>
      </c>
      <c r="GV136" s="56" t="s">
        <v>47</v>
      </c>
      <c r="GW136" s="56" t="s">
        <v>48</v>
      </c>
      <c r="GX136" s="56" t="s">
        <v>49</v>
      </c>
      <c r="GY136" s="56" t="s">
        <v>50</v>
      </c>
      <c r="GZ136" s="56" t="s">
        <v>51</v>
      </c>
      <c r="HA136" s="56" t="s">
        <v>52</v>
      </c>
      <c r="HB136" s="56" t="s">
        <v>53</v>
      </c>
      <c r="HC136" s="56" t="s">
        <v>54</v>
      </c>
      <c r="HD136" s="56" t="s">
        <v>55</v>
      </c>
      <c r="HE136" s="56" t="s">
        <v>56</v>
      </c>
    </row>
    <row r="137" spans="1:213">
      <c r="A137" s="27">
        <v>0</v>
      </c>
      <c r="B137" s="27">
        <v>46</v>
      </c>
      <c r="C137" s="27">
        <v>0.187835</v>
      </c>
      <c r="D137" s="27">
        <v>3.3309999999999999E-2</v>
      </c>
      <c r="E137" s="27">
        <v>45</v>
      </c>
      <c r="F137" s="27">
        <f ca="1">RANDBETWEEN(E137,49)</f>
        <v>46</v>
      </c>
      <c r="G137" s="27">
        <f t="shared" ref="G137:G168" si="54">VLOOKUP(B137,$A$33:$BG$340,4,FALSE)</f>
        <v>0</v>
      </c>
      <c r="H137" s="27" t="str">
        <f>IF(C137&lt;=$B$18,"Sim","Não")</f>
        <v>Sim</v>
      </c>
      <c r="I137" s="27">
        <f>VLOOKUP(A137,$A$33:$BG$340,4,FALSE)</f>
        <v>0</v>
      </c>
      <c r="J137" s="37">
        <f>IF(H137="Sim",1,0)</f>
        <v>1</v>
      </c>
      <c r="K137" s="55">
        <f>E33</f>
        <v>-0.70089999999999997</v>
      </c>
      <c r="L137" s="55">
        <f t="shared" ref="L137:BH142" si="55">F33</f>
        <v>0.303508</v>
      </c>
      <c r="M137" s="55">
        <f t="shared" si="55"/>
        <v>-0.69006000000000001</v>
      </c>
      <c r="N137" s="55">
        <f t="shared" si="55"/>
        <v>-0.67655200000000004</v>
      </c>
      <c r="O137" s="55">
        <f t="shared" si="55"/>
        <v>1.534826</v>
      </c>
      <c r="P137" s="55">
        <f t="shared" si="55"/>
        <v>0.40433400000000003</v>
      </c>
      <c r="Q137" s="55">
        <f t="shared" si="55"/>
        <v>-6.9475999999999996E-2</v>
      </c>
      <c r="R137" s="55">
        <f t="shared" si="55"/>
        <v>0.61652399999999996</v>
      </c>
      <c r="S137" s="55">
        <f t="shared" si="55"/>
        <v>1.040888</v>
      </c>
      <c r="T137" s="55">
        <f t="shared" si="55"/>
        <v>1.6124039999999999</v>
      </c>
      <c r="U137" s="55">
        <f t="shared" si="55"/>
        <v>-1.017269</v>
      </c>
      <c r="V137" s="55">
        <f t="shared" si="55"/>
        <v>-1.8738999999999999E-2</v>
      </c>
      <c r="W137" s="55">
        <f t="shared" si="55"/>
        <v>1.0668500000000001</v>
      </c>
      <c r="X137" s="55">
        <f t="shared" si="55"/>
        <v>-0.71404100000000004</v>
      </c>
      <c r="Y137" s="55">
        <f t="shared" si="55"/>
        <v>-0.94616100000000003</v>
      </c>
      <c r="Z137" s="55">
        <f t="shared" si="55"/>
        <v>-0.99968599999999996</v>
      </c>
      <c r="AA137" s="55">
        <f t="shared" si="55"/>
        <v>0.31866100000000003</v>
      </c>
      <c r="AB137" s="55">
        <f t="shared" si="55"/>
        <v>0.41539799999999999</v>
      </c>
      <c r="AC137" s="55">
        <f t="shared" si="55"/>
        <v>0.74578199999999994</v>
      </c>
      <c r="AD137" s="55">
        <f t="shared" si="55"/>
        <v>-1.0294509999999999</v>
      </c>
      <c r="AE137" s="55">
        <f t="shared" si="55"/>
        <v>-1.689397</v>
      </c>
      <c r="AF137" s="55">
        <f t="shared" si="55"/>
        <v>-0.30818699999999999</v>
      </c>
      <c r="AG137" s="55">
        <f t="shared" si="55"/>
        <v>0.26141500000000001</v>
      </c>
      <c r="AH137" s="55">
        <f t="shared" si="55"/>
        <v>0.80872999999999995</v>
      </c>
      <c r="AI137" s="55">
        <f t="shared" si="55"/>
        <v>-0.64111099999999999</v>
      </c>
      <c r="AJ137" s="55">
        <f t="shared" si="55"/>
        <v>-7.5176000000000007E-2</v>
      </c>
      <c r="AK137" s="55">
        <f t="shared" si="55"/>
        <v>-0.66634099999999996</v>
      </c>
      <c r="AL137" s="55">
        <f t="shared" si="55"/>
        <v>-1.5662959999999999</v>
      </c>
      <c r="AM137" s="55">
        <f t="shared" si="55"/>
        <v>0.57636600000000004</v>
      </c>
      <c r="AN137" s="55">
        <f t="shared" si="55"/>
        <v>0.88014099999999995</v>
      </c>
      <c r="AO137" s="55">
        <f t="shared" si="55"/>
        <v>-0.23005100000000001</v>
      </c>
      <c r="AP137" s="55">
        <f t="shared" si="55"/>
        <v>-0.186805</v>
      </c>
      <c r="AQ137" s="55">
        <f t="shared" si="55"/>
        <v>9.8069000000000003E-2</v>
      </c>
      <c r="AR137" s="55">
        <f t="shared" si="55"/>
        <v>0.25537300000000002</v>
      </c>
      <c r="AS137" s="55">
        <f t="shared" si="55"/>
        <v>-7.3677999999999993E-2</v>
      </c>
      <c r="AT137" s="55">
        <f t="shared" si="55"/>
        <v>-0.18715999999999999</v>
      </c>
      <c r="AU137" s="55">
        <f t="shared" si="55"/>
        <v>0.66104200000000002</v>
      </c>
      <c r="AV137" s="55">
        <f t="shared" si="55"/>
        <v>0.64547200000000005</v>
      </c>
      <c r="AW137" s="55">
        <f t="shared" si="55"/>
        <v>-0.19440199999999999</v>
      </c>
      <c r="AX137" s="55">
        <f t="shared" si="55"/>
        <v>0.23189499999999999</v>
      </c>
      <c r="AY137" s="55">
        <f t="shared" si="55"/>
        <v>0.38777699999999998</v>
      </c>
      <c r="AZ137" s="55">
        <f t="shared" si="55"/>
        <v>0.36163299999999998</v>
      </c>
      <c r="BA137" s="55">
        <f t="shared" si="55"/>
        <v>-0.69426299999999996</v>
      </c>
      <c r="BB137" s="55">
        <f t="shared" si="55"/>
        <v>-0.72806300000000002</v>
      </c>
      <c r="BC137" s="55">
        <f t="shared" si="55"/>
        <v>0.17427500000000001</v>
      </c>
      <c r="BD137" s="55">
        <f t="shared" si="55"/>
        <v>0.54662500000000003</v>
      </c>
      <c r="BE137" s="55">
        <f t="shared" si="55"/>
        <v>0.48188700000000001</v>
      </c>
      <c r="BF137" s="55">
        <f t="shared" si="55"/>
        <v>-0.58981899999999998</v>
      </c>
      <c r="BG137" s="55">
        <f t="shared" si="55"/>
        <v>1.0072989999999999</v>
      </c>
      <c r="BH137" s="55">
        <f t="shared" si="55"/>
        <v>-0.84797800000000001</v>
      </c>
      <c r="BJ137" s="55">
        <f>VLOOKUP($B137,$A$33:$BG$132,BJ$134,FALSE)</f>
        <v>-0.31709100000000001</v>
      </c>
      <c r="BK137" s="55">
        <f t="shared" ref="BK137:DG142" si="56">VLOOKUP($B137,$A$33:$BG$132,BK$134,FALSE)</f>
        <v>-0.89203399999999999</v>
      </c>
      <c r="BL137" s="55">
        <f t="shared" si="56"/>
        <v>-0.50178699999999998</v>
      </c>
      <c r="BM137" s="55">
        <f t="shared" si="56"/>
        <v>1.341126</v>
      </c>
      <c r="BN137" s="55">
        <f t="shared" si="56"/>
        <v>-0.35331899999999999</v>
      </c>
      <c r="BO137" s="55">
        <f t="shared" si="56"/>
        <v>-0.81649300000000002</v>
      </c>
      <c r="BP137" s="55">
        <f t="shared" si="56"/>
        <v>0.76869500000000002</v>
      </c>
      <c r="BQ137" s="55">
        <f t="shared" si="56"/>
        <v>0.78559599999999996</v>
      </c>
      <c r="BR137" s="55">
        <f t="shared" si="56"/>
        <v>-0.50029299999999999</v>
      </c>
      <c r="BS137" s="55">
        <f t="shared" si="56"/>
        <v>5.3810999999999998E-2</v>
      </c>
      <c r="BT137" s="55">
        <f t="shared" si="56"/>
        <v>-1.401068</v>
      </c>
      <c r="BU137" s="55">
        <f t="shared" si="56"/>
        <v>-0.34910000000000002</v>
      </c>
      <c r="BV137" s="55">
        <f t="shared" si="56"/>
        <v>1.39639</v>
      </c>
      <c r="BW137" s="55">
        <f t="shared" si="56"/>
        <v>0.16563800000000001</v>
      </c>
      <c r="BX137" s="55">
        <f t="shared" si="56"/>
        <v>-0.78129099999999996</v>
      </c>
      <c r="BY137" s="55">
        <f t="shared" si="56"/>
        <v>0.19028100000000001</v>
      </c>
      <c r="BZ137" s="55">
        <f t="shared" si="56"/>
        <v>-1.158496</v>
      </c>
      <c r="CA137" s="55">
        <f t="shared" si="56"/>
        <v>-8.0203999999999998E-2</v>
      </c>
      <c r="CB137" s="55">
        <f t="shared" si="56"/>
        <v>-5.5931000000000002E-2</v>
      </c>
      <c r="CC137" s="55">
        <f t="shared" si="56"/>
        <v>0.14855699999999999</v>
      </c>
      <c r="CD137" s="55">
        <f t="shared" si="56"/>
        <v>-0.54910300000000001</v>
      </c>
      <c r="CE137" s="55">
        <f t="shared" si="56"/>
        <v>-1.646245</v>
      </c>
      <c r="CF137" s="55">
        <f t="shared" si="56"/>
        <v>0.36466599999999999</v>
      </c>
      <c r="CG137" s="55">
        <f t="shared" si="56"/>
        <v>1.0881E-2</v>
      </c>
      <c r="CH137" s="55">
        <f t="shared" si="56"/>
        <v>0.95167999999999997</v>
      </c>
      <c r="CI137" s="55">
        <f t="shared" si="56"/>
        <v>0.35824299999999998</v>
      </c>
      <c r="CJ137" s="55">
        <f t="shared" si="56"/>
        <v>-0.28089999999999998</v>
      </c>
      <c r="CK137" s="55">
        <f t="shared" si="56"/>
        <v>-0.410466</v>
      </c>
      <c r="CL137" s="55">
        <f t="shared" si="56"/>
        <v>0.50322500000000003</v>
      </c>
      <c r="CM137" s="55">
        <f t="shared" si="56"/>
        <v>0.31360100000000002</v>
      </c>
      <c r="CN137" s="55">
        <f t="shared" si="56"/>
        <v>-1.7582420000000001</v>
      </c>
      <c r="CO137" s="55">
        <f t="shared" si="56"/>
        <v>1.1691739999999999</v>
      </c>
      <c r="CP137" s="55">
        <f t="shared" si="56"/>
        <v>2.2877999999999999E-2</v>
      </c>
      <c r="CQ137" s="55">
        <f t="shared" si="56"/>
        <v>1.1598599999999999</v>
      </c>
      <c r="CR137" s="55">
        <f t="shared" si="56"/>
        <v>-8.8025999999999993E-2</v>
      </c>
      <c r="CS137" s="55">
        <f t="shared" si="56"/>
        <v>1.3394E-2</v>
      </c>
      <c r="CT137" s="55">
        <f t="shared" si="56"/>
        <v>0.43396099999999999</v>
      </c>
      <c r="CU137" s="55">
        <f t="shared" si="56"/>
        <v>-0.96805399999999997</v>
      </c>
      <c r="CV137" s="55">
        <f t="shared" si="56"/>
        <v>0.22781000000000001</v>
      </c>
      <c r="CW137" s="55">
        <f t="shared" si="56"/>
        <v>4.8700000000000002E-4</v>
      </c>
      <c r="CX137" s="55">
        <f t="shared" si="56"/>
        <v>-0.89963199999999999</v>
      </c>
      <c r="CY137" s="55">
        <f t="shared" si="56"/>
        <v>0.18885199999999999</v>
      </c>
      <c r="CZ137" s="55">
        <f t="shared" si="56"/>
        <v>0.40491199999999999</v>
      </c>
      <c r="DA137" s="55">
        <f t="shared" si="56"/>
        <v>0.131018</v>
      </c>
      <c r="DB137" s="55">
        <f t="shared" si="56"/>
        <v>-0.14644599999999999</v>
      </c>
      <c r="DC137" s="55">
        <f t="shared" si="56"/>
        <v>-0.53958099999999998</v>
      </c>
      <c r="DD137" s="55">
        <f t="shared" si="56"/>
        <v>-0.81196599999999997</v>
      </c>
      <c r="DE137" s="55">
        <f t="shared" si="56"/>
        <v>7.3072999999999999E-2</v>
      </c>
      <c r="DF137" s="55">
        <f t="shared" si="56"/>
        <v>0.273009</v>
      </c>
      <c r="DG137" s="55">
        <f t="shared" si="56"/>
        <v>0.25028899999999998</v>
      </c>
      <c r="DI137" s="55">
        <f ca="1">IF(AND($H137="Sim",DI$134&gt;=$E137,DI$134&lt;$F137),$D137*K137 + (1-$D137)*BJ137,K137)</f>
        <v>-0.70089999999999997</v>
      </c>
      <c r="DJ137" s="55">
        <f t="shared" ref="DJ137:FF137" ca="1" si="57">IF(AND($H137="Sim",DJ$134&gt;=$E137,DJ$134&lt;$F137),$D137*L137 + (1-$D137)*BK137,L137)</f>
        <v>0.303508</v>
      </c>
      <c r="DK137" s="55">
        <f t="shared" ca="1" si="57"/>
        <v>-0.69006000000000001</v>
      </c>
      <c r="DL137" s="55">
        <f t="shared" ca="1" si="57"/>
        <v>-0.67655200000000004</v>
      </c>
      <c r="DM137" s="55">
        <f t="shared" ca="1" si="57"/>
        <v>1.534826</v>
      </c>
      <c r="DN137" s="55">
        <f t="shared" ca="1" si="57"/>
        <v>0.40433400000000003</v>
      </c>
      <c r="DO137" s="55">
        <f t="shared" ca="1" si="57"/>
        <v>-6.9475999999999996E-2</v>
      </c>
      <c r="DP137" s="55">
        <f t="shared" ca="1" si="57"/>
        <v>0.61652399999999996</v>
      </c>
      <c r="DQ137" s="55">
        <f t="shared" ca="1" si="57"/>
        <v>1.040888</v>
      </c>
      <c r="DR137" s="55">
        <f t="shared" ca="1" si="57"/>
        <v>1.6124039999999999</v>
      </c>
      <c r="DS137" s="55">
        <f t="shared" ca="1" si="57"/>
        <v>-1.017269</v>
      </c>
      <c r="DT137" s="55">
        <f t="shared" ca="1" si="57"/>
        <v>-1.8738999999999999E-2</v>
      </c>
      <c r="DU137" s="55">
        <f t="shared" ca="1" si="57"/>
        <v>1.0668500000000001</v>
      </c>
      <c r="DV137" s="55">
        <f t="shared" ca="1" si="57"/>
        <v>-0.71404100000000004</v>
      </c>
      <c r="DW137" s="55">
        <f t="shared" ca="1" si="57"/>
        <v>-0.94616100000000003</v>
      </c>
      <c r="DX137" s="55">
        <f t="shared" ca="1" si="57"/>
        <v>-0.99968599999999996</v>
      </c>
      <c r="DY137" s="55">
        <f t="shared" ca="1" si="57"/>
        <v>0.31866100000000003</v>
      </c>
      <c r="DZ137" s="55">
        <f t="shared" ca="1" si="57"/>
        <v>0.41539799999999999</v>
      </c>
      <c r="EA137" s="55">
        <f t="shared" ca="1" si="57"/>
        <v>0.74578199999999994</v>
      </c>
      <c r="EB137" s="55">
        <f t="shared" ca="1" si="57"/>
        <v>-1.0294509999999999</v>
      </c>
      <c r="EC137" s="55">
        <f t="shared" ca="1" si="57"/>
        <v>-1.689397</v>
      </c>
      <c r="ED137" s="55">
        <f t="shared" ca="1" si="57"/>
        <v>-0.30818699999999999</v>
      </c>
      <c r="EE137" s="55">
        <f t="shared" ca="1" si="57"/>
        <v>0.26141500000000001</v>
      </c>
      <c r="EF137" s="55">
        <f t="shared" ca="1" si="57"/>
        <v>0.80872999999999995</v>
      </c>
      <c r="EG137" s="55">
        <f t="shared" ca="1" si="57"/>
        <v>-0.64111099999999999</v>
      </c>
      <c r="EH137" s="55">
        <f t="shared" ca="1" si="57"/>
        <v>-7.5176000000000007E-2</v>
      </c>
      <c r="EI137" s="55">
        <f t="shared" ca="1" si="57"/>
        <v>-0.66634099999999996</v>
      </c>
      <c r="EJ137" s="55">
        <f t="shared" ca="1" si="57"/>
        <v>-1.5662959999999999</v>
      </c>
      <c r="EK137" s="55">
        <f t="shared" ca="1" si="57"/>
        <v>0.57636600000000004</v>
      </c>
      <c r="EL137" s="55">
        <f t="shared" ca="1" si="57"/>
        <v>0.88014099999999995</v>
      </c>
      <c r="EM137" s="55">
        <f t="shared" ca="1" si="57"/>
        <v>-0.23005100000000001</v>
      </c>
      <c r="EN137" s="55">
        <f t="shared" ca="1" si="57"/>
        <v>-0.186805</v>
      </c>
      <c r="EO137" s="55">
        <f t="shared" ca="1" si="57"/>
        <v>9.8069000000000003E-2</v>
      </c>
      <c r="EP137" s="55">
        <f t="shared" ca="1" si="57"/>
        <v>0.25537300000000002</v>
      </c>
      <c r="EQ137" s="55">
        <f t="shared" ca="1" si="57"/>
        <v>-7.3677999999999993E-2</v>
      </c>
      <c r="ER137" s="55">
        <f t="shared" ca="1" si="57"/>
        <v>-0.18715999999999999</v>
      </c>
      <c r="ES137" s="55">
        <f t="shared" ca="1" si="57"/>
        <v>0.66104200000000002</v>
      </c>
      <c r="ET137" s="55">
        <f t="shared" ca="1" si="57"/>
        <v>0.64547200000000005</v>
      </c>
      <c r="EU137" s="55">
        <f t="shared" ca="1" si="57"/>
        <v>-0.19440199999999999</v>
      </c>
      <c r="EV137" s="55">
        <f t="shared" ca="1" si="57"/>
        <v>0.23189499999999999</v>
      </c>
      <c r="EW137" s="55">
        <f t="shared" ca="1" si="57"/>
        <v>0.38777699999999998</v>
      </c>
      <c r="EX137" s="55">
        <f t="shared" ca="1" si="57"/>
        <v>0.36163299999999998</v>
      </c>
      <c r="EY137" s="55">
        <f t="shared" ca="1" si="57"/>
        <v>-0.69426299999999996</v>
      </c>
      <c r="EZ137" s="55">
        <f t="shared" ca="1" si="57"/>
        <v>-0.72806300000000002</v>
      </c>
      <c r="FA137" s="55">
        <f t="shared" ca="1" si="57"/>
        <v>0.17427500000000001</v>
      </c>
      <c r="FB137" s="55">
        <f t="shared" ca="1" si="57"/>
        <v>-0.50339947814000008</v>
      </c>
      <c r="FC137" s="55">
        <f t="shared" ca="1" si="57"/>
        <v>0.48188700000000001</v>
      </c>
      <c r="FD137" s="55">
        <f t="shared" ca="1" si="57"/>
        <v>-0.58981899999999998</v>
      </c>
      <c r="FE137" s="55">
        <f t="shared" ca="1" si="57"/>
        <v>1.0072989999999999</v>
      </c>
      <c r="FF137" s="55">
        <f t="shared" ca="1" si="57"/>
        <v>-0.84797800000000001</v>
      </c>
      <c r="FH137" s="55">
        <f ca="1">DI137-K137</f>
        <v>0</v>
      </c>
      <c r="FI137" s="55">
        <f t="shared" ref="FI137:HE142" ca="1" si="58">DJ137-L137</f>
        <v>0</v>
      </c>
      <c r="FJ137" s="55">
        <f t="shared" ca="1" si="58"/>
        <v>0</v>
      </c>
      <c r="FK137" s="55">
        <f t="shared" ca="1" si="58"/>
        <v>0</v>
      </c>
      <c r="FL137" s="55">
        <f t="shared" ca="1" si="58"/>
        <v>0</v>
      </c>
      <c r="FM137" s="55">
        <f t="shared" ca="1" si="58"/>
        <v>0</v>
      </c>
      <c r="FN137" s="55">
        <f t="shared" ca="1" si="58"/>
        <v>0</v>
      </c>
      <c r="FO137" s="55">
        <f t="shared" ca="1" si="58"/>
        <v>0</v>
      </c>
      <c r="FP137" s="55">
        <f t="shared" ca="1" si="58"/>
        <v>0</v>
      </c>
      <c r="FQ137" s="55">
        <f t="shared" ca="1" si="58"/>
        <v>0</v>
      </c>
      <c r="FR137" s="55">
        <f t="shared" ca="1" si="58"/>
        <v>0</v>
      </c>
      <c r="FS137" s="55">
        <f t="shared" ca="1" si="58"/>
        <v>0</v>
      </c>
      <c r="FT137" s="55">
        <f t="shared" ca="1" si="58"/>
        <v>0</v>
      </c>
      <c r="FU137" s="55">
        <f t="shared" ca="1" si="58"/>
        <v>0</v>
      </c>
      <c r="FV137" s="55">
        <f t="shared" ca="1" si="58"/>
        <v>0</v>
      </c>
      <c r="FW137" s="55">
        <f t="shared" ca="1" si="58"/>
        <v>0</v>
      </c>
      <c r="FX137" s="55">
        <f t="shared" ca="1" si="58"/>
        <v>0</v>
      </c>
      <c r="FY137" s="55">
        <f t="shared" ca="1" si="58"/>
        <v>0</v>
      </c>
      <c r="FZ137" s="55">
        <f t="shared" ca="1" si="58"/>
        <v>0</v>
      </c>
      <c r="GA137" s="55">
        <f t="shared" ca="1" si="58"/>
        <v>0</v>
      </c>
      <c r="GB137" s="55">
        <f t="shared" ca="1" si="58"/>
        <v>0</v>
      </c>
      <c r="GC137" s="55">
        <f t="shared" ca="1" si="58"/>
        <v>0</v>
      </c>
      <c r="GD137" s="55">
        <f t="shared" ca="1" si="58"/>
        <v>0</v>
      </c>
      <c r="GE137" s="55">
        <f t="shared" ca="1" si="58"/>
        <v>0</v>
      </c>
      <c r="GF137" s="55">
        <f t="shared" ca="1" si="58"/>
        <v>0</v>
      </c>
      <c r="GG137" s="55">
        <f t="shared" ca="1" si="58"/>
        <v>0</v>
      </c>
      <c r="GH137" s="55">
        <f t="shared" ca="1" si="58"/>
        <v>0</v>
      </c>
      <c r="GI137" s="55">
        <f t="shared" ca="1" si="58"/>
        <v>0</v>
      </c>
      <c r="GJ137" s="55">
        <f t="shared" ca="1" si="58"/>
        <v>0</v>
      </c>
      <c r="GK137" s="55">
        <f t="shared" ca="1" si="58"/>
        <v>0</v>
      </c>
      <c r="GL137" s="55">
        <f t="shared" ca="1" si="58"/>
        <v>0</v>
      </c>
      <c r="GM137" s="55">
        <f t="shared" ca="1" si="58"/>
        <v>0</v>
      </c>
      <c r="GN137" s="55">
        <f t="shared" ca="1" si="58"/>
        <v>0</v>
      </c>
      <c r="GO137" s="55">
        <f t="shared" ca="1" si="58"/>
        <v>0</v>
      </c>
      <c r="GP137" s="55">
        <f t="shared" ca="1" si="58"/>
        <v>0</v>
      </c>
      <c r="GQ137" s="55">
        <f t="shared" ca="1" si="58"/>
        <v>0</v>
      </c>
      <c r="GR137" s="55">
        <f t="shared" ca="1" si="58"/>
        <v>0</v>
      </c>
      <c r="GS137" s="55">
        <f t="shared" ca="1" si="58"/>
        <v>0</v>
      </c>
      <c r="GT137" s="55">
        <f t="shared" ca="1" si="58"/>
        <v>0</v>
      </c>
      <c r="GU137" s="55">
        <f t="shared" ca="1" si="58"/>
        <v>0</v>
      </c>
      <c r="GV137" s="55">
        <f t="shared" ca="1" si="58"/>
        <v>0</v>
      </c>
      <c r="GW137" s="55">
        <f t="shared" ca="1" si="58"/>
        <v>0</v>
      </c>
      <c r="GX137" s="55">
        <f t="shared" ca="1" si="58"/>
        <v>0</v>
      </c>
      <c r="GY137" s="55">
        <f t="shared" ca="1" si="58"/>
        <v>0</v>
      </c>
      <c r="GZ137" s="55">
        <f t="shared" ca="1" si="58"/>
        <v>0</v>
      </c>
      <c r="HA137" s="55">
        <f t="shared" ca="1" si="58"/>
        <v>-1.0500244781400001</v>
      </c>
      <c r="HB137" s="55">
        <f t="shared" ca="1" si="58"/>
        <v>0</v>
      </c>
      <c r="HC137" s="55">
        <f t="shared" ca="1" si="58"/>
        <v>0</v>
      </c>
      <c r="HD137" s="55">
        <f t="shared" ca="1" si="58"/>
        <v>0</v>
      </c>
      <c r="HE137" s="55">
        <f t="shared" ca="1" si="58"/>
        <v>0</v>
      </c>
    </row>
    <row r="138" spans="1:213">
      <c r="A138" s="27">
        <v>1</v>
      </c>
      <c r="B138" s="27">
        <v>74</v>
      </c>
      <c r="C138" s="27">
        <v>0.55891599999999997</v>
      </c>
      <c r="D138" s="27">
        <v>0.703982</v>
      </c>
      <c r="E138" s="27">
        <v>36</v>
      </c>
      <c r="F138" s="27">
        <f t="shared" ref="F138:F201" ca="1" si="59">RANDBETWEEN(E138,49)</f>
        <v>41</v>
      </c>
      <c r="G138" s="27">
        <f t="shared" si="54"/>
        <v>0</v>
      </c>
      <c r="H138" s="27" t="str">
        <f t="shared" ref="H138:H201" si="60">IF(C138&lt;=$B$18,"Sim","Não")</f>
        <v>Sim</v>
      </c>
      <c r="I138" s="27">
        <f t="shared" ref="I138:I201" si="61">VLOOKUP(A138,$A$33:$BG$340,4,FALSE)</f>
        <v>0</v>
      </c>
      <c r="J138" s="37">
        <f t="shared" ref="J138:J201" si="62">IF(H138="Sim",1,0)</f>
        <v>1</v>
      </c>
      <c r="K138" s="55">
        <f t="shared" ref="K138:K201" si="63">E34</f>
        <v>0.340036</v>
      </c>
      <c r="L138" s="55">
        <f t="shared" si="55"/>
        <v>-0.919381</v>
      </c>
      <c r="M138" s="55">
        <f t="shared" si="55"/>
        <v>1.035949</v>
      </c>
      <c r="N138" s="55">
        <f t="shared" si="55"/>
        <v>0.83472599999999997</v>
      </c>
      <c r="O138" s="55">
        <f t="shared" si="55"/>
        <v>-0.105861</v>
      </c>
      <c r="P138" s="55">
        <f t="shared" si="55"/>
        <v>0.205286</v>
      </c>
      <c r="Q138" s="55">
        <f t="shared" si="55"/>
        <v>-0.553485</v>
      </c>
      <c r="R138" s="55">
        <f t="shared" si="55"/>
        <v>-9.3056E-2</v>
      </c>
      <c r="S138" s="55">
        <f t="shared" si="55"/>
        <v>0.41924600000000001</v>
      </c>
      <c r="T138" s="55">
        <f t="shared" si="55"/>
        <v>-0.28417599999999998</v>
      </c>
      <c r="U138" s="55">
        <f t="shared" si="55"/>
        <v>0.65124899999999997</v>
      </c>
      <c r="V138" s="55">
        <f t="shared" si="55"/>
        <v>-0.144622</v>
      </c>
      <c r="W138" s="55">
        <f t="shared" si="55"/>
        <v>-1.1834560000000001</v>
      </c>
      <c r="X138" s="55">
        <f t="shared" si="55"/>
        <v>1.1468970000000001</v>
      </c>
      <c r="Y138" s="55">
        <f t="shared" si="55"/>
        <v>0.75548300000000002</v>
      </c>
      <c r="Z138" s="55">
        <f t="shared" si="55"/>
        <v>-0.16583000000000001</v>
      </c>
      <c r="AA138" s="55">
        <f t="shared" si="55"/>
        <v>0.115551</v>
      </c>
      <c r="AB138" s="55">
        <f t="shared" si="55"/>
        <v>0.74684099999999998</v>
      </c>
      <c r="AC138" s="55">
        <f t="shared" si="55"/>
        <v>-0.79056599999999999</v>
      </c>
      <c r="AD138" s="55">
        <f t="shared" si="55"/>
        <v>-7.5273999999999994E-2</v>
      </c>
      <c r="AE138" s="55">
        <f t="shared" si="55"/>
        <v>-1.438585</v>
      </c>
      <c r="AF138" s="55">
        <f t="shared" si="55"/>
        <v>1.247803</v>
      </c>
      <c r="AG138" s="55">
        <f t="shared" si="55"/>
        <v>-0.29399700000000001</v>
      </c>
      <c r="AH138" s="55">
        <f t="shared" si="55"/>
        <v>-0.11365500000000001</v>
      </c>
      <c r="AI138" s="55">
        <f t="shared" si="55"/>
        <v>1.8274859999999999</v>
      </c>
      <c r="AJ138" s="55">
        <f t="shared" si="55"/>
        <v>-0.13300000000000001</v>
      </c>
      <c r="AK138" s="55">
        <f t="shared" si="55"/>
        <v>-0.34422599999999998</v>
      </c>
      <c r="AL138" s="55">
        <f t="shared" si="55"/>
        <v>1.339558</v>
      </c>
      <c r="AM138" s="55">
        <f t="shared" si="55"/>
        <v>-0.63728499999999999</v>
      </c>
      <c r="AN138" s="55">
        <f t="shared" si="55"/>
        <v>2.4899000000000001E-2</v>
      </c>
      <c r="AO138" s="55">
        <f t="shared" si="55"/>
        <v>0.27143499999999998</v>
      </c>
      <c r="AP138" s="55">
        <f t="shared" si="55"/>
        <v>-0.72181099999999998</v>
      </c>
      <c r="AQ138" s="55">
        <f t="shared" si="55"/>
        <v>0.37207099999999999</v>
      </c>
      <c r="AR138" s="55">
        <f t="shared" si="55"/>
        <v>0.67421200000000003</v>
      </c>
      <c r="AS138" s="55">
        <f t="shared" si="55"/>
        <v>-0.53745699999999996</v>
      </c>
      <c r="AT138" s="55">
        <f t="shared" si="55"/>
        <v>-7.4824000000000002E-2</v>
      </c>
      <c r="AU138" s="55">
        <f t="shared" si="55"/>
        <v>-0.56411999999999995</v>
      </c>
      <c r="AV138" s="55">
        <f t="shared" si="55"/>
        <v>0.81733599999999995</v>
      </c>
      <c r="AW138" s="55">
        <f t="shared" si="55"/>
        <v>1.0539639999999999</v>
      </c>
      <c r="AX138" s="55">
        <f t="shared" si="55"/>
        <v>0.39804400000000001</v>
      </c>
      <c r="AY138" s="55">
        <f t="shared" si="55"/>
        <v>0.256554</v>
      </c>
      <c r="AZ138" s="55">
        <f t="shared" si="55"/>
        <v>1.7749000000000001E-2</v>
      </c>
      <c r="BA138" s="55">
        <f t="shared" si="55"/>
        <v>-0.45108399999999998</v>
      </c>
      <c r="BB138" s="55">
        <f t="shared" si="55"/>
        <v>-0.25117499999999998</v>
      </c>
      <c r="BC138" s="55">
        <f t="shared" si="55"/>
        <v>0.93391000000000002</v>
      </c>
      <c r="BD138" s="55">
        <f t="shared" si="55"/>
        <v>-0.57196599999999997</v>
      </c>
      <c r="BE138" s="55">
        <f t="shared" si="55"/>
        <v>-0.70042300000000002</v>
      </c>
      <c r="BF138" s="55">
        <f t="shared" si="55"/>
        <v>-0.12003900000000001</v>
      </c>
      <c r="BG138" s="55">
        <f t="shared" si="55"/>
        <v>-0.40212900000000001</v>
      </c>
      <c r="BH138" s="55">
        <f t="shared" si="55"/>
        <v>-9.3318999999999999E-2</v>
      </c>
      <c r="BJ138" s="55">
        <f t="shared" ref="BJ138:BY158" si="64">VLOOKUP($B138,$A$33:$BG$132,BJ$134,FALSE)</f>
        <v>-1.0345310000000001</v>
      </c>
      <c r="BK138" s="55">
        <f t="shared" si="56"/>
        <v>1.1446890000000001</v>
      </c>
      <c r="BL138" s="55">
        <f t="shared" si="56"/>
        <v>0.27109</v>
      </c>
      <c r="BM138" s="55">
        <f t="shared" si="56"/>
        <v>0.61382199999999998</v>
      </c>
      <c r="BN138" s="55">
        <f t="shared" si="56"/>
        <v>-0.62524100000000005</v>
      </c>
      <c r="BO138" s="55">
        <f t="shared" si="56"/>
        <v>0.57052199999999997</v>
      </c>
      <c r="BP138" s="55">
        <f t="shared" si="56"/>
        <v>-0.77776800000000001</v>
      </c>
      <c r="BQ138" s="55">
        <f t="shared" si="56"/>
        <v>0.75486200000000003</v>
      </c>
      <c r="BR138" s="55">
        <f t="shared" si="56"/>
        <v>-0.90419799999999995</v>
      </c>
      <c r="BS138" s="55">
        <f t="shared" si="56"/>
        <v>-0.95964000000000005</v>
      </c>
      <c r="BT138" s="55">
        <f t="shared" si="56"/>
        <v>1.5676810000000001</v>
      </c>
      <c r="BU138" s="55">
        <f t="shared" si="56"/>
        <v>-0.53586599999999995</v>
      </c>
      <c r="BV138" s="55">
        <f t="shared" si="56"/>
        <v>-0.13311999999999999</v>
      </c>
      <c r="BW138" s="55">
        <f t="shared" si="56"/>
        <v>-0.63129900000000005</v>
      </c>
      <c r="BX138" s="55">
        <f t="shared" si="56"/>
        <v>-0.530088</v>
      </c>
      <c r="BY138" s="55">
        <f t="shared" si="56"/>
        <v>-0.336281</v>
      </c>
      <c r="BZ138" s="55">
        <f t="shared" si="56"/>
        <v>1.0221979999999999</v>
      </c>
      <c r="CA138" s="55">
        <f t="shared" si="56"/>
        <v>1.086654</v>
      </c>
      <c r="CB138" s="55">
        <f t="shared" si="56"/>
        <v>-0.88309400000000005</v>
      </c>
      <c r="CC138" s="55">
        <f t="shared" si="56"/>
        <v>-0.158607</v>
      </c>
      <c r="CD138" s="55">
        <f t="shared" si="56"/>
        <v>0.15149299999999999</v>
      </c>
      <c r="CE138" s="55">
        <f t="shared" si="56"/>
        <v>1.380085</v>
      </c>
      <c r="CF138" s="55">
        <f t="shared" si="56"/>
        <v>0.85262700000000002</v>
      </c>
      <c r="CG138" s="55">
        <f t="shared" si="56"/>
        <v>0.79659800000000003</v>
      </c>
      <c r="CH138" s="55">
        <f t="shared" si="56"/>
        <v>-8.4574999999999997E-2</v>
      </c>
      <c r="CI138" s="55">
        <f t="shared" si="56"/>
        <v>0.15743399999999999</v>
      </c>
      <c r="CJ138" s="55">
        <f t="shared" si="56"/>
        <v>-0.73873999999999995</v>
      </c>
      <c r="CK138" s="55">
        <f t="shared" si="56"/>
        <v>-0.97223599999999999</v>
      </c>
      <c r="CL138" s="55">
        <f t="shared" si="56"/>
        <v>1.427076</v>
      </c>
      <c r="CM138" s="55">
        <f t="shared" si="56"/>
        <v>0.204545</v>
      </c>
      <c r="CN138" s="55">
        <f t="shared" si="56"/>
        <v>-6.4873E-2</v>
      </c>
      <c r="CO138" s="55">
        <f t="shared" si="56"/>
        <v>-0.55223900000000004</v>
      </c>
      <c r="CP138" s="55">
        <f t="shared" si="56"/>
        <v>-0.19831699999999999</v>
      </c>
      <c r="CQ138" s="55">
        <f t="shared" si="56"/>
        <v>0.52182799999999996</v>
      </c>
      <c r="CR138" s="55">
        <f t="shared" si="56"/>
        <v>-0.60875699999999999</v>
      </c>
      <c r="CS138" s="55">
        <f t="shared" si="56"/>
        <v>-0.28527799999999998</v>
      </c>
      <c r="CT138" s="55">
        <f t="shared" si="56"/>
        <v>0.29369400000000001</v>
      </c>
      <c r="CU138" s="55">
        <f t="shared" si="56"/>
        <v>0.73476699999999995</v>
      </c>
      <c r="CV138" s="55">
        <f t="shared" si="56"/>
        <v>0.84933599999999998</v>
      </c>
      <c r="CW138" s="55">
        <f t="shared" si="56"/>
        <v>0.40474900000000003</v>
      </c>
      <c r="CX138" s="55">
        <f t="shared" si="56"/>
        <v>0.18462899999999999</v>
      </c>
      <c r="CY138" s="55">
        <f t="shared" si="56"/>
        <v>-0.52167699999999995</v>
      </c>
      <c r="CZ138" s="55">
        <f t="shared" si="56"/>
        <v>-0.74660899999999997</v>
      </c>
      <c r="DA138" s="55">
        <f t="shared" si="56"/>
        <v>-0.69701199999999996</v>
      </c>
      <c r="DB138" s="55">
        <f t="shared" si="56"/>
        <v>3.0133E-2</v>
      </c>
      <c r="DC138" s="55">
        <f t="shared" si="56"/>
        <v>1.8644999999999998E-2</v>
      </c>
      <c r="DD138" s="55">
        <f t="shared" si="56"/>
        <v>-0.68263099999999999</v>
      </c>
      <c r="DE138" s="55">
        <f t="shared" si="56"/>
        <v>-0.20174300000000001</v>
      </c>
      <c r="DF138" s="55">
        <f t="shared" si="56"/>
        <v>0.47851300000000002</v>
      </c>
      <c r="DG138" s="55">
        <f t="shared" si="56"/>
        <v>-1.1940109999999999</v>
      </c>
      <c r="DI138" s="55">
        <f t="shared" ref="DI138:DI201" ca="1" si="65">IF(AND($H138="Sim",DI$134&gt;=$E138,DI$134&lt;$F138),$D138*K138 + (1-$D138)*BJ138,K138)</f>
        <v>0.340036</v>
      </c>
      <c r="DJ138" s="55">
        <f t="shared" ref="DJ138:DJ201" ca="1" si="66">IF(AND($H138="Sim",DJ$134&gt;=$E138,DJ$134&lt;$F138),$D138*L138 + (1-$D138)*BK138,L138)</f>
        <v>-0.919381</v>
      </c>
      <c r="DK138" s="55">
        <f t="shared" ref="DK138:DK201" ca="1" si="67">IF(AND($H138="Sim",DK$134&gt;=$E138,DK$134&lt;$F138),$D138*M138 + (1-$D138)*BL138,M138)</f>
        <v>1.035949</v>
      </c>
      <c r="DL138" s="55">
        <f t="shared" ref="DL138:DL201" ca="1" si="68">IF(AND($H138="Sim",DL$134&gt;=$E138,DL$134&lt;$F138),$D138*N138 + (1-$D138)*BM138,N138)</f>
        <v>0.83472599999999997</v>
      </c>
      <c r="DM138" s="55">
        <f t="shared" ref="DM138:DM201" ca="1" si="69">IF(AND($H138="Sim",DM$134&gt;=$E138,DM$134&lt;$F138),$D138*O138 + (1-$D138)*BN138,O138)</f>
        <v>-0.105861</v>
      </c>
      <c r="DN138" s="55">
        <f t="shared" ref="DN138:DN201" ca="1" si="70">IF(AND($H138="Sim",DN$134&gt;=$E138,DN$134&lt;$F138),$D138*P138 + (1-$D138)*BO138,P138)</f>
        <v>0.205286</v>
      </c>
      <c r="DO138" s="55">
        <f t="shared" ref="DO138:DO201" ca="1" si="71">IF(AND($H138="Sim",DO$134&gt;=$E138,DO$134&lt;$F138),$D138*Q138 + (1-$D138)*BP138,Q138)</f>
        <v>-0.553485</v>
      </c>
      <c r="DP138" s="55">
        <f t="shared" ref="DP138:DP201" ca="1" si="72">IF(AND($H138="Sim",DP$134&gt;=$E138,DP$134&lt;$F138),$D138*R138 + (1-$D138)*BQ138,R138)</f>
        <v>-9.3056E-2</v>
      </c>
      <c r="DQ138" s="55">
        <f t="shared" ref="DQ138:DQ201" ca="1" si="73">IF(AND($H138="Sim",DQ$134&gt;=$E138,DQ$134&lt;$F138),$D138*S138 + (1-$D138)*BR138,S138)</f>
        <v>0.41924600000000001</v>
      </c>
      <c r="DR138" s="55">
        <f t="shared" ref="DR138:DR201" ca="1" si="74">IF(AND($H138="Sim",DR$134&gt;=$E138,DR$134&lt;$F138),$D138*T138 + (1-$D138)*BS138,T138)</f>
        <v>-0.28417599999999998</v>
      </c>
      <c r="DS138" s="55">
        <f t="shared" ref="DS138:DS201" ca="1" si="75">IF(AND($H138="Sim",DS$134&gt;=$E138,DS$134&lt;$F138),$D138*U138 + (1-$D138)*BT138,U138)</f>
        <v>0.65124899999999997</v>
      </c>
      <c r="DT138" s="55">
        <f t="shared" ref="DT138:DT201" ca="1" si="76">IF(AND($H138="Sim",DT$134&gt;=$E138,DT$134&lt;$F138),$D138*V138 + (1-$D138)*BU138,V138)</f>
        <v>-0.144622</v>
      </c>
      <c r="DU138" s="55">
        <f t="shared" ref="DU138:DU201" ca="1" si="77">IF(AND($H138="Sim",DU$134&gt;=$E138,DU$134&lt;$F138),$D138*W138 + (1-$D138)*BV138,W138)</f>
        <v>-1.1834560000000001</v>
      </c>
      <c r="DV138" s="55">
        <f t="shared" ref="DV138:DV201" ca="1" si="78">IF(AND($H138="Sim",DV$134&gt;=$E138,DV$134&lt;$F138),$D138*X138 + (1-$D138)*BW138,X138)</f>
        <v>1.1468970000000001</v>
      </c>
      <c r="DW138" s="55">
        <f t="shared" ref="DW138:DW201" ca="1" si="79">IF(AND($H138="Sim",DW$134&gt;=$E138,DW$134&lt;$F138),$D138*Y138 + (1-$D138)*BX138,Y138)</f>
        <v>0.75548300000000002</v>
      </c>
      <c r="DX138" s="55">
        <f t="shared" ref="DX138:DX201" ca="1" si="80">IF(AND($H138="Sim",DX$134&gt;=$E138,DX$134&lt;$F138),$D138*Z138 + (1-$D138)*BY138,Z138)</f>
        <v>-0.16583000000000001</v>
      </c>
      <c r="DY138" s="55">
        <f t="shared" ref="DY138:DY201" ca="1" si="81">IF(AND($H138="Sim",DY$134&gt;=$E138,DY$134&lt;$F138),$D138*AA138 + (1-$D138)*BZ138,AA138)</f>
        <v>0.115551</v>
      </c>
      <c r="DZ138" s="55">
        <f t="shared" ref="DZ138:DZ201" ca="1" si="82">IF(AND($H138="Sim",DZ$134&gt;=$E138,DZ$134&lt;$F138),$D138*AB138 + (1-$D138)*CA138,AB138)</f>
        <v>0.74684099999999998</v>
      </c>
      <c r="EA138" s="55">
        <f t="shared" ref="EA138:EA201" ca="1" si="83">IF(AND($H138="Sim",EA$134&gt;=$E138,EA$134&lt;$F138),$D138*AC138 + (1-$D138)*CB138,AC138)</f>
        <v>-0.79056599999999999</v>
      </c>
      <c r="EB138" s="55">
        <f t="shared" ref="EB138:EB201" ca="1" si="84">IF(AND($H138="Sim",EB$134&gt;=$E138,EB$134&lt;$F138),$D138*AD138 + (1-$D138)*CC138,AD138)</f>
        <v>-7.5273999999999994E-2</v>
      </c>
      <c r="EC138" s="55">
        <f t="shared" ref="EC138:EC201" ca="1" si="85">IF(AND($H138="Sim",EC$134&gt;=$E138,EC$134&lt;$F138),$D138*AE138 + (1-$D138)*CD138,AE138)</f>
        <v>-1.438585</v>
      </c>
      <c r="ED138" s="55">
        <f t="shared" ref="ED138:ED201" ca="1" si="86">IF(AND($H138="Sim",ED$134&gt;=$E138,ED$134&lt;$F138),$D138*AF138 + (1-$D138)*CE138,AF138)</f>
        <v>1.247803</v>
      </c>
      <c r="EE138" s="55">
        <f t="shared" ref="EE138:EE201" ca="1" si="87">IF(AND($H138="Sim",EE$134&gt;=$E138,EE$134&lt;$F138),$D138*AG138 + (1-$D138)*CF138,AG138)</f>
        <v>-0.29399700000000001</v>
      </c>
      <c r="EF138" s="55">
        <f t="shared" ref="EF138:EF201" ca="1" si="88">IF(AND($H138="Sim",EF$134&gt;=$E138,EF$134&lt;$F138),$D138*AH138 + (1-$D138)*CG138,AH138)</f>
        <v>-0.11365500000000001</v>
      </c>
      <c r="EG138" s="55">
        <f t="shared" ref="EG138:EG201" ca="1" si="89">IF(AND($H138="Sim",EG$134&gt;=$E138,EG$134&lt;$F138),$D138*AI138 + (1-$D138)*CH138,AI138)</f>
        <v>1.8274859999999999</v>
      </c>
      <c r="EH138" s="55">
        <f t="shared" ref="EH138:EH201" ca="1" si="90">IF(AND($H138="Sim",EH$134&gt;=$E138,EH$134&lt;$F138),$D138*AJ138 + (1-$D138)*CI138,AJ138)</f>
        <v>-0.13300000000000001</v>
      </c>
      <c r="EI138" s="55">
        <f t="shared" ref="EI138:EI201" ca="1" si="91">IF(AND($H138="Sim",EI$134&gt;=$E138,EI$134&lt;$F138),$D138*AK138 + (1-$D138)*CJ138,AK138)</f>
        <v>-0.34422599999999998</v>
      </c>
      <c r="EJ138" s="55">
        <f t="shared" ref="EJ138:EJ201" ca="1" si="92">IF(AND($H138="Sim",EJ$134&gt;=$E138,EJ$134&lt;$F138),$D138*AL138 + (1-$D138)*CK138,AL138)</f>
        <v>1.339558</v>
      </c>
      <c r="EK138" s="55">
        <f t="shared" ref="EK138:EK201" ca="1" si="93">IF(AND($H138="Sim",EK$134&gt;=$E138,EK$134&lt;$F138),$D138*AM138 + (1-$D138)*CL138,AM138)</f>
        <v>-0.63728499999999999</v>
      </c>
      <c r="EL138" s="55">
        <f t="shared" ref="EL138:EL201" ca="1" si="94">IF(AND($H138="Sim",EL$134&gt;=$E138,EL$134&lt;$F138),$D138*AN138 + (1-$D138)*CM138,AN138)</f>
        <v>2.4899000000000001E-2</v>
      </c>
      <c r="EM138" s="55">
        <f t="shared" ref="EM138:EM201" ca="1" si="95">IF(AND($H138="Sim",EM$134&gt;=$E138,EM$134&lt;$F138),$D138*AO138 + (1-$D138)*CN138,AO138)</f>
        <v>0.27143499999999998</v>
      </c>
      <c r="EN138" s="55">
        <f t="shared" ref="EN138:EN201" ca="1" si="96">IF(AND($H138="Sim",EN$134&gt;=$E138,EN$134&lt;$F138),$D138*AP138 + (1-$D138)*CO138,AP138)</f>
        <v>-0.72181099999999998</v>
      </c>
      <c r="EO138" s="55">
        <f t="shared" ref="EO138:EO201" ca="1" si="97">IF(AND($H138="Sim",EO$134&gt;=$E138,EO$134&lt;$F138),$D138*AQ138 + (1-$D138)*CP138,AQ138)</f>
        <v>0.37207099999999999</v>
      </c>
      <c r="EP138" s="55">
        <f t="shared" ref="EP138:EP201" ca="1" si="98">IF(AND($H138="Sim",EP$134&gt;=$E138,EP$134&lt;$F138),$D138*AR138 + (1-$D138)*CQ138,AR138)</f>
        <v>0.67421200000000003</v>
      </c>
      <c r="EQ138" s="55">
        <f t="shared" ref="EQ138:EQ201" ca="1" si="99">IF(AND($H138="Sim",EQ$134&gt;=$E138,EQ$134&lt;$F138),$D138*AS138 + (1-$D138)*CR138,AS138)</f>
        <v>-0.53745699999999996</v>
      </c>
      <c r="ER138" s="55">
        <f t="shared" ref="ER138:ER201" ca="1" si="100">IF(AND($H138="Sim",ER$134&gt;=$E138,ER$134&lt;$F138),$D138*AT138 + (1-$D138)*CS138,AT138)</f>
        <v>-7.4824000000000002E-2</v>
      </c>
      <c r="ES138" s="55">
        <f t="shared" ref="ES138:ES201" ca="1" si="101">IF(AND($H138="Sim",ES$134&gt;=$E138,ES$134&lt;$F138),$D138*AU138 + (1-$D138)*CT138,AU138)</f>
        <v>-0.31019161534799999</v>
      </c>
      <c r="ET138" s="55">
        <f t="shared" ref="ET138:ET201" ca="1" si="102">IF(AND($H138="Sim",ET$134&gt;=$E138,ET$134&lt;$F138),$D138*AV138 + (1-$D138)*CU138,AV138)</f>
        <v>0.79289408975800002</v>
      </c>
      <c r="EU138" s="55">
        <f t="shared" ref="EU138:EU201" ca="1" si="103">IF(AND($H138="Sim",EU$134&gt;=$E138,EU$134&lt;$F138),$D138*AW138 + (1-$D138)*CV138,AW138)</f>
        <v>0.99339042869599992</v>
      </c>
      <c r="EV138" s="55">
        <f t="shared" ref="EV138:EV201" ca="1" si="104">IF(AND($H138="Sim",EV$134&gt;=$E138,EV$134&lt;$F138),$D138*AX138 + (1-$D138)*CW138,AX138)</f>
        <v>0.40002880069000002</v>
      </c>
      <c r="EW138" s="55">
        <f t="shared" ref="EW138:EW201" ca="1" si="105">IF(AND($H138="Sim",EW$134&gt;=$E138,EW$134&lt;$F138),$D138*AY138 + (1-$D138)*CX138,AY138)</f>
        <v>0.23526290535</v>
      </c>
      <c r="EX138" s="55">
        <f t="shared" ref="EX138:EX201" ca="1" si="106">IF(AND($H138="Sim",EX$134&gt;=$E138,EX$134&lt;$F138),$D138*AZ138 + (1-$D138)*CY138,AZ138)</f>
        <v>1.7749000000000001E-2</v>
      </c>
      <c r="EY138" s="55">
        <f t="shared" ref="EY138:EY201" ca="1" si="107">IF(AND($H138="Sim",EY$134&gt;=$E138,EY$134&lt;$F138),$D138*BA138 + (1-$D138)*CZ138,BA138)</f>
        <v>-0.45108399999999998</v>
      </c>
      <c r="EZ138" s="55">
        <f t="shared" ref="EZ138:EZ201" ca="1" si="108">IF(AND($H138="Sim",EZ$134&gt;=$E138,EZ$134&lt;$F138),$D138*BB138 + (1-$D138)*DA138,BB138)</f>
        <v>-0.25117499999999998</v>
      </c>
      <c r="FA138" s="55">
        <f t="shared" ref="FA138:FA201" ca="1" si="109">IF(AND($H138="Sim",FA$134&gt;=$E138,FA$134&lt;$F138),$D138*BC138 + (1-$D138)*DB138,BC138)</f>
        <v>0.93391000000000002</v>
      </c>
      <c r="FB138" s="55">
        <f t="shared" ref="FB138:FB201" ca="1" si="110">IF(AND($H138="Sim",FB$134&gt;=$E138,FB$134&lt;$F138),$D138*BD138 + (1-$D138)*DC138,BD138)</f>
        <v>-0.57196599999999997</v>
      </c>
      <c r="FC138" s="55">
        <f t="shared" ref="FC138:FC201" ca="1" si="111">IF(AND($H138="Sim",FC$134&gt;=$E138,FC$134&lt;$F138),$D138*BE138 + (1-$D138)*DD138,BE138)</f>
        <v>-0.70042300000000002</v>
      </c>
      <c r="FD138" s="55">
        <f t="shared" ref="FD138:FD201" ca="1" si="112">IF(AND($H138="Sim",FD$134&gt;=$E138,FD$134&lt;$F138),$D138*BF138 + (1-$D138)*DE138,BF138)</f>
        <v>-0.12003900000000001</v>
      </c>
      <c r="FE138" s="55">
        <f t="shared" ref="FE138:FE201" ca="1" si="113">IF(AND($H138="Sim",FE$134&gt;=$E138,FE$134&lt;$F138),$D138*BG138 + (1-$D138)*DF138,BG138)</f>
        <v>-0.40212900000000001</v>
      </c>
      <c r="FF138" s="55">
        <f t="shared" ref="FF138:FF201" ca="1" si="114">IF(AND($H138="Sim",FF$134&gt;=$E138,FF$134&lt;$F138),$D138*BH138 + (1-$D138)*DG138,BH138)</f>
        <v>-9.3318999999999999E-2</v>
      </c>
      <c r="FH138" s="55">
        <f t="shared" ref="FH138:FH201" ca="1" si="115">DI138-K138</f>
        <v>0</v>
      </c>
      <c r="FI138" s="55">
        <f t="shared" ca="1" si="58"/>
        <v>0</v>
      </c>
      <c r="FJ138" s="55">
        <f t="shared" ca="1" si="58"/>
        <v>0</v>
      </c>
      <c r="FK138" s="55">
        <f t="shared" ca="1" si="58"/>
        <v>0</v>
      </c>
      <c r="FL138" s="55">
        <f t="shared" ca="1" si="58"/>
        <v>0</v>
      </c>
      <c r="FM138" s="55">
        <f t="shared" ca="1" si="58"/>
        <v>0</v>
      </c>
      <c r="FN138" s="55">
        <f t="shared" ca="1" si="58"/>
        <v>0</v>
      </c>
      <c r="FO138" s="55">
        <f t="shared" ca="1" si="58"/>
        <v>0</v>
      </c>
      <c r="FP138" s="55">
        <f t="shared" ca="1" si="58"/>
        <v>0</v>
      </c>
      <c r="FQ138" s="55">
        <f t="shared" ca="1" si="58"/>
        <v>0</v>
      </c>
      <c r="FR138" s="55">
        <f t="shared" ca="1" si="58"/>
        <v>0</v>
      </c>
      <c r="FS138" s="55">
        <f t="shared" ca="1" si="58"/>
        <v>0</v>
      </c>
      <c r="FT138" s="55">
        <f t="shared" ca="1" si="58"/>
        <v>0</v>
      </c>
      <c r="FU138" s="55">
        <f t="shared" ca="1" si="58"/>
        <v>0</v>
      </c>
      <c r="FV138" s="55">
        <f t="shared" ca="1" si="58"/>
        <v>0</v>
      </c>
      <c r="FW138" s="55">
        <f t="shared" ca="1" si="58"/>
        <v>0</v>
      </c>
      <c r="FX138" s="55">
        <f t="shared" ca="1" si="58"/>
        <v>0</v>
      </c>
      <c r="FY138" s="55">
        <f t="shared" ca="1" si="58"/>
        <v>0</v>
      </c>
      <c r="FZ138" s="55">
        <f t="shared" ca="1" si="58"/>
        <v>0</v>
      </c>
      <c r="GA138" s="55">
        <f t="shared" ca="1" si="58"/>
        <v>0</v>
      </c>
      <c r="GB138" s="55">
        <f t="shared" ca="1" si="58"/>
        <v>0</v>
      </c>
      <c r="GC138" s="55">
        <f t="shared" ca="1" si="58"/>
        <v>0</v>
      </c>
      <c r="GD138" s="55">
        <f t="shared" ca="1" si="58"/>
        <v>0</v>
      </c>
      <c r="GE138" s="55">
        <f t="shared" ca="1" si="58"/>
        <v>0</v>
      </c>
      <c r="GF138" s="55">
        <f t="shared" ca="1" si="58"/>
        <v>0</v>
      </c>
      <c r="GG138" s="55">
        <f t="shared" ca="1" si="58"/>
        <v>0</v>
      </c>
      <c r="GH138" s="55">
        <f t="shared" ca="1" si="58"/>
        <v>0</v>
      </c>
      <c r="GI138" s="55">
        <f t="shared" ca="1" si="58"/>
        <v>0</v>
      </c>
      <c r="GJ138" s="55">
        <f t="shared" ca="1" si="58"/>
        <v>0</v>
      </c>
      <c r="GK138" s="55">
        <f t="shared" ca="1" si="58"/>
        <v>0</v>
      </c>
      <c r="GL138" s="55">
        <f t="shared" ca="1" si="58"/>
        <v>0</v>
      </c>
      <c r="GM138" s="55">
        <f t="shared" ca="1" si="58"/>
        <v>0</v>
      </c>
      <c r="GN138" s="55">
        <f t="shared" ca="1" si="58"/>
        <v>0</v>
      </c>
      <c r="GO138" s="55">
        <f t="shared" ca="1" si="58"/>
        <v>0</v>
      </c>
      <c r="GP138" s="55">
        <f t="shared" ca="1" si="58"/>
        <v>0</v>
      </c>
      <c r="GQ138" s="55">
        <f t="shared" ca="1" si="58"/>
        <v>0</v>
      </c>
      <c r="GR138" s="55">
        <f t="shared" ca="1" si="58"/>
        <v>0.25392838465199996</v>
      </c>
      <c r="GS138" s="55">
        <f t="shared" ca="1" si="58"/>
        <v>-2.4441910241999931E-2</v>
      </c>
      <c r="GT138" s="55">
        <f t="shared" ca="1" si="58"/>
        <v>-6.0573571303999985E-2</v>
      </c>
      <c r="GU138" s="55">
        <f t="shared" ca="1" si="58"/>
        <v>1.9848006900000104E-3</v>
      </c>
      <c r="GV138" s="55">
        <f t="shared" ca="1" si="58"/>
        <v>-2.1291094650000009E-2</v>
      </c>
      <c r="GW138" s="55">
        <f t="shared" ca="1" si="58"/>
        <v>0</v>
      </c>
      <c r="GX138" s="55">
        <f t="shared" ca="1" si="58"/>
        <v>0</v>
      </c>
      <c r="GY138" s="55">
        <f t="shared" ca="1" si="58"/>
        <v>0</v>
      </c>
      <c r="GZ138" s="55">
        <f t="shared" ca="1" si="58"/>
        <v>0</v>
      </c>
      <c r="HA138" s="55">
        <f t="shared" ca="1" si="58"/>
        <v>0</v>
      </c>
      <c r="HB138" s="55">
        <f t="shared" ca="1" si="58"/>
        <v>0</v>
      </c>
      <c r="HC138" s="55">
        <f t="shared" ca="1" si="58"/>
        <v>0</v>
      </c>
      <c r="HD138" s="55">
        <f t="shared" ca="1" si="58"/>
        <v>0</v>
      </c>
      <c r="HE138" s="55">
        <f t="shared" ca="1" si="58"/>
        <v>0</v>
      </c>
    </row>
    <row r="139" spans="1:213">
      <c r="A139" s="27">
        <v>2</v>
      </c>
      <c r="B139" s="27">
        <v>69</v>
      </c>
      <c r="C139" s="27">
        <v>0.13059299999999999</v>
      </c>
      <c r="D139" s="27">
        <v>0.38203900000000002</v>
      </c>
      <c r="E139" s="27">
        <v>47</v>
      </c>
      <c r="F139" s="27">
        <f t="shared" ca="1" si="59"/>
        <v>49</v>
      </c>
      <c r="G139" s="27">
        <f t="shared" si="54"/>
        <v>0</v>
      </c>
      <c r="H139" s="27" t="str">
        <f t="shared" si="60"/>
        <v>Sim</v>
      </c>
      <c r="I139" s="27">
        <f t="shared" si="61"/>
        <v>0</v>
      </c>
      <c r="J139" s="37">
        <f t="shared" si="62"/>
        <v>1</v>
      </c>
      <c r="K139" s="55">
        <f t="shared" si="63"/>
        <v>-0.699237</v>
      </c>
      <c r="L139" s="55">
        <f t="shared" si="55"/>
        <v>1.7912999999999998E-2</v>
      </c>
      <c r="M139" s="55">
        <f t="shared" si="55"/>
        <v>0.40328399999999998</v>
      </c>
      <c r="N139" s="55">
        <f t="shared" si="55"/>
        <v>1.1192930000000001</v>
      </c>
      <c r="O139" s="55">
        <f t="shared" si="55"/>
        <v>-0.15697700000000001</v>
      </c>
      <c r="P139" s="55">
        <f t="shared" si="55"/>
        <v>0.19411</v>
      </c>
      <c r="Q139" s="55">
        <f t="shared" si="55"/>
        <v>1.295347</v>
      </c>
      <c r="R139" s="55">
        <f t="shared" si="55"/>
        <v>-0.65157799999999999</v>
      </c>
      <c r="S139" s="55">
        <f t="shared" si="55"/>
        <v>-0.76042299999999996</v>
      </c>
      <c r="T139" s="55">
        <f t="shared" si="55"/>
        <v>-0.44301200000000002</v>
      </c>
      <c r="U139" s="55">
        <f t="shared" si="55"/>
        <v>-0.36884600000000001</v>
      </c>
      <c r="V139" s="55">
        <f t="shared" si="55"/>
        <v>-0.30153600000000003</v>
      </c>
      <c r="W139" s="55">
        <f t="shared" si="55"/>
        <v>-0.22511200000000001</v>
      </c>
      <c r="X139" s="55">
        <f t="shared" si="55"/>
        <v>0.49783100000000002</v>
      </c>
      <c r="Y139" s="55">
        <f t="shared" si="55"/>
        <v>0.31132199999999999</v>
      </c>
      <c r="Z139" s="55">
        <f t="shared" si="55"/>
        <v>0.71334399999999998</v>
      </c>
      <c r="AA139" s="55">
        <f t="shared" si="55"/>
        <v>0.21576799999999999</v>
      </c>
      <c r="AB139" s="55">
        <f t="shared" si="55"/>
        <v>0.29508400000000001</v>
      </c>
      <c r="AC139" s="55">
        <f t="shared" si="55"/>
        <v>-0.231432</v>
      </c>
      <c r="AD139" s="55">
        <f t="shared" si="55"/>
        <v>0.35051199999999999</v>
      </c>
      <c r="AE139" s="55">
        <f t="shared" si="55"/>
        <v>0.61338599999999999</v>
      </c>
      <c r="AF139" s="55">
        <f t="shared" si="55"/>
        <v>-0.62480800000000003</v>
      </c>
      <c r="AG139" s="55">
        <f t="shared" si="55"/>
        <v>1.0772E-2</v>
      </c>
      <c r="AH139" s="55">
        <f t="shared" si="55"/>
        <v>0.46966400000000003</v>
      </c>
      <c r="AI139" s="55">
        <f t="shared" si="55"/>
        <v>-0.55268799999999996</v>
      </c>
      <c r="AJ139" s="55">
        <f t="shared" si="55"/>
        <v>-0.358541</v>
      </c>
      <c r="AK139" s="55">
        <f t="shared" si="55"/>
        <v>-1.3883840000000001</v>
      </c>
      <c r="AL139" s="55">
        <f t="shared" si="55"/>
        <v>-0.17657300000000001</v>
      </c>
      <c r="AM139" s="55">
        <f t="shared" si="55"/>
        <v>0.24352099999999999</v>
      </c>
      <c r="AN139" s="55">
        <f t="shared" si="55"/>
        <v>-0.77649800000000002</v>
      </c>
      <c r="AO139" s="55">
        <f t="shared" si="55"/>
        <v>-0.80759499999999995</v>
      </c>
      <c r="AP139" s="55">
        <f t="shared" si="55"/>
        <v>-0.27812100000000001</v>
      </c>
      <c r="AQ139" s="55">
        <f t="shared" si="55"/>
        <v>-0.116576</v>
      </c>
      <c r="AR139" s="55">
        <f t="shared" si="55"/>
        <v>0.31808399999999998</v>
      </c>
      <c r="AS139" s="55">
        <f t="shared" si="55"/>
        <v>0.10699400000000001</v>
      </c>
      <c r="AT139" s="55">
        <f t="shared" si="55"/>
        <v>-0.75590900000000005</v>
      </c>
      <c r="AU139" s="55">
        <f t="shared" si="55"/>
        <v>9.5469999999999999E-3</v>
      </c>
      <c r="AV139" s="55">
        <f t="shared" si="55"/>
        <v>0.54901999999999995</v>
      </c>
      <c r="AW139" s="55">
        <f t="shared" si="55"/>
        <v>0.50034699999999999</v>
      </c>
      <c r="AX139" s="55">
        <f t="shared" si="55"/>
        <v>2.5683000000000001E-2</v>
      </c>
      <c r="AY139" s="55">
        <f t="shared" si="55"/>
        <v>0.38595400000000002</v>
      </c>
      <c r="AZ139" s="55">
        <f t="shared" si="55"/>
        <v>0.42127399999999998</v>
      </c>
      <c r="BA139" s="55">
        <f t="shared" si="55"/>
        <v>-0.20510100000000001</v>
      </c>
      <c r="BB139" s="55">
        <f t="shared" si="55"/>
        <v>-0.60255499999999995</v>
      </c>
      <c r="BC139" s="55">
        <f t="shared" si="55"/>
        <v>-0.53892499999999999</v>
      </c>
      <c r="BD139" s="55">
        <f t="shared" si="55"/>
        <v>0.59336500000000003</v>
      </c>
      <c r="BE139" s="55">
        <f t="shared" si="55"/>
        <v>0.54414300000000004</v>
      </c>
      <c r="BF139" s="55">
        <f t="shared" si="55"/>
        <v>0.10610899999999999</v>
      </c>
      <c r="BG139" s="55">
        <f t="shared" si="55"/>
        <v>-0.26186100000000001</v>
      </c>
      <c r="BH139" s="55">
        <f t="shared" si="55"/>
        <v>-0.51815699999999998</v>
      </c>
      <c r="BJ139" s="55">
        <f t="shared" si="64"/>
        <v>-1.3680110000000001</v>
      </c>
      <c r="BK139" s="55">
        <f t="shared" si="56"/>
        <v>-0.85349200000000003</v>
      </c>
      <c r="BL139" s="55">
        <f t="shared" si="56"/>
        <v>0.48217700000000002</v>
      </c>
      <c r="BM139" s="55">
        <f t="shared" si="56"/>
        <v>0.32085900000000001</v>
      </c>
      <c r="BN139" s="55">
        <f t="shared" si="56"/>
        <v>0.36048200000000002</v>
      </c>
      <c r="BO139" s="55">
        <f t="shared" si="56"/>
        <v>6.2484999999999999E-2</v>
      </c>
      <c r="BP139" s="55">
        <f t="shared" si="56"/>
        <v>-0.42971900000000002</v>
      </c>
      <c r="BQ139" s="55">
        <f t="shared" si="56"/>
        <v>2.7362000000000001E-2</v>
      </c>
      <c r="BR139" s="55">
        <f t="shared" si="56"/>
        <v>-0.67951099999999998</v>
      </c>
      <c r="BS139" s="55">
        <f t="shared" si="56"/>
        <v>0.74470199999999998</v>
      </c>
      <c r="BT139" s="55">
        <f t="shared" si="56"/>
        <v>-0.92654300000000001</v>
      </c>
      <c r="BU139" s="55">
        <f t="shared" si="56"/>
        <v>0.70228500000000005</v>
      </c>
      <c r="BV139" s="55">
        <f t="shared" si="56"/>
        <v>-0.35286000000000001</v>
      </c>
      <c r="BW139" s="55">
        <f t="shared" si="56"/>
        <v>-0.65729199999999999</v>
      </c>
      <c r="BX139" s="55">
        <f t="shared" si="56"/>
        <v>8.7060000000000002E-3</v>
      </c>
      <c r="BY139" s="55">
        <f t="shared" si="56"/>
        <v>-0.23127600000000001</v>
      </c>
      <c r="BZ139" s="55">
        <f t="shared" si="56"/>
        <v>0.38279999999999997</v>
      </c>
      <c r="CA139" s="55">
        <f t="shared" si="56"/>
        <v>0.34945500000000002</v>
      </c>
      <c r="CB139" s="55">
        <f t="shared" si="56"/>
        <v>0.35790499999999997</v>
      </c>
      <c r="CC139" s="55">
        <f t="shared" si="56"/>
        <v>-5.0867000000000002E-2</v>
      </c>
      <c r="CD139" s="55">
        <f t="shared" si="56"/>
        <v>6.5620999999999999E-2</v>
      </c>
      <c r="CE139" s="55">
        <f t="shared" si="56"/>
        <v>-4.7824999999999999E-2</v>
      </c>
      <c r="CF139" s="55">
        <f t="shared" si="56"/>
        <v>-0.45417400000000002</v>
      </c>
      <c r="CG139" s="55">
        <f t="shared" si="56"/>
        <v>0.74773699999999999</v>
      </c>
      <c r="CH139" s="55">
        <f t="shared" si="56"/>
        <v>-0.56772599999999995</v>
      </c>
      <c r="CI139" s="55">
        <f t="shared" si="56"/>
        <v>-0.43990400000000002</v>
      </c>
      <c r="CJ139" s="55">
        <f t="shared" si="56"/>
        <v>-1.2277720000000001</v>
      </c>
      <c r="CK139" s="55">
        <f t="shared" si="56"/>
        <v>0.17562</v>
      </c>
      <c r="CL139" s="55">
        <f t="shared" si="56"/>
        <v>1.066675</v>
      </c>
      <c r="CM139" s="55">
        <f t="shared" si="56"/>
        <v>0.41585299999999997</v>
      </c>
      <c r="CN139" s="55">
        <f t="shared" si="56"/>
        <v>-0.48087299999999999</v>
      </c>
      <c r="CO139" s="55">
        <f t="shared" si="56"/>
        <v>0.405055</v>
      </c>
      <c r="CP139" s="55">
        <f t="shared" si="56"/>
        <v>0.71483399999999997</v>
      </c>
      <c r="CQ139" s="55">
        <f t="shared" si="56"/>
        <v>-0.29349799999999998</v>
      </c>
      <c r="CR139" s="55">
        <f t="shared" si="56"/>
        <v>0.82778300000000005</v>
      </c>
      <c r="CS139" s="55">
        <f t="shared" si="56"/>
        <v>2.3668999999999999E-2</v>
      </c>
      <c r="CT139" s="55">
        <f t="shared" si="56"/>
        <v>-0.79423699999999997</v>
      </c>
      <c r="CU139" s="55">
        <f t="shared" si="56"/>
        <v>-0.90337800000000001</v>
      </c>
      <c r="CV139" s="55">
        <f t="shared" si="56"/>
        <v>1.422147</v>
      </c>
      <c r="CW139" s="55">
        <f t="shared" si="56"/>
        <v>0.89805599999999997</v>
      </c>
      <c r="CX139" s="55">
        <f t="shared" si="56"/>
        <v>-0.66341700000000003</v>
      </c>
      <c r="CY139" s="55">
        <f t="shared" si="56"/>
        <v>0.53328600000000004</v>
      </c>
      <c r="CZ139" s="55">
        <f t="shared" si="56"/>
        <v>0.27739599999999998</v>
      </c>
      <c r="DA139" s="55">
        <f t="shared" si="56"/>
        <v>0.71682000000000001</v>
      </c>
      <c r="DB139" s="55">
        <f t="shared" si="56"/>
        <v>-0.62051500000000004</v>
      </c>
      <c r="DC139" s="55">
        <f t="shared" si="56"/>
        <v>0.157529</v>
      </c>
      <c r="DD139" s="55">
        <f t="shared" si="56"/>
        <v>0.76336300000000001</v>
      </c>
      <c r="DE139" s="55">
        <f t="shared" si="56"/>
        <v>-0.35728799999999999</v>
      </c>
      <c r="DF139" s="55">
        <f t="shared" si="56"/>
        <v>0.61300600000000005</v>
      </c>
      <c r="DG139" s="55">
        <f t="shared" si="56"/>
        <v>-0.21090400000000001</v>
      </c>
      <c r="DI139" s="55">
        <f t="shared" ca="1" si="65"/>
        <v>-0.699237</v>
      </c>
      <c r="DJ139" s="55">
        <f t="shared" ca="1" si="66"/>
        <v>1.7912999999999998E-2</v>
      </c>
      <c r="DK139" s="55">
        <f t="shared" ca="1" si="67"/>
        <v>0.40328399999999998</v>
      </c>
      <c r="DL139" s="55">
        <f t="shared" ca="1" si="68"/>
        <v>1.1192930000000001</v>
      </c>
      <c r="DM139" s="55">
        <f t="shared" ca="1" si="69"/>
        <v>-0.15697700000000001</v>
      </c>
      <c r="DN139" s="55">
        <f t="shared" ca="1" si="70"/>
        <v>0.19411</v>
      </c>
      <c r="DO139" s="55">
        <f t="shared" ca="1" si="71"/>
        <v>1.295347</v>
      </c>
      <c r="DP139" s="55">
        <f t="shared" ca="1" si="72"/>
        <v>-0.65157799999999999</v>
      </c>
      <c r="DQ139" s="55">
        <f t="shared" ca="1" si="73"/>
        <v>-0.76042299999999996</v>
      </c>
      <c r="DR139" s="55">
        <f t="shared" ca="1" si="74"/>
        <v>-0.44301200000000002</v>
      </c>
      <c r="DS139" s="55">
        <f t="shared" ca="1" si="75"/>
        <v>-0.36884600000000001</v>
      </c>
      <c r="DT139" s="55">
        <f t="shared" ca="1" si="76"/>
        <v>-0.30153600000000003</v>
      </c>
      <c r="DU139" s="55">
        <f t="shared" ca="1" si="77"/>
        <v>-0.22511200000000001</v>
      </c>
      <c r="DV139" s="55">
        <f t="shared" ca="1" si="78"/>
        <v>0.49783100000000002</v>
      </c>
      <c r="DW139" s="55">
        <f t="shared" ca="1" si="79"/>
        <v>0.31132199999999999</v>
      </c>
      <c r="DX139" s="55">
        <f t="shared" ca="1" si="80"/>
        <v>0.71334399999999998</v>
      </c>
      <c r="DY139" s="55">
        <f t="shared" ca="1" si="81"/>
        <v>0.21576799999999999</v>
      </c>
      <c r="DZ139" s="55">
        <f t="shared" ca="1" si="82"/>
        <v>0.29508400000000001</v>
      </c>
      <c r="EA139" s="55">
        <f t="shared" ca="1" si="83"/>
        <v>-0.231432</v>
      </c>
      <c r="EB139" s="55">
        <f t="shared" ca="1" si="84"/>
        <v>0.35051199999999999</v>
      </c>
      <c r="EC139" s="55">
        <f t="shared" ca="1" si="85"/>
        <v>0.61338599999999999</v>
      </c>
      <c r="ED139" s="55">
        <f t="shared" ca="1" si="86"/>
        <v>-0.62480800000000003</v>
      </c>
      <c r="EE139" s="55">
        <f t="shared" ca="1" si="87"/>
        <v>1.0772E-2</v>
      </c>
      <c r="EF139" s="55">
        <f t="shared" ca="1" si="88"/>
        <v>0.46966400000000003</v>
      </c>
      <c r="EG139" s="55">
        <f t="shared" ca="1" si="89"/>
        <v>-0.55268799999999996</v>
      </c>
      <c r="EH139" s="55">
        <f t="shared" ca="1" si="90"/>
        <v>-0.358541</v>
      </c>
      <c r="EI139" s="55">
        <f t="shared" ca="1" si="91"/>
        <v>-1.3883840000000001</v>
      </c>
      <c r="EJ139" s="55">
        <f t="shared" ca="1" si="92"/>
        <v>-0.17657300000000001</v>
      </c>
      <c r="EK139" s="55">
        <f t="shared" ca="1" si="93"/>
        <v>0.24352099999999999</v>
      </c>
      <c r="EL139" s="55">
        <f t="shared" ca="1" si="94"/>
        <v>-0.77649800000000002</v>
      </c>
      <c r="EM139" s="55">
        <f t="shared" ca="1" si="95"/>
        <v>-0.80759499999999995</v>
      </c>
      <c r="EN139" s="55">
        <f t="shared" ca="1" si="96"/>
        <v>-0.27812100000000001</v>
      </c>
      <c r="EO139" s="55">
        <f t="shared" ca="1" si="97"/>
        <v>-0.116576</v>
      </c>
      <c r="EP139" s="55">
        <f t="shared" ca="1" si="98"/>
        <v>0.31808399999999998</v>
      </c>
      <c r="EQ139" s="55">
        <f t="shared" ca="1" si="99"/>
        <v>0.10699400000000001</v>
      </c>
      <c r="ER139" s="55">
        <f t="shared" ca="1" si="100"/>
        <v>-0.75590900000000005</v>
      </c>
      <c r="ES139" s="55">
        <f t="shared" ca="1" si="101"/>
        <v>9.5469999999999999E-3</v>
      </c>
      <c r="ET139" s="55">
        <f t="shared" ca="1" si="102"/>
        <v>0.54901999999999995</v>
      </c>
      <c r="EU139" s="55">
        <f t="shared" ca="1" si="103"/>
        <v>0.50034699999999999</v>
      </c>
      <c r="EV139" s="55">
        <f t="shared" ca="1" si="104"/>
        <v>2.5683000000000001E-2</v>
      </c>
      <c r="EW139" s="55">
        <f t="shared" ca="1" si="105"/>
        <v>0.38595400000000002</v>
      </c>
      <c r="EX139" s="55">
        <f t="shared" ca="1" si="106"/>
        <v>0.42127399999999998</v>
      </c>
      <c r="EY139" s="55">
        <f t="shared" ca="1" si="107"/>
        <v>-0.20510100000000001</v>
      </c>
      <c r="EZ139" s="55">
        <f t="shared" ca="1" si="108"/>
        <v>-0.60255499999999995</v>
      </c>
      <c r="FA139" s="55">
        <f t="shared" ca="1" si="109"/>
        <v>-0.53892499999999999</v>
      </c>
      <c r="FB139" s="55">
        <f t="shared" ca="1" si="110"/>
        <v>0.59336500000000003</v>
      </c>
      <c r="FC139" s="55">
        <f t="shared" ca="1" si="111"/>
        <v>0.54414300000000004</v>
      </c>
      <c r="FD139" s="55">
        <f t="shared" ca="1" si="112"/>
        <v>-0.18025227351699999</v>
      </c>
      <c r="FE139" s="55">
        <f t="shared" ca="1" si="113"/>
        <v>0.27877268618700002</v>
      </c>
      <c r="FF139" s="55">
        <f t="shared" ca="1" si="114"/>
        <v>-0.51815699999999998</v>
      </c>
      <c r="FH139" s="55">
        <f t="shared" ca="1" si="115"/>
        <v>0</v>
      </c>
      <c r="FI139" s="55">
        <f t="shared" ca="1" si="58"/>
        <v>0</v>
      </c>
      <c r="FJ139" s="55">
        <f t="shared" ca="1" si="58"/>
        <v>0</v>
      </c>
      <c r="FK139" s="55">
        <f t="shared" ca="1" si="58"/>
        <v>0</v>
      </c>
      <c r="FL139" s="55">
        <f t="shared" ca="1" si="58"/>
        <v>0</v>
      </c>
      <c r="FM139" s="55">
        <f t="shared" ca="1" si="58"/>
        <v>0</v>
      </c>
      <c r="FN139" s="55">
        <f t="shared" ca="1" si="58"/>
        <v>0</v>
      </c>
      <c r="FO139" s="55">
        <f t="shared" ca="1" si="58"/>
        <v>0</v>
      </c>
      <c r="FP139" s="55">
        <f t="shared" ca="1" si="58"/>
        <v>0</v>
      </c>
      <c r="FQ139" s="55">
        <f t="shared" ca="1" si="58"/>
        <v>0</v>
      </c>
      <c r="FR139" s="55">
        <f t="shared" ca="1" si="58"/>
        <v>0</v>
      </c>
      <c r="FS139" s="55">
        <f t="shared" ca="1" si="58"/>
        <v>0</v>
      </c>
      <c r="FT139" s="55">
        <f t="shared" ca="1" si="58"/>
        <v>0</v>
      </c>
      <c r="FU139" s="55">
        <f t="shared" ca="1" si="58"/>
        <v>0</v>
      </c>
      <c r="FV139" s="55">
        <f t="shared" ca="1" si="58"/>
        <v>0</v>
      </c>
      <c r="FW139" s="55">
        <f t="shared" ca="1" si="58"/>
        <v>0</v>
      </c>
      <c r="FX139" s="55">
        <f t="shared" ca="1" si="58"/>
        <v>0</v>
      </c>
      <c r="FY139" s="55">
        <f t="shared" ca="1" si="58"/>
        <v>0</v>
      </c>
      <c r="FZ139" s="55">
        <f t="shared" ca="1" si="58"/>
        <v>0</v>
      </c>
      <c r="GA139" s="55">
        <f t="shared" ca="1" si="58"/>
        <v>0</v>
      </c>
      <c r="GB139" s="55">
        <f t="shared" ca="1" si="58"/>
        <v>0</v>
      </c>
      <c r="GC139" s="55">
        <f t="shared" ca="1" si="58"/>
        <v>0</v>
      </c>
      <c r="GD139" s="55">
        <f t="shared" ca="1" si="58"/>
        <v>0</v>
      </c>
      <c r="GE139" s="55">
        <f t="shared" ca="1" si="58"/>
        <v>0</v>
      </c>
      <c r="GF139" s="55">
        <f t="shared" ca="1" si="58"/>
        <v>0</v>
      </c>
      <c r="GG139" s="55">
        <f t="shared" ca="1" si="58"/>
        <v>0</v>
      </c>
      <c r="GH139" s="55">
        <f t="shared" ca="1" si="58"/>
        <v>0</v>
      </c>
      <c r="GI139" s="55">
        <f t="shared" ca="1" si="58"/>
        <v>0</v>
      </c>
      <c r="GJ139" s="55">
        <f t="shared" ca="1" si="58"/>
        <v>0</v>
      </c>
      <c r="GK139" s="55">
        <f t="shared" ca="1" si="58"/>
        <v>0</v>
      </c>
      <c r="GL139" s="55">
        <f t="shared" ca="1" si="58"/>
        <v>0</v>
      </c>
      <c r="GM139" s="55">
        <f t="shared" ca="1" si="58"/>
        <v>0</v>
      </c>
      <c r="GN139" s="55">
        <f t="shared" ca="1" si="58"/>
        <v>0</v>
      </c>
      <c r="GO139" s="55">
        <f t="shared" ca="1" si="58"/>
        <v>0</v>
      </c>
      <c r="GP139" s="55">
        <f t="shared" ca="1" si="58"/>
        <v>0</v>
      </c>
      <c r="GQ139" s="55">
        <f t="shared" ca="1" si="58"/>
        <v>0</v>
      </c>
      <c r="GR139" s="55">
        <f t="shared" ca="1" si="58"/>
        <v>0</v>
      </c>
      <c r="GS139" s="55">
        <f t="shared" ca="1" si="58"/>
        <v>0</v>
      </c>
      <c r="GT139" s="55">
        <f t="shared" ca="1" si="58"/>
        <v>0</v>
      </c>
      <c r="GU139" s="55">
        <f t="shared" ca="1" si="58"/>
        <v>0</v>
      </c>
      <c r="GV139" s="55">
        <f t="shared" ca="1" si="58"/>
        <v>0</v>
      </c>
      <c r="GW139" s="55">
        <f t="shared" ca="1" si="58"/>
        <v>0</v>
      </c>
      <c r="GX139" s="55">
        <f t="shared" ca="1" si="58"/>
        <v>0</v>
      </c>
      <c r="GY139" s="55">
        <f t="shared" ca="1" si="58"/>
        <v>0</v>
      </c>
      <c r="GZ139" s="55">
        <f t="shared" ca="1" si="58"/>
        <v>0</v>
      </c>
      <c r="HA139" s="55">
        <f t="shared" ca="1" si="58"/>
        <v>0</v>
      </c>
      <c r="HB139" s="55">
        <f t="shared" ca="1" si="58"/>
        <v>0</v>
      </c>
      <c r="HC139" s="55">
        <f t="shared" ca="1" si="58"/>
        <v>-0.28636127351699997</v>
      </c>
      <c r="HD139" s="55">
        <f t="shared" ca="1" si="58"/>
        <v>0.54063368618700003</v>
      </c>
      <c r="HE139" s="55">
        <f t="shared" ca="1" si="58"/>
        <v>0</v>
      </c>
    </row>
    <row r="140" spans="1:213">
      <c r="A140" s="27">
        <v>3</v>
      </c>
      <c r="B140" s="27">
        <v>77</v>
      </c>
      <c r="C140" s="27">
        <v>0.54830100000000004</v>
      </c>
      <c r="D140" s="27">
        <v>0.302672</v>
      </c>
      <c r="E140" s="27">
        <v>41</v>
      </c>
      <c r="F140" s="27">
        <f t="shared" ca="1" si="59"/>
        <v>48</v>
      </c>
      <c r="G140" s="27">
        <f t="shared" si="54"/>
        <v>0</v>
      </c>
      <c r="H140" s="27" t="str">
        <f t="shared" si="60"/>
        <v>Sim</v>
      </c>
      <c r="I140" s="27">
        <f t="shared" si="61"/>
        <v>0</v>
      </c>
      <c r="J140" s="37">
        <f t="shared" si="62"/>
        <v>1</v>
      </c>
      <c r="K140" s="55">
        <f t="shared" si="63"/>
        <v>0.86573100000000003</v>
      </c>
      <c r="L140" s="55">
        <f t="shared" si="55"/>
        <v>0.26011600000000001</v>
      </c>
      <c r="M140" s="55">
        <f t="shared" si="55"/>
        <v>-0.19200700000000001</v>
      </c>
      <c r="N140" s="55">
        <f t="shared" si="55"/>
        <v>-0.44339400000000001</v>
      </c>
      <c r="O140" s="55">
        <f t="shared" si="55"/>
        <v>0.431925</v>
      </c>
      <c r="P140" s="55">
        <f t="shared" si="55"/>
        <v>7.9322000000000004E-2</v>
      </c>
      <c r="Q140" s="55">
        <f t="shared" si="55"/>
        <v>0.51962200000000003</v>
      </c>
      <c r="R140" s="55">
        <f t="shared" si="55"/>
        <v>-0.51019000000000003</v>
      </c>
      <c r="S140" s="55">
        <f t="shared" si="55"/>
        <v>-0.20116000000000001</v>
      </c>
      <c r="T140" s="55">
        <f t="shared" si="55"/>
        <v>-0.21779200000000001</v>
      </c>
      <c r="U140" s="55">
        <f t="shared" si="55"/>
        <v>0.87763599999999997</v>
      </c>
      <c r="V140" s="55">
        <f t="shared" si="55"/>
        <v>1.3365689999999999</v>
      </c>
      <c r="W140" s="55">
        <f t="shared" si="55"/>
        <v>0.80072900000000002</v>
      </c>
      <c r="X140" s="55">
        <f t="shared" si="55"/>
        <v>-0.15603400000000001</v>
      </c>
      <c r="Y140" s="55">
        <f t="shared" si="55"/>
        <v>-0.19306799999999999</v>
      </c>
      <c r="Z140" s="55">
        <f t="shared" si="55"/>
        <v>-1.3053049999999999</v>
      </c>
      <c r="AA140" s="55">
        <f t="shared" si="55"/>
        <v>-0.85171399999999997</v>
      </c>
      <c r="AB140" s="55">
        <f t="shared" si="55"/>
        <v>-0.50067700000000004</v>
      </c>
      <c r="AC140" s="55">
        <f t="shared" si="55"/>
        <v>-0.79435599999999995</v>
      </c>
      <c r="AD140" s="55">
        <f t="shared" si="55"/>
        <v>-1.2058519999999999</v>
      </c>
      <c r="AE140" s="55">
        <f t="shared" si="55"/>
        <v>-1.1045689999999999</v>
      </c>
      <c r="AF140" s="55">
        <f t="shared" si="55"/>
        <v>-0.39733400000000002</v>
      </c>
      <c r="AG140" s="55">
        <f t="shared" si="55"/>
        <v>-0.728078</v>
      </c>
      <c r="AH140" s="55">
        <f t="shared" si="55"/>
        <v>0.93000499999999997</v>
      </c>
      <c r="AI140" s="55">
        <f t="shared" si="55"/>
        <v>-1.10981</v>
      </c>
      <c r="AJ140" s="55">
        <f t="shared" si="55"/>
        <v>0.49109999999999998</v>
      </c>
      <c r="AK140" s="55">
        <f t="shared" si="55"/>
        <v>0.45009300000000002</v>
      </c>
      <c r="AL140" s="55">
        <f t="shared" si="55"/>
        <v>-0.49880099999999999</v>
      </c>
      <c r="AM140" s="55">
        <f t="shared" si="55"/>
        <v>-1.379103</v>
      </c>
      <c r="AN140" s="55">
        <f t="shared" si="55"/>
        <v>8.8372999999999993E-2</v>
      </c>
      <c r="AO140" s="55">
        <f t="shared" si="55"/>
        <v>-0.87578100000000003</v>
      </c>
      <c r="AP140" s="55">
        <f t="shared" si="55"/>
        <v>-1.5870000000000001E-3</v>
      </c>
      <c r="AQ140" s="55">
        <f t="shared" si="55"/>
        <v>0.24960499999999999</v>
      </c>
      <c r="AR140" s="55">
        <f t="shared" si="55"/>
        <v>0.51665499999999998</v>
      </c>
      <c r="AS140" s="55">
        <f t="shared" si="55"/>
        <v>0.89010100000000003</v>
      </c>
      <c r="AT140" s="55">
        <f t="shared" si="55"/>
        <v>0.14461299999999999</v>
      </c>
      <c r="AU140" s="55">
        <f t="shared" si="55"/>
        <v>-0.121977</v>
      </c>
      <c r="AV140" s="55">
        <f t="shared" si="55"/>
        <v>-1.275976</v>
      </c>
      <c r="AW140" s="55">
        <f t="shared" si="55"/>
        <v>0.71731</v>
      </c>
      <c r="AX140" s="55">
        <f t="shared" si="55"/>
        <v>0.48627700000000001</v>
      </c>
      <c r="AY140" s="55">
        <f t="shared" si="55"/>
        <v>0.94775399999999999</v>
      </c>
      <c r="AZ140" s="55">
        <f t="shared" si="55"/>
        <v>0.92302799999999996</v>
      </c>
      <c r="BA140" s="55">
        <f t="shared" si="55"/>
        <v>-0.50062700000000004</v>
      </c>
      <c r="BB140" s="55">
        <f t="shared" si="55"/>
        <v>0.52948799999999996</v>
      </c>
      <c r="BC140" s="55">
        <f t="shared" si="55"/>
        <v>0.97743400000000003</v>
      </c>
      <c r="BD140" s="55">
        <f t="shared" si="55"/>
        <v>-0.78965600000000002</v>
      </c>
      <c r="BE140" s="55">
        <f t="shared" si="55"/>
        <v>-0.59387999999999996</v>
      </c>
      <c r="BF140" s="55">
        <f t="shared" si="55"/>
        <v>0.99133800000000005</v>
      </c>
      <c r="BG140" s="55">
        <f t="shared" si="55"/>
        <v>0.22816400000000001</v>
      </c>
      <c r="BH140" s="55">
        <f t="shared" si="55"/>
        <v>-0.48311799999999999</v>
      </c>
      <c r="BJ140" s="55">
        <f t="shared" si="64"/>
        <v>0.94180900000000001</v>
      </c>
      <c r="BK140" s="55">
        <f t="shared" si="56"/>
        <v>-0.96661600000000003</v>
      </c>
      <c r="BL140" s="55">
        <f t="shared" si="56"/>
        <v>-1.701E-3</v>
      </c>
      <c r="BM140" s="55">
        <f t="shared" si="56"/>
        <v>-0.54540299999999997</v>
      </c>
      <c r="BN140" s="55">
        <f t="shared" si="56"/>
        <v>-0.43832100000000002</v>
      </c>
      <c r="BO140" s="55">
        <f t="shared" si="56"/>
        <v>-1.4298390000000001</v>
      </c>
      <c r="BP140" s="55">
        <f t="shared" si="56"/>
        <v>0.92647900000000005</v>
      </c>
      <c r="BQ140" s="55">
        <f t="shared" si="56"/>
        <v>-0.78257600000000005</v>
      </c>
      <c r="BR140" s="55">
        <f t="shared" si="56"/>
        <v>0.45502300000000001</v>
      </c>
      <c r="BS140" s="55">
        <f t="shared" si="56"/>
        <v>0.18059900000000001</v>
      </c>
      <c r="BT140" s="55">
        <f t="shared" si="56"/>
        <v>-0.34862500000000002</v>
      </c>
      <c r="BU140" s="55">
        <f t="shared" si="56"/>
        <v>-0.84838400000000003</v>
      </c>
      <c r="BV140" s="55">
        <f t="shared" si="56"/>
        <v>0.65981699999999999</v>
      </c>
      <c r="BW140" s="55">
        <f t="shared" si="56"/>
        <v>-1.4716579999999999</v>
      </c>
      <c r="BX140" s="55">
        <f t="shared" si="56"/>
        <v>1.3420000000000001E-3</v>
      </c>
      <c r="BY140" s="55">
        <f t="shared" si="56"/>
        <v>-3.8100000000000002E-2</v>
      </c>
      <c r="BZ140" s="55">
        <f t="shared" si="56"/>
        <v>-0.96284999999999998</v>
      </c>
      <c r="CA140" s="55">
        <f t="shared" si="56"/>
        <v>0.84333599999999997</v>
      </c>
      <c r="CB140" s="55">
        <f t="shared" si="56"/>
        <v>0.60397100000000004</v>
      </c>
      <c r="CC140" s="55">
        <f t="shared" si="56"/>
        <v>-1.6871149999999999</v>
      </c>
      <c r="CD140" s="55">
        <f t="shared" si="56"/>
        <v>-0.68394600000000005</v>
      </c>
      <c r="CE140" s="55">
        <f t="shared" si="56"/>
        <v>0.61243499999999995</v>
      </c>
      <c r="CF140" s="55">
        <f t="shared" si="56"/>
        <v>0.67593400000000003</v>
      </c>
      <c r="CG140" s="55">
        <f t="shared" si="56"/>
        <v>0.32172499999999998</v>
      </c>
      <c r="CH140" s="55">
        <f t="shared" si="56"/>
        <v>-0.48714099999999999</v>
      </c>
      <c r="CI140" s="55">
        <f t="shared" si="56"/>
        <v>-0.543597</v>
      </c>
      <c r="CJ140" s="55">
        <f t="shared" si="56"/>
        <v>-0.49929000000000001</v>
      </c>
      <c r="CK140" s="55">
        <f t="shared" si="56"/>
        <v>0.19483600000000001</v>
      </c>
      <c r="CL140" s="55">
        <f t="shared" si="56"/>
        <v>-0.87549399999999999</v>
      </c>
      <c r="CM140" s="55">
        <f t="shared" si="56"/>
        <v>-0.78691800000000001</v>
      </c>
      <c r="CN140" s="55">
        <f t="shared" si="56"/>
        <v>0.32993400000000001</v>
      </c>
      <c r="CO140" s="55">
        <f t="shared" si="56"/>
        <v>-0.41718</v>
      </c>
      <c r="CP140" s="55">
        <f t="shared" si="56"/>
        <v>-0.25569599999999998</v>
      </c>
      <c r="CQ140" s="55">
        <f t="shared" si="56"/>
        <v>-0.97838499999999995</v>
      </c>
      <c r="CR140" s="55">
        <f t="shared" si="56"/>
        <v>-0.55299500000000001</v>
      </c>
      <c r="CS140" s="55">
        <f t="shared" si="56"/>
        <v>-1.1587E-2</v>
      </c>
      <c r="CT140" s="55">
        <f t="shared" si="56"/>
        <v>-0.10553800000000001</v>
      </c>
      <c r="CU140" s="55">
        <f t="shared" si="56"/>
        <v>0.33248499999999998</v>
      </c>
      <c r="CV140" s="55">
        <f t="shared" si="56"/>
        <v>0.36088500000000001</v>
      </c>
      <c r="CW140" s="55">
        <f t="shared" si="56"/>
        <v>0.129166</v>
      </c>
      <c r="CX140" s="55">
        <f t="shared" si="56"/>
        <v>0.195464</v>
      </c>
      <c r="CY140" s="55">
        <f t="shared" si="56"/>
        <v>-0.39376699999999998</v>
      </c>
      <c r="CZ140" s="55">
        <f t="shared" si="56"/>
        <v>0.58815799999999996</v>
      </c>
      <c r="DA140" s="55">
        <f t="shared" si="56"/>
        <v>-0.56207700000000005</v>
      </c>
      <c r="DB140" s="55">
        <f t="shared" si="56"/>
        <v>-0.127944</v>
      </c>
      <c r="DC140" s="55">
        <f t="shared" si="56"/>
        <v>5.8170000000000001E-3</v>
      </c>
      <c r="DD140" s="55">
        <f t="shared" si="56"/>
        <v>1.0401769999999999</v>
      </c>
      <c r="DE140" s="55">
        <f t="shared" si="56"/>
        <v>0.38863900000000001</v>
      </c>
      <c r="DF140" s="55">
        <f t="shared" si="56"/>
        <v>0.71790500000000002</v>
      </c>
      <c r="DG140" s="55">
        <f t="shared" si="56"/>
        <v>-1.2433989999999999</v>
      </c>
      <c r="DI140" s="55">
        <f t="shared" ca="1" si="65"/>
        <v>0.86573100000000003</v>
      </c>
      <c r="DJ140" s="55">
        <f t="shared" ca="1" si="66"/>
        <v>0.26011600000000001</v>
      </c>
      <c r="DK140" s="55">
        <f t="shared" ca="1" si="67"/>
        <v>-0.19200700000000001</v>
      </c>
      <c r="DL140" s="55">
        <f t="shared" ca="1" si="68"/>
        <v>-0.44339400000000001</v>
      </c>
      <c r="DM140" s="55">
        <f t="shared" ca="1" si="69"/>
        <v>0.431925</v>
      </c>
      <c r="DN140" s="55">
        <f t="shared" ca="1" si="70"/>
        <v>7.9322000000000004E-2</v>
      </c>
      <c r="DO140" s="55">
        <f t="shared" ca="1" si="71"/>
        <v>0.51962200000000003</v>
      </c>
      <c r="DP140" s="55">
        <f t="shared" ca="1" si="72"/>
        <v>-0.51019000000000003</v>
      </c>
      <c r="DQ140" s="55">
        <f t="shared" ca="1" si="73"/>
        <v>-0.20116000000000001</v>
      </c>
      <c r="DR140" s="55">
        <f t="shared" ca="1" si="74"/>
        <v>-0.21779200000000001</v>
      </c>
      <c r="DS140" s="55">
        <f t="shared" ca="1" si="75"/>
        <v>0.87763599999999997</v>
      </c>
      <c r="DT140" s="55">
        <f t="shared" ca="1" si="76"/>
        <v>1.3365689999999999</v>
      </c>
      <c r="DU140" s="55">
        <f t="shared" ca="1" si="77"/>
        <v>0.80072900000000002</v>
      </c>
      <c r="DV140" s="55">
        <f t="shared" ca="1" si="78"/>
        <v>-0.15603400000000001</v>
      </c>
      <c r="DW140" s="55">
        <f t="shared" ca="1" si="79"/>
        <v>-0.19306799999999999</v>
      </c>
      <c r="DX140" s="55">
        <f t="shared" ca="1" si="80"/>
        <v>-1.3053049999999999</v>
      </c>
      <c r="DY140" s="55">
        <f t="shared" ca="1" si="81"/>
        <v>-0.85171399999999997</v>
      </c>
      <c r="DZ140" s="55">
        <f t="shared" ca="1" si="82"/>
        <v>-0.50067700000000004</v>
      </c>
      <c r="EA140" s="55">
        <f t="shared" ca="1" si="83"/>
        <v>-0.79435599999999995</v>
      </c>
      <c r="EB140" s="55">
        <f t="shared" ca="1" si="84"/>
        <v>-1.2058519999999999</v>
      </c>
      <c r="EC140" s="55">
        <f t="shared" ca="1" si="85"/>
        <v>-1.1045689999999999</v>
      </c>
      <c r="ED140" s="55">
        <f t="shared" ca="1" si="86"/>
        <v>-0.39733400000000002</v>
      </c>
      <c r="EE140" s="55">
        <f t="shared" ca="1" si="87"/>
        <v>-0.728078</v>
      </c>
      <c r="EF140" s="55">
        <f t="shared" ca="1" si="88"/>
        <v>0.93000499999999997</v>
      </c>
      <c r="EG140" s="55">
        <f t="shared" ca="1" si="89"/>
        <v>-1.10981</v>
      </c>
      <c r="EH140" s="55">
        <f t="shared" ca="1" si="90"/>
        <v>0.49109999999999998</v>
      </c>
      <c r="EI140" s="55">
        <f t="shared" ca="1" si="91"/>
        <v>0.45009300000000002</v>
      </c>
      <c r="EJ140" s="55">
        <f t="shared" ca="1" si="92"/>
        <v>-0.49880099999999999</v>
      </c>
      <c r="EK140" s="55">
        <f t="shared" ca="1" si="93"/>
        <v>-1.379103</v>
      </c>
      <c r="EL140" s="55">
        <f t="shared" ca="1" si="94"/>
        <v>8.8372999999999993E-2</v>
      </c>
      <c r="EM140" s="55">
        <f t="shared" ca="1" si="95"/>
        <v>-0.87578100000000003</v>
      </c>
      <c r="EN140" s="55">
        <f t="shared" ca="1" si="96"/>
        <v>-1.5870000000000001E-3</v>
      </c>
      <c r="EO140" s="55">
        <f t="shared" ca="1" si="97"/>
        <v>0.24960499999999999</v>
      </c>
      <c r="EP140" s="55">
        <f t="shared" ca="1" si="98"/>
        <v>0.51665499999999998</v>
      </c>
      <c r="EQ140" s="55">
        <f t="shared" ca="1" si="99"/>
        <v>0.89010100000000003</v>
      </c>
      <c r="ER140" s="55">
        <f t="shared" ca="1" si="100"/>
        <v>0.14461299999999999</v>
      </c>
      <c r="ES140" s="55">
        <f t="shared" ca="1" si="101"/>
        <v>-0.121977</v>
      </c>
      <c r="ET140" s="55">
        <f t="shared" ca="1" si="102"/>
        <v>-1.275976</v>
      </c>
      <c r="EU140" s="55">
        <f t="shared" ca="1" si="103"/>
        <v>0.71731</v>
      </c>
      <c r="EV140" s="55">
        <f t="shared" ca="1" si="104"/>
        <v>0.48627700000000001</v>
      </c>
      <c r="EW140" s="55">
        <f t="shared" ca="1" si="105"/>
        <v>0.94775399999999999</v>
      </c>
      <c r="EX140" s="55">
        <f t="shared" ca="1" si="106"/>
        <v>4.789976240000049E-3</v>
      </c>
      <c r="EY140" s="55">
        <f t="shared" ca="1" si="107"/>
        <v>0.25861326647999994</v>
      </c>
      <c r="EZ140" s="55">
        <f t="shared" ca="1" si="108"/>
        <v>-0.23169083832000001</v>
      </c>
      <c r="FA140" s="55">
        <f t="shared" ca="1" si="109"/>
        <v>0.206622970016</v>
      </c>
      <c r="FB140" s="55">
        <f t="shared" ca="1" si="110"/>
        <v>-0.23495040385600002</v>
      </c>
      <c r="FC140" s="55">
        <f t="shared" ca="1" si="111"/>
        <v>0.54559369969599991</v>
      </c>
      <c r="FD140" s="55">
        <f t="shared" ca="1" si="112"/>
        <v>0.57105911172799995</v>
      </c>
      <c r="FE140" s="55">
        <f t="shared" ca="1" si="113"/>
        <v>0.22816400000000001</v>
      </c>
      <c r="FF140" s="55">
        <f t="shared" ca="1" si="114"/>
        <v>-0.48311799999999999</v>
      </c>
      <c r="FH140" s="55">
        <f t="shared" ca="1" si="115"/>
        <v>0</v>
      </c>
      <c r="FI140" s="55">
        <f t="shared" ca="1" si="58"/>
        <v>0</v>
      </c>
      <c r="FJ140" s="55">
        <f t="shared" ca="1" si="58"/>
        <v>0</v>
      </c>
      <c r="FK140" s="55">
        <f t="shared" ca="1" si="58"/>
        <v>0</v>
      </c>
      <c r="FL140" s="55">
        <f t="shared" ca="1" si="58"/>
        <v>0</v>
      </c>
      <c r="FM140" s="55">
        <f t="shared" ca="1" si="58"/>
        <v>0</v>
      </c>
      <c r="FN140" s="55">
        <f t="shared" ca="1" si="58"/>
        <v>0</v>
      </c>
      <c r="FO140" s="55">
        <f t="shared" ca="1" si="58"/>
        <v>0</v>
      </c>
      <c r="FP140" s="55">
        <f t="shared" ca="1" si="58"/>
        <v>0</v>
      </c>
      <c r="FQ140" s="55">
        <f t="shared" ca="1" si="58"/>
        <v>0</v>
      </c>
      <c r="FR140" s="55">
        <f t="shared" ca="1" si="58"/>
        <v>0</v>
      </c>
      <c r="FS140" s="55">
        <f t="shared" ca="1" si="58"/>
        <v>0</v>
      </c>
      <c r="FT140" s="55">
        <f t="shared" ca="1" si="58"/>
        <v>0</v>
      </c>
      <c r="FU140" s="55">
        <f t="shared" ca="1" si="58"/>
        <v>0</v>
      </c>
      <c r="FV140" s="55">
        <f t="shared" ca="1" si="58"/>
        <v>0</v>
      </c>
      <c r="FW140" s="55">
        <f t="shared" ca="1" si="58"/>
        <v>0</v>
      </c>
      <c r="FX140" s="55">
        <f t="shared" ca="1" si="58"/>
        <v>0</v>
      </c>
      <c r="FY140" s="55">
        <f t="shared" ca="1" si="58"/>
        <v>0</v>
      </c>
      <c r="FZ140" s="55">
        <f t="shared" ca="1" si="58"/>
        <v>0</v>
      </c>
      <c r="GA140" s="55">
        <f t="shared" ca="1" si="58"/>
        <v>0</v>
      </c>
      <c r="GB140" s="55">
        <f t="shared" ca="1" si="58"/>
        <v>0</v>
      </c>
      <c r="GC140" s="55">
        <f t="shared" ca="1" si="58"/>
        <v>0</v>
      </c>
      <c r="GD140" s="55">
        <f t="shared" ca="1" si="58"/>
        <v>0</v>
      </c>
      <c r="GE140" s="55">
        <f t="shared" ca="1" si="58"/>
        <v>0</v>
      </c>
      <c r="GF140" s="55">
        <f t="shared" ca="1" si="58"/>
        <v>0</v>
      </c>
      <c r="GG140" s="55">
        <f t="shared" ca="1" si="58"/>
        <v>0</v>
      </c>
      <c r="GH140" s="55">
        <f t="shared" ca="1" si="58"/>
        <v>0</v>
      </c>
      <c r="GI140" s="55">
        <f t="shared" ca="1" si="58"/>
        <v>0</v>
      </c>
      <c r="GJ140" s="55">
        <f t="shared" ca="1" si="58"/>
        <v>0</v>
      </c>
      <c r="GK140" s="55">
        <f t="shared" ca="1" si="58"/>
        <v>0</v>
      </c>
      <c r="GL140" s="55">
        <f t="shared" ca="1" si="58"/>
        <v>0</v>
      </c>
      <c r="GM140" s="55">
        <f t="shared" ca="1" si="58"/>
        <v>0</v>
      </c>
      <c r="GN140" s="55">
        <f t="shared" ca="1" si="58"/>
        <v>0</v>
      </c>
      <c r="GO140" s="55">
        <f t="shared" ca="1" si="58"/>
        <v>0</v>
      </c>
      <c r="GP140" s="55">
        <f t="shared" ca="1" si="58"/>
        <v>0</v>
      </c>
      <c r="GQ140" s="55">
        <f t="shared" ca="1" si="58"/>
        <v>0</v>
      </c>
      <c r="GR140" s="55">
        <f t="shared" ca="1" si="58"/>
        <v>0</v>
      </c>
      <c r="GS140" s="55">
        <f t="shared" ca="1" si="58"/>
        <v>0</v>
      </c>
      <c r="GT140" s="55">
        <f t="shared" ca="1" si="58"/>
        <v>0</v>
      </c>
      <c r="GU140" s="55">
        <f t="shared" ca="1" si="58"/>
        <v>0</v>
      </c>
      <c r="GV140" s="55">
        <f t="shared" ca="1" si="58"/>
        <v>0</v>
      </c>
      <c r="GW140" s="55">
        <f t="shared" ca="1" si="58"/>
        <v>-0.91823802375999986</v>
      </c>
      <c r="GX140" s="55">
        <f t="shared" ca="1" si="58"/>
        <v>0.75924026647999998</v>
      </c>
      <c r="GY140" s="55">
        <f t="shared" ca="1" si="58"/>
        <v>-0.76117883832</v>
      </c>
      <c r="GZ140" s="55">
        <f t="shared" ca="1" si="58"/>
        <v>-0.77081102998400008</v>
      </c>
      <c r="HA140" s="55">
        <f t="shared" ca="1" si="58"/>
        <v>0.55470559614399995</v>
      </c>
      <c r="HB140" s="55">
        <f t="shared" ca="1" si="58"/>
        <v>1.139473699696</v>
      </c>
      <c r="HC140" s="55">
        <f t="shared" ca="1" si="58"/>
        <v>-0.42027888827200011</v>
      </c>
      <c r="HD140" s="55">
        <f t="shared" ca="1" si="58"/>
        <v>0</v>
      </c>
      <c r="HE140" s="55">
        <f t="shared" ca="1" si="58"/>
        <v>0</v>
      </c>
    </row>
    <row r="141" spans="1:213">
      <c r="A141" s="27">
        <v>4</v>
      </c>
      <c r="B141" s="27">
        <v>47</v>
      </c>
      <c r="C141" s="27">
        <v>0.97658500000000004</v>
      </c>
      <c r="D141" s="27">
        <v>0.73921000000000003</v>
      </c>
      <c r="E141" s="27">
        <v>11</v>
      </c>
      <c r="F141" s="27">
        <f t="shared" ca="1" si="59"/>
        <v>14</v>
      </c>
      <c r="G141" s="27">
        <f t="shared" si="54"/>
        <v>0</v>
      </c>
      <c r="H141" s="27" t="str">
        <f t="shared" si="60"/>
        <v>Não</v>
      </c>
      <c r="I141" s="27">
        <f t="shared" si="61"/>
        <v>0</v>
      </c>
      <c r="J141" s="37">
        <f t="shared" si="62"/>
        <v>0</v>
      </c>
      <c r="K141" s="55">
        <f t="shared" si="63"/>
        <v>0.101844</v>
      </c>
      <c r="L141" s="55">
        <f t="shared" si="55"/>
        <v>-0.93176599999999998</v>
      </c>
      <c r="M141" s="55">
        <f t="shared" si="55"/>
        <v>-0.38437100000000002</v>
      </c>
      <c r="N141" s="55">
        <f t="shared" si="55"/>
        <v>-1.5538350000000001</v>
      </c>
      <c r="O141" s="55">
        <f t="shared" si="55"/>
        <v>-0.73569700000000005</v>
      </c>
      <c r="P141" s="55">
        <f t="shared" si="55"/>
        <v>0.52304499999999998</v>
      </c>
      <c r="Q141" s="55">
        <f t="shared" si="55"/>
        <v>-2.8447E-2</v>
      </c>
      <c r="R141" s="55">
        <f t="shared" si="55"/>
        <v>0.28006399999999998</v>
      </c>
      <c r="S141" s="55">
        <f t="shared" si="55"/>
        <v>-0.76220299999999996</v>
      </c>
      <c r="T141" s="55">
        <f t="shared" si="55"/>
        <v>0.44737199999999999</v>
      </c>
      <c r="U141" s="55">
        <f t="shared" si="55"/>
        <v>-6.7625000000000005E-2</v>
      </c>
      <c r="V141" s="55">
        <f t="shared" si="55"/>
        <v>0.86144699999999996</v>
      </c>
      <c r="W141" s="55">
        <f t="shared" si="55"/>
        <v>-0.157302</v>
      </c>
      <c r="X141" s="55">
        <f t="shared" si="55"/>
        <v>-0.732626</v>
      </c>
      <c r="Y141" s="55">
        <f t="shared" si="55"/>
        <v>0.96474400000000005</v>
      </c>
      <c r="Z141" s="55">
        <f t="shared" si="55"/>
        <v>0.197606</v>
      </c>
      <c r="AA141" s="55">
        <f t="shared" si="55"/>
        <v>1.3932469999999999</v>
      </c>
      <c r="AB141" s="55">
        <f t="shared" si="55"/>
        <v>-0.14077300000000001</v>
      </c>
      <c r="AC141" s="55">
        <f t="shared" si="55"/>
        <v>0.709592</v>
      </c>
      <c r="AD141" s="55">
        <f t="shared" si="55"/>
        <v>0.93244099999999996</v>
      </c>
      <c r="AE141" s="55">
        <f t="shared" si="55"/>
        <v>8.5971000000000006E-2</v>
      </c>
      <c r="AF141" s="55">
        <f t="shared" si="55"/>
        <v>0.90919099999999997</v>
      </c>
      <c r="AG141" s="55">
        <f t="shared" si="55"/>
        <v>-0.95799599999999996</v>
      </c>
      <c r="AH141" s="55">
        <f t="shared" si="55"/>
        <v>-0.71162499999999995</v>
      </c>
      <c r="AI141" s="55">
        <f t="shared" si="55"/>
        <v>-0.80664899999999995</v>
      </c>
      <c r="AJ141" s="55">
        <f t="shared" si="55"/>
        <v>-0.388681</v>
      </c>
      <c r="AK141" s="55">
        <f t="shared" si="55"/>
        <v>1.100587</v>
      </c>
      <c r="AL141" s="55">
        <f t="shared" si="55"/>
        <v>0.90513100000000002</v>
      </c>
      <c r="AM141" s="55">
        <f t="shared" si="55"/>
        <v>0.40033600000000003</v>
      </c>
      <c r="AN141" s="55">
        <f t="shared" si="55"/>
        <v>-2.6057E-2</v>
      </c>
      <c r="AO141" s="55">
        <f t="shared" si="55"/>
        <v>-0.66838799999999998</v>
      </c>
      <c r="AP141" s="55">
        <f t="shared" si="55"/>
        <v>-0.61999499999999996</v>
      </c>
      <c r="AQ141" s="55">
        <f t="shared" si="55"/>
        <v>-0.47625600000000001</v>
      </c>
      <c r="AR141" s="55">
        <f t="shared" si="55"/>
        <v>0.60118099999999997</v>
      </c>
      <c r="AS141" s="55">
        <f t="shared" si="55"/>
        <v>-0.56541600000000003</v>
      </c>
      <c r="AT141" s="55">
        <f t="shared" si="55"/>
        <v>0.35481200000000002</v>
      </c>
      <c r="AU141" s="55">
        <f t="shared" si="55"/>
        <v>7.5923000000000004E-2</v>
      </c>
      <c r="AV141" s="55">
        <f t="shared" si="55"/>
        <v>0.110385</v>
      </c>
      <c r="AW141" s="55">
        <f t="shared" si="55"/>
        <v>0.66152200000000005</v>
      </c>
      <c r="AX141" s="55">
        <f t="shared" si="55"/>
        <v>-0.57309299999999996</v>
      </c>
      <c r="AY141" s="55">
        <f t="shared" si="55"/>
        <v>0.67266899999999996</v>
      </c>
      <c r="AZ141" s="55">
        <f t="shared" si="55"/>
        <v>0.28047499999999997</v>
      </c>
      <c r="BA141" s="55">
        <f t="shared" si="55"/>
        <v>-0.85598099999999999</v>
      </c>
      <c r="BB141" s="55">
        <f t="shared" si="55"/>
        <v>-0.291238</v>
      </c>
      <c r="BC141" s="55">
        <f t="shared" si="55"/>
        <v>-1.6941079999999999</v>
      </c>
      <c r="BD141" s="55">
        <f t="shared" si="55"/>
        <v>-0.17477300000000001</v>
      </c>
      <c r="BE141" s="55">
        <f t="shared" si="55"/>
        <v>0.590804</v>
      </c>
      <c r="BF141" s="55">
        <f t="shared" si="55"/>
        <v>0.44248199999999999</v>
      </c>
      <c r="BG141" s="55">
        <f t="shared" si="55"/>
        <v>-0.55532800000000004</v>
      </c>
      <c r="BH141" s="55">
        <f t="shared" si="55"/>
        <v>-3.5145000000000003E-2</v>
      </c>
      <c r="BJ141" s="55">
        <f t="shared" si="64"/>
        <v>-0.39273999999999998</v>
      </c>
      <c r="BK141" s="55">
        <f t="shared" si="56"/>
        <v>0.69454800000000005</v>
      </c>
      <c r="BL141" s="55">
        <f t="shared" si="56"/>
        <v>4.0208000000000001E-2</v>
      </c>
      <c r="BM141" s="55">
        <f t="shared" si="56"/>
        <v>0.54447299999999998</v>
      </c>
      <c r="BN141" s="55">
        <f t="shared" si="56"/>
        <v>-0.45896700000000001</v>
      </c>
      <c r="BO141" s="55">
        <f t="shared" si="56"/>
        <v>0.48727199999999998</v>
      </c>
      <c r="BP141" s="55">
        <f t="shared" si="56"/>
        <v>0.351439</v>
      </c>
      <c r="BQ141" s="55">
        <f t="shared" si="56"/>
        <v>-0.191992</v>
      </c>
      <c r="BR141" s="55">
        <f t="shared" si="56"/>
        <v>-0.91768499999999997</v>
      </c>
      <c r="BS141" s="55">
        <f t="shared" si="56"/>
        <v>-1.2897940000000001</v>
      </c>
      <c r="BT141" s="55">
        <f t="shared" si="56"/>
        <v>8.7781999999999999E-2</v>
      </c>
      <c r="BU141" s="55">
        <f t="shared" si="56"/>
        <v>-0.10591399999999999</v>
      </c>
      <c r="BV141" s="55">
        <f t="shared" si="56"/>
        <v>-0.44226599999999999</v>
      </c>
      <c r="BW141" s="55">
        <f t="shared" si="56"/>
        <v>0.35954999999999998</v>
      </c>
      <c r="BX141" s="55">
        <f t="shared" si="56"/>
        <v>0.43825799999999998</v>
      </c>
      <c r="BY141" s="55">
        <f t="shared" si="56"/>
        <v>-0.80034700000000003</v>
      </c>
      <c r="BZ141" s="55">
        <f t="shared" si="56"/>
        <v>-0.54747699999999999</v>
      </c>
      <c r="CA141" s="55">
        <f t="shared" si="56"/>
        <v>-0.32855600000000001</v>
      </c>
      <c r="CB141" s="55">
        <f t="shared" si="56"/>
        <v>1.560214</v>
      </c>
      <c r="CC141" s="55">
        <f t="shared" si="56"/>
        <v>-0.30081000000000002</v>
      </c>
      <c r="CD141" s="55">
        <f t="shared" si="56"/>
        <v>-1.457616</v>
      </c>
      <c r="CE141" s="55">
        <f t="shared" si="56"/>
        <v>0.84435099999999996</v>
      </c>
      <c r="CF141" s="55">
        <f t="shared" si="56"/>
        <v>6.3188999999999995E-2</v>
      </c>
      <c r="CG141" s="55">
        <f t="shared" si="56"/>
        <v>0.83720799999999995</v>
      </c>
      <c r="CH141" s="55">
        <f t="shared" si="56"/>
        <v>0.11751399999999999</v>
      </c>
      <c r="CI141" s="55">
        <f t="shared" si="56"/>
        <v>-0.122228</v>
      </c>
      <c r="CJ141" s="55">
        <f t="shared" si="56"/>
        <v>0.275868</v>
      </c>
      <c r="CK141" s="55">
        <f t="shared" si="56"/>
        <v>0.94771300000000003</v>
      </c>
      <c r="CL141" s="55">
        <f t="shared" si="56"/>
        <v>0.39544499999999999</v>
      </c>
      <c r="CM141" s="55">
        <f t="shared" si="56"/>
        <v>0.48274499999999998</v>
      </c>
      <c r="CN141" s="55">
        <f t="shared" si="56"/>
        <v>0.54835100000000003</v>
      </c>
      <c r="CO141" s="55">
        <f t="shared" si="56"/>
        <v>-1.5755570000000001</v>
      </c>
      <c r="CP141" s="55">
        <f t="shared" si="56"/>
        <v>0.320656</v>
      </c>
      <c r="CQ141" s="55">
        <f t="shared" si="56"/>
        <v>-1.3234319999999999</v>
      </c>
      <c r="CR141" s="55">
        <f t="shared" si="56"/>
        <v>-1.224877</v>
      </c>
      <c r="CS141" s="55">
        <f t="shared" si="56"/>
        <v>-0.186582</v>
      </c>
      <c r="CT141" s="55">
        <f t="shared" si="56"/>
        <v>0.33895799999999998</v>
      </c>
      <c r="CU141" s="55">
        <f t="shared" si="56"/>
        <v>9.2895000000000005E-2</v>
      </c>
      <c r="CV141" s="55">
        <f t="shared" si="56"/>
        <v>0.99318200000000001</v>
      </c>
      <c r="CW141" s="55">
        <f t="shared" si="56"/>
        <v>0.50696799999999997</v>
      </c>
      <c r="CX141" s="55">
        <f t="shared" si="56"/>
        <v>0.240587</v>
      </c>
      <c r="CY141" s="55">
        <f t="shared" si="56"/>
        <v>0.16120300000000001</v>
      </c>
      <c r="CZ141" s="55">
        <f t="shared" si="56"/>
        <v>-0.61085699999999998</v>
      </c>
      <c r="DA141" s="55">
        <f t="shared" si="56"/>
        <v>-0.13264599999999999</v>
      </c>
      <c r="DB141" s="55">
        <f t="shared" si="56"/>
        <v>-0.26988699999999999</v>
      </c>
      <c r="DC141" s="55">
        <f t="shared" si="56"/>
        <v>0.17993799999999999</v>
      </c>
      <c r="DD141" s="55">
        <f t="shared" si="56"/>
        <v>0.35216399999999998</v>
      </c>
      <c r="DE141" s="55">
        <f t="shared" si="56"/>
        <v>-0.67868200000000001</v>
      </c>
      <c r="DF141" s="55">
        <f t="shared" si="56"/>
        <v>-5.6218999999999998E-2</v>
      </c>
      <c r="DG141" s="55">
        <f t="shared" si="56"/>
        <v>-1.2801910000000001</v>
      </c>
      <c r="DI141" s="55">
        <f t="shared" ca="1" si="65"/>
        <v>0.101844</v>
      </c>
      <c r="DJ141" s="55">
        <f t="shared" ca="1" si="66"/>
        <v>-0.93176599999999998</v>
      </c>
      <c r="DK141" s="55">
        <f t="shared" ca="1" si="67"/>
        <v>-0.38437100000000002</v>
      </c>
      <c r="DL141" s="55">
        <f t="shared" ca="1" si="68"/>
        <v>-1.5538350000000001</v>
      </c>
      <c r="DM141" s="55">
        <f t="shared" ca="1" si="69"/>
        <v>-0.73569700000000005</v>
      </c>
      <c r="DN141" s="55">
        <f t="shared" ca="1" si="70"/>
        <v>0.52304499999999998</v>
      </c>
      <c r="DO141" s="55">
        <f t="shared" ca="1" si="71"/>
        <v>-2.8447E-2</v>
      </c>
      <c r="DP141" s="55">
        <f t="shared" ca="1" si="72"/>
        <v>0.28006399999999998</v>
      </c>
      <c r="DQ141" s="55">
        <f t="shared" ca="1" si="73"/>
        <v>-0.76220299999999996</v>
      </c>
      <c r="DR141" s="55">
        <f t="shared" ca="1" si="74"/>
        <v>0.44737199999999999</v>
      </c>
      <c r="DS141" s="55">
        <f t="shared" ca="1" si="75"/>
        <v>-6.7625000000000005E-2</v>
      </c>
      <c r="DT141" s="55">
        <f t="shared" ca="1" si="76"/>
        <v>0.86144699999999996</v>
      </c>
      <c r="DU141" s="55">
        <f t="shared" ca="1" si="77"/>
        <v>-0.157302</v>
      </c>
      <c r="DV141" s="55">
        <f t="shared" ca="1" si="78"/>
        <v>-0.732626</v>
      </c>
      <c r="DW141" s="55">
        <f t="shared" ca="1" si="79"/>
        <v>0.96474400000000005</v>
      </c>
      <c r="DX141" s="55">
        <f t="shared" ca="1" si="80"/>
        <v>0.197606</v>
      </c>
      <c r="DY141" s="55">
        <f t="shared" ca="1" si="81"/>
        <v>1.3932469999999999</v>
      </c>
      <c r="DZ141" s="55">
        <f t="shared" ca="1" si="82"/>
        <v>-0.14077300000000001</v>
      </c>
      <c r="EA141" s="55">
        <f t="shared" ca="1" si="83"/>
        <v>0.709592</v>
      </c>
      <c r="EB141" s="55">
        <f t="shared" ca="1" si="84"/>
        <v>0.93244099999999996</v>
      </c>
      <c r="EC141" s="55">
        <f t="shared" ca="1" si="85"/>
        <v>8.5971000000000006E-2</v>
      </c>
      <c r="ED141" s="55">
        <f t="shared" ca="1" si="86"/>
        <v>0.90919099999999997</v>
      </c>
      <c r="EE141" s="55">
        <f t="shared" ca="1" si="87"/>
        <v>-0.95799599999999996</v>
      </c>
      <c r="EF141" s="55">
        <f t="shared" ca="1" si="88"/>
        <v>-0.71162499999999995</v>
      </c>
      <c r="EG141" s="55">
        <f t="shared" ca="1" si="89"/>
        <v>-0.80664899999999995</v>
      </c>
      <c r="EH141" s="55">
        <f t="shared" ca="1" si="90"/>
        <v>-0.388681</v>
      </c>
      <c r="EI141" s="55">
        <f t="shared" ca="1" si="91"/>
        <v>1.100587</v>
      </c>
      <c r="EJ141" s="55">
        <f t="shared" ca="1" si="92"/>
        <v>0.90513100000000002</v>
      </c>
      <c r="EK141" s="55">
        <f t="shared" ca="1" si="93"/>
        <v>0.40033600000000003</v>
      </c>
      <c r="EL141" s="55">
        <f t="shared" ca="1" si="94"/>
        <v>-2.6057E-2</v>
      </c>
      <c r="EM141" s="55">
        <f t="shared" ca="1" si="95"/>
        <v>-0.66838799999999998</v>
      </c>
      <c r="EN141" s="55">
        <f t="shared" ca="1" si="96"/>
        <v>-0.61999499999999996</v>
      </c>
      <c r="EO141" s="55">
        <f t="shared" ca="1" si="97"/>
        <v>-0.47625600000000001</v>
      </c>
      <c r="EP141" s="55">
        <f t="shared" ca="1" si="98"/>
        <v>0.60118099999999997</v>
      </c>
      <c r="EQ141" s="55">
        <f t="shared" ca="1" si="99"/>
        <v>-0.56541600000000003</v>
      </c>
      <c r="ER141" s="55">
        <f t="shared" ca="1" si="100"/>
        <v>0.35481200000000002</v>
      </c>
      <c r="ES141" s="55">
        <f t="shared" ca="1" si="101"/>
        <v>7.5923000000000004E-2</v>
      </c>
      <c r="ET141" s="55">
        <f t="shared" ca="1" si="102"/>
        <v>0.110385</v>
      </c>
      <c r="EU141" s="55">
        <f t="shared" ca="1" si="103"/>
        <v>0.66152200000000005</v>
      </c>
      <c r="EV141" s="55">
        <f t="shared" ca="1" si="104"/>
        <v>-0.57309299999999996</v>
      </c>
      <c r="EW141" s="55">
        <f t="shared" ca="1" si="105"/>
        <v>0.67266899999999996</v>
      </c>
      <c r="EX141" s="55">
        <f t="shared" ca="1" si="106"/>
        <v>0.28047499999999997</v>
      </c>
      <c r="EY141" s="55">
        <f t="shared" ca="1" si="107"/>
        <v>-0.85598099999999999</v>
      </c>
      <c r="EZ141" s="55">
        <f t="shared" ca="1" si="108"/>
        <v>-0.291238</v>
      </c>
      <c r="FA141" s="55">
        <f t="shared" ca="1" si="109"/>
        <v>-1.6941079999999999</v>
      </c>
      <c r="FB141" s="55">
        <f t="shared" ca="1" si="110"/>
        <v>-0.17477300000000001</v>
      </c>
      <c r="FC141" s="55">
        <f t="shared" ca="1" si="111"/>
        <v>0.590804</v>
      </c>
      <c r="FD141" s="55">
        <f t="shared" ca="1" si="112"/>
        <v>0.44248199999999999</v>
      </c>
      <c r="FE141" s="55">
        <f t="shared" ca="1" si="113"/>
        <v>-0.55532800000000004</v>
      </c>
      <c r="FF141" s="55">
        <f t="shared" ca="1" si="114"/>
        <v>-3.5145000000000003E-2</v>
      </c>
      <c r="FH141" s="55">
        <f t="shared" ca="1" si="115"/>
        <v>0</v>
      </c>
      <c r="FI141" s="55">
        <f t="shared" ca="1" si="58"/>
        <v>0</v>
      </c>
      <c r="FJ141" s="55">
        <f t="shared" ca="1" si="58"/>
        <v>0</v>
      </c>
      <c r="FK141" s="55">
        <f t="shared" ca="1" si="58"/>
        <v>0</v>
      </c>
      <c r="FL141" s="55">
        <f t="shared" ca="1" si="58"/>
        <v>0</v>
      </c>
      <c r="FM141" s="55">
        <f t="shared" ca="1" si="58"/>
        <v>0</v>
      </c>
      <c r="FN141" s="55">
        <f t="shared" ca="1" si="58"/>
        <v>0</v>
      </c>
      <c r="FO141" s="55">
        <f t="shared" ca="1" si="58"/>
        <v>0</v>
      </c>
      <c r="FP141" s="55">
        <f t="shared" ca="1" si="58"/>
        <v>0</v>
      </c>
      <c r="FQ141" s="55">
        <f t="shared" ca="1" si="58"/>
        <v>0</v>
      </c>
      <c r="FR141" s="55">
        <f t="shared" ca="1" si="58"/>
        <v>0</v>
      </c>
      <c r="FS141" s="55">
        <f t="shared" ca="1" si="58"/>
        <v>0</v>
      </c>
      <c r="FT141" s="55">
        <f t="shared" ca="1" si="58"/>
        <v>0</v>
      </c>
      <c r="FU141" s="55">
        <f t="shared" ca="1" si="58"/>
        <v>0</v>
      </c>
      <c r="FV141" s="55">
        <f t="shared" ca="1" si="58"/>
        <v>0</v>
      </c>
      <c r="FW141" s="55">
        <f t="shared" ca="1" si="58"/>
        <v>0</v>
      </c>
      <c r="FX141" s="55">
        <f t="shared" ca="1" si="58"/>
        <v>0</v>
      </c>
      <c r="FY141" s="55">
        <f t="shared" ca="1" si="58"/>
        <v>0</v>
      </c>
      <c r="FZ141" s="55">
        <f t="shared" ca="1" si="58"/>
        <v>0</v>
      </c>
      <c r="GA141" s="55">
        <f t="shared" ca="1" si="58"/>
        <v>0</v>
      </c>
      <c r="GB141" s="55">
        <f t="shared" ca="1" si="58"/>
        <v>0</v>
      </c>
      <c r="GC141" s="55">
        <f t="shared" ca="1" si="58"/>
        <v>0</v>
      </c>
      <c r="GD141" s="55">
        <f t="shared" ca="1" si="58"/>
        <v>0</v>
      </c>
      <c r="GE141" s="55">
        <f t="shared" ca="1" si="58"/>
        <v>0</v>
      </c>
      <c r="GF141" s="55">
        <f t="shared" ca="1" si="58"/>
        <v>0</v>
      </c>
      <c r="GG141" s="55">
        <f t="shared" ca="1" si="58"/>
        <v>0</v>
      </c>
      <c r="GH141" s="55">
        <f t="shared" ca="1" si="58"/>
        <v>0</v>
      </c>
      <c r="GI141" s="55">
        <f t="shared" ca="1" si="58"/>
        <v>0</v>
      </c>
      <c r="GJ141" s="55">
        <f t="shared" ca="1" si="58"/>
        <v>0</v>
      </c>
      <c r="GK141" s="55">
        <f t="shared" ca="1" si="58"/>
        <v>0</v>
      </c>
      <c r="GL141" s="55">
        <f t="shared" ca="1" si="58"/>
        <v>0</v>
      </c>
      <c r="GM141" s="55">
        <f t="shared" ca="1" si="58"/>
        <v>0</v>
      </c>
      <c r="GN141" s="55">
        <f t="shared" ca="1" si="58"/>
        <v>0</v>
      </c>
      <c r="GO141" s="55">
        <f t="shared" ca="1" si="58"/>
        <v>0</v>
      </c>
      <c r="GP141" s="55">
        <f t="shared" ca="1" si="58"/>
        <v>0</v>
      </c>
      <c r="GQ141" s="55">
        <f t="shared" ca="1" si="58"/>
        <v>0</v>
      </c>
      <c r="GR141" s="55">
        <f t="shared" ca="1" si="58"/>
        <v>0</v>
      </c>
      <c r="GS141" s="55">
        <f t="shared" ca="1" si="58"/>
        <v>0</v>
      </c>
      <c r="GT141" s="55">
        <f t="shared" ca="1" si="58"/>
        <v>0</v>
      </c>
      <c r="GU141" s="55">
        <f t="shared" ca="1" si="58"/>
        <v>0</v>
      </c>
      <c r="GV141" s="55">
        <f t="shared" ca="1" si="58"/>
        <v>0</v>
      </c>
      <c r="GW141" s="55">
        <f t="shared" ca="1" si="58"/>
        <v>0</v>
      </c>
      <c r="GX141" s="55">
        <f t="shared" ca="1" si="58"/>
        <v>0</v>
      </c>
      <c r="GY141" s="55">
        <f t="shared" ca="1" si="58"/>
        <v>0</v>
      </c>
      <c r="GZ141" s="55">
        <f t="shared" ca="1" si="58"/>
        <v>0</v>
      </c>
      <c r="HA141" s="55">
        <f t="shared" ca="1" si="58"/>
        <v>0</v>
      </c>
      <c r="HB141" s="55">
        <f t="shared" ca="1" si="58"/>
        <v>0</v>
      </c>
      <c r="HC141" s="55">
        <f t="shared" ca="1" si="58"/>
        <v>0</v>
      </c>
      <c r="HD141" s="55">
        <f t="shared" ca="1" si="58"/>
        <v>0</v>
      </c>
      <c r="HE141" s="55">
        <f t="shared" ca="1" si="58"/>
        <v>0</v>
      </c>
    </row>
    <row r="142" spans="1:213">
      <c r="A142" s="27">
        <v>5</v>
      </c>
      <c r="B142" s="27">
        <v>34</v>
      </c>
      <c r="C142" s="27">
        <v>0.78584900000000002</v>
      </c>
      <c r="D142" s="27">
        <v>0.175091</v>
      </c>
      <c r="E142" s="27">
        <v>39</v>
      </c>
      <c r="F142" s="27">
        <f t="shared" ca="1" si="59"/>
        <v>45</v>
      </c>
      <c r="G142" s="27">
        <f t="shared" si="54"/>
        <v>0</v>
      </c>
      <c r="H142" s="27" t="str">
        <f t="shared" si="60"/>
        <v>Não</v>
      </c>
      <c r="I142" s="27">
        <f t="shared" si="61"/>
        <v>0</v>
      </c>
      <c r="J142" s="37">
        <f t="shared" si="62"/>
        <v>0</v>
      </c>
      <c r="K142" s="55">
        <f t="shared" si="63"/>
        <v>0.57696199999999997</v>
      </c>
      <c r="L142" s="55">
        <f t="shared" si="55"/>
        <v>-1.4874590000000001</v>
      </c>
      <c r="M142" s="55">
        <f t="shared" si="55"/>
        <v>0.952291</v>
      </c>
      <c r="N142" s="55">
        <f t="shared" si="55"/>
        <v>0.77326700000000004</v>
      </c>
      <c r="O142" s="55">
        <f t="shared" si="55"/>
        <v>0.68866700000000003</v>
      </c>
      <c r="P142" s="55">
        <f t="shared" si="55"/>
        <v>1.7243740000000001</v>
      </c>
      <c r="Q142" s="55">
        <f t="shared" si="55"/>
        <v>0.71753599999999995</v>
      </c>
      <c r="R142" s="55">
        <f t="shared" si="55"/>
        <v>-0.16437399999999999</v>
      </c>
      <c r="S142" s="55">
        <f t="shared" si="55"/>
        <v>-0.93447999999999998</v>
      </c>
      <c r="T142" s="55">
        <f t="shared" si="55"/>
        <v>0.85742600000000002</v>
      </c>
      <c r="U142" s="55">
        <f t="shared" si="55"/>
        <v>0.73014000000000001</v>
      </c>
      <c r="V142" s="55">
        <f t="shared" ref="V142:V205" si="116">P38</f>
        <v>-0.70085299999999995</v>
      </c>
      <c r="W142" s="55">
        <f t="shared" ref="W142:W205" si="117">Q38</f>
        <v>-0.52315500000000004</v>
      </c>
      <c r="X142" s="55">
        <f t="shared" ref="X142:X205" si="118">R38</f>
        <v>0.13569300000000001</v>
      </c>
      <c r="Y142" s="55">
        <f t="shared" ref="Y142:Y205" si="119">S38</f>
        <v>0.29335800000000001</v>
      </c>
      <c r="Z142" s="55">
        <f t="shared" ref="Z142:Z205" si="120">T38</f>
        <v>0.14247599999999999</v>
      </c>
      <c r="AA142" s="55">
        <f t="shared" ref="AA142:AA205" si="121">U38</f>
        <v>-1.601702</v>
      </c>
      <c r="AB142" s="55">
        <f t="shared" ref="AB142:AB205" si="122">V38</f>
        <v>0.20288600000000001</v>
      </c>
      <c r="AC142" s="55">
        <f t="shared" ref="AC142:AC205" si="123">W38</f>
        <v>-7.2257000000000002E-2</v>
      </c>
      <c r="AD142" s="55">
        <f t="shared" ref="AD142:AD205" si="124">X38</f>
        <v>-0.57675200000000004</v>
      </c>
      <c r="AE142" s="55">
        <f t="shared" ref="AE142:AE205" si="125">Y38</f>
        <v>-0.76120500000000002</v>
      </c>
      <c r="AF142" s="55">
        <f t="shared" ref="AF142:AF205" si="126">Z38</f>
        <v>0.44364799999999999</v>
      </c>
      <c r="AG142" s="55">
        <f t="shared" ref="AG142:AG205" si="127">AA38</f>
        <v>-0.96713899999999997</v>
      </c>
      <c r="AH142" s="55">
        <f t="shared" ref="AH142:AH205" si="128">AB38</f>
        <v>-0.476827</v>
      </c>
      <c r="AI142" s="55">
        <f t="shared" ref="AI142:AI205" si="129">AC38</f>
        <v>0.82053100000000001</v>
      </c>
      <c r="AJ142" s="55">
        <f t="shared" ref="AJ142:AJ205" si="130">AD38</f>
        <v>0.50718799999999997</v>
      </c>
      <c r="AK142" s="55">
        <f t="shared" ref="AK142:AK205" si="131">AE38</f>
        <v>0.67582600000000004</v>
      </c>
      <c r="AL142" s="55">
        <f t="shared" ref="AL142:AL205" si="132">AF38</f>
        <v>-0.82073300000000005</v>
      </c>
      <c r="AM142" s="55">
        <f t="shared" ref="AM142:AM205" si="133">AG38</f>
        <v>-0.12155100000000001</v>
      </c>
      <c r="AN142" s="55">
        <f t="shared" ref="AN142:AN205" si="134">AH38</f>
        <v>-0.88685800000000004</v>
      </c>
      <c r="AO142" s="55">
        <f t="shared" ref="AO142:AO205" si="135">AI38</f>
        <v>0.95257199999999997</v>
      </c>
      <c r="AP142" s="55">
        <f t="shared" ref="AP142:AP205" si="136">AJ38</f>
        <v>-0.26838699999999999</v>
      </c>
      <c r="AQ142" s="55">
        <f t="shared" ref="AQ142:AQ205" si="137">AK38</f>
        <v>-0.74785000000000001</v>
      </c>
      <c r="AR142" s="55">
        <f t="shared" ref="AR142:AR205" si="138">AL38</f>
        <v>-0.24892</v>
      </c>
      <c r="AS142" s="55">
        <f t="shared" ref="AS142:AS205" si="139">AM38</f>
        <v>1.508637</v>
      </c>
      <c r="AT142" s="55">
        <f t="shared" ref="AT142:AT205" si="140">AN38</f>
        <v>-0.489956</v>
      </c>
      <c r="AU142" s="55">
        <f t="shared" ref="AU142:AU205" si="141">AO38</f>
        <v>-0.17260800000000001</v>
      </c>
      <c r="AV142" s="55">
        <f t="shared" ref="AV142:AV205" si="142">AP38</f>
        <v>0.88971900000000004</v>
      </c>
      <c r="AW142" s="55">
        <f t="shared" ref="AW142:AW205" si="143">AQ38</f>
        <v>-0.54454499999999995</v>
      </c>
      <c r="AX142" s="55">
        <f t="shared" ref="AX142:AX205" si="144">AR38</f>
        <v>-0.20375699999999999</v>
      </c>
      <c r="AY142" s="55">
        <f t="shared" ref="AY142:AY205" si="145">AS38</f>
        <v>5.0379999999999999E-3</v>
      </c>
      <c r="AZ142" s="55">
        <f t="shared" ref="AZ142:AZ205" si="146">AT38</f>
        <v>-0.27812399999999998</v>
      </c>
      <c r="BA142" s="55">
        <f t="shared" ref="BA142:BA205" si="147">AU38</f>
        <v>0.50661299999999998</v>
      </c>
      <c r="BB142" s="55">
        <f t="shared" ref="BB142:BB205" si="148">AV38</f>
        <v>-0.91919600000000001</v>
      </c>
      <c r="BC142" s="55">
        <f t="shared" ref="BC142:BC205" si="149">AW38</f>
        <v>-0.54686199999999996</v>
      </c>
      <c r="BD142" s="55">
        <f t="shared" ref="BD142:BD205" si="150">AX38</f>
        <v>-0.19409399999999999</v>
      </c>
      <c r="BE142" s="55">
        <f t="shared" ref="BE142:BE205" si="151">AY38</f>
        <v>-0.57920000000000005</v>
      </c>
      <c r="BF142" s="55">
        <f t="shared" ref="BF142:BF205" si="152">AZ38</f>
        <v>0.247589</v>
      </c>
      <c r="BG142" s="55">
        <f t="shared" ref="BG142:BG205" si="153">BA38</f>
        <v>1.1391500000000001</v>
      </c>
      <c r="BH142" s="55">
        <f t="shared" ref="BH142:BH205" si="154">BB38</f>
        <v>0.30823800000000001</v>
      </c>
      <c r="BJ142" s="55">
        <f t="shared" si="64"/>
        <v>-0.66622000000000003</v>
      </c>
      <c r="BK142" s="55">
        <f t="shared" si="56"/>
        <v>-0.53908500000000004</v>
      </c>
      <c r="BL142" s="55">
        <f t="shared" si="56"/>
        <v>1.3139609999999999</v>
      </c>
      <c r="BM142" s="55">
        <f t="shared" si="56"/>
        <v>0.37419999999999998</v>
      </c>
      <c r="BN142" s="55">
        <f t="shared" si="56"/>
        <v>0.31695899999999999</v>
      </c>
      <c r="BO142" s="55">
        <f t="shared" si="56"/>
        <v>0.31533600000000001</v>
      </c>
      <c r="BP142" s="55">
        <f t="shared" si="56"/>
        <v>0.65815500000000005</v>
      </c>
      <c r="BQ142" s="55">
        <f t="shared" si="56"/>
        <v>0.12439</v>
      </c>
      <c r="BR142" s="55">
        <f t="shared" si="56"/>
        <v>-0.24601200000000001</v>
      </c>
      <c r="BS142" s="55">
        <f t="shared" si="56"/>
        <v>0.685338</v>
      </c>
      <c r="BT142" s="55">
        <f t="shared" si="56"/>
        <v>-1.6915340000000001</v>
      </c>
      <c r="BU142" s="55">
        <f t="shared" ref="BU142:CJ173" si="155">VLOOKUP($B142,$A$33:$BG$132,BU$134,FALSE)</f>
        <v>1.7136009999999999</v>
      </c>
      <c r="BV142" s="55">
        <f t="shared" si="155"/>
        <v>-0.175285</v>
      </c>
      <c r="BW142" s="55">
        <f t="shared" si="155"/>
        <v>-0.88014700000000001</v>
      </c>
      <c r="BX142" s="55">
        <f t="shared" si="155"/>
        <v>0.24867</v>
      </c>
      <c r="BY142" s="55">
        <f t="shared" si="155"/>
        <v>-0.24318600000000001</v>
      </c>
      <c r="BZ142" s="55">
        <f t="shared" si="155"/>
        <v>1.020362</v>
      </c>
      <c r="CA142" s="55">
        <f t="shared" si="155"/>
        <v>-0.47453499999999998</v>
      </c>
      <c r="CB142" s="55">
        <f t="shared" si="155"/>
        <v>0.40415600000000002</v>
      </c>
      <c r="CC142" s="55">
        <f t="shared" si="155"/>
        <v>0.108114</v>
      </c>
      <c r="CD142" s="55">
        <f t="shared" si="155"/>
        <v>-0.73552499999999998</v>
      </c>
      <c r="CE142" s="55">
        <f t="shared" si="155"/>
        <v>0.56257599999999996</v>
      </c>
      <c r="CF142" s="55">
        <f t="shared" si="155"/>
        <v>0.539435</v>
      </c>
      <c r="CG142" s="55">
        <f t="shared" si="155"/>
        <v>0.74824500000000005</v>
      </c>
      <c r="CH142" s="55">
        <f t="shared" si="155"/>
        <v>-0.71911400000000003</v>
      </c>
      <c r="CI142" s="55">
        <f t="shared" si="155"/>
        <v>0.592117</v>
      </c>
      <c r="CJ142" s="55">
        <f t="shared" si="155"/>
        <v>-0.68152699999999999</v>
      </c>
      <c r="CK142" s="55">
        <f t="shared" ref="CK142:CZ157" si="156">VLOOKUP($B142,$A$33:$BG$132,CK$134,FALSE)</f>
        <v>-3.1071999999999999E-2</v>
      </c>
      <c r="CL142" s="55">
        <f t="shared" si="156"/>
        <v>0.574847</v>
      </c>
      <c r="CM142" s="55">
        <f t="shared" si="156"/>
        <v>4.0721E-2</v>
      </c>
      <c r="CN142" s="55">
        <f t="shared" si="156"/>
        <v>-0.31113400000000002</v>
      </c>
      <c r="CO142" s="55">
        <f t="shared" si="156"/>
        <v>0.128106</v>
      </c>
      <c r="CP142" s="55">
        <f t="shared" si="156"/>
        <v>0.75648499999999996</v>
      </c>
      <c r="CQ142" s="55">
        <f t="shared" si="156"/>
        <v>0.64789099999999999</v>
      </c>
      <c r="CR142" s="55">
        <f t="shared" si="156"/>
        <v>0.62507000000000001</v>
      </c>
      <c r="CS142" s="55">
        <f t="shared" si="156"/>
        <v>0.26489299999999999</v>
      </c>
      <c r="CT142" s="55">
        <f t="shared" si="156"/>
        <v>-0.50260000000000005</v>
      </c>
      <c r="CU142" s="55">
        <f t="shared" si="156"/>
        <v>-0.37491999999999998</v>
      </c>
      <c r="CV142" s="55">
        <f t="shared" si="156"/>
        <v>0.42408800000000002</v>
      </c>
      <c r="CW142" s="55">
        <f t="shared" si="156"/>
        <v>0.13993700000000001</v>
      </c>
      <c r="CX142" s="55">
        <f t="shared" si="156"/>
        <v>-0.25101899999999999</v>
      </c>
      <c r="CY142" s="55">
        <f t="shared" si="156"/>
        <v>0.60972800000000005</v>
      </c>
      <c r="CZ142" s="55">
        <f t="shared" si="156"/>
        <v>-0.87458400000000003</v>
      </c>
      <c r="DA142" s="55">
        <f t="shared" ref="DA142:DG156" si="157">VLOOKUP($B142,$A$33:$BG$132,DA$134,FALSE)</f>
        <v>0.52196799999999999</v>
      </c>
      <c r="DB142" s="55">
        <f t="shared" si="157"/>
        <v>-0.47540500000000002</v>
      </c>
      <c r="DC142" s="55">
        <f t="shared" si="157"/>
        <v>0.41020699999999999</v>
      </c>
      <c r="DD142" s="55">
        <f t="shared" si="157"/>
        <v>0.496174</v>
      </c>
      <c r="DE142" s="55">
        <f t="shared" si="157"/>
        <v>0.10736800000000001</v>
      </c>
      <c r="DF142" s="55">
        <f t="shared" si="157"/>
        <v>0.55427300000000002</v>
      </c>
      <c r="DG142" s="55">
        <f t="shared" si="157"/>
        <v>-1.0216069999999999</v>
      </c>
      <c r="DI142" s="55">
        <f t="shared" ca="1" si="65"/>
        <v>0.57696199999999997</v>
      </c>
      <c r="DJ142" s="55">
        <f t="shared" ca="1" si="66"/>
        <v>-1.4874590000000001</v>
      </c>
      <c r="DK142" s="55">
        <f t="shared" ca="1" si="67"/>
        <v>0.952291</v>
      </c>
      <c r="DL142" s="55">
        <f t="shared" ca="1" si="68"/>
        <v>0.77326700000000004</v>
      </c>
      <c r="DM142" s="55">
        <f t="shared" ca="1" si="69"/>
        <v>0.68866700000000003</v>
      </c>
      <c r="DN142" s="55">
        <f t="shared" ca="1" si="70"/>
        <v>1.7243740000000001</v>
      </c>
      <c r="DO142" s="55">
        <f t="shared" ca="1" si="71"/>
        <v>0.71753599999999995</v>
      </c>
      <c r="DP142" s="55">
        <f t="shared" ca="1" si="72"/>
        <v>-0.16437399999999999</v>
      </c>
      <c r="DQ142" s="55">
        <f t="shared" ca="1" si="73"/>
        <v>-0.93447999999999998</v>
      </c>
      <c r="DR142" s="55">
        <f t="shared" ca="1" si="74"/>
        <v>0.85742600000000002</v>
      </c>
      <c r="DS142" s="55">
        <f t="shared" ca="1" si="75"/>
        <v>0.73014000000000001</v>
      </c>
      <c r="DT142" s="55">
        <f t="shared" ca="1" si="76"/>
        <v>-0.70085299999999995</v>
      </c>
      <c r="DU142" s="55">
        <f t="shared" ca="1" si="77"/>
        <v>-0.52315500000000004</v>
      </c>
      <c r="DV142" s="55">
        <f t="shared" ca="1" si="78"/>
        <v>0.13569300000000001</v>
      </c>
      <c r="DW142" s="55">
        <f t="shared" ca="1" si="79"/>
        <v>0.29335800000000001</v>
      </c>
      <c r="DX142" s="55">
        <f t="shared" ca="1" si="80"/>
        <v>0.14247599999999999</v>
      </c>
      <c r="DY142" s="55">
        <f t="shared" ca="1" si="81"/>
        <v>-1.601702</v>
      </c>
      <c r="DZ142" s="55">
        <f t="shared" ca="1" si="82"/>
        <v>0.20288600000000001</v>
      </c>
      <c r="EA142" s="55">
        <f t="shared" ca="1" si="83"/>
        <v>-7.2257000000000002E-2</v>
      </c>
      <c r="EB142" s="55">
        <f t="shared" ca="1" si="84"/>
        <v>-0.57675200000000004</v>
      </c>
      <c r="EC142" s="55">
        <f t="shared" ca="1" si="85"/>
        <v>-0.76120500000000002</v>
      </c>
      <c r="ED142" s="55">
        <f t="shared" ca="1" si="86"/>
        <v>0.44364799999999999</v>
      </c>
      <c r="EE142" s="55">
        <f t="shared" ca="1" si="87"/>
        <v>-0.96713899999999997</v>
      </c>
      <c r="EF142" s="55">
        <f t="shared" ca="1" si="88"/>
        <v>-0.476827</v>
      </c>
      <c r="EG142" s="55">
        <f t="shared" ca="1" si="89"/>
        <v>0.82053100000000001</v>
      </c>
      <c r="EH142" s="55">
        <f t="shared" ca="1" si="90"/>
        <v>0.50718799999999997</v>
      </c>
      <c r="EI142" s="55">
        <f t="shared" ca="1" si="91"/>
        <v>0.67582600000000004</v>
      </c>
      <c r="EJ142" s="55">
        <f t="shared" ca="1" si="92"/>
        <v>-0.82073300000000005</v>
      </c>
      <c r="EK142" s="55">
        <f t="shared" ca="1" si="93"/>
        <v>-0.12155100000000001</v>
      </c>
      <c r="EL142" s="55">
        <f t="shared" ca="1" si="94"/>
        <v>-0.88685800000000004</v>
      </c>
      <c r="EM142" s="55">
        <f t="shared" ca="1" si="95"/>
        <v>0.95257199999999997</v>
      </c>
      <c r="EN142" s="55">
        <f t="shared" ca="1" si="96"/>
        <v>-0.26838699999999999</v>
      </c>
      <c r="EO142" s="55">
        <f t="shared" ca="1" si="97"/>
        <v>-0.74785000000000001</v>
      </c>
      <c r="EP142" s="55">
        <f t="shared" ca="1" si="98"/>
        <v>-0.24892</v>
      </c>
      <c r="EQ142" s="55">
        <f t="shared" ca="1" si="99"/>
        <v>1.508637</v>
      </c>
      <c r="ER142" s="55">
        <f t="shared" ca="1" si="100"/>
        <v>-0.489956</v>
      </c>
      <c r="ES142" s="55">
        <f t="shared" ca="1" si="101"/>
        <v>-0.17260800000000001</v>
      </c>
      <c r="ET142" s="55">
        <f t="shared" ca="1" si="102"/>
        <v>0.88971900000000004</v>
      </c>
      <c r="EU142" s="55">
        <f t="shared" ca="1" si="103"/>
        <v>-0.54454499999999995</v>
      </c>
      <c r="EV142" s="55">
        <f t="shared" ca="1" si="104"/>
        <v>-0.20375699999999999</v>
      </c>
      <c r="EW142" s="55">
        <f t="shared" ca="1" si="105"/>
        <v>5.0379999999999999E-3</v>
      </c>
      <c r="EX142" s="55">
        <f t="shared" ca="1" si="106"/>
        <v>-0.27812399999999998</v>
      </c>
      <c r="EY142" s="55">
        <f t="shared" ca="1" si="107"/>
        <v>0.50661299999999998</v>
      </c>
      <c r="EZ142" s="55">
        <f t="shared" ca="1" si="108"/>
        <v>-0.91919600000000001</v>
      </c>
      <c r="FA142" s="55">
        <f t="shared" ca="1" si="109"/>
        <v>-0.54686199999999996</v>
      </c>
      <c r="FB142" s="55">
        <f t="shared" ca="1" si="110"/>
        <v>-0.19409399999999999</v>
      </c>
      <c r="FC142" s="55">
        <f t="shared" ca="1" si="111"/>
        <v>-0.57920000000000005</v>
      </c>
      <c r="FD142" s="55">
        <f t="shared" ca="1" si="112"/>
        <v>0.247589</v>
      </c>
      <c r="FE142" s="55">
        <f t="shared" ca="1" si="113"/>
        <v>1.1391500000000001</v>
      </c>
      <c r="FF142" s="55">
        <f t="shared" ca="1" si="114"/>
        <v>0.30823800000000001</v>
      </c>
      <c r="FH142" s="55">
        <f t="shared" ca="1" si="115"/>
        <v>0</v>
      </c>
      <c r="FI142" s="55">
        <f t="shared" ca="1" si="58"/>
        <v>0</v>
      </c>
      <c r="FJ142" s="55">
        <f t="shared" ca="1" si="58"/>
        <v>0</v>
      </c>
      <c r="FK142" s="55">
        <f t="shared" ca="1" si="58"/>
        <v>0</v>
      </c>
      <c r="FL142" s="55">
        <f t="shared" ca="1" si="58"/>
        <v>0</v>
      </c>
      <c r="FM142" s="55">
        <f t="shared" ca="1" si="58"/>
        <v>0</v>
      </c>
      <c r="FN142" s="55">
        <f t="shared" ca="1" si="58"/>
        <v>0</v>
      </c>
      <c r="FO142" s="55">
        <f t="shared" ca="1" si="58"/>
        <v>0</v>
      </c>
      <c r="FP142" s="55">
        <f t="shared" ca="1" si="58"/>
        <v>0</v>
      </c>
      <c r="FQ142" s="55">
        <f t="shared" ca="1" si="58"/>
        <v>0</v>
      </c>
      <c r="FR142" s="55">
        <f t="shared" ca="1" si="58"/>
        <v>0</v>
      </c>
      <c r="FS142" s="55">
        <f t="shared" ref="FS142:FS205" ca="1" si="158">DT142-V142</f>
        <v>0</v>
      </c>
      <c r="FT142" s="55">
        <f t="shared" ref="FT142:FT205" ca="1" si="159">DU142-W142</f>
        <v>0</v>
      </c>
      <c r="FU142" s="55">
        <f t="shared" ref="FU142:FU205" ca="1" si="160">DV142-X142</f>
        <v>0</v>
      </c>
      <c r="FV142" s="55">
        <f t="shared" ref="FV142:FV205" ca="1" si="161">DW142-Y142</f>
        <v>0</v>
      </c>
      <c r="FW142" s="55">
        <f t="shared" ref="FW142:FW205" ca="1" si="162">DX142-Z142</f>
        <v>0</v>
      </c>
      <c r="FX142" s="55">
        <f t="shared" ref="FX142:FX205" ca="1" si="163">DY142-AA142</f>
        <v>0</v>
      </c>
      <c r="FY142" s="55">
        <f t="shared" ref="FY142:FY205" ca="1" si="164">DZ142-AB142</f>
        <v>0</v>
      </c>
      <c r="FZ142" s="55">
        <f t="shared" ref="FZ142:FZ205" ca="1" si="165">EA142-AC142</f>
        <v>0</v>
      </c>
      <c r="GA142" s="55">
        <f t="shared" ref="GA142:GA205" ca="1" si="166">EB142-AD142</f>
        <v>0</v>
      </c>
      <c r="GB142" s="55">
        <f t="shared" ref="GB142:GB205" ca="1" si="167">EC142-AE142</f>
        <v>0</v>
      </c>
      <c r="GC142" s="55">
        <f t="shared" ref="GC142:GC205" ca="1" si="168">ED142-AF142</f>
        <v>0</v>
      </c>
      <c r="GD142" s="55">
        <f t="shared" ref="GD142:GD205" ca="1" si="169">EE142-AG142</f>
        <v>0</v>
      </c>
      <c r="GE142" s="55">
        <f t="shared" ref="GE142:GE205" ca="1" si="170">EF142-AH142</f>
        <v>0</v>
      </c>
      <c r="GF142" s="55">
        <f t="shared" ref="GF142:GF205" ca="1" si="171">EG142-AI142</f>
        <v>0</v>
      </c>
      <c r="GG142" s="55">
        <f t="shared" ref="GG142:GG205" ca="1" si="172">EH142-AJ142</f>
        <v>0</v>
      </c>
      <c r="GH142" s="55">
        <f t="shared" ref="GH142:GH205" ca="1" si="173">EI142-AK142</f>
        <v>0</v>
      </c>
      <c r="GI142" s="55">
        <f t="shared" ref="GI142:GI205" ca="1" si="174">EJ142-AL142</f>
        <v>0</v>
      </c>
      <c r="GJ142" s="55">
        <f t="shared" ref="GJ142:GJ205" ca="1" si="175">EK142-AM142</f>
        <v>0</v>
      </c>
      <c r="GK142" s="55">
        <f t="shared" ref="GK142:GK205" ca="1" si="176">EL142-AN142</f>
        <v>0</v>
      </c>
      <c r="GL142" s="55">
        <f t="shared" ref="GL142:GL205" ca="1" si="177">EM142-AO142</f>
        <v>0</v>
      </c>
      <c r="GM142" s="55">
        <f t="shared" ref="GM142:GM205" ca="1" si="178">EN142-AP142</f>
        <v>0</v>
      </c>
      <c r="GN142" s="55">
        <f t="shared" ref="GN142:GN205" ca="1" si="179">EO142-AQ142</f>
        <v>0</v>
      </c>
      <c r="GO142" s="55">
        <f t="shared" ref="GO142:GO205" ca="1" si="180">EP142-AR142</f>
        <v>0</v>
      </c>
      <c r="GP142" s="55">
        <f t="shared" ref="GP142:GP205" ca="1" si="181">EQ142-AS142</f>
        <v>0</v>
      </c>
      <c r="GQ142" s="55">
        <f t="shared" ref="GQ142:GQ205" ca="1" si="182">ER142-AT142</f>
        <v>0</v>
      </c>
      <c r="GR142" s="55">
        <f t="shared" ref="GR142:GR205" ca="1" si="183">ES142-AU142</f>
        <v>0</v>
      </c>
      <c r="GS142" s="55">
        <f t="shared" ref="GS142:GS205" ca="1" si="184">ET142-AV142</f>
        <v>0</v>
      </c>
      <c r="GT142" s="55">
        <f t="shared" ref="GT142:GT205" ca="1" si="185">EU142-AW142</f>
        <v>0</v>
      </c>
      <c r="GU142" s="55">
        <f t="shared" ref="GU142:GU205" ca="1" si="186">EV142-AX142</f>
        <v>0</v>
      </c>
      <c r="GV142" s="55">
        <f t="shared" ref="GV142:GV205" ca="1" si="187">EW142-AY142</f>
        <v>0</v>
      </c>
      <c r="GW142" s="55">
        <f t="shared" ref="GW142:GW205" ca="1" si="188">EX142-AZ142</f>
        <v>0</v>
      </c>
      <c r="GX142" s="55">
        <f t="shared" ref="GX142:GX205" ca="1" si="189">EY142-BA142</f>
        <v>0</v>
      </c>
      <c r="GY142" s="55">
        <f t="shared" ref="GY142:GY205" ca="1" si="190">EZ142-BB142</f>
        <v>0</v>
      </c>
      <c r="GZ142" s="55">
        <f t="shared" ref="GZ142:GZ205" ca="1" si="191">FA142-BC142</f>
        <v>0</v>
      </c>
      <c r="HA142" s="55">
        <f t="shared" ref="HA142:HA205" ca="1" si="192">FB142-BD142</f>
        <v>0</v>
      </c>
      <c r="HB142" s="55">
        <f t="shared" ref="HB142:HB205" ca="1" si="193">FC142-BE142</f>
        <v>0</v>
      </c>
      <c r="HC142" s="55">
        <f t="shared" ref="HC142:HC205" ca="1" si="194">FD142-BF142</f>
        <v>0</v>
      </c>
      <c r="HD142" s="55">
        <f t="shared" ref="HD142:HD205" ca="1" si="195">FE142-BG142</f>
        <v>0</v>
      </c>
      <c r="HE142" s="55">
        <f t="shared" ref="HE142:HE205" ca="1" si="196">FF142-BH142</f>
        <v>0</v>
      </c>
    </row>
    <row r="143" spans="1:213">
      <c r="A143" s="27">
        <v>6</v>
      </c>
      <c r="B143" s="27">
        <v>71</v>
      </c>
      <c r="C143" s="27">
        <v>0.24256800000000001</v>
      </c>
      <c r="D143" s="27">
        <v>0.67027199999999998</v>
      </c>
      <c r="E143" s="27">
        <v>47</v>
      </c>
      <c r="F143" s="27">
        <f t="shared" ca="1" si="59"/>
        <v>49</v>
      </c>
      <c r="G143" s="27">
        <f t="shared" si="54"/>
        <v>0</v>
      </c>
      <c r="H143" s="27" t="str">
        <f t="shared" si="60"/>
        <v>Sim</v>
      </c>
      <c r="I143" s="27">
        <f t="shared" si="61"/>
        <v>0</v>
      </c>
      <c r="J143" s="37">
        <f t="shared" si="62"/>
        <v>1</v>
      </c>
      <c r="K143" s="55">
        <f t="shared" si="63"/>
        <v>1.220248</v>
      </c>
      <c r="L143" s="55">
        <f t="shared" ref="L143:L206" si="197">F39</f>
        <v>-0.84979700000000002</v>
      </c>
      <c r="M143" s="55">
        <f t="shared" ref="M143:M206" si="198">G39</f>
        <v>0.52901100000000001</v>
      </c>
      <c r="N143" s="55">
        <f t="shared" ref="N143:N206" si="199">H39</f>
        <v>-0.44570799999999999</v>
      </c>
      <c r="O143" s="55">
        <f t="shared" ref="O143:O206" si="200">I39</f>
        <v>0.58260699999999999</v>
      </c>
      <c r="P143" s="55">
        <f t="shared" ref="P143:P206" si="201">J39</f>
        <v>1.0987579999999999</v>
      </c>
      <c r="Q143" s="55">
        <f t="shared" ref="Q143:Q206" si="202">K39</f>
        <v>-0.40750900000000001</v>
      </c>
      <c r="R143" s="55">
        <f t="shared" ref="R143:R206" si="203">L39</f>
        <v>-0.48164699999999999</v>
      </c>
      <c r="S143" s="55">
        <f t="shared" ref="S143:S206" si="204">M39</f>
        <v>0.64495800000000003</v>
      </c>
      <c r="T143" s="55">
        <f t="shared" ref="T143:T206" si="205">N39</f>
        <v>0.69749799999999995</v>
      </c>
      <c r="U143" s="55">
        <f t="shared" ref="U143:U206" si="206">O39</f>
        <v>-1.7539340000000001</v>
      </c>
      <c r="V143" s="55">
        <f t="shared" si="116"/>
        <v>0.200211</v>
      </c>
      <c r="W143" s="55">
        <f t="shared" si="117"/>
        <v>-0.65269900000000003</v>
      </c>
      <c r="X143" s="55">
        <f t="shared" si="118"/>
        <v>0.95049399999999995</v>
      </c>
      <c r="Y143" s="55">
        <f t="shared" si="119"/>
        <v>0.93861499999999998</v>
      </c>
      <c r="Z143" s="55">
        <f t="shared" si="120"/>
        <v>-1.813814</v>
      </c>
      <c r="AA143" s="55">
        <f t="shared" si="121"/>
        <v>-0.92457199999999995</v>
      </c>
      <c r="AB143" s="55">
        <f t="shared" si="122"/>
        <v>-0.44912299999999999</v>
      </c>
      <c r="AC143" s="55">
        <f t="shared" si="123"/>
        <v>7.5886999999999996E-2</v>
      </c>
      <c r="AD143" s="55">
        <f t="shared" si="124"/>
        <v>1.51451</v>
      </c>
      <c r="AE143" s="55">
        <f t="shared" si="125"/>
        <v>0.28528999999999999</v>
      </c>
      <c r="AF143" s="55">
        <f t="shared" si="126"/>
        <v>-0.47020000000000001</v>
      </c>
      <c r="AG143" s="55">
        <f t="shared" si="127"/>
        <v>0.14186699999999999</v>
      </c>
      <c r="AH143" s="55">
        <f t="shared" si="128"/>
        <v>-1.2525729999999999</v>
      </c>
      <c r="AI143" s="55">
        <f t="shared" si="129"/>
        <v>0.35832999999999998</v>
      </c>
      <c r="AJ143" s="55">
        <f t="shared" si="130"/>
        <v>6.2779000000000001E-2</v>
      </c>
      <c r="AK143" s="55">
        <f t="shared" si="131"/>
        <v>-0.24352299999999999</v>
      </c>
      <c r="AL143" s="55">
        <f t="shared" si="132"/>
        <v>0.74968000000000001</v>
      </c>
      <c r="AM143" s="55">
        <f t="shared" si="133"/>
        <v>-5.151E-2</v>
      </c>
      <c r="AN143" s="55">
        <f t="shared" si="134"/>
        <v>-0.48818</v>
      </c>
      <c r="AO143" s="55">
        <f t="shared" si="135"/>
        <v>0.22815199999999999</v>
      </c>
      <c r="AP143" s="55">
        <f t="shared" si="136"/>
        <v>0.77343899999999999</v>
      </c>
      <c r="AQ143" s="55">
        <f t="shared" si="137"/>
        <v>-1.3948130000000001</v>
      </c>
      <c r="AR143" s="55">
        <f t="shared" si="138"/>
        <v>-2.0788000000000001E-2</v>
      </c>
      <c r="AS143" s="55">
        <f t="shared" si="139"/>
        <v>2.0740999999999999E-2</v>
      </c>
      <c r="AT143" s="55">
        <f t="shared" si="140"/>
        <v>-1.097108</v>
      </c>
      <c r="AU143" s="55">
        <f t="shared" si="141"/>
        <v>-0.131464</v>
      </c>
      <c r="AV143" s="55">
        <f t="shared" si="142"/>
        <v>-1.2767850000000001</v>
      </c>
      <c r="AW143" s="55">
        <f t="shared" si="143"/>
        <v>-0.19317300000000001</v>
      </c>
      <c r="AX143" s="55">
        <f t="shared" si="144"/>
        <v>-6.6600999999999994E-2</v>
      </c>
      <c r="AY143" s="55">
        <f t="shared" si="145"/>
        <v>-0.24581500000000001</v>
      </c>
      <c r="AZ143" s="55">
        <f t="shared" si="146"/>
        <v>-0.139569</v>
      </c>
      <c r="BA143" s="55">
        <f t="shared" si="147"/>
        <v>0.39235700000000001</v>
      </c>
      <c r="BB143" s="55">
        <f t="shared" si="148"/>
        <v>-0.46349099999999999</v>
      </c>
      <c r="BC143" s="55">
        <f t="shared" si="149"/>
        <v>-1.0285200000000001</v>
      </c>
      <c r="BD143" s="55">
        <f t="shared" si="150"/>
        <v>0.19811200000000001</v>
      </c>
      <c r="BE143" s="55">
        <f t="shared" si="151"/>
        <v>0.56956200000000001</v>
      </c>
      <c r="BF143" s="55">
        <f t="shared" si="152"/>
        <v>0.33606200000000003</v>
      </c>
      <c r="BG143" s="55">
        <f t="shared" si="153"/>
        <v>0.224187</v>
      </c>
      <c r="BH143" s="55">
        <f t="shared" si="154"/>
        <v>0.51028200000000001</v>
      </c>
      <c r="BJ143" s="55">
        <f t="shared" si="64"/>
        <v>0.42886099999999999</v>
      </c>
      <c r="BK143" s="55">
        <f t="shared" si="64"/>
        <v>0.18281</v>
      </c>
      <c r="BL143" s="55">
        <f t="shared" si="64"/>
        <v>1.0113160000000001</v>
      </c>
      <c r="BM143" s="55">
        <f t="shared" si="64"/>
        <v>0.833758</v>
      </c>
      <c r="BN143" s="55">
        <f t="shared" si="64"/>
        <v>0.72736800000000001</v>
      </c>
      <c r="BO143" s="55">
        <f t="shared" si="64"/>
        <v>-0.48835600000000001</v>
      </c>
      <c r="BP143" s="55">
        <f t="shared" si="64"/>
        <v>-0.16409099999999999</v>
      </c>
      <c r="BQ143" s="55">
        <f t="shared" si="64"/>
        <v>-0.22639899999999999</v>
      </c>
      <c r="BR143" s="55">
        <f t="shared" si="64"/>
        <v>0.76419000000000004</v>
      </c>
      <c r="BS143" s="55">
        <f t="shared" si="64"/>
        <v>-0.41230899999999998</v>
      </c>
      <c r="BT143" s="55">
        <f t="shared" si="64"/>
        <v>-0.58820700000000004</v>
      </c>
      <c r="BU143" s="55">
        <f t="shared" si="64"/>
        <v>0.37289</v>
      </c>
      <c r="BV143" s="55">
        <f t="shared" si="64"/>
        <v>0.71107600000000004</v>
      </c>
      <c r="BW143" s="55">
        <f t="shared" si="64"/>
        <v>0.64318900000000001</v>
      </c>
      <c r="BX143" s="55">
        <f t="shared" si="64"/>
        <v>-0.59041600000000005</v>
      </c>
      <c r="BY143" s="55">
        <f t="shared" si="64"/>
        <v>-0.56031699999999995</v>
      </c>
      <c r="BZ143" s="55">
        <f t="shared" si="155"/>
        <v>0.57617799999999997</v>
      </c>
      <c r="CA143" s="55">
        <f t="shared" si="155"/>
        <v>-0.27173799999999998</v>
      </c>
      <c r="CB143" s="55">
        <f t="shared" si="155"/>
        <v>9.0342000000000006E-2</v>
      </c>
      <c r="CC143" s="55">
        <f t="shared" si="155"/>
        <v>-0.42563200000000001</v>
      </c>
      <c r="CD143" s="55">
        <f t="shared" si="155"/>
        <v>-0.75923700000000005</v>
      </c>
      <c r="CE143" s="55">
        <f t="shared" si="155"/>
        <v>-6.4381999999999995E-2</v>
      </c>
      <c r="CF143" s="55">
        <f t="shared" si="155"/>
        <v>1.6861550000000001</v>
      </c>
      <c r="CG143" s="55">
        <f t="shared" si="155"/>
        <v>1.1935979999999999</v>
      </c>
      <c r="CH143" s="55">
        <f t="shared" si="155"/>
        <v>-0.86977000000000004</v>
      </c>
      <c r="CI143" s="55">
        <f t="shared" si="155"/>
        <v>0.21907799999999999</v>
      </c>
      <c r="CJ143" s="55">
        <f t="shared" si="155"/>
        <v>-1.2230810000000001</v>
      </c>
      <c r="CK143" s="55">
        <f t="shared" si="156"/>
        <v>1.108806</v>
      </c>
      <c r="CL143" s="55">
        <f t="shared" si="156"/>
        <v>-0.64537299999999997</v>
      </c>
      <c r="CM143" s="55">
        <f t="shared" si="156"/>
        <v>-0.142427</v>
      </c>
      <c r="CN143" s="55">
        <f t="shared" si="156"/>
        <v>0.78876100000000005</v>
      </c>
      <c r="CO143" s="55">
        <f t="shared" si="156"/>
        <v>-9.7087000000000007E-2</v>
      </c>
      <c r="CP143" s="55">
        <f t="shared" si="156"/>
        <v>0.10632999999999999</v>
      </c>
      <c r="CQ143" s="55">
        <f t="shared" si="156"/>
        <v>0.31070500000000001</v>
      </c>
      <c r="CR143" s="55">
        <f t="shared" si="156"/>
        <v>0.79967900000000003</v>
      </c>
      <c r="CS143" s="55">
        <f t="shared" si="156"/>
        <v>-0.91009600000000002</v>
      </c>
      <c r="CT143" s="55">
        <f t="shared" si="156"/>
        <v>0.49046200000000001</v>
      </c>
      <c r="CU143" s="55">
        <f t="shared" si="156"/>
        <v>0.71439600000000003</v>
      </c>
      <c r="CV143" s="55">
        <f t="shared" si="156"/>
        <v>0.275453</v>
      </c>
      <c r="CW143" s="55">
        <f t="shared" si="156"/>
        <v>0.56044400000000005</v>
      </c>
      <c r="CX143" s="55">
        <f t="shared" si="156"/>
        <v>0.49820900000000001</v>
      </c>
      <c r="CY143" s="55">
        <f t="shared" si="156"/>
        <v>0.79888899999999996</v>
      </c>
      <c r="CZ143" s="55">
        <f t="shared" si="156"/>
        <v>0.229267</v>
      </c>
      <c r="DA143" s="55">
        <f t="shared" si="157"/>
        <v>-1.005714</v>
      </c>
      <c r="DB143" s="55">
        <f t="shared" si="157"/>
        <v>-0.80216100000000001</v>
      </c>
      <c r="DC143" s="55">
        <f t="shared" si="157"/>
        <v>0.674404</v>
      </c>
      <c r="DD143" s="55">
        <f t="shared" si="157"/>
        <v>0.71349200000000002</v>
      </c>
      <c r="DE143" s="55">
        <f t="shared" si="157"/>
        <v>0.19221099999999999</v>
      </c>
      <c r="DF143" s="55">
        <f t="shared" si="157"/>
        <v>-0.75938799999999995</v>
      </c>
      <c r="DG143" s="55">
        <f t="shared" si="157"/>
        <v>-0.37675500000000001</v>
      </c>
      <c r="DI143" s="55">
        <f t="shared" ca="1" si="65"/>
        <v>1.220248</v>
      </c>
      <c r="DJ143" s="55">
        <f t="shared" ca="1" si="66"/>
        <v>-0.84979700000000002</v>
      </c>
      <c r="DK143" s="55">
        <f t="shared" ca="1" si="67"/>
        <v>0.52901100000000001</v>
      </c>
      <c r="DL143" s="55">
        <f t="shared" ca="1" si="68"/>
        <v>-0.44570799999999999</v>
      </c>
      <c r="DM143" s="55">
        <f t="shared" ca="1" si="69"/>
        <v>0.58260699999999999</v>
      </c>
      <c r="DN143" s="55">
        <f t="shared" ca="1" si="70"/>
        <v>1.0987579999999999</v>
      </c>
      <c r="DO143" s="55">
        <f t="shared" ca="1" si="71"/>
        <v>-0.40750900000000001</v>
      </c>
      <c r="DP143" s="55">
        <f t="shared" ca="1" si="72"/>
        <v>-0.48164699999999999</v>
      </c>
      <c r="DQ143" s="55">
        <f t="shared" ca="1" si="73"/>
        <v>0.64495800000000003</v>
      </c>
      <c r="DR143" s="55">
        <f t="shared" ca="1" si="74"/>
        <v>0.69749799999999995</v>
      </c>
      <c r="DS143" s="55">
        <f t="shared" ca="1" si="75"/>
        <v>-1.7539340000000001</v>
      </c>
      <c r="DT143" s="55">
        <f t="shared" ca="1" si="76"/>
        <v>0.200211</v>
      </c>
      <c r="DU143" s="55">
        <f t="shared" ca="1" si="77"/>
        <v>-0.65269900000000003</v>
      </c>
      <c r="DV143" s="55">
        <f t="shared" ca="1" si="78"/>
        <v>0.95049399999999995</v>
      </c>
      <c r="DW143" s="55">
        <f t="shared" ca="1" si="79"/>
        <v>0.93861499999999998</v>
      </c>
      <c r="DX143" s="55">
        <f t="shared" ca="1" si="80"/>
        <v>-1.813814</v>
      </c>
      <c r="DY143" s="55">
        <f t="shared" ca="1" si="81"/>
        <v>-0.92457199999999995</v>
      </c>
      <c r="DZ143" s="55">
        <f t="shared" ca="1" si="82"/>
        <v>-0.44912299999999999</v>
      </c>
      <c r="EA143" s="55">
        <f t="shared" ca="1" si="83"/>
        <v>7.5886999999999996E-2</v>
      </c>
      <c r="EB143" s="55">
        <f t="shared" ca="1" si="84"/>
        <v>1.51451</v>
      </c>
      <c r="EC143" s="55">
        <f t="shared" ca="1" si="85"/>
        <v>0.28528999999999999</v>
      </c>
      <c r="ED143" s="55">
        <f t="shared" ca="1" si="86"/>
        <v>-0.47020000000000001</v>
      </c>
      <c r="EE143" s="55">
        <f t="shared" ca="1" si="87"/>
        <v>0.14186699999999999</v>
      </c>
      <c r="EF143" s="55">
        <f t="shared" ca="1" si="88"/>
        <v>-1.2525729999999999</v>
      </c>
      <c r="EG143" s="55">
        <f t="shared" ca="1" si="89"/>
        <v>0.35832999999999998</v>
      </c>
      <c r="EH143" s="55">
        <f t="shared" ca="1" si="90"/>
        <v>6.2779000000000001E-2</v>
      </c>
      <c r="EI143" s="55">
        <f t="shared" ca="1" si="91"/>
        <v>-0.24352299999999999</v>
      </c>
      <c r="EJ143" s="55">
        <f t="shared" ca="1" si="92"/>
        <v>0.74968000000000001</v>
      </c>
      <c r="EK143" s="55">
        <f t="shared" ca="1" si="93"/>
        <v>-5.151E-2</v>
      </c>
      <c r="EL143" s="55">
        <f t="shared" ca="1" si="94"/>
        <v>-0.48818</v>
      </c>
      <c r="EM143" s="55">
        <f t="shared" ca="1" si="95"/>
        <v>0.22815199999999999</v>
      </c>
      <c r="EN143" s="55">
        <f t="shared" ca="1" si="96"/>
        <v>0.77343899999999999</v>
      </c>
      <c r="EO143" s="55">
        <f t="shared" ca="1" si="97"/>
        <v>-1.3948130000000001</v>
      </c>
      <c r="EP143" s="55">
        <f t="shared" ca="1" si="98"/>
        <v>-2.0788000000000001E-2</v>
      </c>
      <c r="EQ143" s="55">
        <f t="shared" ca="1" si="99"/>
        <v>2.0740999999999999E-2</v>
      </c>
      <c r="ER143" s="55">
        <f t="shared" ca="1" si="100"/>
        <v>-1.097108</v>
      </c>
      <c r="ES143" s="55">
        <f t="shared" ca="1" si="101"/>
        <v>-0.131464</v>
      </c>
      <c r="ET143" s="55">
        <f t="shared" ca="1" si="102"/>
        <v>-1.2767850000000001</v>
      </c>
      <c r="EU143" s="55">
        <f t="shared" ca="1" si="103"/>
        <v>-0.19317300000000001</v>
      </c>
      <c r="EV143" s="55">
        <f t="shared" ca="1" si="104"/>
        <v>-6.6600999999999994E-2</v>
      </c>
      <c r="EW143" s="55">
        <f t="shared" ca="1" si="105"/>
        <v>-0.24581500000000001</v>
      </c>
      <c r="EX143" s="55">
        <f t="shared" ca="1" si="106"/>
        <v>-0.139569</v>
      </c>
      <c r="EY143" s="55">
        <f t="shared" ca="1" si="107"/>
        <v>0.39235700000000001</v>
      </c>
      <c r="EZ143" s="55">
        <f t="shared" ca="1" si="108"/>
        <v>-0.46349099999999999</v>
      </c>
      <c r="FA143" s="55">
        <f t="shared" ca="1" si="109"/>
        <v>-1.0285200000000001</v>
      </c>
      <c r="FB143" s="55">
        <f t="shared" ca="1" si="110"/>
        <v>0.19811200000000001</v>
      </c>
      <c r="FC143" s="55">
        <f t="shared" ca="1" si="111"/>
        <v>0.56956200000000001</v>
      </c>
      <c r="FD143" s="55">
        <f t="shared" ca="1" si="112"/>
        <v>0.28863029747200003</v>
      </c>
      <c r="FE143" s="55">
        <f t="shared" ca="1" si="113"/>
        <v>-0.10012521760000001</v>
      </c>
      <c r="FF143" s="55">
        <f t="shared" ca="1" si="114"/>
        <v>0.51028200000000001</v>
      </c>
      <c r="FH143" s="55">
        <f t="shared" ca="1" si="115"/>
        <v>0</v>
      </c>
      <c r="FI143" s="55">
        <f t="shared" ref="FI143:FI206" ca="1" si="207">DJ143-L143</f>
        <v>0</v>
      </c>
      <c r="FJ143" s="55">
        <f t="shared" ref="FJ143:FJ206" ca="1" si="208">DK143-M143</f>
        <v>0</v>
      </c>
      <c r="FK143" s="55">
        <f t="shared" ref="FK143:FK206" ca="1" si="209">DL143-N143</f>
        <v>0</v>
      </c>
      <c r="FL143" s="55">
        <f t="shared" ref="FL143:FL206" ca="1" si="210">DM143-O143</f>
        <v>0</v>
      </c>
      <c r="FM143" s="55">
        <f t="shared" ref="FM143:FM206" ca="1" si="211">DN143-P143</f>
        <v>0</v>
      </c>
      <c r="FN143" s="55">
        <f t="shared" ref="FN143:FN206" ca="1" si="212">DO143-Q143</f>
        <v>0</v>
      </c>
      <c r="FO143" s="55">
        <f t="shared" ref="FO143:FO206" ca="1" si="213">DP143-R143</f>
        <v>0</v>
      </c>
      <c r="FP143" s="55">
        <f t="shared" ref="FP143:FP206" ca="1" si="214">DQ143-S143</f>
        <v>0</v>
      </c>
      <c r="FQ143" s="55">
        <f t="shared" ref="FQ143:FQ206" ca="1" si="215">DR143-T143</f>
        <v>0</v>
      </c>
      <c r="FR143" s="55">
        <f t="shared" ref="FR143:FR206" ca="1" si="216">DS143-U143</f>
        <v>0</v>
      </c>
      <c r="FS143" s="55">
        <f t="shared" ca="1" si="158"/>
        <v>0</v>
      </c>
      <c r="FT143" s="55">
        <f t="shared" ca="1" si="159"/>
        <v>0</v>
      </c>
      <c r="FU143" s="55">
        <f t="shared" ca="1" si="160"/>
        <v>0</v>
      </c>
      <c r="FV143" s="55">
        <f t="shared" ca="1" si="161"/>
        <v>0</v>
      </c>
      <c r="FW143" s="55">
        <f t="shared" ca="1" si="162"/>
        <v>0</v>
      </c>
      <c r="FX143" s="55">
        <f t="shared" ca="1" si="163"/>
        <v>0</v>
      </c>
      <c r="FY143" s="55">
        <f t="shared" ca="1" si="164"/>
        <v>0</v>
      </c>
      <c r="FZ143" s="55">
        <f t="shared" ca="1" si="165"/>
        <v>0</v>
      </c>
      <c r="GA143" s="55">
        <f t="shared" ca="1" si="166"/>
        <v>0</v>
      </c>
      <c r="GB143" s="55">
        <f t="shared" ca="1" si="167"/>
        <v>0</v>
      </c>
      <c r="GC143" s="55">
        <f t="shared" ca="1" si="168"/>
        <v>0</v>
      </c>
      <c r="GD143" s="55">
        <f t="shared" ca="1" si="169"/>
        <v>0</v>
      </c>
      <c r="GE143" s="55">
        <f t="shared" ca="1" si="170"/>
        <v>0</v>
      </c>
      <c r="GF143" s="55">
        <f t="shared" ca="1" si="171"/>
        <v>0</v>
      </c>
      <c r="GG143" s="55">
        <f t="shared" ca="1" si="172"/>
        <v>0</v>
      </c>
      <c r="GH143" s="55">
        <f t="shared" ca="1" si="173"/>
        <v>0</v>
      </c>
      <c r="GI143" s="55">
        <f t="shared" ca="1" si="174"/>
        <v>0</v>
      </c>
      <c r="GJ143" s="55">
        <f t="shared" ca="1" si="175"/>
        <v>0</v>
      </c>
      <c r="GK143" s="55">
        <f t="shared" ca="1" si="176"/>
        <v>0</v>
      </c>
      <c r="GL143" s="55">
        <f t="shared" ca="1" si="177"/>
        <v>0</v>
      </c>
      <c r="GM143" s="55">
        <f t="shared" ca="1" si="178"/>
        <v>0</v>
      </c>
      <c r="GN143" s="55">
        <f t="shared" ca="1" si="179"/>
        <v>0</v>
      </c>
      <c r="GO143" s="55">
        <f t="shared" ca="1" si="180"/>
        <v>0</v>
      </c>
      <c r="GP143" s="55">
        <f t="shared" ca="1" si="181"/>
        <v>0</v>
      </c>
      <c r="GQ143" s="55">
        <f t="shared" ca="1" si="182"/>
        <v>0</v>
      </c>
      <c r="GR143" s="55">
        <f t="shared" ca="1" si="183"/>
        <v>0</v>
      </c>
      <c r="GS143" s="55">
        <f t="shared" ca="1" si="184"/>
        <v>0</v>
      </c>
      <c r="GT143" s="55">
        <f t="shared" ca="1" si="185"/>
        <v>0</v>
      </c>
      <c r="GU143" s="55">
        <f t="shared" ca="1" si="186"/>
        <v>0</v>
      </c>
      <c r="GV143" s="55">
        <f t="shared" ca="1" si="187"/>
        <v>0</v>
      </c>
      <c r="GW143" s="55">
        <f t="shared" ca="1" si="188"/>
        <v>0</v>
      </c>
      <c r="GX143" s="55">
        <f t="shared" ca="1" si="189"/>
        <v>0</v>
      </c>
      <c r="GY143" s="55">
        <f t="shared" ca="1" si="190"/>
        <v>0</v>
      </c>
      <c r="GZ143" s="55">
        <f t="shared" ca="1" si="191"/>
        <v>0</v>
      </c>
      <c r="HA143" s="55">
        <f t="shared" ca="1" si="192"/>
        <v>0</v>
      </c>
      <c r="HB143" s="55">
        <f t="shared" ca="1" si="193"/>
        <v>0</v>
      </c>
      <c r="HC143" s="55">
        <f t="shared" ca="1" si="194"/>
        <v>-4.7431702527999997E-2</v>
      </c>
      <c r="HD143" s="55">
        <f t="shared" ca="1" si="195"/>
        <v>-0.32431221760000001</v>
      </c>
      <c r="HE143" s="55">
        <f t="shared" ca="1" si="196"/>
        <v>0</v>
      </c>
    </row>
    <row r="144" spans="1:213">
      <c r="A144" s="27">
        <v>7</v>
      </c>
      <c r="B144" s="27">
        <v>77</v>
      </c>
      <c r="C144" s="27">
        <v>0.43571300000000002</v>
      </c>
      <c r="D144" s="27">
        <v>0.630166</v>
      </c>
      <c r="E144" s="27">
        <v>2</v>
      </c>
      <c r="F144" s="27">
        <f t="shared" ca="1" si="59"/>
        <v>4</v>
      </c>
      <c r="G144" s="27">
        <f t="shared" si="54"/>
        <v>0</v>
      </c>
      <c r="H144" s="27" t="str">
        <f t="shared" si="60"/>
        <v>Sim</v>
      </c>
      <c r="I144" s="27">
        <f t="shared" si="61"/>
        <v>0</v>
      </c>
      <c r="J144" s="37">
        <f t="shared" si="62"/>
        <v>1</v>
      </c>
      <c r="K144" s="55">
        <f t="shared" si="63"/>
        <v>-1.140779</v>
      </c>
      <c r="L144" s="55">
        <f t="shared" si="197"/>
        <v>-0.17543700000000001</v>
      </c>
      <c r="M144" s="55">
        <f t="shared" si="198"/>
        <v>1.0057210000000001</v>
      </c>
      <c r="N144" s="55">
        <f t="shared" si="199"/>
        <v>1.0172669999999999</v>
      </c>
      <c r="O144" s="55">
        <f t="shared" si="200"/>
        <v>0.36962400000000001</v>
      </c>
      <c r="P144" s="55">
        <f t="shared" si="201"/>
        <v>-0.97281799999999996</v>
      </c>
      <c r="Q144" s="55">
        <f t="shared" si="202"/>
        <v>0.69025099999999995</v>
      </c>
      <c r="R144" s="55">
        <f t="shared" si="203"/>
        <v>0.49567699999999998</v>
      </c>
      <c r="S144" s="55">
        <f t="shared" si="204"/>
        <v>0.198852</v>
      </c>
      <c r="T144" s="55">
        <f t="shared" si="205"/>
        <v>-0.91942999999999997</v>
      </c>
      <c r="U144" s="55">
        <f t="shared" si="206"/>
        <v>-0.699044</v>
      </c>
      <c r="V144" s="55">
        <f t="shared" si="116"/>
        <v>-5.2692000000000003E-2</v>
      </c>
      <c r="W144" s="55">
        <f t="shared" si="117"/>
        <v>0.78876900000000005</v>
      </c>
      <c r="X144" s="55">
        <f t="shared" si="118"/>
        <v>0.75934000000000001</v>
      </c>
      <c r="Y144" s="55">
        <f t="shared" si="119"/>
        <v>-0.421568</v>
      </c>
      <c r="Z144" s="55">
        <f t="shared" si="120"/>
        <v>-0.22687199999999999</v>
      </c>
      <c r="AA144" s="55">
        <f t="shared" si="121"/>
        <v>1.0752569999999999</v>
      </c>
      <c r="AB144" s="55">
        <f t="shared" si="122"/>
        <v>-0.26357900000000001</v>
      </c>
      <c r="AC144" s="55">
        <f t="shared" si="123"/>
        <v>0.32796500000000001</v>
      </c>
      <c r="AD144" s="55">
        <f t="shared" si="124"/>
        <v>-0.38918999999999998</v>
      </c>
      <c r="AE144" s="55">
        <f t="shared" si="125"/>
        <v>-7.8463000000000005E-2</v>
      </c>
      <c r="AF144" s="55">
        <f t="shared" si="126"/>
        <v>0.51175300000000001</v>
      </c>
      <c r="AG144" s="55">
        <f t="shared" si="127"/>
        <v>0.70601199999999997</v>
      </c>
      <c r="AH144" s="55">
        <f t="shared" si="128"/>
        <v>-8.3307999999999993E-2</v>
      </c>
      <c r="AI144" s="55">
        <f t="shared" si="129"/>
        <v>-1.7228250000000001</v>
      </c>
      <c r="AJ144" s="55">
        <f t="shared" si="130"/>
        <v>0.31092700000000001</v>
      </c>
      <c r="AK144" s="55">
        <f t="shared" si="131"/>
        <v>-0.60361900000000002</v>
      </c>
      <c r="AL144" s="55">
        <f t="shared" si="132"/>
        <v>0.43245099999999997</v>
      </c>
      <c r="AM144" s="55">
        <f t="shared" si="133"/>
        <v>0.147812</v>
      </c>
      <c r="AN144" s="55">
        <f t="shared" si="134"/>
        <v>9.9423999999999998E-2</v>
      </c>
      <c r="AO144" s="55">
        <f t="shared" si="135"/>
        <v>1.6520109999999999</v>
      </c>
      <c r="AP144" s="55">
        <f t="shared" si="136"/>
        <v>-0.121765</v>
      </c>
      <c r="AQ144" s="55">
        <f t="shared" si="137"/>
        <v>-8.8529999999999998E-3</v>
      </c>
      <c r="AR144" s="55">
        <f t="shared" si="138"/>
        <v>0.19926199999999999</v>
      </c>
      <c r="AS144" s="55">
        <f t="shared" si="139"/>
        <v>-2.7438000000000001E-2</v>
      </c>
      <c r="AT144" s="55">
        <f t="shared" si="140"/>
        <v>-0.87695299999999998</v>
      </c>
      <c r="AU144" s="55">
        <f t="shared" si="141"/>
        <v>0.23354900000000001</v>
      </c>
      <c r="AV144" s="55">
        <f t="shared" si="142"/>
        <v>0.29549599999999998</v>
      </c>
      <c r="AW144" s="55">
        <f t="shared" si="143"/>
        <v>0.31619399999999998</v>
      </c>
      <c r="AX144" s="55">
        <f t="shared" si="144"/>
        <v>0.65429300000000001</v>
      </c>
      <c r="AY144" s="55">
        <f t="shared" si="145"/>
        <v>-0.31571199999999999</v>
      </c>
      <c r="AZ144" s="55">
        <f t="shared" si="146"/>
        <v>0.64944800000000003</v>
      </c>
      <c r="BA144" s="55">
        <f t="shared" si="147"/>
        <v>0.335949</v>
      </c>
      <c r="BB144" s="55">
        <f t="shared" si="148"/>
        <v>-0.68954499999999996</v>
      </c>
      <c r="BC144" s="55">
        <f t="shared" si="149"/>
        <v>6.6683999999999993E-2</v>
      </c>
      <c r="BD144" s="55">
        <f t="shared" si="150"/>
        <v>-0.29972599999999999</v>
      </c>
      <c r="BE144" s="55">
        <f t="shared" si="151"/>
        <v>0.74617599999999995</v>
      </c>
      <c r="BF144" s="55">
        <f t="shared" si="152"/>
        <v>-5.5605000000000002E-2</v>
      </c>
      <c r="BG144" s="55">
        <f t="shared" si="153"/>
        <v>-0.86746900000000005</v>
      </c>
      <c r="BH144" s="55">
        <f t="shared" si="154"/>
        <v>0.37076599999999998</v>
      </c>
      <c r="BJ144" s="55">
        <f t="shared" si="64"/>
        <v>0.94180900000000001</v>
      </c>
      <c r="BK144" s="55">
        <f t="shared" si="64"/>
        <v>-0.96661600000000003</v>
      </c>
      <c r="BL144" s="55">
        <f t="shared" si="64"/>
        <v>-1.701E-3</v>
      </c>
      <c r="BM144" s="55">
        <f t="shared" si="64"/>
        <v>-0.54540299999999997</v>
      </c>
      <c r="BN144" s="55">
        <f t="shared" si="64"/>
        <v>-0.43832100000000002</v>
      </c>
      <c r="BO144" s="55">
        <f t="shared" si="64"/>
        <v>-1.4298390000000001</v>
      </c>
      <c r="BP144" s="55">
        <f t="shared" si="64"/>
        <v>0.92647900000000005</v>
      </c>
      <c r="BQ144" s="55">
        <f t="shared" si="64"/>
        <v>-0.78257600000000005</v>
      </c>
      <c r="BR144" s="55">
        <f t="shared" si="64"/>
        <v>0.45502300000000001</v>
      </c>
      <c r="BS144" s="55">
        <f t="shared" si="64"/>
        <v>0.18059900000000001</v>
      </c>
      <c r="BT144" s="55">
        <f t="shared" si="64"/>
        <v>-0.34862500000000002</v>
      </c>
      <c r="BU144" s="55">
        <f t="shared" si="64"/>
        <v>-0.84838400000000003</v>
      </c>
      <c r="BV144" s="55">
        <f t="shared" si="64"/>
        <v>0.65981699999999999</v>
      </c>
      <c r="BW144" s="55">
        <f t="shared" si="64"/>
        <v>-1.4716579999999999</v>
      </c>
      <c r="BX144" s="55">
        <f t="shared" si="64"/>
        <v>1.3420000000000001E-3</v>
      </c>
      <c r="BY144" s="55">
        <f t="shared" si="64"/>
        <v>-3.8100000000000002E-2</v>
      </c>
      <c r="BZ144" s="55">
        <f t="shared" si="155"/>
        <v>-0.96284999999999998</v>
      </c>
      <c r="CA144" s="55">
        <f t="shared" si="155"/>
        <v>0.84333599999999997</v>
      </c>
      <c r="CB144" s="55">
        <f t="shared" si="155"/>
        <v>0.60397100000000004</v>
      </c>
      <c r="CC144" s="55">
        <f t="shared" si="155"/>
        <v>-1.6871149999999999</v>
      </c>
      <c r="CD144" s="55">
        <f t="shared" si="155"/>
        <v>-0.68394600000000005</v>
      </c>
      <c r="CE144" s="55">
        <f t="shared" si="155"/>
        <v>0.61243499999999995</v>
      </c>
      <c r="CF144" s="55">
        <f t="shared" si="155"/>
        <v>0.67593400000000003</v>
      </c>
      <c r="CG144" s="55">
        <f t="shared" si="155"/>
        <v>0.32172499999999998</v>
      </c>
      <c r="CH144" s="55">
        <f t="shared" si="155"/>
        <v>-0.48714099999999999</v>
      </c>
      <c r="CI144" s="55">
        <f t="shared" si="155"/>
        <v>-0.543597</v>
      </c>
      <c r="CJ144" s="55">
        <f t="shared" si="155"/>
        <v>-0.49929000000000001</v>
      </c>
      <c r="CK144" s="55">
        <f t="shared" si="156"/>
        <v>0.19483600000000001</v>
      </c>
      <c r="CL144" s="55">
        <f t="shared" si="156"/>
        <v>-0.87549399999999999</v>
      </c>
      <c r="CM144" s="55">
        <f t="shared" si="156"/>
        <v>-0.78691800000000001</v>
      </c>
      <c r="CN144" s="55">
        <f t="shared" si="156"/>
        <v>0.32993400000000001</v>
      </c>
      <c r="CO144" s="55">
        <f t="shared" si="156"/>
        <v>-0.41718</v>
      </c>
      <c r="CP144" s="55">
        <f t="shared" si="156"/>
        <v>-0.25569599999999998</v>
      </c>
      <c r="CQ144" s="55">
        <f t="shared" si="156"/>
        <v>-0.97838499999999995</v>
      </c>
      <c r="CR144" s="55">
        <f t="shared" si="156"/>
        <v>-0.55299500000000001</v>
      </c>
      <c r="CS144" s="55">
        <f t="shared" si="156"/>
        <v>-1.1587E-2</v>
      </c>
      <c r="CT144" s="55">
        <f t="shared" si="156"/>
        <v>-0.10553800000000001</v>
      </c>
      <c r="CU144" s="55">
        <f t="shared" si="156"/>
        <v>0.33248499999999998</v>
      </c>
      <c r="CV144" s="55">
        <f t="shared" si="156"/>
        <v>0.36088500000000001</v>
      </c>
      <c r="CW144" s="55">
        <f t="shared" si="156"/>
        <v>0.129166</v>
      </c>
      <c r="CX144" s="55">
        <f t="shared" si="156"/>
        <v>0.195464</v>
      </c>
      <c r="CY144" s="55">
        <f t="shared" si="156"/>
        <v>-0.39376699999999998</v>
      </c>
      <c r="CZ144" s="55">
        <f t="shared" si="156"/>
        <v>0.58815799999999996</v>
      </c>
      <c r="DA144" s="55">
        <f t="shared" si="157"/>
        <v>-0.56207700000000005</v>
      </c>
      <c r="DB144" s="55">
        <f t="shared" si="157"/>
        <v>-0.127944</v>
      </c>
      <c r="DC144" s="55">
        <f t="shared" si="157"/>
        <v>5.8170000000000001E-3</v>
      </c>
      <c r="DD144" s="55">
        <f t="shared" si="157"/>
        <v>1.0401769999999999</v>
      </c>
      <c r="DE144" s="55">
        <f t="shared" si="157"/>
        <v>0.38863900000000001</v>
      </c>
      <c r="DF144" s="55">
        <f t="shared" si="157"/>
        <v>0.71790500000000002</v>
      </c>
      <c r="DG144" s="55">
        <f t="shared" si="157"/>
        <v>-1.2433989999999999</v>
      </c>
      <c r="DI144" s="55">
        <f t="shared" ca="1" si="65"/>
        <v>-1.140779</v>
      </c>
      <c r="DJ144" s="55">
        <f t="shared" ca="1" si="66"/>
        <v>-0.17543700000000001</v>
      </c>
      <c r="DK144" s="55">
        <f t="shared" ca="1" si="67"/>
        <v>0.63314209205200001</v>
      </c>
      <c r="DL144" s="55">
        <f t="shared" ca="1" si="68"/>
        <v>0.43933850322000001</v>
      </c>
      <c r="DM144" s="55">
        <f t="shared" ca="1" si="69"/>
        <v>0.36962400000000001</v>
      </c>
      <c r="DN144" s="55">
        <f t="shared" ca="1" si="70"/>
        <v>-0.97281799999999996</v>
      </c>
      <c r="DO144" s="55">
        <f t="shared" ca="1" si="71"/>
        <v>0.69025099999999995</v>
      </c>
      <c r="DP144" s="55">
        <f t="shared" ca="1" si="72"/>
        <v>0.49567699999999998</v>
      </c>
      <c r="DQ144" s="55">
        <f t="shared" ca="1" si="73"/>
        <v>0.198852</v>
      </c>
      <c r="DR144" s="55">
        <f t="shared" ca="1" si="74"/>
        <v>-0.91942999999999997</v>
      </c>
      <c r="DS144" s="55">
        <f t="shared" ca="1" si="75"/>
        <v>-0.699044</v>
      </c>
      <c r="DT144" s="55">
        <f t="shared" ca="1" si="76"/>
        <v>-5.2692000000000003E-2</v>
      </c>
      <c r="DU144" s="55">
        <f t="shared" ca="1" si="77"/>
        <v>0.78876900000000005</v>
      </c>
      <c r="DV144" s="55">
        <f t="shared" ca="1" si="78"/>
        <v>0.75934000000000001</v>
      </c>
      <c r="DW144" s="55">
        <f t="shared" ca="1" si="79"/>
        <v>-0.421568</v>
      </c>
      <c r="DX144" s="55">
        <f t="shared" ca="1" si="80"/>
        <v>-0.22687199999999999</v>
      </c>
      <c r="DY144" s="55">
        <f t="shared" ca="1" si="81"/>
        <v>1.0752569999999999</v>
      </c>
      <c r="DZ144" s="55">
        <f t="shared" ca="1" si="82"/>
        <v>-0.26357900000000001</v>
      </c>
      <c r="EA144" s="55">
        <f t="shared" ca="1" si="83"/>
        <v>0.32796500000000001</v>
      </c>
      <c r="EB144" s="55">
        <f t="shared" ca="1" si="84"/>
        <v>-0.38918999999999998</v>
      </c>
      <c r="EC144" s="55">
        <f t="shared" ca="1" si="85"/>
        <v>-7.8463000000000005E-2</v>
      </c>
      <c r="ED144" s="55">
        <f t="shared" ca="1" si="86"/>
        <v>0.51175300000000001</v>
      </c>
      <c r="EE144" s="55">
        <f t="shared" ca="1" si="87"/>
        <v>0.70601199999999997</v>
      </c>
      <c r="EF144" s="55">
        <f t="shared" ca="1" si="88"/>
        <v>-8.3307999999999993E-2</v>
      </c>
      <c r="EG144" s="55">
        <f t="shared" ca="1" si="89"/>
        <v>-1.7228250000000001</v>
      </c>
      <c r="EH144" s="55">
        <f t="shared" ca="1" si="90"/>
        <v>0.31092700000000001</v>
      </c>
      <c r="EI144" s="55">
        <f t="shared" ca="1" si="91"/>
        <v>-0.60361900000000002</v>
      </c>
      <c r="EJ144" s="55">
        <f t="shared" ca="1" si="92"/>
        <v>0.43245099999999997</v>
      </c>
      <c r="EK144" s="55">
        <f t="shared" ca="1" si="93"/>
        <v>0.147812</v>
      </c>
      <c r="EL144" s="55">
        <f t="shared" ca="1" si="94"/>
        <v>9.9423999999999998E-2</v>
      </c>
      <c r="EM144" s="55">
        <f t="shared" ca="1" si="95"/>
        <v>1.6520109999999999</v>
      </c>
      <c r="EN144" s="55">
        <f t="shared" ca="1" si="96"/>
        <v>-0.121765</v>
      </c>
      <c r="EO144" s="55">
        <f t="shared" ca="1" si="97"/>
        <v>-8.8529999999999998E-3</v>
      </c>
      <c r="EP144" s="55">
        <f t="shared" ca="1" si="98"/>
        <v>0.19926199999999999</v>
      </c>
      <c r="EQ144" s="55">
        <f t="shared" ca="1" si="99"/>
        <v>-2.7438000000000001E-2</v>
      </c>
      <c r="ER144" s="55">
        <f t="shared" ca="1" si="100"/>
        <v>-0.87695299999999998</v>
      </c>
      <c r="ES144" s="55">
        <f t="shared" ca="1" si="101"/>
        <v>0.23354900000000001</v>
      </c>
      <c r="ET144" s="55">
        <f t="shared" ca="1" si="102"/>
        <v>0.29549599999999998</v>
      </c>
      <c r="EU144" s="55">
        <f t="shared" ca="1" si="103"/>
        <v>0.31619399999999998</v>
      </c>
      <c r="EV144" s="55">
        <f t="shared" ca="1" si="104"/>
        <v>0.65429300000000001</v>
      </c>
      <c r="EW144" s="55">
        <f t="shared" ca="1" si="105"/>
        <v>-0.31571199999999999</v>
      </c>
      <c r="EX144" s="55">
        <f t="shared" ca="1" si="106"/>
        <v>0.64944800000000003</v>
      </c>
      <c r="EY144" s="55">
        <f t="shared" ca="1" si="107"/>
        <v>0.335949</v>
      </c>
      <c r="EZ144" s="55">
        <f t="shared" ca="1" si="108"/>
        <v>-0.68954499999999996</v>
      </c>
      <c r="FA144" s="55">
        <f t="shared" ca="1" si="109"/>
        <v>6.6683999999999993E-2</v>
      </c>
      <c r="FB144" s="55">
        <f t="shared" ca="1" si="110"/>
        <v>-0.29972599999999999</v>
      </c>
      <c r="FC144" s="55">
        <f t="shared" ca="1" si="111"/>
        <v>0.74617599999999995</v>
      </c>
      <c r="FD144" s="55">
        <f t="shared" ca="1" si="112"/>
        <v>-5.5605000000000002E-2</v>
      </c>
      <c r="FE144" s="55">
        <f t="shared" ca="1" si="113"/>
        <v>-0.86746900000000005</v>
      </c>
      <c r="FF144" s="55">
        <f t="shared" ca="1" si="114"/>
        <v>0.37076599999999998</v>
      </c>
      <c r="FH144" s="55">
        <f t="shared" ca="1" si="115"/>
        <v>0</v>
      </c>
      <c r="FI144" s="55">
        <f t="shared" ca="1" si="207"/>
        <v>0</v>
      </c>
      <c r="FJ144" s="55">
        <f t="shared" ca="1" si="208"/>
        <v>-0.37257890794800008</v>
      </c>
      <c r="FK144" s="55">
        <f t="shared" ca="1" si="209"/>
        <v>-0.57792849677999991</v>
      </c>
      <c r="FL144" s="55">
        <f t="shared" ca="1" si="210"/>
        <v>0</v>
      </c>
      <c r="FM144" s="55">
        <f t="shared" ca="1" si="211"/>
        <v>0</v>
      </c>
      <c r="FN144" s="55">
        <f t="shared" ca="1" si="212"/>
        <v>0</v>
      </c>
      <c r="FO144" s="55">
        <f t="shared" ca="1" si="213"/>
        <v>0</v>
      </c>
      <c r="FP144" s="55">
        <f t="shared" ca="1" si="214"/>
        <v>0</v>
      </c>
      <c r="FQ144" s="55">
        <f t="shared" ca="1" si="215"/>
        <v>0</v>
      </c>
      <c r="FR144" s="55">
        <f t="shared" ca="1" si="216"/>
        <v>0</v>
      </c>
      <c r="FS144" s="55">
        <f t="shared" ca="1" si="158"/>
        <v>0</v>
      </c>
      <c r="FT144" s="55">
        <f t="shared" ca="1" si="159"/>
        <v>0</v>
      </c>
      <c r="FU144" s="55">
        <f t="shared" ca="1" si="160"/>
        <v>0</v>
      </c>
      <c r="FV144" s="55">
        <f t="shared" ca="1" si="161"/>
        <v>0</v>
      </c>
      <c r="FW144" s="55">
        <f t="shared" ca="1" si="162"/>
        <v>0</v>
      </c>
      <c r="FX144" s="55">
        <f t="shared" ca="1" si="163"/>
        <v>0</v>
      </c>
      <c r="FY144" s="55">
        <f t="shared" ca="1" si="164"/>
        <v>0</v>
      </c>
      <c r="FZ144" s="55">
        <f t="shared" ca="1" si="165"/>
        <v>0</v>
      </c>
      <c r="GA144" s="55">
        <f t="shared" ca="1" si="166"/>
        <v>0</v>
      </c>
      <c r="GB144" s="55">
        <f t="shared" ca="1" si="167"/>
        <v>0</v>
      </c>
      <c r="GC144" s="55">
        <f t="shared" ca="1" si="168"/>
        <v>0</v>
      </c>
      <c r="GD144" s="55">
        <f t="shared" ca="1" si="169"/>
        <v>0</v>
      </c>
      <c r="GE144" s="55">
        <f t="shared" ca="1" si="170"/>
        <v>0</v>
      </c>
      <c r="GF144" s="55">
        <f t="shared" ca="1" si="171"/>
        <v>0</v>
      </c>
      <c r="GG144" s="55">
        <f t="shared" ca="1" si="172"/>
        <v>0</v>
      </c>
      <c r="GH144" s="55">
        <f t="shared" ca="1" si="173"/>
        <v>0</v>
      </c>
      <c r="GI144" s="55">
        <f t="shared" ca="1" si="174"/>
        <v>0</v>
      </c>
      <c r="GJ144" s="55">
        <f t="shared" ca="1" si="175"/>
        <v>0</v>
      </c>
      <c r="GK144" s="55">
        <f t="shared" ca="1" si="176"/>
        <v>0</v>
      </c>
      <c r="GL144" s="55">
        <f t="shared" ca="1" si="177"/>
        <v>0</v>
      </c>
      <c r="GM144" s="55">
        <f t="shared" ca="1" si="178"/>
        <v>0</v>
      </c>
      <c r="GN144" s="55">
        <f t="shared" ca="1" si="179"/>
        <v>0</v>
      </c>
      <c r="GO144" s="55">
        <f t="shared" ca="1" si="180"/>
        <v>0</v>
      </c>
      <c r="GP144" s="55">
        <f t="shared" ca="1" si="181"/>
        <v>0</v>
      </c>
      <c r="GQ144" s="55">
        <f t="shared" ca="1" si="182"/>
        <v>0</v>
      </c>
      <c r="GR144" s="55">
        <f t="shared" ca="1" si="183"/>
        <v>0</v>
      </c>
      <c r="GS144" s="55">
        <f t="shared" ca="1" si="184"/>
        <v>0</v>
      </c>
      <c r="GT144" s="55">
        <f t="shared" ca="1" si="185"/>
        <v>0</v>
      </c>
      <c r="GU144" s="55">
        <f t="shared" ca="1" si="186"/>
        <v>0</v>
      </c>
      <c r="GV144" s="55">
        <f t="shared" ca="1" si="187"/>
        <v>0</v>
      </c>
      <c r="GW144" s="55">
        <f t="shared" ca="1" si="188"/>
        <v>0</v>
      </c>
      <c r="GX144" s="55">
        <f t="shared" ca="1" si="189"/>
        <v>0</v>
      </c>
      <c r="GY144" s="55">
        <f t="shared" ca="1" si="190"/>
        <v>0</v>
      </c>
      <c r="GZ144" s="55">
        <f t="shared" ca="1" si="191"/>
        <v>0</v>
      </c>
      <c r="HA144" s="55">
        <f t="shared" ca="1" si="192"/>
        <v>0</v>
      </c>
      <c r="HB144" s="55">
        <f t="shared" ca="1" si="193"/>
        <v>0</v>
      </c>
      <c r="HC144" s="55">
        <f t="shared" ca="1" si="194"/>
        <v>0</v>
      </c>
      <c r="HD144" s="55">
        <f t="shared" ca="1" si="195"/>
        <v>0</v>
      </c>
      <c r="HE144" s="55">
        <f t="shared" ca="1" si="196"/>
        <v>0</v>
      </c>
    </row>
    <row r="145" spans="1:213">
      <c r="A145" s="27">
        <v>8</v>
      </c>
      <c r="B145" s="27">
        <v>66</v>
      </c>
      <c r="C145" s="27">
        <v>0.36717300000000003</v>
      </c>
      <c r="D145" s="27">
        <v>0.48144999999999999</v>
      </c>
      <c r="E145" s="27">
        <v>27</v>
      </c>
      <c r="F145" s="27">
        <f t="shared" ca="1" si="59"/>
        <v>39</v>
      </c>
      <c r="G145" s="27">
        <f t="shared" si="54"/>
        <v>0</v>
      </c>
      <c r="H145" s="27" t="str">
        <f t="shared" si="60"/>
        <v>Sim</v>
      </c>
      <c r="I145" s="27">
        <f t="shared" si="61"/>
        <v>0</v>
      </c>
      <c r="J145" s="37">
        <f t="shared" si="62"/>
        <v>1</v>
      </c>
      <c r="K145" s="55">
        <f t="shared" si="63"/>
        <v>1.201147</v>
      </c>
      <c r="L145" s="55">
        <f t="shared" si="197"/>
        <v>0.79544800000000004</v>
      </c>
      <c r="M145" s="55">
        <f t="shared" si="198"/>
        <v>-0.347964</v>
      </c>
      <c r="N145" s="55">
        <f t="shared" si="199"/>
        <v>0.64128600000000002</v>
      </c>
      <c r="O145" s="55">
        <f t="shared" si="200"/>
        <v>-1.14191</v>
      </c>
      <c r="P145" s="55">
        <f t="shared" si="201"/>
        <v>-0.75992899999999997</v>
      </c>
      <c r="Q145" s="55">
        <f t="shared" si="202"/>
        <v>-1.604358</v>
      </c>
      <c r="R145" s="55">
        <f t="shared" si="203"/>
        <v>0.857491</v>
      </c>
      <c r="S145" s="55">
        <f t="shared" si="204"/>
        <v>-0.38516099999999998</v>
      </c>
      <c r="T145" s="55">
        <f t="shared" si="205"/>
        <v>-0.71442099999999997</v>
      </c>
      <c r="U145" s="55">
        <f t="shared" si="206"/>
        <v>0.24291399999999999</v>
      </c>
      <c r="V145" s="55">
        <f t="shared" si="116"/>
        <v>0.67096800000000001</v>
      </c>
      <c r="W145" s="55">
        <f t="shared" si="117"/>
        <v>-0.96941600000000006</v>
      </c>
      <c r="X145" s="55">
        <f t="shared" si="118"/>
        <v>0.99116300000000002</v>
      </c>
      <c r="Y145" s="55">
        <f t="shared" si="119"/>
        <v>-0.74195800000000001</v>
      </c>
      <c r="Z145" s="55">
        <f t="shared" si="120"/>
        <v>-0.86413799999999996</v>
      </c>
      <c r="AA145" s="55">
        <f t="shared" si="121"/>
        <v>0.40667399999999998</v>
      </c>
      <c r="AB145" s="55">
        <f t="shared" si="122"/>
        <v>-0.128631</v>
      </c>
      <c r="AC145" s="55">
        <f t="shared" si="123"/>
        <v>0.52541599999999999</v>
      </c>
      <c r="AD145" s="55">
        <f t="shared" si="124"/>
        <v>-0.70207799999999998</v>
      </c>
      <c r="AE145" s="55">
        <f t="shared" si="125"/>
        <v>0.44840099999999999</v>
      </c>
      <c r="AF145" s="55">
        <f t="shared" si="126"/>
        <v>0.16995399999999999</v>
      </c>
      <c r="AG145" s="55">
        <f t="shared" si="127"/>
        <v>-0.86248899999999995</v>
      </c>
      <c r="AH145" s="55">
        <f t="shared" si="128"/>
        <v>-0.22888700000000001</v>
      </c>
      <c r="AI145" s="55">
        <f t="shared" si="129"/>
        <v>0.45491999999999999</v>
      </c>
      <c r="AJ145" s="55">
        <f t="shared" si="130"/>
        <v>-0.72645800000000005</v>
      </c>
      <c r="AK145" s="55">
        <f t="shared" si="131"/>
        <v>1.391367</v>
      </c>
      <c r="AL145" s="55">
        <f t="shared" si="132"/>
        <v>9.3720000000000001E-3</v>
      </c>
      <c r="AM145" s="55">
        <f t="shared" si="133"/>
        <v>0.78249100000000005</v>
      </c>
      <c r="AN145" s="55">
        <f t="shared" si="134"/>
        <v>0.10928599999999999</v>
      </c>
      <c r="AO145" s="55">
        <f t="shared" si="135"/>
        <v>0.149314</v>
      </c>
      <c r="AP145" s="55">
        <f t="shared" si="136"/>
        <v>-0.14735699999999999</v>
      </c>
      <c r="AQ145" s="55">
        <f t="shared" si="137"/>
        <v>-0.37022500000000003</v>
      </c>
      <c r="AR145" s="55">
        <f t="shared" si="138"/>
        <v>0.68862100000000004</v>
      </c>
      <c r="AS145" s="55">
        <f t="shared" si="139"/>
        <v>0.116507</v>
      </c>
      <c r="AT145" s="55">
        <f t="shared" si="140"/>
        <v>0.70454499999999998</v>
      </c>
      <c r="AU145" s="55">
        <f t="shared" si="141"/>
        <v>0.25917099999999998</v>
      </c>
      <c r="AV145" s="55">
        <f t="shared" si="142"/>
        <v>0.58424699999999996</v>
      </c>
      <c r="AW145" s="55">
        <f t="shared" si="143"/>
        <v>0.43226199999999998</v>
      </c>
      <c r="AX145" s="55">
        <f t="shared" si="144"/>
        <v>0.38578699999999999</v>
      </c>
      <c r="AY145" s="55">
        <f t="shared" si="145"/>
        <v>1.4157839999999999</v>
      </c>
      <c r="AZ145" s="55">
        <f t="shared" si="146"/>
        <v>0.87623600000000001</v>
      </c>
      <c r="BA145" s="55">
        <f t="shared" si="147"/>
        <v>-3.2625000000000001E-2</v>
      </c>
      <c r="BB145" s="55">
        <f t="shared" si="148"/>
        <v>0.20579900000000001</v>
      </c>
      <c r="BC145" s="55">
        <f t="shared" si="149"/>
        <v>0.16142899999999999</v>
      </c>
      <c r="BD145" s="55">
        <f t="shared" si="150"/>
        <v>0.53557699999999997</v>
      </c>
      <c r="BE145" s="55">
        <f t="shared" si="151"/>
        <v>2.696E-3</v>
      </c>
      <c r="BF145" s="55">
        <f t="shared" si="152"/>
        <v>0.41212700000000002</v>
      </c>
      <c r="BG145" s="55">
        <f t="shared" si="153"/>
        <v>-9.1273000000000007E-2</v>
      </c>
      <c r="BH145" s="55">
        <f t="shared" si="154"/>
        <v>-9.8309999999999995E-2</v>
      </c>
      <c r="BJ145" s="55">
        <f t="shared" si="64"/>
        <v>-1.0969869999999999</v>
      </c>
      <c r="BK145" s="55">
        <f t="shared" si="64"/>
        <v>0.38115300000000002</v>
      </c>
      <c r="BL145" s="55">
        <f t="shared" si="64"/>
        <v>0.52356899999999995</v>
      </c>
      <c r="BM145" s="55">
        <f t="shared" si="64"/>
        <v>-1.714448</v>
      </c>
      <c r="BN145" s="55">
        <f t="shared" si="64"/>
        <v>0.639714</v>
      </c>
      <c r="BO145" s="55">
        <f t="shared" si="64"/>
        <v>-0.27751399999999998</v>
      </c>
      <c r="BP145" s="55">
        <f t="shared" si="64"/>
        <v>0.22517899999999999</v>
      </c>
      <c r="BQ145" s="55">
        <f t="shared" si="64"/>
        <v>-6.7871000000000001E-2</v>
      </c>
      <c r="BR145" s="55">
        <f t="shared" si="64"/>
        <v>-0.26596500000000001</v>
      </c>
      <c r="BS145" s="55">
        <f t="shared" si="64"/>
        <v>-3.7038000000000001E-2</v>
      </c>
      <c r="BT145" s="55">
        <f t="shared" si="64"/>
        <v>0.96115200000000001</v>
      </c>
      <c r="BU145" s="55">
        <f t="shared" si="64"/>
        <v>0.51594700000000004</v>
      </c>
      <c r="BV145" s="55">
        <f t="shared" si="64"/>
        <v>0.59214999999999995</v>
      </c>
      <c r="BW145" s="55">
        <f t="shared" si="64"/>
        <v>-0.90259299999999998</v>
      </c>
      <c r="BX145" s="55">
        <f t="shared" si="64"/>
        <v>0.98840300000000003</v>
      </c>
      <c r="BY145" s="55">
        <f t="shared" si="64"/>
        <v>-0.674983</v>
      </c>
      <c r="BZ145" s="55">
        <f t="shared" si="155"/>
        <v>0.97841800000000001</v>
      </c>
      <c r="CA145" s="55">
        <f t="shared" si="155"/>
        <v>0.82400099999999998</v>
      </c>
      <c r="CB145" s="55">
        <f t="shared" si="155"/>
        <v>1.396997</v>
      </c>
      <c r="CC145" s="55">
        <f t="shared" si="155"/>
        <v>-0.45306800000000003</v>
      </c>
      <c r="CD145" s="55">
        <f t="shared" si="155"/>
        <v>0.68356899999999998</v>
      </c>
      <c r="CE145" s="55">
        <f t="shared" si="155"/>
        <v>0.73449600000000004</v>
      </c>
      <c r="CF145" s="55">
        <f t="shared" si="155"/>
        <v>0.567998</v>
      </c>
      <c r="CG145" s="55">
        <f t="shared" si="155"/>
        <v>-0.45733400000000002</v>
      </c>
      <c r="CH145" s="55">
        <f t="shared" si="155"/>
        <v>-1.048338</v>
      </c>
      <c r="CI145" s="55">
        <f t="shared" si="155"/>
        <v>-1.1257E-2</v>
      </c>
      <c r="CJ145" s="55">
        <f t="shared" si="155"/>
        <v>0.294599</v>
      </c>
      <c r="CK145" s="55">
        <f t="shared" si="156"/>
        <v>1.0457559999999999</v>
      </c>
      <c r="CL145" s="55">
        <f t="shared" si="156"/>
        <v>-0.35778199999999999</v>
      </c>
      <c r="CM145" s="55">
        <f t="shared" si="156"/>
        <v>-0.12554699999999999</v>
      </c>
      <c r="CN145" s="55">
        <f t="shared" si="156"/>
        <v>-0.62191700000000005</v>
      </c>
      <c r="CO145" s="55">
        <f t="shared" si="156"/>
        <v>0.52560499999999999</v>
      </c>
      <c r="CP145" s="55">
        <f t="shared" si="156"/>
        <v>2.4389000000000001E-2</v>
      </c>
      <c r="CQ145" s="55">
        <f t="shared" si="156"/>
        <v>-1.1259049999999999</v>
      </c>
      <c r="CR145" s="55">
        <f t="shared" si="156"/>
        <v>0.78310400000000002</v>
      </c>
      <c r="CS145" s="55">
        <f t="shared" si="156"/>
        <v>-0.625803</v>
      </c>
      <c r="CT145" s="55">
        <f t="shared" si="156"/>
        <v>0.32439000000000001</v>
      </c>
      <c r="CU145" s="55">
        <f t="shared" si="156"/>
        <v>-0.28769800000000001</v>
      </c>
      <c r="CV145" s="55">
        <f t="shared" si="156"/>
        <v>-0.81347199999999997</v>
      </c>
      <c r="CW145" s="55">
        <f t="shared" si="156"/>
        <v>0.20236699999999999</v>
      </c>
      <c r="CX145" s="55">
        <f t="shared" si="156"/>
        <v>0.71817299999999995</v>
      </c>
      <c r="CY145" s="55">
        <f t="shared" si="156"/>
        <v>-1.6559000000000001E-2</v>
      </c>
      <c r="CZ145" s="55">
        <f t="shared" si="156"/>
        <v>-0.30865999999999999</v>
      </c>
      <c r="DA145" s="55">
        <f t="shared" si="157"/>
        <v>-0.412381</v>
      </c>
      <c r="DB145" s="55">
        <f t="shared" si="157"/>
        <v>-0.70930300000000002</v>
      </c>
      <c r="DC145" s="55">
        <f t="shared" si="157"/>
        <v>-7.7965000000000007E-2</v>
      </c>
      <c r="DD145" s="55">
        <f t="shared" si="157"/>
        <v>0.49343900000000002</v>
      </c>
      <c r="DE145" s="55">
        <f t="shared" si="157"/>
        <v>-0.40752500000000003</v>
      </c>
      <c r="DF145" s="55">
        <f t="shared" si="157"/>
        <v>0.80309900000000001</v>
      </c>
      <c r="DG145" s="55">
        <f t="shared" si="157"/>
        <v>-0.17697399999999999</v>
      </c>
      <c r="DI145" s="55">
        <f t="shared" ca="1" si="65"/>
        <v>1.201147</v>
      </c>
      <c r="DJ145" s="55">
        <f t="shared" ca="1" si="66"/>
        <v>0.79544800000000004</v>
      </c>
      <c r="DK145" s="55">
        <f t="shared" ca="1" si="67"/>
        <v>-0.347964</v>
      </c>
      <c r="DL145" s="55">
        <f t="shared" ca="1" si="68"/>
        <v>0.64128600000000002</v>
      </c>
      <c r="DM145" s="55">
        <f t="shared" ca="1" si="69"/>
        <v>-1.14191</v>
      </c>
      <c r="DN145" s="55">
        <f t="shared" ca="1" si="70"/>
        <v>-0.75992899999999997</v>
      </c>
      <c r="DO145" s="55">
        <f t="shared" ca="1" si="71"/>
        <v>-1.604358</v>
      </c>
      <c r="DP145" s="55">
        <f t="shared" ca="1" si="72"/>
        <v>0.857491</v>
      </c>
      <c r="DQ145" s="55">
        <f t="shared" ca="1" si="73"/>
        <v>-0.38516099999999998</v>
      </c>
      <c r="DR145" s="55">
        <f t="shared" ca="1" si="74"/>
        <v>-0.71442099999999997</v>
      </c>
      <c r="DS145" s="55">
        <f t="shared" ca="1" si="75"/>
        <v>0.24291399999999999</v>
      </c>
      <c r="DT145" s="55">
        <f t="shared" ca="1" si="76"/>
        <v>0.67096800000000001</v>
      </c>
      <c r="DU145" s="55">
        <f t="shared" ca="1" si="77"/>
        <v>-0.96941600000000006</v>
      </c>
      <c r="DV145" s="55">
        <f t="shared" ca="1" si="78"/>
        <v>0.99116300000000002</v>
      </c>
      <c r="DW145" s="55">
        <f t="shared" ca="1" si="79"/>
        <v>-0.74195800000000001</v>
      </c>
      <c r="DX145" s="55">
        <f t="shared" ca="1" si="80"/>
        <v>-0.86413799999999996</v>
      </c>
      <c r="DY145" s="55">
        <f t="shared" ca="1" si="81"/>
        <v>0.40667399999999998</v>
      </c>
      <c r="DZ145" s="55">
        <f t="shared" ca="1" si="82"/>
        <v>-0.128631</v>
      </c>
      <c r="EA145" s="55">
        <f t="shared" ca="1" si="83"/>
        <v>0.52541599999999999</v>
      </c>
      <c r="EB145" s="55">
        <f t="shared" ca="1" si="84"/>
        <v>-0.70207799999999998</v>
      </c>
      <c r="EC145" s="55">
        <f t="shared" ca="1" si="85"/>
        <v>0.44840099999999999</v>
      </c>
      <c r="ED145" s="55">
        <f t="shared" ca="1" si="86"/>
        <v>0.16995399999999999</v>
      </c>
      <c r="EE145" s="55">
        <f t="shared" ca="1" si="87"/>
        <v>-0.86248899999999995</v>
      </c>
      <c r="EF145" s="55">
        <f t="shared" ca="1" si="88"/>
        <v>-0.22888700000000001</v>
      </c>
      <c r="EG145" s="55">
        <f t="shared" ca="1" si="89"/>
        <v>0.45491999999999999</v>
      </c>
      <c r="EH145" s="55">
        <f t="shared" ca="1" si="90"/>
        <v>-0.72645800000000005</v>
      </c>
      <c r="EI145" s="55">
        <f t="shared" ca="1" si="91"/>
        <v>1.391367</v>
      </c>
      <c r="EJ145" s="55">
        <f t="shared" ca="1" si="92"/>
        <v>0.54678892320000005</v>
      </c>
      <c r="EK145" s="55">
        <f t="shared" ca="1" si="93"/>
        <v>0.19120243584999999</v>
      </c>
      <c r="EL145" s="55">
        <f t="shared" ca="1" si="94"/>
        <v>-1.2486652150000013E-2</v>
      </c>
      <c r="EM145" s="55">
        <f t="shared" ca="1" si="95"/>
        <v>-0.25060783505000006</v>
      </c>
      <c r="EN145" s="55">
        <f t="shared" ca="1" si="96"/>
        <v>0.20160744510000006</v>
      </c>
      <c r="EO145" s="55">
        <f t="shared" ca="1" si="97"/>
        <v>-0.16559791030000001</v>
      </c>
      <c r="EP145" s="55">
        <f t="shared" ca="1" si="98"/>
        <v>-0.25230145730000009</v>
      </c>
      <c r="EQ145" s="55">
        <f t="shared" ca="1" si="99"/>
        <v>0.46217087435000004</v>
      </c>
      <c r="ER145" s="55">
        <f t="shared" ca="1" si="100"/>
        <v>1.4693044599999983E-2</v>
      </c>
      <c r="ES145" s="55">
        <f t="shared" ca="1" si="101"/>
        <v>0.29299031245000001</v>
      </c>
      <c r="ET145" s="55">
        <f t="shared" ca="1" si="102"/>
        <v>0.13209992024999995</v>
      </c>
      <c r="EU145" s="55">
        <f t="shared" ca="1" si="103"/>
        <v>-0.21371336570000007</v>
      </c>
      <c r="EV145" s="55">
        <f t="shared" ca="1" si="104"/>
        <v>0.38578699999999999</v>
      </c>
      <c r="EW145" s="55">
        <f t="shared" ca="1" si="105"/>
        <v>1.4157839999999999</v>
      </c>
      <c r="EX145" s="55">
        <f t="shared" ca="1" si="106"/>
        <v>0.87623600000000001</v>
      </c>
      <c r="EY145" s="55">
        <f t="shared" ca="1" si="107"/>
        <v>-3.2625000000000001E-2</v>
      </c>
      <c r="EZ145" s="55">
        <f t="shared" ca="1" si="108"/>
        <v>0.20579900000000001</v>
      </c>
      <c r="FA145" s="55">
        <f t="shared" ca="1" si="109"/>
        <v>0.16142899999999999</v>
      </c>
      <c r="FB145" s="55">
        <f t="shared" ca="1" si="110"/>
        <v>0.53557699999999997</v>
      </c>
      <c r="FC145" s="55">
        <f t="shared" ca="1" si="111"/>
        <v>2.696E-3</v>
      </c>
      <c r="FD145" s="55">
        <f t="shared" ca="1" si="112"/>
        <v>0.41212700000000002</v>
      </c>
      <c r="FE145" s="55">
        <f t="shared" ca="1" si="113"/>
        <v>-9.1273000000000007E-2</v>
      </c>
      <c r="FF145" s="55">
        <f t="shared" ca="1" si="114"/>
        <v>-9.8309999999999995E-2</v>
      </c>
      <c r="FH145" s="55">
        <f t="shared" ca="1" si="115"/>
        <v>0</v>
      </c>
      <c r="FI145" s="55">
        <f t="shared" ca="1" si="207"/>
        <v>0</v>
      </c>
      <c r="FJ145" s="55">
        <f t="shared" ca="1" si="208"/>
        <v>0</v>
      </c>
      <c r="FK145" s="55">
        <f t="shared" ca="1" si="209"/>
        <v>0</v>
      </c>
      <c r="FL145" s="55">
        <f t="shared" ca="1" si="210"/>
        <v>0</v>
      </c>
      <c r="FM145" s="55">
        <f t="shared" ca="1" si="211"/>
        <v>0</v>
      </c>
      <c r="FN145" s="55">
        <f t="shared" ca="1" si="212"/>
        <v>0</v>
      </c>
      <c r="FO145" s="55">
        <f t="shared" ca="1" si="213"/>
        <v>0</v>
      </c>
      <c r="FP145" s="55">
        <f t="shared" ca="1" si="214"/>
        <v>0</v>
      </c>
      <c r="FQ145" s="55">
        <f t="shared" ca="1" si="215"/>
        <v>0</v>
      </c>
      <c r="FR145" s="55">
        <f t="shared" ca="1" si="216"/>
        <v>0</v>
      </c>
      <c r="FS145" s="55">
        <f t="shared" ca="1" si="158"/>
        <v>0</v>
      </c>
      <c r="FT145" s="55">
        <f t="shared" ca="1" si="159"/>
        <v>0</v>
      </c>
      <c r="FU145" s="55">
        <f t="shared" ca="1" si="160"/>
        <v>0</v>
      </c>
      <c r="FV145" s="55">
        <f t="shared" ca="1" si="161"/>
        <v>0</v>
      </c>
      <c r="FW145" s="55">
        <f t="shared" ca="1" si="162"/>
        <v>0</v>
      </c>
      <c r="FX145" s="55">
        <f t="shared" ca="1" si="163"/>
        <v>0</v>
      </c>
      <c r="FY145" s="55">
        <f t="shared" ca="1" si="164"/>
        <v>0</v>
      </c>
      <c r="FZ145" s="55">
        <f t="shared" ca="1" si="165"/>
        <v>0</v>
      </c>
      <c r="GA145" s="55">
        <f t="shared" ca="1" si="166"/>
        <v>0</v>
      </c>
      <c r="GB145" s="55">
        <f t="shared" ca="1" si="167"/>
        <v>0</v>
      </c>
      <c r="GC145" s="55">
        <f t="shared" ca="1" si="168"/>
        <v>0</v>
      </c>
      <c r="GD145" s="55">
        <f t="shared" ca="1" si="169"/>
        <v>0</v>
      </c>
      <c r="GE145" s="55">
        <f t="shared" ca="1" si="170"/>
        <v>0</v>
      </c>
      <c r="GF145" s="55">
        <f t="shared" ca="1" si="171"/>
        <v>0</v>
      </c>
      <c r="GG145" s="55">
        <f t="shared" ca="1" si="172"/>
        <v>0</v>
      </c>
      <c r="GH145" s="55">
        <f t="shared" ca="1" si="173"/>
        <v>0</v>
      </c>
      <c r="GI145" s="55">
        <f t="shared" ca="1" si="174"/>
        <v>0.53741692320000001</v>
      </c>
      <c r="GJ145" s="55">
        <f t="shared" ca="1" si="175"/>
        <v>-0.59128856415000008</v>
      </c>
      <c r="GK145" s="55">
        <f t="shared" ca="1" si="176"/>
        <v>-0.12177265215000001</v>
      </c>
      <c r="GL145" s="55">
        <f t="shared" ca="1" si="177"/>
        <v>-0.39992183505000006</v>
      </c>
      <c r="GM145" s="55">
        <f t="shared" ca="1" si="178"/>
        <v>0.34896444510000002</v>
      </c>
      <c r="GN145" s="55">
        <f t="shared" ca="1" si="179"/>
        <v>0.20462708970000001</v>
      </c>
      <c r="GO145" s="55">
        <f t="shared" ca="1" si="180"/>
        <v>-0.94092245730000013</v>
      </c>
      <c r="GP145" s="55">
        <f t="shared" ca="1" si="181"/>
        <v>0.34566387435000001</v>
      </c>
      <c r="GQ145" s="55">
        <f t="shared" ca="1" si="182"/>
        <v>-0.68985195539999999</v>
      </c>
      <c r="GR145" s="55">
        <f t="shared" ca="1" si="183"/>
        <v>3.3819312450000028E-2</v>
      </c>
      <c r="GS145" s="55">
        <f t="shared" ca="1" si="184"/>
        <v>-0.45214707975000001</v>
      </c>
      <c r="GT145" s="55">
        <f t="shared" ca="1" si="185"/>
        <v>-0.64597536570000003</v>
      </c>
      <c r="GU145" s="55">
        <f t="shared" ca="1" si="186"/>
        <v>0</v>
      </c>
      <c r="GV145" s="55">
        <f t="shared" ca="1" si="187"/>
        <v>0</v>
      </c>
      <c r="GW145" s="55">
        <f t="shared" ca="1" si="188"/>
        <v>0</v>
      </c>
      <c r="GX145" s="55">
        <f t="shared" ca="1" si="189"/>
        <v>0</v>
      </c>
      <c r="GY145" s="55">
        <f t="shared" ca="1" si="190"/>
        <v>0</v>
      </c>
      <c r="GZ145" s="55">
        <f t="shared" ca="1" si="191"/>
        <v>0</v>
      </c>
      <c r="HA145" s="55">
        <f t="shared" ca="1" si="192"/>
        <v>0</v>
      </c>
      <c r="HB145" s="55">
        <f t="shared" ca="1" si="193"/>
        <v>0</v>
      </c>
      <c r="HC145" s="55">
        <f t="shared" ca="1" si="194"/>
        <v>0</v>
      </c>
      <c r="HD145" s="55">
        <f t="shared" ca="1" si="195"/>
        <v>0</v>
      </c>
      <c r="HE145" s="55">
        <f t="shared" ca="1" si="196"/>
        <v>0</v>
      </c>
    </row>
    <row r="146" spans="1:213">
      <c r="A146" s="27">
        <v>9</v>
      </c>
      <c r="B146" s="27">
        <v>50</v>
      </c>
      <c r="C146" s="27">
        <v>0.56512700000000005</v>
      </c>
      <c r="D146" s="27">
        <v>3.9389999999999998E-3</v>
      </c>
      <c r="E146" s="27">
        <v>47</v>
      </c>
      <c r="F146" s="27">
        <f t="shared" ca="1" si="59"/>
        <v>49</v>
      </c>
      <c r="G146" s="27">
        <f t="shared" si="54"/>
        <v>0</v>
      </c>
      <c r="H146" s="27" t="str">
        <f t="shared" si="60"/>
        <v>Sim</v>
      </c>
      <c r="I146" s="27">
        <f t="shared" si="61"/>
        <v>0</v>
      </c>
      <c r="J146" s="37">
        <f t="shared" si="62"/>
        <v>1</v>
      </c>
      <c r="K146" s="55">
        <f t="shared" si="63"/>
        <v>-0.33737299999999998</v>
      </c>
      <c r="L146" s="55">
        <f t="shared" si="197"/>
        <v>-3.2556000000000002E-2</v>
      </c>
      <c r="M146" s="55">
        <f t="shared" si="198"/>
        <v>0.49451899999999999</v>
      </c>
      <c r="N146" s="55">
        <f t="shared" si="199"/>
        <v>0.80033900000000002</v>
      </c>
      <c r="O146" s="55">
        <f t="shared" si="200"/>
        <v>-0.41122799999999998</v>
      </c>
      <c r="P146" s="55">
        <f t="shared" si="201"/>
        <v>0.103978</v>
      </c>
      <c r="Q146" s="55">
        <f t="shared" si="202"/>
        <v>-0.45666099999999998</v>
      </c>
      <c r="R146" s="55">
        <f t="shared" si="203"/>
        <v>-0.89855799999999997</v>
      </c>
      <c r="S146" s="55">
        <f t="shared" si="204"/>
        <v>2.3390000000000001E-2</v>
      </c>
      <c r="T146" s="55">
        <f t="shared" si="205"/>
        <v>0.76636599999999999</v>
      </c>
      <c r="U146" s="55">
        <f t="shared" si="206"/>
        <v>-0.52148700000000003</v>
      </c>
      <c r="V146" s="55">
        <f t="shared" si="116"/>
        <v>-0.48751299999999997</v>
      </c>
      <c r="W146" s="55">
        <f t="shared" si="117"/>
        <v>-0.45302399999999998</v>
      </c>
      <c r="X146" s="55">
        <f t="shared" si="118"/>
        <v>-3.8660000000000001E-3</v>
      </c>
      <c r="Y146" s="55">
        <f t="shared" si="119"/>
        <v>-0.29153200000000001</v>
      </c>
      <c r="Z146" s="55">
        <f t="shared" si="120"/>
        <v>-4.9637000000000001E-2</v>
      </c>
      <c r="AA146" s="55">
        <f t="shared" si="121"/>
        <v>-0.82672299999999999</v>
      </c>
      <c r="AB146" s="55">
        <f t="shared" si="122"/>
        <v>-1.569612</v>
      </c>
      <c r="AC146" s="55">
        <f t="shared" si="123"/>
        <v>-1.192097</v>
      </c>
      <c r="AD146" s="55">
        <f t="shared" si="124"/>
        <v>0.68378499999999998</v>
      </c>
      <c r="AE146" s="55">
        <f t="shared" si="125"/>
        <v>-0.39924100000000001</v>
      </c>
      <c r="AF146" s="55">
        <f t="shared" si="126"/>
        <v>-0.43151</v>
      </c>
      <c r="AG146" s="55">
        <f t="shared" si="127"/>
        <v>-0.41017799999999999</v>
      </c>
      <c r="AH146" s="55">
        <f t="shared" si="128"/>
        <v>0.304643</v>
      </c>
      <c r="AI146" s="55">
        <f t="shared" si="129"/>
        <v>-0.24080199999999999</v>
      </c>
      <c r="AJ146" s="55">
        <f t="shared" si="130"/>
        <v>0.70867400000000003</v>
      </c>
      <c r="AK146" s="55">
        <f t="shared" si="131"/>
        <v>-0.61898600000000004</v>
      </c>
      <c r="AL146" s="55">
        <f t="shared" si="132"/>
        <v>1.5591729999999999</v>
      </c>
      <c r="AM146" s="55">
        <f t="shared" si="133"/>
        <v>0.53772399999999998</v>
      </c>
      <c r="AN146" s="55">
        <f t="shared" si="134"/>
        <v>2.5140000000000002E-3</v>
      </c>
      <c r="AO146" s="55">
        <f t="shared" si="135"/>
        <v>-0.184424</v>
      </c>
      <c r="AP146" s="55">
        <f t="shared" si="136"/>
        <v>0.42896499999999999</v>
      </c>
      <c r="AQ146" s="55">
        <f t="shared" si="137"/>
        <v>-0.33809499999999998</v>
      </c>
      <c r="AR146" s="55">
        <f t="shared" si="138"/>
        <v>0.139071</v>
      </c>
      <c r="AS146" s="55">
        <f t="shared" si="139"/>
        <v>0.21063899999999999</v>
      </c>
      <c r="AT146" s="55">
        <f t="shared" si="140"/>
        <v>-0.16170699999999999</v>
      </c>
      <c r="AU146" s="55">
        <f t="shared" si="141"/>
        <v>0.37043399999999999</v>
      </c>
      <c r="AV146" s="55">
        <f t="shared" si="142"/>
        <v>0.120472</v>
      </c>
      <c r="AW146" s="55">
        <f t="shared" si="143"/>
        <v>-0.24499699999999999</v>
      </c>
      <c r="AX146" s="55">
        <f t="shared" si="144"/>
        <v>-0.50331199999999998</v>
      </c>
      <c r="AY146" s="55">
        <f t="shared" si="145"/>
        <v>0.159106</v>
      </c>
      <c r="AZ146" s="55">
        <f t="shared" si="146"/>
        <v>0.24166499999999999</v>
      </c>
      <c r="BA146" s="55">
        <f t="shared" si="147"/>
        <v>1.4123540000000001</v>
      </c>
      <c r="BB146" s="55">
        <f t="shared" si="148"/>
        <v>0.39681</v>
      </c>
      <c r="BC146" s="55">
        <f t="shared" si="149"/>
        <v>0.56566499999999997</v>
      </c>
      <c r="BD146" s="55">
        <f t="shared" si="150"/>
        <v>-0.61748700000000001</v>
      </c>
      <c r="BE146" s="55">
        <f t="shared" si="151"/>
        <v>0.48023900000000003</v>
      </c>
      <c r="BF146" s="55">
        <f t="shared" si="152"/>
        <v>-9.0085999999999999E-2</v>
      </c>
      <c r="BG146" s="55">
        <f t="shared" si="153"/>
        <v>-0.34352100000000002</v>
      </c>
      <c r="BH146" s="55">
        <f t="shared" si="154"/>
        <v>-0.52598800000000001</v>
      </c>
      <c r="BJ146" s="55">
        <f t="shared" si="64"/>
        <v>-1.0969869999999999</v>
      </c>
      <c r="BK146" s="55">
        <f t="shared" si="64"/>
        <v>0.38115300000000002</v>
      </c>
      <c r="BL146" s="55">
        <f t="shared" si="64"/>
        <v>0.52356899999999995</v>
      </c>
      <c r="BM146" s="55">
        <f t="shared" si="64"/>
        <v>-1.714448</v>
      </c>
      <c r="BN146" s="55">
        <f t="shared" si="64"/>
        <v>0.639714</v>
      </c>
      <c r="BO146" s="55">
        <f t="shared" si="64"/>
        <v>-0.27751399999999998</v>
      </c>
      <c r="BP146" s="55">
        <f t="shared" si="64"/>
        <v>0.22517899999999999</v>
      </c>
      <c r="BQ146" s="55">
        <f t="shared" si="64"/>
        <v>-6.7871000000000001E-2</v>
      </c>
      <c r="BR146" s="55">
        <f t="shared" si="64"/>
        <v>-0.26596500000000001</v>
      </c>
      <c r="BS146" s="55">
        <f t="shared" si="64"/>
        <v>-3.7038000000000001E-2</v>
      </c>
      <c r="BT146" s="55">
        <f t="shared" si="64"/>
        <v>0.96115200000000001</v>
      </c>
      <c r="BU146" s="55">
        <f t="shared" si="64"/>
        <v>0.51594700000000004</v>
      </c>
      <c r="BV146" s="55">
        <f t="shared" si="64"/>
        <v>0.59214999999999995</v>
      </c>
      <c r="BW146" s="55">
        <f t="shared" si="64"/>
        <v>-0.90259299999999998</v>
      </c>
      <c r="BX146" s="55">
        <f t="shared" si="64"/>
        <v>0.98840300000000003</v>
      </c>
      <c r="BY146" s="55">
        <f t="shared" si="64"/>
        <v>-0.674983</v>
      </c>
      <c r="BZ146" s="55">
        <f t="shared" si="155"/>
        <v>0.97841800000000001</v>
      </c>
      <c r="CA146" s="55">
        <f t="shared" si="155"/>
        <v>0.82400099999999998</v>
      </c>
      <c r="CB146" s="55">
        <f t="shared" si="155"/>
        <v>1.396997</v>
      </c>
      <c r="CC146" s="55">
        <f t="shared" si="155"/>
        <v>-0.45306800000000003</v>
      </c>
      <c r="CD146" s="55">
        <f t="shared" si="155"/>
        <v>0.68356899999999998</v>
      </c>
      <c r="CE146" s="55">
        <f t="shared" si="155"/>
        <v>0.73449600000000004</v>
      </c>
      <c r="CF146" s="55">
        <f t="shared" si="155"/>
        <v>0.567998</v>
      </c>
      <c r="CG146" s="55">
        <f t="shared" si="155"/>
        <v>-0.45733400000000002</v>
      </c>
      <c r="CH146" s="55">
        <f t="shared" si="155"/>
        <v>-1.048338</v>
      </c>
      <c r="CI146" s="55">
        <f t="shared" si="155"/>
        <v>-1.1257E-2</v>
      </c>
      <c r="CJ146" s="55">
        <f t="shared" si="155"/>
        <v>0.294599</v>
      </c>
      <c r="CK146" s="55">
        <f t="shared" si="156"/>
        <v>1.0457559999999999</v>
      </c>
      <c r="CL146" s="55">
        <f t="shared" si="156"/>
        <v>-0.35778199999999999</v>
      </c>
      <c r="CM146" s="55">
        <f t="shared" si="156"/>
        <v>-0.12554699999999999</v>
      </c>
      <c r="CN146" s="55">
        <f t="shared" si="156"/>
        <v>-0.62191700000000005</v>
      </c>
      <c r="CO146" s="55">
        <f t="shared" si="156"/>
        <v>0.52560499999999999</v>
      </c>
      <c r="CP146" s="55">
        <f t="shared" si="156"/>
        <v>2.4389000000000001E-2</v>
      </c>
      <c r="CQ146" s="55">
        <f t="shared" si="156"/>
        <v>-1.1259049999999999</v>
      </c>
      <c r="CR146" s="55">
        <f t="shared" si="156"/>
        <v>0.78310400000000002</v>
      </c>
      <c r="CS146" s="55">
        <f t="shared" si="156"/>
        <v>-0.625803</v>
      </c>
      <c r="CT146" s="55">
        <f t="shared" si="156"/>
        <v>0.32439000000000001</v>
      </c>
      <c r="CU146" s="55">
        <f t="shared" si="156"/>
        <v>-0.28769800000000001</v>
      </c>
      <c r="CV146" s="55">
        <f t="shared" si="156"/>
        <v>-0.81347199999999997</v>
      </c>
      <c r="CW146" s="55">
        <f t="shared" si="156"/>
        <v>0.20236699999999999</v>
      </c>
      <c r="CX146" s="55">
        <f t="shared" si="156"/>
        <v>0.71817299999999995</v>
      </c>
      <c r="CY146" s="55">
        <f t="shared" si="156"/>
        <v>-1.6559000000000001E-2</v>
      </c>
      <c r="CZ146" s="55">
        <f t="shared" si="156"/>
        <v>-0.30865999999999999</v>
      </c>
      <c r="DA146" s="55">
        <f t="shared" si="157"/>
        <v>-0.412381</v>
      </c>
      <c r="DB146" s="55">
        <f t="shared" si="157"/>
        <v>-0.70930300000000002</v>
      </c>
      <c r="DC146" s="55">
        <f t="shared" si="157"/>
        <v>-7.7965000000000007E-2</v>
      </c>
      <c r="DD146" s="55">
        <f t="shared" si="157"/>
        <v>0.49343900000000002</v>
      </c>
      <c r="DE146" s="55">
        <f t="shared" si="157"/>
        <v>-0.40752500000000003</v>
      </c>
      <c r="DF146" s="55">
        <f t="shared" si="157"/>
        <v>0.80309900000000001</v>
      </c>
      <c r="DG146" s="55">
        <f t="shared" si="157"/>
        <v>-0.17697399999999999</v>
      </c>
      <c r="DI146" s="55">
        <f t="shared" ca="1" si="65"/>
        <v>-0.33737299999999998</v>
      </c>
      <c r="DJ146" s="55">
        <f t="shared" ca="1" si="66"/>
        <v>-3.2556000000000002E-2</v>
      </c>
      <c r="DK146" s="55">
        <f t="shared" ca="1" si="67"/>
        <v>0.49451899999999999</v>
      </c>
      <c r="DL146" s="55">
        <f t="shared" ca="1" si="68"/>
        <v>0.80033900000000002</v>
      </c>
      <c r="DM146" s="55">
        <f t="shared" ca="1" si="69"/>
        <v>-0.41122799999999998</v>
      </c>
      <c r="DN146" s="55">
        <f t="shared" ca="1" si="70"/>
        <v>0.103978</v>
      </c>
      <c r="DO146" s="55">
        <f t="shared" ca="1" si="71"/>
        <v>-0.45666099999999998</v>
      </c>
      <c r="DP146" s="55">
        <f t="shared" ca="1" si="72"/>
        <v>-0.89855799999999997</v>
      </c>
      <c r="DQ146" s="55">
        <f t="shared" ca="1" si="73"/>
        <v>2.3390000000000001E-2</v>
      </c>
      <c r="DR146" s="55">
        <f t="shared" ca="1" si="74"/>
        <v>0.76636599999999999</v>
      </c>
      <c r="DS146" s="55">
        <f t="shared" ca="1" si="75"/>
        <v>-0.52148700000000003</v>
      </c>
      <c r="DT146" s="55">
        <f t="shared" ca="1" si="76"/>
        <v>-0.48751299999999997</v>
      </c>
      <c r="DU146" s="55">
        <f t="shared" ca="1" si="77"/>
        <v>-0.45302399999999998</v>
      </c>
      <c r="DV146" s="55">
        <f t="shared" ca="1" si="78"/>
        <v>-3.8660000000000001E-3</v>
      </c>
      <c r="DW146" s="55">
        <f t="shared" ca="1" si="79"/>
        <v>-0.29153200000000001</v>
      </c>
      <c r="DX146" s="55">
        <f t="shared" ca="1" si="80"/>
        <v>-4.9637000000000001E-2</v>
      </c>
      <c r="DY146" s="55">
        <f t="shared" ca="1" si="81"/>
        <v>-0.82672299999999999</v>
      </c>
      <c r="DZ146" s="55">
        <f t="shared" ca="1" si="82"/>
        <v>-1.569612</v>
      </c>
      <c r="EA146" s="55">
        <f t="shared" ca="1" si="83"/>
        <v>-1.192097</v>
      </c>
      <c r="EB146" s="55">
        <f t="shared" ca="1" si="84"/>
        <v>0.68378499999999998</v>
      </c>
      <c r="EC146" s="55">
        <f t="shared" ca="1" si="85"/>
        <v>-0.39924100000000001</v>
      </c>
      <c r="ED146" s="55">
        <f t="shared" ca="1" si="86"/>
        <v>-0.43151</v>
      </c>
      <c r="EE146" s="55">
        <f t="shared" ca="1" si="87"/>
        <v>-0.41017799999999999</v>
      </c>
      <c r="EF146" s="55">
        <f t="shared" ca="1" si="88"/>
        <v>0.304643</v>
      </c>
      <c r="EG146" s="55">
        <f t="shared" ca="1" si="89"/>
        <v>-0.24080199999999999</v>
      </c>
      <c r="EH146" s="55">
        <f t="shared" ca="1" si="90"/>
        <v>0.70867400000000003</v>
      </c>
      <c r="EI146" s="55">
        <f t="shared" ca="1" si="91"/>
        <v>-0.61898600000000004</v>
      </c>
      <c r="EJ146" s="55">
        <f t="shared" ca="1" si="92"/>
        <v>1.5591729999999999</v>
      </c>
      <c r="EK146" s="55">
        <f t="shared" ca="1" si="93"/>
        <v>0.53772399999999998</v>
      </c>
      <c r="EL146" s="55">
        <f t="shared" ca="1" si="94"/>
        <v>2.5140000000000002E-3</v>
      </c>
      <c r="EM146" s="55">
        <f t="shared" ca="1" si="95"/>
        <v>-0.184424</v>
      </c>
      <c r="EN146" s="55">
        <f t="shared" ca="1" si="96"/>
        <v>0.42896499999999999</v>
      </c>
      <c r="EO146" s="55">
        <f t="shared" ca="1" si="97"/>
        <v>-0.33809499999999998</v>
      </c>
      <c r="EP146" s="55">
        <f t="shared" ca="1" si="98"/>
        <v>0.139071</v>
      </c>
      <c r="EQ146" s="55">
        <f t="shared" ca="1" si="99"/>
        <v>0.21063899999999999</v>
      </c>
      <c r="ER146" s="55">
        <f t="shared" ca="1" si="100"/>
        <v>-0.16170699999999999</v>
      </c>
      <c r="ES146" s="55">
        <f t="shared" ca="1" si="101"/>
        <v>0.37043399999999999</v>
      </c>
      <c r="ET146" s="55">
        <f t="shared" ca="1" si="102"/>
        <v>0.120472</v>
      </c>
      <c r="EU146" s="55">
        <f t="shared" ca="1" si="103"/>
        <v>-0.24499699999999999</v>
      </c>
      <c r="EV146" s="55">
        <f t="shared" ca="1" si="104"/>
        <v>-0.50331199999999998</v>
      </c>
      <c r="EW146" s="55">
        <f t="shared" ca="1" si="105"/>
        <v>0.159106</v>
      </c>
      <c r="EX146" s="55">
        <f t="shared" ca="1" si="106"/>
        <v>0.24166499999999999</v>
      </c>
      <c r="EY146" s="55">
        <f t="shared" ca="1" si="107"/>
        <v>1.4123540000000001</v>
      </c>
      <c r="EZ146" s="55">
        <f t="shared" ca="1" si="108"/>
        <v>0.39681</v>
      </c>
      <c r="FA146" s="55">
        <f t="shared" ca="1" si="109"/>
        <v>0.56566499999999997</v>
      </c>
      <c r="FB146" s="55">
        <f t="shared" ca="1" si="110"/>
        <v>-0.61748700000000001</v>
      </c>
      <c r="FC146" s="55">
        <f t="shared" ca="1" si="111"/>
        <v>0.48023900000000003</v>
      </c>
      <c r="FD146" s="55">
        <f t="shared" ca="1" si="112"/>
        <v>-0.40627460777899999</v>
      </c>
      <c r="FE146" s="55">
        <f t="shared" ca="1" si="113"/>
        <v>0.79858246381999998</v>
      </c>
      <c r="FF146" s="55">
        <f t="shared" ca="1" si="114"/>
        <v>-0.52598800000000001</v>
      </c>
      <c r="FH146" s="55">
        <f t="shared" ca="1" si="115"/>
        <v>0</v>
      </c>
      <c r="FI146" s="55">
        <f t="shared" ca="1" si="207"/>
        <v>0</v>
      </c>
      <c r="FJ146" s="55">
        <f t="shared" ca="1" si="208"/>
        <v>0</v>
      </c>
      <c r="FK146" s="55">
        <f t="shared" ca="1" si="209"/>
        <v>0</v>
      </c>
      <c r="FL146" s="55">
        <f t="shared" ca="1" si="210"/>
        <v>0</v>
      </c>
      <c r="FM146" s="55">
        <f t="shared" ca="1" si="211"/>
        <v>0</v>
      </c>
      <c r="FN146" s="55">
        <f t="shared" ca="1" si="212"/>
        <v>0</v>
      </c>
      <c r="FO146" s="55">
        <f t="shared" ca="1" si="213"/>
        <v>0</v>
      </c>
      <c r="FP146" s="55">
        <f t="shared" ca="1" si="214"/>
        <v>0</v>
      </c>
      <c r="FQ146" s="55">
        <f t="shared" ca="1" si="215"/>
        <v>0</v>
      </c>
      <c r="FR146" s="55">
        <f t="shared" ca="1" si="216"/>
        <v>0</v>
      </c>
      <c r="FS146" s="55">
        <f t="shared" ca="1" si="158"/>
        <v>0</v>
      </c>
      <c r="FT146" s="55">
        <f t="shared" ca="1" si="159"/>
        <v>0</v>
      </c>
      <c r="FU146" s="55">
        <f t="shared" ca="1" si="160"/>
        <v>0</v>
      </c>
      <c r="FV146" s="55">
        <f t="shared" ca="1" si="161"/>
        <v>0</v>
      </c>
      <c r="FW146" s="55">
        <f t="shared" ca="1" si="162"/>
        <v>0</v>
      </c>
      <c r="FX146" s="55">
        <f t="shared" ca="1" si="163"/>
        <v>0</v>
      </c>
      <c r="FY146" s="55">
        <f t="shared" ca="1" si="164"/>
        <v>0</v>
      </c>
      <c r="FZ146" s="55">
        <f t="shared" ca="1" si="165"/>
        <v>0</v>
      </c>
      <c r="GA146" s="55">
        <f t="shared" ca="1" si="166"/>
        <v>0</v>
      </c>
      <c r="GB146" s="55">
        <f t="shared" ca="1" si="167"/>
        <v>0</v>
      </c>
      <c r="GC146" s="55">
        <f t="shared" ca="1" si="168"/>
        <v>0</v>
      </c>
      <c r="GD146" s="55">
        <f t="shared" ca="1" si="169"/>
        <v>0</v>
      </c>
      <c r="GE146" s="55">
        <f t="shared" ca="1" si="170"/>
        <v>0</v>
      </c>
      <c r="GF146" s="55">
        <f t="shared" ca="1" si="171"/>
        <v>0</v>
      </c>
      <c r="GG146" s="55">
        <f t="shared" ca="1" si="172"/>
        <v>0</v>
      </c>
      <c r="GH146" s="55">
        <f t="shared" ca="1" si="173"/>
        <v>0</v>
      </c>
      <c r="GI146" s="55">
        <f t="shared" ca="1" si="174"/>
        <v>0</v>
      </c>
      <c r="GJ146" s="55">
        <f t="shared" ca="1" si="175"/>
        <v>0</v>
      </c>
      <c r="GK146" s="55">
        <f t="shared" ca="1" si="176"/>
        <v>0</v>
      </c>
      <c r="GL146" s="55">
        <f t="shared" ca="1" si="177"/>
        <v>0</v>
      </c>
      <c r="GM146" s="55">
        <f t="shared" ca="1" si="178"/>
        <v>0</v>
      </c>
      <c r="GN146" s="55">
        <f t="shared" ca="1" si="179"/>
        <v>0</v>
      </c>
      <c r="GO146" s="55">
        <f t="shared" ca="1" si="180"/>
        <v>0</v>
      </c>
      <c r="GP146" s="55">
        <f t="shared" ca="1" si="181"/>
        <v>0</v>
      </c>
      <c r="GQ146" s="55">
        <f t="shared" ca="1" si="182"/>
        <v>0</v>
      </c>
      <c r="GR146" s="55">
        <f t="shared" ca="1" si="183"/>
        <v>0</v>
      </c>
      <c r="GS146" s="55">
        <f t="shared" ca="1" si="184"/>
        <v>0</v>
      </c>
      <c r="GT146" s="55">
        <f t="shared" ca="1" si="185"/>
        <v>0</v>
      </c>
      <c r="GU146" s="55">
        <f t="shared" ca="1" si="186"/>
        <v>0</v>
      </c>
      <c r="GV146" s="55">
        <f t="shared" ca="1" si="187"/>
        <v>0</v>
      </c>
      <c r="GW146" s="55">
        <f t="shared" ca="1" si="188"/>
        <v>0</v>
      </c>
      <c r="GX146" s="55">
        <f t="shared" ca="1" si="189"/>
        <v>0</v>
      </c>
      <c r="GY146" s="55">
        <f t="shared" ca="1" si="190"/>
        <v>0</v>
      </c>
      <c r="GZ146" s="55">
        <f t="shared" ca="1" si="191"/>
        <v>0</v>
      </c>
      <c r="HA146" s="55">
        <f t="shared" ca="1" si="192"/>
        <v>0</v>
      </c>
      <c r="HB146" s="55">
        <f t="shared" ca="1" si="193"/>
        <v>0</v>
      </c>
      <c r="HC146" s="55">
        <f t="shared" ca="1" si="194"/>
        <v>-0.31618860777899999</v>
      </c>
      <c r="HD146" s="55">
        <f t="shared" ca="1" si="195"/>
        <v>1.1421034638200001</v>
      </c>
      <c r="HE146" s="55">
        <f t="shared" ca="1" si="196"/>
        <v>0</v>
      </c>
    </row>
    <row r="147" spans="1:213">
      <c r="A147" s="27">
        <v>10</v>
      </c>
      <c r="B147" s="27">
        <v>84</v>
      </c>
      <c r="C147" s="27">
        <v>0.49441499999999999</v>
      </c>
      <c r="D147" s="27">
        <v>0.91394900000000001</v>
      </c>
      <c r="E147" s="27">
        <v>10</v>
      </c>
      <c r="F147" s="27">
        <f t="shared" ca="1" si="59"/>
        <v>27</v>
      </c>
      <c r="G147" s="27">
        <f t="shared" si="54"/>
        <v>0</v>
      </c>
      <c r="H147" s="27" t="str">
        <f t="shared" si="60"/>
        <v>Sim</v>
      </c>
      <c r="I147" s="27">
        <f t="shared" si="61"/>
        <v>0</v>
      </c>
      <c r="J147" s="37">
        <f t="shared" si="62"/>
        <v>1</v>
      </c>
      <c r="K147" s="55">
        <f t="shared" si="63"/>
        <v>-0.86982300000000001</v>
      </c>
      <c r="L147" s="55">
        <f t="shared" si="197"/>
        <v>1.889802</v>
      </c>
      <c r="M147" s="55">
        <f t="shared" si="198"/>
        <v>-1.1225270000000001</v>
      </c>
      <c r="N147" s="55">
        <f t="shared" si="199"/>
        <v>-0.34977599999999998</v>
      </c>
      <c r="O147" s="55">
        <f t="shared" si="200"/>
        <v>-0.80473399999999995</v>
      </c>
      <c r="P147" s="55">
        <f t="shared" si="201"/>
        <v>0.29142800000000002</v>
      </c>
      <c r="Q147" s="55">
        <f t="shared" si="202"/>
        <v>0.75990800000000003</v>
      </c>
      <c r="R147" s="55">
        <f t="shared" si="203"/>
        <v>1.163189</v>
      </c>
      <c r="S147" s="55">
        <f t="shared" si="204"/>
        <v>-0.66398000000000001</v>
      </c>
      <c r="T147" s="55">
        <f t="shared" si="205"/>
        <v>0.487176</v>
      </c>
      <c r="U147" s="55">
        <f t="shared" si="206"/>
        <v>-0.19075700000000001</v>
      </c>
      <c r="V147" s="55">
        <f t="shared" si="116"/>
        <v>0.50197999999999998</v>
      </c>
      <c r="W147" s="55">
        <f t="shared" si="117"/>
        <v>0.157609</v>
      </c>
      <c r="X147" s="55">
        <f t="shared" si="118"/>
        <v>-1.1838409999999999</v>
      </c>
      <c r="Y147" s="55">
        <f t="shared" si="119"/>
        <v>1.0614680000000001</v>
      </c>
      <c r="Z147" s="55">
        <f t="shared" si="120"/>
        <v>0.30559799999999998</v>
      </c>
      <c r="AA147" s="55">
        <f t="shared" si="121"/>
        <v>-0.13653499999999999</v>
      </c>
      <c r="AB147" s="55">
        <f t="shared" si="122"/>
        <v>0.31205899999999998</v>
      </c>
      <c r="AC147" s="55">
        <f t="shared" si="123"/>
        <v>0.46628199999999997</v>
      </c>
      <c r="AD147" s="55">
        <f t="shared" si="124"/>
        <v>0.21223500000000001</v>
      </c>
      <c r="AE147" s="55">
        <f t="shared" si="125"/>
        <v>9.8764000000000005E-2</v>
      </c>
      <c r="AF147" s="55">
        <f t="shared" si="126"/>
        <v>0.25675900000000001</v>
      </c>
      <c r="AG147" s="55">
        <f t="shared" si="127"/>
        <v>0.34425899999999998</v>
      </c>
      <c r="AH147" s="55">
        <f t="shared" si="128"/>
        <v>1.039768</v>
      </c>
      <c r="AI147" s="55">
        <f t="shared" si="129"/>
        <v>-1.5011E-2</v>
      </c>
      <c r="AJ147" s="55">
        <f t="shared" si="130"/>
        <v>-7.1163000000000004E-2</v>
      </c>
      <c r="AK147" s="55">
        <f t="shared" si="131"/>
        <v>-0.35044500000000001</v>
      </c>
      <c r="AL147" s="55">
        <f t="shared" si="132"/>
        <v>-0.37630000000000002</v>
      </c>
      <c r="AM147" s="55">
        <f t="shared" si="133"/>
        <v>0.85758000000000001</v>
      </c>
      <c r="AN147" s="55">
        <f t="shared" si="134"/>
        <v>-0.37266700000000003</v>
      </c>
      <c r="AO147" s="55">
        <f t="shared" si="135"/>
        <v>9.6590999999999996E-2</v>
      </c>
      <c r="AP147" s="55">
        <f t="shared" si="136"/>
        <v>-0.49626199999999998</v>
      </c>
      <c r="AQ147" s="55">
        <f t="shared" si="137"/>
        <v>-0.49263200000000001</v>
      </c>
      <c r="AR147" s="55">
        <f t="shared" si="138"/>
        <v>0.76931700000000003</v>
      </c>
      <c r="AS147" s="55">
        <f t="shared" si="139"/>
        <v>0.28421000000000002</v>
      </c>
      <c r="AT147" s="55">
        <f t="shared" si="140"/>
        <v>-0.15013099999999999</v>
      </c>
      <c r="AU147" s="55">
        <f t="shared" si="141"/>
        <v>-0.69565399999999999</v>
      </c>
      <c r="AV147" s="55">
        <f t="shared" si="142"/>
        <v>-0.11658499999999999</v>
      </c>
      <c r="AW147" s="55">
        <f t="shared" si="143"/>
        <v>-0.35742600000000002</v>
      </c>
      <c r="AX147" s="55">
        <f t="shared" si="144"/>
        <v>0.65850399999999998</v>
      </c>
      <c r="AY147" s="55">
        <f t="shared" si="145"/>
        <v>0.43789099999999997</v>
      </c>
      <c r="AZ147" s="55">
        <f t="shared" si="146"/>
        <v>-6.4140000000000003E-2</v>
      </c>
      <c r="BA147" s="55">
        <f t="shared" si="147"/>
        <v>0.29995500000000003</v>
      </c>
      <c r="BB147" s="55">
        <f t="shared" si="148"/>
        <v>-4.8040000000000001E-3</v>
      </c>
      <c r="BC147" s="55">
        <f t="shared" si="149"/>
        <v>-0.124538</v>
      </c>
      <c r="BD147" s="55">
        <f t="shared" si="150"/>
        <v>-1.383731</v>
      </c>
      <c r="BE147" s="55">
        <f t="shared" si="151"/>
        <v>-0.356215</v>
      </c>
      <c r="BF147" s="55">
        <f t="shared" si="152"/>
        <v>-0.56691000000000003</v>
      </c>
      <c r="BG147" s="55">
        <f t="shared" si="153"/>
        <v>0.491645</v>
      </c>
      <c r="BH147" s="55">
        <f t="shared" si="154"/>
        <v>0.27995199999999998</v>
      </c>
      <c r="BJ147" s="55">
        <f t="shared" si="64"/>
        <v>0.92113900000000004</v>
      </c>
      <c r="BK147" s="55">
        <f t="shared" si="64"/>
        <v>-0.29337000000000002</v>
      </c>
      <c r="BL147" s="55">
        <f t="shared" si="64"/>
        <v>0.44889099999999998</v>
      </c>
      <c r="BM147" s="55">
        <f t="shared" si="64"/>
        <v>0.75926700000000003</v>
      </c>
      <c r="BN147" s="55">
        <f t="shared" si="64"/>
        <v>1.6478440000000001</v>
      </c>
      <c r="BO147" s="55">
        <f t="shared" si="64"/>
        <v>0.93362199999999995</v>
      </c>
      <c r="BP147" s="55">
        <f t="shared" si="64"/>
        <v>5.6568E-2</v>
      </c>
      <c r="BQ147" s="55">
        <f t="shared" si="64"/>
        <v>1.2903420000000001</v>
      </c>
      <c r="BR147" s="55">
        <f t="shared" si="64"/>
        <v>0.406779</v>
      </c>
      <c r="BS147" s="55">
        <f t="shared" si="64"/>
        <v>-0.81093899999999997</v>
      </c>
      <c r="BT147" s="55">
        <f t="shared" si="64"/>
        <v>0.94307600000000003</v>
      </c>
      <c r="BU147" s="55">
        <f t="shared" si="64"/>
        <v>-0.74760400000000005</v>
      </c>
      <c r="BV147" s="55">
        <f t="shared" si="64"/>
        <v>1.547347</v>
      </c>
      <c r="BW147" s="55">
        <f t="shared" si="64"/>
        <v>-0.329567</v>
      </c>
      <c r="BX147" s="55">
        <f t="shared" si="64"/>
        <v>7.3186000000000001E-2</v>
      </c>
      <c r="BY147" s="55">
        <f t="shared" si="64"/>
        <v>-0.147924</v>
      </c>
      <c r="BZ147" s="55">
        <f t="shared" si="155"/>
        <v>1.4850099999999999</v>
      </c>
      <c r="CA147" s="55">
        <f t="shared" si="155"/>
        <v>-0.77529400000000004</v>
      </c>
      <c r="CB147" s="55">
        <f t="shared" si="155"/>
        <v>0.84227600000000002</v>
      </c>
      <c r="CC147" s="55">
        <f t="shared" si="155"/>
        <v>0.92862999999999996</v>
      </c>
      <c r="CD147" s="55">
        <f t="shared" si="155"/>
        <v>0.82414200000000004</v>
      </c>
      <c r="CE147" s="55">
        <f t="shared" si="155"/>
        <v>-0.63624700000000001</v>
      </c>
      <c r="CF147" s="55">
        <f t="shared" si="155"/>
        <v>0.323988</v>
      </c>
      <c r="CG147" s="55">
        <f t="shared" si="155"/>
        <v>0.23015099999999999</v>
      </c>
      <c r="CH147" s="55">
        <f t="shared" si="155"/>
        <v>0.44046299999999999</v>
      </c>
      <c r="CI147" s="55">
        <f t="shared" si="155"/>
        <v>-0.68194399999999999</v>
      </c>
      <c r="CJ147" s="55">
        <f t="shared" si="155"/>
        <v>0.29517700000000002</v>
      </c>
      <c r="CK147" s="55">
        <f t="shared" si="156"/>
        <v>-1.4813989999999999</v>
      </c>
      <c r="CL147" s="55">
        <f t="shared" si="156"/>
        <v>0.408771</v>
      </c>
      <c r="CM147" s="55">
        <f t="shared" si="156"/>
        <v>0.72226400000000002</v>
      </c>
      <c r="CN147" s="55">
        <f t="shared" si="156"/>
        <v>0.23936499999999999</v>
      </c>
      <c r="CO147" s="55">
        <f t="shared" si="156"/>
        <v>0.93853299999999995</v>
      </c>
      <c r="CP147" s="55">
        <f t="shared" si="156"/>
        <v>-0.94483899999999998</v>
      </c>
      <c r="CQ147" s="55">
        <f t="shared" si="156"/>
        <v>-0.971854</v>
      </c>
      <c r="CR147" s="55">
        <f t="shared" si="156"/>
        <v>-0.39461200000000002</v>
      </c>
      <c r="CS147" s="55">
        <f t="shared" si="156"/>
        <v>0.90890499999999996</v>
      </c>
      <c r="CT147" s="55">
        <f t="shared" si="156"/>
        <v>0.66777500000000001</v>
      </c>
      <c r="CU147" s="55">
        <f t="shared" si="156"/>
        <v>1.8090900000000001</v>
      </c>
      <c r="CV147" s="55">
        <f t="shared" si="156"/>
        <v>3.8622999999999998E-2</v>
      </c>
      <c r="CW147" s="55">
        <f t="shared" si="156"/>
        <v>-0.18663099999999999</v>
      </c>
      <c r="CX147" s="55">
        <f t="shared" si="156"/>
        <v>-0.28596199999999999</v>
      </c>
      <c r="CY147" s="55">
        <f t="shared" si="156"/>
        <v>0.35414800000000002</v>
      </c>
      <c r="CZ147" s="55">
        <f t="shared" si="156"/>
        <v>-0.25786999999999999</v>
      </c>
      <c r="DA147" s="55">
        <f t="shared" si="157"/>
        <v>-0.74679899999999999</v>
      </c>
      <c r="DB147" s="55">
        <f t="shared" si="157"/>
        <v>-0.64471500000000004</v>
      </c>
      <c r="DC147" s="55">
        <f t="shared" si="157"/>
        <v>-0.44550400000000001</v>
      </c>
      <c r="DD147" s="55">
        <f t="shared" si="157"/>
        <v>-0.234232</v>
      </c>
      <c r="DE147" s="55">
        <f t="shared" si="157"/>
        <v>1.110959</v>
      </c>
      <c r="DF147" s="55">
        <f t="shared" si="157"/>
        <v>-0.47712300000000002</v>
      </c>
      <c r="DG147" s="55">
        <f t="shared" si="157"/>
        <v>0.72406599999999999</v>
      </c>
      <c r="DI147" s="55">
        <f t="shared" ca="1" si="65"/>
        <v>-0.86982300000000001</v>
      </c>
      <c r="DJ147" s="55">
        <f t="shared" ca="1" si="66"/>
        <v>1.889802</v>
      </c>
      <c r="DK147" s="55">
        <f t="shared" ca="1" si="67"/>
        <v>-1.1225270000000001</v>
      </c>
      <c r="DL147" s="55">
        <f t="shared" ca="1" si="68"/>
        <v>-0.34977599999999998</v>
      </c>
      <c r="DM147" s="55">
        <f t="shared" ca="1" si="69"/>
        <v>-0.80473399999999995</v>
      </c>
      <c r="DN147" s="55">
        <f t="shared" ca="1" si="70"/>
        <v>0.29142800000000002</v>
      </c>
      <c r="DO147" s="55">
        <f t="shared" ca="1" si="71"/>
        <v>0.75990800000000003</v>
      </c>
      <c r="DP147" s="55">
        <f t="shared" ca="1" si="72"/>
        <v>1.163189</v>
      </c>
      <c r="DQ147" s="55">
        <f t="shared" ca="1" si="73"/>
        <v>-0.66398000000000001</v>
      </c>
      <c r="DR147" s="55">
        <f t="shared" ca="1" si="74"/>
        <v>0.487176</v>
      </c>
      <c r="DS147" s="55">
        <f t="shared" ca="1" si="75"/>
        <v>-9.3189536517000016E-2</v>
      </c>
      <c r="DT147" s="55">
        <f t="shared" ca="1" si="76"/>
        <v>0.39445204721600002</v>
      </c>
      <c r="DU147" s="55">
        <f t="shared" ca="1" si="77"/>
        <v>0.277197344638</v>
      </c>
      <c r="DV147" s="55">
        <f t="shared" ca="1" si="78"/>
        <v>-1.1103298680260001</v>
      </c>
      <c r="DW147" s="55">
        <f t="shared" ca="1" si="79"/>
        <v>0.9764253456180001</v>
      </c>
      <c r="DX147" s="55">
        <f t="shared" ca="1" si="80"/>
        <v>0.26657197837799995</v>
      </c>
      <c r="DY147" s="55">
        <f t="shared" ca="1" si="81"/>
        <v>3.0005687949999915E-3</v>
      </c>
      <c r="DZ147" s="55">
        <f t="shared" ca="1" si="82"/>
        <v>0.21849118699699996</v>
      </c>
      <c r="EA147" s="55">
        <f t="shared" ca="1" si="83"/>
        <v>0.49863665969399995</v>
      </c>
      <c r="EB147" s="55">
        <f t="shared" ca="1" si="84"/>
        <v>0.27388150614499995</v>
      </c>
      <c r="EC147" s="55">
        <f t="shared" ca="1" si="85"/>
        <v>0.16118350227799999</v>
      </c>
      <c r="ED147" s="55">
        <f t="shared" ca="1" si="86"/>
        <v>0.17991494069400002</v>
      </c>
      <c r="EE147" s="55">
        <f t="shared" ca="1" si="87"/>
        <v>0.34251466017900001</v>
      </c>
      <c r="EF147" s="55">
        <f t="shared" ca="1" si="88"/>
        <v>0.97009964753299993</v>
      </c>
      <c r="EG147" s="55">
        <f t="shared" ca="1" si="89"/>
        <v>2.4182993173999995E-2</v>
      </c>
      <c r="EH147" s="55">
        <f t="shared" ca="1" si="90"/>
        <v>-0.12372131583099999</v>
      </c>
      <c r="EI147" s="55">
        <f t="shared" ca="1" si="91"/>
        <v>-0.29488858127799999</v>
      </c>
      <c r="EJ147" s="55">
        <f t="shared" ca="1" si="92"/>
        <v>-0.37630000000000002</v>
      </c>
      <c r="EK147" s="55">
        <f t="shared" ca="1" si="93"/>
        <v>0.85758000000000001</v>
      </c>
      <c r="EL147" s="55">
        <f t="shared" ca="1" si="94"/>
        <v>-0.37266700000000003</v>
      </c>
      <c r="EM147" s="55">
        <f t="shared" ca="1" si="95"/>
        <v>9.6590999999999996E-2</v>
      </c>
      <c r="EN147" s="55">
        <f t="shared" ca="1" si="96"/>
        <v>-0.49626199999999998</v>
      </c>
      <c r="EO147" s="55">
        <f t="shared" ca="1" si="97"/>
        <v>-0.49263200000000001</v>
      </c>
      <c r="EP147" s="55">
        <f t="shared" ca="1" si="98"/>
        <v>0.76931700000000003</v>
      </c>
      <c r="EQ147" s="55">
        <f t="shared" ca="1" si="99"/>
        <v>0.28421000000000002</v>
      </c>
      <c r="ER147" s="55">
        <f t="shared" ca="1" si="100"/>
        <v>-0.15013099999999999</v>
      </c>
      <c r="ES147" s="55">
        <f t="shared" ca="1" si="101"/>
        <v>-0.69565399999999999</v>
      </c>
      <c r="ET147" s="55">
        <f t="shared" ca="1" si="102"/>
        <v>-0.11658499999999999</v>
      </c>
      <c r="EU147" s="55">
        <f t="shared" ca="1" si="103"/>
        <v>-0.35742600000000002</v>
      </c>
      <c r="EV147" s="55">
        <f t="shared" ca="1" si="104"/>
        <v>0.65850399999999998</v>
      </c>
      <c r="EW147" s="55">
        <f t="shared" ca="1" si="105"/>
        <v>0.43789099999999997</v>
      </c>
      <c r="EX147" s="55">
        <f t="shared" ca="1" si="106"/>
        <v>-6.4140000000000003E-2</v>
      </c>
      <c r="EY147" s="55">
        <f t="shared" ca="1" si="107"/>
        <v>0.29995500000000003</v>
      </c>
      <c r="EZ147" s="55">
        <f t="shared" ca="1" si="108"/>
        <v>-4.8040000000000001E-3</v>
      </c>
      <c r="FA147" s="55">
        <f t="shared" ca="1" si="109"/>
        <v>-0.124538</v>
      </c>
      <c r="FB147" s="55">
        <f t="shared" ca="1" si="110"/>
        <v>-1.383731</v>
      </c>
      <c r="FC147" s="55">
        <f t="shared" ca="1" si="111"/>
        <v>-0.356215</v>
      </c>
      <c r="FD147" s="55">
        <f t="shared" ca="1" si="112"/>
        <v>-0.56691000000000003</v>
      </c>
      <c r="FE147" s="55">
        <f t="shared" ca="1" si="113"/>
        <v>0.491645</v>
      </c>
      <c r="FF147" s="55">
        <f t="shared" ca="1" si="114"/>
        <v>0.27995199999999998</v>
      </c>
      <c r="FH147" s="55">
        <f t="shared" ca="1" si="115"/>
        <v>0</v>
      </c>
      <c r="FI147" s="55">
        <f t="shared" ca="1" si="207"/>
        <v>0</v>
      </c>
      <c r="FJ147" s="55">
        <f t="shared" ca="1" si="208"/>
        <v>0</v>
      </c>
      <c r="FK147" s="55">
        <f t="shared" ca="1" si="209"/>
        <v>0</v>
      </c>
      <c r="FL147" s="55">
        <f t="shared" ca="1" si="210"/>
        <v>0</v>
      </c>
      <c r="FM147" s="55">
        <f t="shared" ca="1" si="211"/>
        <v>0</v>
      </c>
      <c r="FN147" s="55">
        <f t="shared" ca="1" si="212"/>
        <v>0</v>
      </c>
      <c r="FO147" s="55">
        <f t="shared" ca="1" si="213"/>
        <v>0</v>
      </c>
      <c r="FP147" s="55">
        <f t="shared" ca="1" si="214"/>
        <v>0</v>
      </c>
      <c r="FQ147" s="55">
        <f t="shared" ca="1" si="215"/>
        <v>0</v>
      </c>
      <c r="FR147" s="55">
        <f t="shared" ca="1" si="216"/>
        <v>9.7567463482999994E-2</v>
      </c>
      <c r="FS147" s="55">
        <f t="shared" ca="1" si="158"/>
        <v>-0.10752795278399996</v>
      </c>
      <c r="FT147" s="55">
        <f t="shared" ca="1" si="159"/>
        <v>0.119588344638</v>
      </c>
      <c r="FU147" s="55">
        <f t="shared" ca="1" si="160"/>
        <v>7.3511131973999833E-2</v>
      </c>
      <c r="FV147" s="55">
        <f t="shared" ca="1" si="161"/>
        <v>-8.5042654381999983E-2</v>
      </c>
      <c r="FW147" s="55">
        <f t="shared" ca="1" si="162"/>
        <v>-3.9026021622000029E-2</v>
      </c>
      <c r="FX147" s="55">
        <f t="shared" ca="1" si="163"/>
        <v>0.13953556879499998</v>
      </c>
      <c r="FY147" s="55">
        <f t="shared" ca="1" si="164"/>
        <v>-9.3567813003000017E-2</v>
      </c>
      <c r="FZ147" s="55">
        <f t="shared" ca="1" si="165"/>
        <v>3.2354659693999976E-2</v>
      </c>
      <c r="GA147" s="55">
        <f t="shared" ca="1" si="166"/>
        <v>6.1646506144999946E-2</v>
      </c>
      <c r="GB147" s="55">
        <f t="shared" ca="1" si="167"/>
        <v>6.2419502277999986E-2</v>
      </c>
      <c r="GC147" s="55">
        <f t="shared" ca="1" si="168"/>
        <v>-7.6844059305999995E-2</v>
      </c>
      <c r="GD147" s="55">
        <f t="shared" ca="1" si="169"/>
        <v>-1.7443398209999739E-3</v>
      </c>
      <c r="GE147" s="55">
        <f t="shared" ca="1" si="170"/>
        <v>-6.9668352467000094E-2</v>
      </c>
      <c r="GF147" s="55">
        <f t="shared" ca="1" si="171"/>
        <v>3.9193993173999991E-2</v>
      </c>
      <c r="GG147" s="55">
        <f t="shared" ca="1" si="172"/>
        <v>-5.2558315830999985E-2</v>
      </c>
      <c r="GH147" s="55">
        <f t="shared" ca="1" si="173"/>
        <v>5.5556418722000012E-2</v>
      </c>
      <c r="GI147" s="55">
        <f t="shared" ca="1" si="174"/>
        <v>0</v>
      </c>
      <c r="GJ147" s="55">
        <f t="shared" ca="1" si="175"/>
        <v>0</v>
      </c>
      <c r="GK147" s="55">
        <f t="shared" ca="1" si="176"/>
        <v>0</v>
      </c>
      <c r="GL147" s="55">
        <f t="shared" ca="1" si="177"/>
        <v>0</v>
      </c>
      <c r="GM147" s="55">
        <f t="shared" ca="1" si="178"/>
        <v>0</v>
      </c>
      <c r="GN147" s="55">
        <f t="shared" ca="1" si="179"/>
        <v>0</v>
      </c>
      <c r="GO147" s="55">
        <f t="shared" ca="1" si="180"/>
        <v>0</v>
      </c>
      <c r="GP147" s="55">
        <f t="shared" ca="1" si="181"/>
        <v>0</v>
      </c>
      <c r="GQ147" s="55">
        <f t="shared" ca="1" si="182"/>
        <v>0</v>
      </c>
      <c r="GR147" s="55">
        <f t="shared" ca="1" si="183"/>
        <v>0</v>
      </c>
      <c r="GS147" s="55">
        <f t="shared" ca="1" si="184"/>
        <v>0</v>
      </c>
      <c r="GT147" s="55">
        <f t="shared" ca="1" si="185"/>
        <v>0</v>
      </c>
      <c r="GU147" s="55">
        <f t="shared" ca="1" si="186"/>
        <v>0</v>
      </c>
      <c r="GV147" s="55">
        <f t="shared" ca="1" si="187"/>
        <v>0</v>
      </c>
      <c r="GW147" s="55">
        <f t="shared" ca="1" si="188"/>
        <v>0</v>
      </c>
      <c r="GX147" s="55">
        <f t="shared" ca="1" si="189"/>
        <v>0</v>
      </c>
      <c r="GY147" s="55">
        <f t="shared" ca="1" si="190"/>
        <v>0</v>
      </c>
      <c r="GZ147" s="55">
        <f t="shared" ca="1" si="191"/>
        <v>0</v>
      </c>
      <c r="HA147" s="55">
        <f t="shared" ca="1" si="192"/>
        <v>0</v>
      </c>
      <c r="HB147" s="55">
        <f t="shared" ca="1" si="193"/>
        <v>0</v>
      </c>
      <c r="HC147" s="55">
        <f t="shared" ca="1" si="194"/>
        <v>0</v>
      </c>
      <c r="HD147" s="55">
        <f t="shared" ca="1" si="195"/>
        <v>0</v>
      </c>
      <c r="HE147" s="55">
        <f t="shared" ca="1" si="196"/>
        <v>0</v>
      </c>
    </row>
    <row r="148" spans="1:213">
      <c r="A148" s="27">
        <v>11</v>
      </c>
      <c r="B148" s="27">
        <v>46</v>
      </c>
      <c r="C148" s="27">
        <v>0.13463700000000001</v>
      </c>
      <c r="D148" s="27">
        <v>0.95076799999999995</v>
      </c>
      <c r="E148" s="27">
        <v>6</v>
      </c>
      <c r="F148" s="27">
        <f t="shared" ca="1" si="59"/>
        <v>49</v>
      </c>
      <c r="G148" s="27">
        <f t="shared" si="54"/>
        <v>0</v>
      </c>
      <c r="H148" s="27" t="str">
        <f t="shared" si="60"/>
        <v>Sim</v>
      </c>
      <c r="I148" s="27">
        <f t="shared" si="61"/>
        <v>0</v>
      </c>
      <c r="J148" s="37">
        <f t="shared" si="62"/>
        <v>1</v>
      </c>
      <c r="K148" s="55">
        <f t="shared" si="63"/>
        <v>0.92113900000000004</v>
      </c>
      <c r="L148" s="55">
        <f t="shared" si="197"/>
        <v>-0.29337000000000002</v>
      </c>
      <c r="M148" s="55">
        <f t="shared" si="198"/>
        <v>0.44889099999999998</v>
      </c>
      <c r="N148" s="55">
        <f t="shared" si="199"/>
        <v>0.75926700000000003</v>
      </c>
      <c r="O148" s="55">
        <f t="shared" si="200"/>
        <v>1.6478440000000001</v>
      </c>
      <c r="P148" s="55">
        <f t="shared" si="201"/>
        <v>0.93362199999999995</v>
      </c>
      <c r="Q148" s="55">
        <f t="shared" si="202"/>
        <v>5.6568E-2</v>
      </c>
      <c r="R148" s="55">
        <f t="shared" si="203"/>
        <v>1.2903420000000001</v>
      </c>
      <c r="S148" s="55">
        <f t="shared" si="204"/>
        <v>0.406779</v>
      </c>
      <c r="T148" s="55">
        <f t="shared" si="205"/>
        <v>-0.81093899999999997</v>
      </c>
      <c r="U148" s="55">
        <f t="shared" si="206"/>
        <v>0.94307600000000003</v>
      </c>
      <c r="V148" s="55">
        <f t="shared" si="116"/>
        <v>-0.74760400000000005</v>
      </c>
      <c r="W148" s="55">
        <f t="shared" si="117"/>
        <v>1.547347</v>
      </c>
      <c r="X148" s="55">
        <f t="shared" si="118"/>
        <v>-0.329567</v>
      </c>
      <c r="Y148" s="55">
        <f t="shared" si="119"/>
        <v>7.3186000000000001E-2</v>
      </c>
      <c r="Z148" s="55">
        <f t="shared" si="120"/>
        <v>-0.147924</v>
      </c>
      <c r="AA148" s="55">
        <f t="shared" si="121"/>
        <v>1.4850099999999999</v>
      </c>
      <c r="AB148" s="55">
        <f t="shared" si="122"/>
        <v>-0.77529400000000004</v>
      </c>
      <c r="AC148" s="55">
        <f t="shared" si="123"/>
        <v>0.84227600000000002</v>
      </c>
      <c r="AD148" s="55">
        <f t="shared" si="124"/>
        <v>0.92862999999999996</v>
      </c>
      <c r="AE148" s="55">
        <f t="shared" si="125"/>
        <v>0.82414200000000004</v>
      </c>
      <c r="AF148" s="55">
        <f t="shared" si="126"/>
        <v>-0.63624700000000001</v>
      </c>
      <c r="AG148" s="55">
        <f t="shared" si="127"/>
        <v>0.323988</v>
      </c>
      <c r="AH148" s="55">
        <f t="shared" si="128"/>
        <v>0.23015099999999999</v>
      </c>
      <c r="AI148" s="55">
        <f t="shared" si="129"/>
        <v>0.44046299999999999</v>
      </c>
      <c r="AJ148" s="55">
        <f t="shared" si="130"/>
        <v>-0.68194399999999999</v>
      </c>
      <c r="AK148" s="55">
        <f t="shared" si="131"/>
        <v>0.29517700000000002</v>
      </c>
      <c r="AL148" s="55">
        <f t="shared" si="132"/>
        <v>-1.4813989999999999</v>
      </c>
      <c r="AM148" s="55">
        <f t="shared" si="133"/>
        <v>0.408771</v>
      </c>
      <c r="AN148" s="55">
        <f t="shared" si="134"/>
        <v>0.72226400000000002</v>
      </c>
      <c r="AO148" s="55">
        <f t="shared" si="135"/>
        <v>0.23936499999999999</v>
      </c>
      <c r="AP148" s="55">
        <f t="shared" si="136"/>
        <v>0.93853299999999995</v>
      </c>
      <c r="AQ148" s="55">
        <f t="shared" si="137"/>
        <v>-0.94483899999999998</v>
      </c>
      <c r="AR148" s="55">
        <f t="shared" si="138"/>
        <v>-0.971854</v>
      </c>
      <c r="AS148" s="55">
        <f t="shared" si="139"/>
        <v>-0.39461200000000002</v>
      </c>
      <c r="AT148" s="55">
        <f t="shared" si="140"/>
        <v>0.90890499999999996</v>
      </c>
      <c r="AU148" s="55">
        <f t="shared" si="141"/>
        <v>0.66777500000000001</v>
      </c>
      <c r="AV148" s="55">
        <f t="shared" si="142"/>
        <v>1.8090900000000001</v>
      </c>
      <c r="AW148" s="55">
        <f t="shared" si="143"/>
        <v>3.8622999999999998E-2</v>
      </c>
      <c r="AX148" s="55">
        <f t="shared" si="144"/>
        <v>-0.18663099999999999</v>
      </c>
      <c r="AY148" s="55">
        <f t="shared" si="145"/>
        <v>-0.28596199999999999</v>
      </c>
      <c r="AZ148" s="55">
        <f t="shared" si="146"/>
        <v>0.35414800000000002</v>
      </c>
      <c r="BA148" s="55">
        <f t="shared" si="147"/>
        <v>-0.25786999999999999</v>
      </c>
      <c r="BB148" s="55">
        <f t="shared" si="148"/>
        <v>-0.74679899999999999</v>
      </c>
      <c r="BC148" s="55">
        <f t="shared" si="149"/>
        <v>-0.64471500000000004</v>
      </c>
      <c r="BD148" s="55">
        <f t="shared" si="150"/>
        <v>-0.44550400000000001</v>
      </c>
      <c r="BE148" s="55">
        <f t="shared" si="151"/>
        <v>-0.234232</v>
      </c>
      <c r="BF148" s="55">
        <f t="shared" si="152"/>
        <v>1.110959</v>
      </c>
      <c r="BG148" s="55">
        <f t="shared" si="153"/>
        <v>-0.47712300000000002</v>
      </c>
      <c r="BH148" s="55">
        <f t="shared" si="154"/>
        <v>0.72406599999999999</v>
      </c>
      <c r="BJ148" s="55">
        <f t="shared" si="64"/>
        <v>-0.31709100000000001</v>
      </c>
      <c r="BK148" s="55">
        <f t="shared" si="64"/>
        <v>-0.89203399999999999</v>
      </c>
      <c r="BL148" s="55">
        <f t="shared" si="64"/>
        <v>-0.50178699999999998</v>
      </c>
      <c r="BM148" s="55">
        <f t="shared" si="64"/>
        <v>1.341126</v>
      </c>
      <c r="BN148" s="55">
        <f t="shared" si="64"/>
        <v>-0.35331899999999999</v>
      </c>
      <c r="BO148" s="55">
        <f t="shared" si="64"/>
        <v>-0.81649300000000002</v>
      </c>
      <c r="BP148" s="55">
        <f t="shared" si="64"/>
        <v>0.76869500000000002</v>
      </c>
      <c r="BQ148" s="55">
        <f t="shared" si="64"/>
        <v>0.78559599999999996</v>
      </c>
      <c r="BR148" s="55">
        <f t="shared" si="64"/>
        <v>-0.50029299999999999</v>
      </c>
      <c r="BS148" s="55">
        <f t="shared" si="64"/>
        <v>5.3810999999999998E-2</v>
      </c>
      <c r="BT148" s="55">
        <f t="shared" si="64"/>
        <v>-1.401068</v>
      </c>
      <c r="BU148" s="55">
        <f t="shared" si="64"/>
        <v>-0.34910000000000002</v>
      </c>
      <c r="BV148" s="55">
        <f t="shared" si="64"/>
        <v>1.39639</v>
      </c>
      <c r="BW148" s="55">
        <f t="shared" si="64"/>
        <v>0.16563800000000001</v>
      </c>
      <c r="BX148" s="55">
        <f t="shared" si="64"/>
        <v>-0.78129099999999996</v>
      </c>
      <c r="BY148" s="55">
        <f t="shared" si="64"/>
        <v>0.19028100000000001</v>
      </c>
      <c r="BZ148" s="55">
        <f t="shared" si="155"/>
        <v>-1.158496</v>
      </c>
      <c r="CA148" s="55">
        <f t="shared" si="155"/>
        <v>-8.0203999999999998E-2</v>
      </c>
      <c r="CB148" s="55">
        <f t="shared" si="155"/>
        <v>-5.5931000000000002E-2</v>
      </c>
      <c r="CC148" s="55">
        <f t="shared" si="155"/>
        <v>0.14855699999999999</v>
      </c>
      <c r="CD148" s="55">
        <f t="shared" si="155"/>
        <v>-0.54910300000000001</v>
      </c>
      <c r="CE148" s="55">
        <f t="shared" si="155"/>
        <v>-1.646245</v>
      </c>
      <c r="CF148" s="55">
        <f t="shared" si="155"/>
        <v>0.36466599999999999</v>
      </c>
      <c r="CG148" s="55">
        <f t="shared" si="155"/>
        <v>1.0881E-2</v>
      </c>
      <c r="CH148" s="55">
        <f t="shared" si="155"/>
        <v>0.95167999999999997</v>
      </c>
      <c r="CI148" s="55">
        <f t="shared" si="155"/>
        <v>0.35824299999999998</v>
      </c>
      <c r="CJ148" s="55">
        <f t="shared" si="155"/>
        <v>-0.28089999999999998</v>
      </c>
      <c r="CK148" s="55">
        <f t="shared" si="156"/>
        <v>-0.410466</v>
      </c>
      <c r="CL148" s="55">
        <f t="shared" si="156"/>
        <v>0.50322500000000003</v>
      </c>
      <c r="CM148" s="55">
        <f t="shared" si="156"/>
        <v>0.31360100000000002</v>
      </c>
      <c r="CN148" s="55">
        <f t="shared" si="156"/>
        <v>-1.7582420000000001</v>
      </c>
      <c r="CO148" s="55">
        <f t="shared" si="156"/>
        <v>1.1691739999999999</v>
      </c>
      <c r="CP148" s="55">
        <f t="shared" si="156"/>
        <v>2.2877999999999999E-2</v>
      </c>
      <c r="CQ148" s="55">
        <f t="shared" si="156"/>
        <v>1.1598599999999999</v>
      </c>
      <c r="CR148" s="55">
        <f t="shared" si="156"/>
        <v>-8.8025999999999993E-2</v>
      </c>
      <c r="CS148" s="55">
        <f t="shared" si="156"/>
        <v>1.3394E-2</v>
      </c>
      <c r="CT148" s="55">
        <f t="shared" si="156"/>
        <v>0.43396099999999999</v>
      </c>
      <c r="CU148" s="55">
        <f t="shared" si="156"/>
        <v>-0.96805399999999997</v>
      </c>
      <c r="CV148" s="55">
        <f t="shared" si="156"/>
        <v>0.22781000000000001</v>
      </c>
      <c r="CW148" s="55">
        <f t="shared" si="156"/>
        <v>4.8700000000000002E-4</v>
      </c>
      <c r="CX148" s="55">
        <f t="shared" si="156"/>
        <v>-0.89963199999999999</v>
      </c>
      <c r="CY148" s="55">
        <f t="shared" si="156"/>
        <v>0.18885199999999999</v>
      </c>
      <c r="CZ148" s="55">
        <f t="shared" si="156"/>
        <v>0.40491199999999999</v>
      </c>
      <c r="DA148" s="55">
        <f t="shared" si="157"/>
        <v>0.131018</v>
      </c>
      <c r="DB148" s="55">
        <f t="shared" si="157"/>
        <v>-0.14644599999999999</v>
      </c>
      <c r="DC148" s="55">
        <f t="shared" si="157"/>
        <v>-0.53958099999999998</v>
      </c>
      <c r="DD148" s="55">
        <f t="shared" si="157"/>
        <v>-0.81196599999999997</v>
      </c>
      <c r="DE148" s="55">
        <f t="shared" si="157"/>
        <v>7.3072999999999999E-2</v>
      </c>
      <c r="DF148" s="55">
        <f t="shared" si="157"/>
        <v>0.273009</v>
      </c>
      <c r="DG148" s="55">
        <f t="shared" si="157"/>
        <v>0.25028899999999998</v>
      </c>
      <c r="DI148" s="55">
        <f t="shared" ca="1" si="65"/>
        <v>0.92113900000000004</v>
      </c>
      <c r="DJ148" s="55">
        <f t="shared" ca="1" si="66"/>
        <v>-0.29337000000000002</v>
      </c>
      <c r="DK148" s="55">
        <f t="shared" ca="1" si="67"/>
        <v>0.44889099999999998</v>
      </c>
      <c r="DL148" s="55">
        <f t="shared" ca="1" si="68"/>
        <v>0.75926700000000003</v>
      </c>
      <c r="DM148" s="55">
        <f t="shared" ca="1" si="69"/>
        <v>1.6478440000000001</v>
      </c>
      <c r="DN148" s="55">
        <f t="shared" ca="1" si="70"/>
        <v>0.93362199999999995</v>
      </c>
      <c r="DO148" s="55">
        <f t="shared" ca="1" si="71"/>
        <v>9.1627436464000039E-2</v>
      </c>
      <c r="DP148" s="55">
        <f t="shared" ca="1" si="72"/>
        <v>1.265492344928</v>
      </c>
      <c r="DQ148" s="55">
        <f t="shared" ca="1" si="73"/>
        <v>0.36212203129599996</v>
      </c>
      <c r="DR148" s="55">
        <f t="shared" ca="1" si="74"/>
        <v>-0.76836562799999997</v>
      </c>
      <c r="DS148" s="55">
        <f t="shared" ca="1" si="75"/>
        <v>0.82766910259199988</v>
      </c>
      <c r="DT148" s="55">
        <f t="shared" ca="1" si="76"/>
        <v>-0.72798485107200006</v>
      </c>
      <c r="DU148" s="55">
        <f t="shared" ca="1" si="77"/>
        <v>1.5399150849760002</v>
      </c>
      <c r="DV148" s="55">
        <f t="shared" ca="1" si="78"/>
        <v>-0.30518706743999996</v>
      </c>
      <c r="DW148" s="55">
        <f t="shared" ca="1" si="79"/>
        <v>3.1118388335999961E-2</v>
      </c>
      <c r="DX148" s="55">
        <f t="shared" ca="1" si="80"/>
        <v>-0.13127349144</v>
      </c>
      <c r="DY148" s="55">
        <f t="shared" ca="1" si="81"/>
        <v>1.3548649126079997</v>
      </c>
      <c r="DZ148" s="55">
        <f t="shared" ca="1" si="82"/>
        <v>-0.7410733291199999</v>
      </c>
      <c r="EA148" s="55">
        <f t="shared" ca="1" si="83"/>
        <v>0.79805547297599999</v>
      </c>
      <c r="EB148" s="55">
        <f t="shared" ca="1" si="84"/>
        <v>0.890225446064</v>
      </c>
      <c r="EC148" s="55">
        <f t="shared" ca="1" si="85"/>
        <v>0.7565344021599999</v>
      </c>
      <c r="ED148" s="55">
        <f t="shared" ca="1" si="86"/>
        <v>-0.6859712215360001</v>
      </c>
      <c r="EE148" s="55">
        <f t="shared" ca="1" si="87"/>
        <v>0.32599065929600002</v>
      </c>
      <c r="EF148" s="55">
        <f t="shared" ca="1" si="88"/>
        <v>0.21935589935999997</v>
      </c>
      <c r="EG148" s="55">
        <f t="shared" ca="1" si="89"/>
        <v>0.46563123534400003</v>
      </c>
      <c r="EH148" s="55">
        <f t="shared" ca="1" si="90"/>
        <v>-0.63073351361599994</v>
      </c>
      <c r="EI148" s="55">
        <f t="shared" ca="1" si="91"/>
        <v>0.26681557713600002</v>
      </c>
      <c r="EJ148" s="55">
        <f t="shared" ca="1" si="92"/>
        <v>-1.4286748265439999</v>
      </c>
      <c r="EK148" s="55">
        <f t="shared" ca="1" si="93"/>
        <v>0.413421159328</v>
      </c>
      <c r="EL148" s="55">
        <f t="shared" ca="1" si="94"/>
        <v>0.70214470318399991</v>
      </c>
      <c r="EM148" s="55">
        <f t="shared" ca="1" si="95"/>
        <v>0.14101881217599987</v>
      </c>
      <c r="EN148" s="55">
        <f t="shared" ca="1" si="96"/>
        <v>0.94988791771199987</v>
      </c>
      <c r="EO148" s="55">
        <f t="shared" ca="1" si="97"/>
        <v>-0.89719635665599995</v>
      </c>
      <c r="EP148" s="55">
        <f t="shared" ca="1" si="98"/>
        <v>-0.86690545635199989</v>
      </c>
      <c r="EQ148" s="55">
        <f t="shared" ca="1" si="99"/>
        <v>-0.37951815804799999</v>
      </c>
      <c r="ER148" s="55">
        <f t="shared" ca="1" si="100"/>
        <v>0.86481720244799998</v>
      </c>
      <c r="ES148" s="55">
        <f t="shared" ca="1" si="101"/>
        <v>0.65626386915199997</v>
      </c>
      <c r="ET148" s="55">
        <f t="shared" ca="1" si="102"/>
        <v>1.672365646592</v>
      </c>
      <c r="EU148" s="55">
        <f t="shared" ca="1" si="103"/>
        <v>4.7937054384000005E-2</v>
      </c>
      <c r="EV148" s="55">
        <f t="shared" ca="1" si="104"/>
        <v>-0.17741880662399998</v>
      </c>
      <c r="EW148" s="55">
        <f t="shared" ca="1" si="105"/>
        <v>-0.31617420144000002</v>
      </c>
      <c r="EX148" s="55">
        <f t="shared" ca="1" si="106"/>
        <v>0.34601014732800001</v>
      </c>
      <c r="EY148" s="55">
        <f t="shared" ca="1" si="107"/>
        <v>-0.22523991657599995</v>
      </c>
      <c r="EZ148" s="55">
        <f t="shared" ca="1" si="108"/>
        <v>-0.70358231345599997</v>
      </c>
      <c r="FA148" s="55">
        <f t="shared" ca="1" si="109"/>
        <v>-0.62018422059199996</v>
      </c>
      <c r="FB148" s="55">
        <f t="shared" ca="1" si="110"/>
        <v>-0.45013559886400001</v>
      </c>
      <c r="FC148" s="55">
        <f t="shared" ca="1" si="111"/>
        <v>-0.26267500028800006</v>
      </c>
      <c r="FD148" s="55">
        <f t="shared" ca="1" si="112"/>
        <v>1.0598617964479999</v>
      </c>
      <c r="FE148" s="55">
        <f t="shared" ca="1" si="113"/>
        <v>-0.44019250137599997</v>
      </c>
      <c r="FF148" s="55">
        <f t="shared" ca="1" si="114"/>
        <v>0.72406599999999999</v>
      </c>
      <c r="FH148" s="55">
        <f t="shared" ca="1" si="115"/>
        <v>0</v>
      </c>
      <c r="FI148" s="55">
        <f t="shared" ca="1" si="207"/>
        <v>0</v>
      </c>
      <c r="FJ148" s="55">
        <f t="shared" ca="1" si="208"/>
        <v>0</v>
      </c>
      <c r="FK148" s="55">
        <f t="shared" ca="1" si="209"/>
        <v>0</v>
      </c>
      <c r="FL148" s="55">
        <f t="shared" ca="1" si="210"/>
        <v>0</v>
      </c>
      <c r="FM148" s="55">
        <f t="shared" ca="1" si="211"/>
        <v>0</v>
      </c>
      <c r="FN148" s="55">
        <f t="shared" ca="1" si="212"/>
        <v>3.5059436464000039E-2</v>
      </c>
      <c r="FO148" s="55">
        <f t="shared" ca="1" si="213"/>
        <v>-2.4849655072000099E-2</v>
      </c>
      <c r="FP148" s="55">
        <f t="shared" ca="1" si="214"/>
        <v>-4.4656968704000044E-2</v>
      </c>
      <c r="FQ148" s="55">
        <f t="shared" ca="1" si="215"/>
        <v>4.2573371999999998E-2</v>
      </c>
      <c r="FR148" s="55">
        <f t="shared" ca="1" si="216"/>
        <v>-0.11540689740800014</v>
      </c>
      <c r="FS148" s="55">
        <f t="shared" ca="1" si="158"/>
        <v>1.9619148927999985E-2</v>
      </c>
      <c r="FT148" s="55">
        <f t="shared" ca="1" si="159"/>
        <v>-7.4319150239998688E-3</v>
      </c>
      <c r="FU148" s="55">
        <f t="shared" ca="1" si="160"/>
        <v>2.4379932560000039E-2</v>
      </c>
      <c r="FV148" s="55">
        <f t="shared" ca="1" si="161"/>
        <v>-4.206761166400004E-2</v>
      </c>
      <c r="FW148" s="55">
        <f t="shared" ca="1" si="162"/>
        <v>1.6650508559999999E-2</v>
      </c>
      <c r="FX148" s="55">
        <f t="shared" ca="1" si="163"/>
        <v>-0.13014508739200026</v>
      </c>
      <c r="FY148" s="55">
        <f t="shared" ca="1" si="164"/>
        <v>3.4220670880000137E-2</v>
      </c>
      <c r="FZ148" s="55">
        <f t="shared" ca="1" si="165"/>
        <v>-4.4220527024000034E-2</v>
      </c>
      <c r="GA148" s="55">
        <f t="shared" ca="1" si="166"/>
        <v>-3.8404553935999952E-2</v>
      </c>
      <c r="GB148" s="55">
        <f t="shared" ca="1" si="167"/>
        <v>-6.7607597840000144E-2</v>
      </c>
      <c r="GC148" s="55">
        <f t="shared" ca="1" si="168"/>
        <v>-4.9724221536000091E-2</v>
      </c>
      <c r="GD148" s="55">
        <f t="shared" ca="1" si="169"/>
        <v>2.00265929600002E-3</v>
      </c>
      <c r="GE148" s="55">
        <f t="shared" ca="1" si="170"/>
        <v>-1.0795100640000027E-2</v>
      </c>
      <c r="GF148" s="55">
        <f t="shared" ca="1" si="171"/>
        <v>2.5168235344000034E-2</v>
      </c>
      <c r="GG148" s="55">
        <f t="shared" ca="1" si="172"/>
        <v>5.1210486384000053E-2</v>
      </c>
      <c r="GH148" s="55">
        <f t="shared" ca="1" si="173"/>
        <v>-2.8361422864000008E-2</v>
      </c>
      <c r="GI148" s="55">
        <f t="shared" ca="1" si="174"/>
        <v>5.2724173456000001E-2</v>
      </c>
      <c r="GJ148" s="55">
        <f t="shared" ca="1" si="175"/>
        <v>4.6501593280000031E-3</v>
      </c>
      <c r="GK148" s="55">
        <f t="shared" ca="1" si="176"/>
        <v>-2.011929681600011E-2</v>
      </c>
      <c r="GL148" s="55">
        <f t="shared" ca="1" si="177"/>
        <v>-9.834618782400012E-2</v>
      </c>
      <c r="GM148" s="55">
        <f t="shared" ca="1" si="178"/>
        <v>1.1354917711999923E-2</v>
      </c>
      <c r="GN148" s="55">
        <f t="shared" ca="1" si="179"/>
        <v>4.7642643344000035E-2</v>
      </c>
      <c r="GO148" s="55">
        <f t="shared" ca="1" si="180"/>
        <v>0.1049485436480001</v>
      </c>
      <c r="GP148" s="55">
        <f t="shared" ca="1" si="181"/>
        <v>1.5093841952000031E-2</v>
      </c>
      <c r="GQ148" s="55">
        <f t="shared" ca="1" si="182"/>
        <v>-4.4087797551999985E-2</v>
      </c>
      <c r="GR148" s="55">
        <f t="shared" ca="1" si="183"/>
        <v>-1.151113084800004E-2</v>
      </c>
      <c r="GS148" s="55">
        <f t="shared" ca="1" si="184"/>
        <v>-0.13672435340800004</v>
      </c>
      <c r="GT148" s="55">
        <f t="shared" ca="1" si="185"/>
        <v>9.3140543840000076E-3</v>
      </c>
      <c r="GU148" s="55">
        <f t="shared" ca="1" si="186"/>
        <v>9.2121933760000163E-3</v>
      </c>
      <c r="GV148" s="55">
        <f t="shared" ca="1" si="187"/>
        <v>-3.021220144000003E-2</v>
      </c>
      <c r="GW148" s="55">
        <f t="shared" ca="1" si="188"/>
        <v>-8.1378526720000122E-3</v>
      </c>
      <c r="GX148" s="55">
        <f t="shared" ca="1" si="189"/>
        <v>3.2630083424000034E-2</v>
      </c>
      <c r="GY148" s="55">
        <f t="shared" ca="1" si="190"/>
        <v>4.3216686544000016E-2</v>
      </c>
      <c r="GZ148" s="55">
        <f t="shared" ca="1" si="191"/>
        <v>2.4530779408000081E-2</v>
      </c>
      <c r="HA148" s="55">
        <f t="shared" ca="1" si="192"/>
        <v>-4.6315988639999972E-3</v>
      </c>
      <c r="HB148" s="55">
        <f t="shared" ca="1" si="193"/>
        <v>-2.8443000288000064E-2</v>
      </c>
      <c r="HC148" s="55">
        <f t="shared" ca="1" si="194"/>
        <v>-5.1097203552000092E-2</v>
      </c>
      <c r="HD148" s="55">
        <f t="shared" ca="1" si="195"/>
        <v>3.6930498624000052E-2</v>
      </c>
      <c r="HE148" s="55">
        <f t="shared" ca="1" si="196"/>
        <v>0</v>
      </c>
    </row>
    <row r="149" spans="1:213">
      <c r="A149" s="27">
        <v>12</v>
      </c>
      <c r="B149" s="27">
        <v>52</v>
      </c>
      <c r="C149" s="27">
        <v>0.99751400000000001</v>
      </c>
      <c r="D149" s="27">
        <v>0.91283300000000001</v>
      </c>
      <c r="E149" s="27">
        <v>14</v>
      </c>
      <c r="F149" s="27">
        <f t="shared" ca="1" si="59"/>
        <v>49</v>
      </c>
      <c r="G149" s="27">
        <f t="shared" si="54"/>
        <v>0</v>
      </c>
      <c r="H149" s="27" t="str">
        <f t="shared" si="60"/>
        <v>Não</v>
      </c>
      <c r="I149" s="27">
        <f t="shared" si="61"/>
        <v>0</v>
      </c>
      <c r="J149" s="37">
        <f t="shared" si="62"/>
        <v>0</v>
      </c>
      <c r="K149" s="55">
        <f t="shared" si="63"/>
        <v>0.101844</v>
      </c>
      <c r="L149" s="55">
        <f t="shared" si="197"/>
        <v>-0.93176599999999998</v>
      </c>
      <c r="M149" s="55">
        <f t="shared" si="198"/>
        <v>-0.38437100000000002</v>
      </c>
      <c r="N149" s="55">
        <f t="shared" si="199"/>
        <v>-1.5538350000000001</v>
      </c>
      <c r="O149" s="55">
        <f t="shared" si="200"/>
        <v>-0.73569700000000005</v>
      </c>
      <c r="P149" s="55">
        <f t="shared" si="201"/>
        <v>0.52304499999999998</v>
      </c>
      <c r="Q149" s="55">
        <f t="shared" si="202"/>
        <v>-2.8447E-2</v>
      </c>
      <c r="R149" s="55">
        <f t="shared" si="203"/>
        <v>0.28006399999999998</v>
      </c>
      <c r="S149" s="55">
        <f t="shared" si="204"/>
        <v>-0.76220299999999996</v>
      </c>
      <c r="T149" s="55">
        <f t="shared" si="205"/>
        <v>0.44737199999999999</v>
      </c>
      <c r="U149" s="55">
        <f t="shared" si="206"/>
        <v>-6.7625000000000005E-2</v>
      </c>
      <c r="V149" s="55">
        <f t="shared" si="116"/>
        <v>0.86144699999999996</v>
      </c>
      <c r="W149" s="55">
        <f t="shared" si="117"/>
        <v>-0.157302</v>
      </c>
      <c r="X149" s="55">
        <f t="shared" si="118"/>
        <v>-0.732626</v>
      </c>
      <c r="Y149" s="55">
        <f t="shared" si="119"/>
        <v>0.96474400000000005</v>
      </c>
      <c r="Z149" s="55">
        <f t="shared" si="120"/>
        <v>0.197606</v>
      </c>
      <c r="AA149" s="55">
        <f t="shared" si="121"/>
        <v>1.3932469999999999</v>
      </c>
      <c r="AB149" s="55">
        <f t="shared" si="122"/>
        <v>-0.14077300000000001</v>
      </c>
      <c r="AC149" s="55">
        <f t="shared" si="123"/>
        <v>0.709592</v>
      </c>
      <c r="AD149" s="55">
        <f t="shared" si="124"/>
        <v>0.93244099999999996</v>
      </c>
      <c r="AE149" s="55">
        <f t="shared" si="125"/>
        <v>8.5971000000000006E-2</v>
      </c>
      <c r="AF149" s="55">
        <f t="shared" si="126"/>
        <v>0.90919099999999997</v>
      </c>
      <c r="AG149" s="55">
        <f t="shared" si="127"/>
        <v>-0.95799599999999996</v>
      </c>
      <c r="AH149" s="55">
        <f t="shared" si="128"/>
        <v>-0.71162499999999995</v>
      </c>
      <c r="AI149" s="55">
        <f t="shared" si="129"/>
        <v>-0.80664899999999995</v>
      </c>
      <c r="AJ149" s="55">
        <f t="shared" si="130"/>
        <v>-0.388681</v>
      </c>
      <c r="AK149" s="55">
        <f t="shared" si="131"/>
        <v>1.100587</v>
      </c>
      <c r="AL149" s="55">
        <f t="shared" si="132"/>
        <v>0.90513100000000002</v>
      </c>
      <c r="AM149" s="55">
        <f t="shared" si="133"/>
        <v>0.40033600000000003</v>
      </c>
      <c r="AN149" s="55">
        <f t="shared" si="134"/>
        <v>-2.6057E-2</v>
      </c>
      <c r="AO149" s="55">
        <f t="shared" si="135"/>
        <v>-0.66838799999999998</v>
      </c>
      <c r="AP149" s="55">
        <f t="shared" si="136"/>
        <v>-0.61999499999999996</v>
      </c>
      <c r="AQ149" s="55">
        <f t="shared" si="137"/>
        <v>-0.47625600000000001</v>
      </c>
      <c r="AR149" s="55">
        <f t="shared" si="138"/>
        <v>0.60118099999999997</v>
      </c>
      <c r="AS149" s="55">
        <f t="shared" si="139"/>
        <v>-0.56541600000000003</v>
      </c>
      <c r="AT149" s="55">
        <f t="shared" si="140"/>
        <v>0.35481200000000002</v>
      </c>
      <c r="AU149" s="55">
        <f t="shared" si="141"/>
        <v>7.5923000000000004E-2</v>
      </c>
      <c r="AV149" s="55">
        <f t="shared" si="142"/>
        <v>0.110385</v>
      </c>
      <c r="AW149" s="55">
        <f t="shared" si="143"/>
        <v>0.66152200000000005</v>
      </c>
      <c r="AX149" s="55">
        <f t="shared" si="144"/>
        <v>-0.57309299999999996</v>
      </c>
      <c r="AY149" s="55">
        <f t="shared" si="145"/>
        <v>0.67266899999999996</v>
      </c>
      <c r="AZ149" s="55">
        <f t="shared" si="146"/>
        <v>0.28047499999999997</v>
      </c>
      <c r="BA149" s="55">
        <f t="shared" si="147"/>
        <v>-0.85598099999999999</v>
      </c>
      <c r="BB149" s="55">
        <f t="shared" si="148"/>
        <v>-0.291238</v>
      </c>
      <c r="BC149" s="55">
        <f t="shared" si="149"/>
        <v>-1.6941079999999999</v>
      </c>
      <c r="BD149" s="55">
        <f t="shared" si="150"/>
        <v>-0.17477300000000001</v>
      </c>
      <c r="BE149" s="55">
        <f t="shared" si="151"/>
        <v>0.590804</v>
      </c>
      <c r="BF149" s="55">
        <f t="shared" si="152"/>
        <v>0.44248199999999999</v>
      </c>
      <c r="BG149" s="55">
        <f t="shared" si="153"/>
        <v>-0.55532800000000004</v>
      </c>
      <c r="BH149" s="55">
        <f t="shared" si="154"/>
        <v>-3.5145000000000003E-2</v>
      </c>
      <c r="BJ149" s="55">
        <f t="shared" si="64"/>
        <v>-0.95977299999999999</v>
      </c>
      <c r="BK149" s="55">
        <f t="shared" si="64"/>
        <v>1.3521590000000001</v>
      </c>
      <c r="BL149" s="55">
        <f t="shared" si="64"/>
        <v>-0.97222600000000003</v>
      </c>
      <c r="BM149" s="55">
        <f t="shared" si="64"/>
        <v>-0.63371699999999997</v>
      </c>
      <c r="BN149" s="55">
        <f t="shared" si="64"/>
        <v>-0.20852200000000001</v>
      </c>
      <c r="BO149" s="55">
        <f t="shared" si="64"/>
        <v>-0.52859100000000003</v>
      </c>
      <c r="BP149" s="55">
        <f t="shared" si="64"/>
        <v>0.77335600000000004</v>
      </c>
      <c r="BQ149" s="55">
        <f t="shared" si="64"/>
        <v>-0.38056000000000001</v>
      </c>
      <c r="BR149" s="55">
        <f t="shared" si="64"/>
        <v>0.26928099999999999</v>
      </c>
      <c r="BS149" s="55">
        <f t="shared" si="64"/>
        <v>-0.345333</v>
      </c>
      <c r="BT149" s="55">
        <f t="shared" si="64"/>
        <v>0.298543</v>
      </c>
      <c r="BU149" s="55">
        <f t="shared" si="64"/>
        <v>-0.37693100000000002</v>
      </c>
      <c r="BV149" s="55">
        <f t="shared" si="64"/>
        <v>0.91954400000000003</v>
      </c>
      <c r="BW149" s="55">
        <f t="shared" si="64"/>
        <v>1.5420609999999999</v>
      </c>
      <c r="BX149" s="55">
        <f t="shared" si="64"/>
        <v>-0.81930700000000001</v>
      </c>
      <c r="BY149" s="55">
        <f t="shared" si="64"/>
        <v>-1.2955650000000001</v>
      </c>
      <c r="BZ149" s="55">
        <f t="shared" si="155"/>
        <v>0.37706600000000001</v>
      </c>
      <c r="CA149" s="55">
        <f t="shared" si="155"/>
        <v>0.276175</v>
      </c>
      <c r="CB149" s="55">
        <f t="shared" si="155"/>
        <v>0.97481499999999999</v>
      </c>
      <c r="CC149" s="55">
        <f t="shared" si="155"/>
        <v>0.74573299999999998</v>
      </c>
      <c r="CD149" s="55">
        <f t="shared" si="155"/>
        <v>0.83898399999999995</v>
      </c>
      <c r="CE149" s="55">
        <f t="shared" si="155"/>
        <v>-0.50897000000000003</v>
      </c>
      <c r="CF149" s="55">
        <f t="shared" si="155"/>
        <v>-0.48234100000000002</v>
      </c>
      <c r="CG149" s="55">
        <f t="shared" si="155"/>
        <v>0.26180900000000001</v>
      </c>
      <c r="CH149" s="55">
        <f t="shared" si="155"/>
        <v>-9.3143000000000004E-2</v>
      </c>
      <c r="CI149" s="55">
        <f t="shared" si="155"/>
        <v>-0.68452299999999999</v>
      </c>
      <c r="CJ149" s="55">
        <f t="shared" si="155"/>
        <v>-0.89580899999999997</v>
      </c>
      <c r="CK149" s="55">
        <f t="shared" si="156"/>
        <v>0.81614200000000003</v>
      </c>
      <c r="CL149" s="55">
        <f t="shared" si="156"/>
        <v>-0.72858000000000001</v>
      </c>
      <c r="CM149" s="55">
        <f t="shared" si="156"/>
        <v>-0.30116700000000002</v>
      </c>
      <c r="CN149" s="55">
        <f t="shared" si="156"/>
        <v>0.89139500000000005</v>
      </c>
      <c r="CO149" s="55">
        <f t="shared" si="156"/>
        <v>1.1832609999999999</v>
      </c>
      <c r="CP149" s="55">
        <f t="shared" si="156"/>
        <v>-0.45641100000000001</v>
      </c>
      <c r="CQ149" s="55">
        <f t="shared" si="156"/>
        <v>0.82640999999999998</v>
      </c>
      <c r="CR149" s="55">
        <f t="shared" si="156"/>
        <v>0.54644000000000004</v>
      </c>
      <c r="CS149" s="55">
        <f t="shared" si="156"/>
        <v>-0.26073499999999999</v>
      </c>
      <c r="CT149" s="55">
        <f t="shared" si="156"/>
        <v>0.37647000000000003</v>
      </c>
      <c r="CU149" s="55">
        <f t="shared" si="156"/>
        <v>-0.51036899999999996</v>
      </c>
      <c r="CV149" s="55">
        <f t="shared" si="156"/>
        <v>-0.57530800000000004</v>
      </c>
      <c r="CW149" s="55">
        <f t="shared" si="156"/>
        <v>0.68396199999999996</v>
      </c>
      <c r="CX149" s="55">
        <f t="shared" si="156"/>
        <v>-0.49688300000000002</v>
      </c>
      <c r="CY149" s="55">
        <f t="shared" si="156"/>
        <v>-9.1037000000000007E-2</v>
      </c>
      <c r="CZ149" s="55">
        <f t="shared" si="156"/>
        <v>-0.48456100000000002</v>
      </c>
      <c r="DA149" s="55">
        <f t="shared" si="157"/>
        <v>-0.30803599999999998</v>
      </c>
      <c r="DB149" s="55">
        <f t="shared" si="157"/>
        <v>0.31140099999999998</v>
      </c>
      <c r="DC149" s="55">
        <f t="shared" si="157"/>
        <v>-0.64474600000000004</v>
      </c>
      <c r="DD149" s="55">
        <f t="shared" si="157"/>
        <v>-0.25173899999999999</v>
      </c>
      <c r="DE149" s="55">
        <f t="shared" si="157"/>
        <v>-0.113664</v>
      </c>
      <c r="DF149" s="55">
        <f t="shared" si="157"/>
        <v>-8.3446999999999993E-2</v>
      </c>
      <c r="DG149" s="55">
        <f t="shared" si="157"/>
        <v>0.73359600000000003</v>
      </c>
      <c r="DI149" s="55">
        <f t="shared" ca="1" si="65"/>
        <v>0.101844</v>
      </c>
      <c r="DJ149" s="55">
        <f t="shared" ca="1" si="66"/>
        <v>-0.93176599999999998</v>
      </c>
      <c r="DK149" s="55">
        <f t="shared" ca="1" si="67"/>
        <v>-0.38437100000000002</v>
      </c>
      <c r="DL149" s="55">
        <f t="shared" ca="1" si="68"/>
        <v>-1.5538350000000001</v>
      </c>
      <c r="DM149" s="55">
        <f t="shared" ca="1" si="69"/>
        <v>-0.73569700000000005</v>
      </c>
      <c r="DN149" s="55">
        <f t="shared" ca="1" si="70"/>
        <v>0.52304499999999998</v>
      </c>
      <c r="DO149" s="55">
        <f t="shared" ca="1" si="71"/>
        <v>-2.8447E-2</v>
      </c>
      <c r="DP149" s="55">
        <f t="shared" ca="1" si="72"/>
        <v>0.28006399999999998</v>
      </c>
      <c r="DQ149" s="55">
        <f t="shared" ca="1" si="73"/>
        <v>-0.76220299999999996</v>
      </c>
      <c r="DR149" s="55">
        <f t="shared" ca="1" si="74"/>
        <v>0.44737199999999999</v>
      </c>
      <c r="DS149" s="55">
        <f t="shared" ca="1" si="75"/>
        <v>-6.7625000000000005E-2</v>
      </c>
      <c r="DT149" s="55">
        <f t="shared" ca="1" si="76"/>
        <v>0.86144699999999996</v>
      </c>
      <c r="DU149" s="55">
        <f t="shared" ca="1" si="77"/>
        <v>-0.157302</v>
      </c>
      <c r="DV149" s="55">
        <f t="shared" ca="1" si="78"/>
        <v>-0.732626</v>
      </c>
      <c r="DW149" s="55">
        <f t="shared" ca="1" si="79"/>
        <v>0.96474400000000005</v>
      </c>
      <c r="DX149" s="55">
        <f t="shared" ca="1" si="80"/>
        <v>0.197606</v>
      </c>
      <c r="DY149" s="55">
        <f t="shared" ca="1" si="81"/>
        <v>1.3932469999999999</v>
      </c>
      <c r="DZ149" s="55">
        <f t="shared" ca="1" si="82"/>
        <v>-0.14077300000000001</v>
      </c>
      <c r="EA149" s="55">
        <f t="shared" ca="1" si="83"/>
        <v>0.709592</v>
      </c>
      <c r="EB149" s="55">
        <f t="shared" ca="1" si="84"/>
        <v>0.93244099999999996</v>
      </c>
      <c r="EC149" s="55">
        <f t="shared" ca="1" si="85"/>
        <v>8.5971000000000006E-2</v>
      </c>
      <c r="ED149" s="55">
        <f t="shared" ca="1" si="86"/>
        <v>0.90919099999999997</v>
      </c>
      <c r="EE149" s="55">
        <f t="shared" ca="1" si="87"/>
        <v>-0.95799599999999996</v>
      </c>
      <c r="EF149" s="55">
        <f t="shared" ca="1" si="88"/>
        <v>-0.71162499999999995</v>
      </c>
      <c r="EG149" s="55">
        <f t="shared" ca="1" si="89"/>
        <v>-0.80664899999999995</v>
      </c>
      <c r="EH149" s="55">
        <f t="shared" ca="1" si="90"/>
        <v>-0.388681</v>
      </c>
      <c r="EI149" s="55">
        <f t="shared" ca="1" si="91"/>
        <v>1.100587</v>
      </c>
      <c r="EJ149" s="55">
        <f t="shared" ca="1" si="92"/>
        <v>0.90513100000000002</v>
      </c>
      <c r="EK149" s="55">
        <f t="shared" ca="1" si="93"/>
        <v>0.40033600000000003</v>
      </c>
      <c r="EL149" s="55">
        <f t="shared" ca="1" si="94"/>
        <v>-2.6057E-2</v>
      </c>
      <c r="EM149" s="55">
        <f t="shared" ca="1" si="95"/>
        <v>-0.66838799999999998</v>
      </c>
      <c r="EN149" s="55">
        <f t="shared" ca="1" si="96"/>
        <v>-0.61999499999999996</v>
      </c>
      <c r="EO149" s="55">
        <f t="shared" ca="1" si="97"/>
        <v>-0.47625600000000001</v>
      </c>
      <c r="EP149" s="55">
        <f t="shared" ca="1" si="98"/>
        <v>0.60118099999999997</v>
      </c>
      <c r="EQ149" s="55">
        <f t="shared" ca="1" si="99"/>
        <v>-0.56541600000000003</v>
      </c>
      <c r="ER149" s="55">
        <f t="shared" ca="1" si="100"/>
        <v>0.35481200000000002</v>
      </c>
      <c r="ES149" s="55">
        <f t="shared" ca="1" si="101"/>
        <v>7.5923000000000004E-2</v>
      </c>
      <c r="ET149" s="55">
        <f t="shared" ca="1" si="102"/>
        <v>0.110385</v>
      </c>
      <c r="EU149" s="55">
        <f t="shared" ca="1" si="103"/>
        <v>0.66152200000000005</v>
      </c>
      <c r="EV149" s="55">
        <f t="shared" ca="1" si="104"/>
        <v>-0.57309299999999996</v>
      </c>
      <c r="EW149" s="55">
        <f t="shared" ca="1" si="105"/>
        <v>0.67266899999999996</v>
      </c>
      <c r="EX149" s="55">
        <f t="shared" ca="1" si="106"/>
        <v>0.28047499999999997</v>
      </c>
      <c r="EY149" s="55">
        <f t="shared" ca="1" si="107"/>
        <v>-0.85598099999999999</v>
      </c>
      <c r="EZ149" s="55">
        <f t="shared" ca="1" si="108"/>
        <v>-0.291238</v>
      </c>
      <c r="FA149" s="55">
        <f t="shared" ca="1" si="109"/>
        <v>-1.6941079999999999</v>
      </c>
      <c r="FB149" s="55">
        <f t="shared" ca="1" si="110"/>
        <v>-0.17477300000000001</v>
      </c>
      <c r="FC149" s="55">
        <f t="shared" ca="1" si="111"/>
        <v>0.590804</v>
      </c>
      <c r="FD149" s="55">
        <f t="shared" ca="1" si="112"/>
        <v>0.44248199999999999</v>
      </c>
      <c r="FE149" s="55">
        <f t="shared" ca="1" si="113"/>
        <v>-0.55532800000000004</v>
      </c>
      <c r="FF149" s="55">
        <f t="shared" ca="1" si="114"/>
        <v>-3.5145000000000003E-2</v>
      </c>
      <c r="FH149" s="55">
        <f t="shared" ca="1" si="115"/>
        <v>0</v>
      </c>
      <c r="FI149" s="55">
        <f t="shared" ca="1" si="207"/>
        <v>0</v>
      </c>
      <c r="FJ149" s="55">
        <f t="shared" ca="1" si="208"/>
        <v>0</v>
      </c>
      <c r="FK149" s="55">
        <f t="shared" ca="1" si="209"/>
        <v>0</v>
      </c>
      <c r="FL149" s="55">
        <f t="shared" ca="1" si="210"/>
        <v>0</v>
      </c>
      <c r="FM149" s="55">
        <f t="shared" ca="1" si="211"/>
        <v>0</v>
      </c>
      <c r="FN149" s="55">
        <f t="shared" ca="1" si="212"/>
        <v>0</v>
      </c>
      <c r="FO149" s="55">
        <f t="shared" ca="1" si="213"/>
        <v>0</v>
      </c>
      <c r="FP149" s="55">
        <f t="shared" ca="1" si="214"/>
        <v>0</v>
      </c>
      <c r="FQ149" s="55">
        <f t="shared" ca="1" si="215"/>
        <v>0</v>
      </c>
      <c r="FR149" s="55">
        <f t="shared" ca="1" si="216"/>
        <v>0</v>
      </c>
      <c r="FS149" s="55">
        <f t="shared" ca="1" si="158"/>
        <v>0</v>
      </c>
      <c r="FT149" s="55">
        <f t="shared" ca="1" si="159"/>
        <v>0</v>
      </c>
      <c r="FU149" s="55">
        <f t="shared" ca="1" si="160"/>
        <v>0</v>
      </c>
      <c r="FV149" s="55">
        <f t="shared" ca="1" si="161"/>
        <v>0</v>
      </c>
      <c r="FW149" s="55">
        <f t="shared" ca="1" si="162"/>
        <v>0</v>
      </c>
      <c r="FX149" s="55">
        <f t="shared" ca="1" si="163"/>
        <v>0</v>
      </c>
      <c r="FY149" s="55">
        <f t="shared" ca="1" si="164"/>
        <v>0</v>
      </c>
      <c r="FZ149" s="55">
        <f t="shared" ca="1" si="165"/>
        <v>0</v>
      </c>
      <c r="GA149" s="55">
        <f t="shared" ca="1" si="166"/>
        <v>0</v>
      </c>
      <c r="GB149" s="55">
        <f t="shared" ca="1" si="167"/>
        <v>0</v>
      </c>
      <c r="GC149" s="55">
        <f t="shared" ca="1" si="168"/>
        <v>0</v>
      </c>
      <c r="GD149" s="55">
        <f t="shared" ca="1" si="169"/>
        <v>0</v>
      </c>
      <c r="GE149" s="55">
        <f t="shared" ca="1" si="170"/>
        <v>0</v>
      </c>
      <c r="GF149" s="55">
        <f t="shared" ca="1" si="171"/>
        <v>0</v>
      </c>
      <c r="GG149" s="55">
        <f t="shared" ca="1" si="172"/>
        <v>0</v>
      </c>
      <c r="GH149" s="55">
        <f t="shared" ca="1" si="173"/>
        <v>0</v>
      </c>
      <c r="GI149" s="55">
        <f t="shared" ca="1" si="174"/>
        <v>0</v>
      </c>
      <c r="GJ149" s="55">
        <f t="shared" ca="1" si="175"/>
        <v>0</v>
      </c>
      <c r="GK149" s="55">
        <f t="shared" ca="1" si="176"/>
        <v>0</v>
      </c>
      <c r="GL149" s="55">
        <f t="shared" ca="1" si="177"/>
        <v>0</v>
      </c>
      <c r="GM149" s="55">
        <f t="shared" ca="1" si="178"/>
        <v>0</v>
      </c>
      <c r="GN149" s="55">
        <f t="shared" ca="1" si="179"/>
        <v>0</v>
      </c>
      <c r="GO149" s="55">
        <f t="shared" ca="1" si="180"/>
        <v>0</v>
      </c>
      <c r="GP149" s="55">
        <f t="shared" ca="1" si="181"/>
        <v>0</v>
      </c>
      <c r="GQ149" s="55">
        <f t="shared" ca="1" si="182"/>
        <v>0</v>
      </c>
      <c r="GR149" s="55">
        <f t="shared" ca="1" si="183"/>
        <v>0</v>
      </c>
      <c r="GS149" s="55">
        <f t="shared" ca="1" si="184"/>
        <v>0</v>
      </c>
      <c r="GT149" s="55">
        <f t="shared" ca="1" si="185"/>
        <v>0</v>
      </c>
      <c r="GU149" s="55">
        <f t="shared" ca="1" si="186"/>
        <v>0</v>
      </c>
      <c r="GV149" s="55">
        <f t="shared" ca="1" si="187"/>
        <v>0</v>
      </c>
      <c r="GW149" s="55">
        <f t="shared" ca="1" si="188"/>
        <v>0</v>
      </c>
      <c r="GX149" s="55">
        <f t="shared" ca="1" si="189"/>
        <v>0</v>
      </c>
      <c r="GY149" s="55">
        <f t="shared" ca="1" si="190"/>
        <v>0</v>
      </c>
      <c r="GZ149" s="55">
        <f t="shared" ca="1" si="191"/>
        <v>0</v>
      </c>
      <c r="HA149" s="55">
        <f t="shared" ca="1" si="192"/>
        <v>0</v>
      </c>
      <c r="HB149" s="55">
        <f t="shared" ca="1" si="193"/>
        <v>0</v>
      </c>
      <c r="HC149" s="55">
        <f t="shared" ca="1" si="194"/>
        <v>0</v>
      </c>
      <c r="HD149" s="55">
        <f t="shared" ca="1" si="195"/>
        <v>0</v>
      </c>
      <c r="HE149" s="55">
        <f t="shared" ca="1" si="196"/>
        <v>0</v>
      </c>
    </row>
    <row r="150" spans="1:213">
      <c r="A150" s="27">
        <v>13</v>
      </c>
      <c r="B150" s="27">
        <v>55</v>
      </c>
      <c r="C150" s="27">
        <v>0.77256499999999995</v>
      </c>
      <c r="D150" s="27">
        <v>0.34227000000000002</v>
      </c>
      <c r="E150" s="27">
        <v>0</v>
      </c>
      <c r="F150" s="27">
        <f t="shared" ca="1" si="59"/>
        <v>10</v>
      </c>
      <c r="G150" s="27">
        <f t="shared" si="54"/>
        <v>0</v>
      </c>
      <c r="H150" s="27" t="str">
        <f t="shared" si="60"/>
        <v>Não</v>
      </c>
      <c r="I150" s="27">
        <f t="shared" si="61"/>
        <v>0</v>
      </c>
      <c r="J150" s="37">
        <f t="shared" si="62"/>
        <v>0</v>
      </c>
      <c r="K150" s="55">
        <f t="shared" si="63"/>
        <v>1.614214</v>
      </c>
      <c r="L150" s="55">
        <f t="shared" si="197"/>
        <v>0.23215</v>
      </c>
      <c r="M150" s="55">
        <f t="shared" si="198"/>
        <v>0.25669599999999998</v>
      </c>
      <c r="N150" s="55">
        <f t="shared" si="199"/>
        <v>-0.116481</v>
      </c>
      <c r="O150" s="55">
        <f t="shared" si="200"/>
        <v>1.692396</v>
      </c>
      <c r="P150" s="55">
        <f t="shared" si="201"/>
        <v>2.0740000000000001E-2</v>
      </c>
      <c r="Q150" s="55">
        <f t="shared" si="202"/>
        <v>0.43417099999999997</v>
      </c>
      <c r="R150" s="55">
        <f t="shared" si="203"/>
        <v>0.15672700000000001</v>
      </c>
      <c r="S150" s="55">
        <f t="shared" si="204"/>
        <v>0.84644900000000001</v>
      </c>
      <c r="T150" s="55">
        <f t="shared" si="205"/>
        <v>-0.326988</v>
      </c>
      <c r="U150" s="55">
        <f t="shared" si="206"/>
        <v>0.35654599999999997</v>
      </c>
      <c r="V150" s="55">
        <f t="shared" si="116"/>
        <v>-0.69081700000000001</v>
      </c>
      <c r="W150" s="55">
        <f t="shared" si="117"/>
        <v>-1.5205679999999999</v>
      </c>
      <c r="X150" s="55">
        <f t="shared" si="118"/>
        <v>0.101855</v>
      </c>
      <c r="Y150" s="55">
        <f t="shared" si="119"/>
        <v>-5.0455E-2</v>
      </c>
      <c r="Z150" s="55">
        <f t="shared" si="120"/>
        <v>0.73058999999999996</v>
      </c>
      <c r="AA150" s="55">
        <f t="shared" si="121"/>
        <v>-1.4077809999999999</v>
      </c>
      <c r="AB150" s="55">
        <f t="shared" si="122"/>
        <v>0.94844899999999999</v>
      </c>
      <c r="AC150" s="55">
        <f t="shared" si="123"/>
        <v>0.60904899999999995</v>
      </c>
      <c r="AD150" s="55">
        <f t="shared" si="124"/>
        <v>-0.75822400000000001</v>
      </c>
      <c r="AE150" s="55">
        <f t="shared" si="125"/>
        <v>0.56430199999999997</v>
      </c>
      <c r="AF150" s="55">
        <f t="shared" si="126"/>
        <v>0.21484500000000001</v>
      </c>
      <c r="AG150" s="55">
        <f t="shared" si="127"/>
        <v>0.75581500000000001</v>
      </c>
      <c r="AH150" s="55">
        <f t="shared" si="128"/>
        <v>0.199127</v>
      </c>
      <c r="AI150" s="55">
        <f t="shared" si="129"/>
        <v>-0.65629000000000004</v>
      </c>
      <c r="AJ150" s="55">
        <f t="shared" si="130"/>
        <v>-0.14308100000000001</v>
      </c>
      <c r="AK150" s="55">
        <f t="shared" si="131"/>
        <v>3.3890000000000003E-2</v>
      </c>
      <c r="AL150" s="55">
        <f t="shared" si="132"/>
        <v>0.30363499999999999</v>
      </c>
      <c r="AM150" s="55">
        <f t="shared" si="133"/>
        <v>-0.53788599999999998</v>
      </c>
      <c r="AN150" s="55">
        <f t="shared" si="134"/>
        <v>-0.13880600000000001</v>
      </c>
      <c r="AO150" s="55">
        <f t="shared" si="135"/>
        <v>1.799318</v>
      </c>
      <c r="AP150" s="55">
        <f t="shared" si="136"/>
        <v>-0.298431</v>
      </c>
      <c r="AQ150" s="55">
        <f t="shared" si="137"/>
        <v>0.81237499999999996</v>
      </c>
      <c r="AR150" s="55">
        <f t="shared" si="138"/>
        <v>-0.84752400000000006</v>
      </c>
      <c r="AS150" s="55">
        <f t="shared" si="139"/>
        <v>-0.52254</v>
      </c>
      <c r="AT150" s="55">
        <f t="shared" si="140"/>
        <v>0.27977600000000002</v>
      </c>
      <c r="AU150" s="55">
        <f t="shared" si="141"/>
        <v>1.7250000000000001E-2</v>
      </c>
      <c r="AV150" s="55">
        <f t="shared" si="142"/>
        <v>8.5168999999999995E-2</v>
      </c>
      <c r="AW150" s="55">
        <f t="shared" si="143"/>
        <v>-0.88034800000000002</v>
      </c>
      <c r="AX150" s="55">
        <f t="shared" si="144"/>
        <v>-0.25476799999999999</v>
      </c>
      <c r="AY150" s="55">
        <f t="shared" si="145"/>
        <v>0.21149499999999999</v>
      </c>
      <c r="AZ150" s="55">
        <f t="shared" si="146"/>
        <v>-0.44474599999999997</v>
      </c>
      <c r="BA150" s="55">
        <f t="shared" si="147"/>
        <v>-1.1809909999999999</v>
      </c>
      <c r="BB150" s="55">
        <f t="shared" si="148"/>
        <v>0.28868300000000002</v>
      </c>
      <c r="BC150" s="55">
        <f t="shared" si="149"/>
        <v>0.70152700000000001</v>
      </c>
      <c r="BD150" s="55">
        <f t="shared" si="150"/>
        <v>-0.30702600000000002</v>
      </c>
      <c r="BE150" s="55">
        <f t="shared" si="151"/>
        <v>-0.76923600000000003</v>
      </c>
      <c r="BF150" s="55">
        <f t="shared" si="152"/>
        <v>0.71762300000000001</v>
      </c>
      <c r="BG150" s="55">
        <f t="shared" si="153"/>
        <v>-1.0298890000000001</v>
      </c>
      <c r="BH150" s="55">
        <f t="shared" si="154"/>
        <v>-0.94150599999999995</v>
      </c>
      <c r="BJ150" s="55">
        <f t="shared" si="64"/>
        <v>1.201147</v>
      </c>
      <c r="BK150" s="55">
        <f t="shared" si="64"/>
        <v>0.79544800000000004</v>
      </c>
      <c r="BL150" s="55">
        <f t="shared" si="64"/>
        <v>-0.347964</v>
      </c>
      <c r="BM150" s="55">
        <f t="shared" si="64"/>
        <v>0.64128600000000002</v>
      </c>
      <c r="BN150" s="55">
        <f t="shared" si="64"/>
        <v>-1.14191</v>
      </c>
      <c r="BO150" s="55">
        <f t="shared" si="64"/>
        <v>-0.75992899999999997</v>
      </c>
      <c r="BP150" s="55">
        <f t="shared" si="64"/>
        <v>-1.604358</v>
      </c>
      <c r="BQ150" s="55">
        <f t="shared" si="64"/>
        <v>0.857491</v>
      </c>
      <c r="BR150" s="55">
        <f t="shared" si="64"/>
        <v>-0.38516099999999998</v>
      </c>
      <c r="BS150" s="55">
        <f t="shared" si="64"/>
        <v>-0.71442099999999997</v>
      </c>
      <c r="BT150" s="55">
        <f t="shared" si="64"/>
        <v>0.24291399999999999</v>
      </c>
      <c r="BU150" s="55">
        <f t="shared" si="64"/>
        <v>0.67096800000000001</v>
      </c>
      <c r="BV150" s="55">
        <f t="shared" si="64"/>
        <v>-0.96941600000000006</v>
      </c>
      <c r="BW150" s="55">
        <f t="shared" si="64"/>
        <v>0.99116300000000002</v>
      </c>
      <c r="BX150" s="55">
        <f t="shared" si="64"/>
        <v>-0.74195800000000001</v>
      </c>
      <c r="BY150" s="55">
        <f t="shared" si="64"/>
        <v>-0.86413799999999996</v>
      </c>
      <c r="BZ150" s="55">
        <f t="shared" si="155"/>
        <v>0.40667399999999998</v>
      </c>
      <c r="CA150" s="55">
        <f t="shared" si="155"/>
        <v>-0.128631</v>
      </c>
      <c r="CB150" s="55">
        <f t="shared" si="155"/>
        <v>0.52541599999999999</v>
      </c>
      <c r="CC150" s="55">
        <f t="shared" si="155"/>
        <v>-0.70207799999999998</v>
      </c>
      <c r="CD150" s="55">
        <f t="shared" si="155"/>
        <v>0.44840099999999999</v>
      </c>
      <c r="CE150" s="55">
        <f t="shared" si="155"/>
        <v>0.16995399999999999</v>
      </c>
      <c r="CF150" s="55">
        <f t="shared" si="155"/>
        <v>-0.86248899999999995</v>
      </c>
      <c r="CG150" s="55">
        <f t="shared" si="155"/>
        <v>-0.22888700000000001</v>
      </c>
      <c r="CH150" s="55">
        <f t="shared" si="155"/>
        <v>0.45491999999999999</v>
      </c>
      <c r="CI150" s="55">
        <f t="shared" si="155"/>
        <v>-0.72645800000000005</v>
      </c>
      <c r="CJ150" s="55">
        <f t="shared" si="155"/>
        <v>1.391367</v>
      </c>
      <c r="CK150" s="55">
        <f t="shared" si="156"/>
        <v>9.3720000000000001E-3</v>
      </c>
      <c r="CL150" s="55">
        <f t="shared" si="156"/>
        <v>0.78249100000000005</v>
      </c>
      <c r="CM150" s="55">
        <f t="shared" si="156"/>
        <v>0.10928599999999999</v>
      </c>
      <c r="CN150" s="55">
        <f t="shared" si="156"/>
        <v>0.149314</v>
      </c>
      <c r="CO150" s="55">
        <f t="shared" si="156"/>
        <v>-0.14735699999999999</v>
      </c>
      <c r="CP150" s="55">
        <f t="shared" si="156"/>
        <v>-0.37022500000000003</v>
      </c>
      <c r="CQ150" s="55">
        <f t="shared" si="156"/>
        <v>0.68862100000000004</v>
      </c>
      <c r="CR150" s="55">
        <f t="shared" si="156"/>
        <v>0.116507</v>
      </c>
      <c r="CS150" s="55">
        <f t="shared" si="156"/>
        <v>0.70454499999999998</v>
      </c>
      <c r="CT150" s="55">
        <f t="shared" si="156"/>
        <v>0.25917099999999998</v>
      </c>
      <c r="CU150" s="55">
        <f t="shared" si="156"/>
        <v>0.58424699999999996</v>
      </c>
      <c r="CV150" s="55">
        <f t="shared" si="156"/>
        <v>0.43226199999999998</v>
      </c>
      <c r="CW150" s="55">
        <f t="shared" si="156"/>
        <v>0.38578699999999999</v>
      </c>
      <c r="CX150" s="55">
        <f t="shared" si="156"/>
        <v>1.4157839999999999</v>
      </c>
      <c r="CY150" s="55">
        <f t="shared" si="156"/>
        <v>0.87623600000000001</v>
      </c>
      <c r="CZ150" s="55">
        <f t="shared" si="156"/>
        <v>-3.2625000000000001E-2</v>
      </c>
      <c r="DA150" s="55">
        <f t="shared" si="157"/>
        <v>0.20579900000000001</v>
      </c>
      <c r="DB150" s="55">
        <f t="shared" si="157"/>
        <v>0.16142899999999999</v>
      </c>
      <c r="DC150" s="55">
        <f t="shared" si="157"/>
        <v>0.53557699999999997</v>
      </c>
      <c r="DD150" s="55">
        <f t="shared" si="157"/>
        <v>2.696E-3</v>
      </c>
      <c r="DE150" s="55">
        <f t="shared" si="157"/>
        <v>0.41212700000000002</v>
      </c>
      <c r="DF150" s="55">
        <f t="shared" si="157"/>
        <v>-9.1273000000000007E-2</v>
      </c>
      <c r="DG150" s="55">
        <f t="shared" si="157"/>
        <v>-9.8309999999999995E-2</v>
      </c>
      <c r="DI150" s="55">
        <f t="shared" ca="1" si="65"/>
        <v>1.614214</v>
      </c>
      <c r="DJ150" s="55">
        <f t="shared" ca="1" si="66"/>
        <v>0.23215</v>
      </c>
      <c r="DK150" s="55">
        <f t="shared" ca="1" si="67"/>
        <v>0.25669599999999998</v>
      </c>
      <c r="DL150" s="55">
        <f t="shared" ca="1" si="68"/>
        <v>-0.116481</v>
      </c>
      <c r="DM150" s="55">
        <f t="shared" ca="1" si="69"/>
        <v>1.692396</v>
      </c>
      <c r="DN150" s="55">
        <f t="shared" ca="1" si="70"/>
        <v>2.0740000000000001E-2</v>
      </c>
      <c r="DO150" s="55">
        <f t="shared" ca="1" si="71"/>
        <v>0.43417099999999997</v>
      </c>
      <c r="DP150" s="55">
        <f t="shared" ca="1" si="72"/>
        <v>0.15672700000000001</v>
      </c>
      <c r="DQ150" s="55">
        <f t="shared" ca="1" si="73"/>
        <v>0.84644900000000001</v>
      </c>
      <c r="DR150" s="55">
        <f t="shared" ca="1" si="74"/>
        <v>-0.326988</v>
      </c>
      <c r="DS150" s="55">
        <f t="shared" ca="1" si="75"/>
        <v>0.35654599999999997</v>
      </c>
      <c r="DT150" s="55">
        <f t="shared" ca="1" si="76"/>
        <v>-0.69081700000000001</v>
      </c>
      <c r="DU150" s="55">
        <f t="shared" ca="1" si="77"/>
        <v>-1.5205679999999999</v>
      </c>
      <c r="DV150" s="55">
        <f t="shared" ca="1" si="78"/>
        <v>0.101855</v>
      </c>
      <c r="DW150" s="55">
        <f t="shared" ca="1" si="79"/>
        <v>-5.0455E-2</v>
      </c>
      <c r="DX150" s="55">
        <f t="shared" ca="1" si="80"/>
        <v>0.73058999999999996</v>
      </c>
      <c r="DY150" s="55">
        <f t="shared" ca="1" si="81"/>
        <v>-1.4077809999999999</v>
      </c>
      <c r="DZ150" s="55">
        <f t="shared" ca="1" si="82"/>
        <v>0.94844899999999999</v>
      </c>
      <c r="EA150" s="55">
        <f t="shared" ca="1" si="83"/>
        <v>0.60904899999999995</v>
      </c>
      <c r="EB150" s="55">
        <f t="shared" ca="1" si="84"/>
        <v>-0.75822400000000001</v>
      </c>
      <c r="EC150" s="55">
        <f t="shared" ca="1" si="85"/>
        <v>0.56430199999999997</v>
      </c>
      <c r="ED150" s="55">
        <f t="shared" ca="1" si="86"/>
        <v>0.21484500000000001</v>
      </c>
      <c r="EE150" s="55">
        <f t="shared" ca="1" si="87"/>
        <v>0.75581500000000001</v>
      </c>
      <c r="EF150" s="55">
        <f t="shared" ca="1" si="88"/>
        <v>0.199127</v>
      </c>
      <c r="EG150" s="55">
        <f t="shared" ca="1" si="89"/>
        <v>-0.65629000000000004</v>
      </c>
      <c r="EH150" s="55">
        <f t="shared" ca="1" si="90"/>
        <v>-0.14308100000000001</v>
      </c>
      <c r="EI150" s="55">
        <f t="shared" ca="1" si="91"/>
        <v>3.3890000000000003E-2</v>
      </c>
      <c r="EJ150" s="55">
        <f t="shared" ca="1" si="92"/>
        <v>0.30363499999999999</v>
      </c>
      <c r="EK150" s="55">
        <f t="shared" ca="1" si="93"/>
        <v>-0.53788599999999998</v>
      </c>
      <c r="EL150" s="55">
        <f t="shared" ca="1" si="94"/>
        <v>-0.13880600000000001</v>
      </c>
      <c r="EM150" s="55">
        <f t="shared" ca="1" si="95"/>
        <v>1.799318</v>
      </c>
      <c r="EN150" s="55">
        <f t="shared" ca="1" si="96"/>
        <v>-0.298431</v>
      </c>
      <c r="EO150" s="55">
        <f t="shared" ca="1" si="97"/>
        <v>0.81237499999999996</v>
      </c>
      <c r="EP150" s="55">
        <f t="shared" ca="1" si="98"/>
        <v>-0.84752400000000006</v>
      </c>
      <c r="EQ150" s="55">
        <f t="shared" ca="1" si="99"/>
        <v>-0.52254</v>
      </c>
      <c r="ER150" s="55">
        <f t="shared" ca="1" si="100"/>
        <v>0.27977600000000002</v>
      </c>
      <c r="ES150" s="55">
        <f t="shared" ca="1" si="101"/>
        <v>1.7250000000000001E-2</v>
      </c>
      <c r="ET150" s="55">
        <f t="shared" ca="1" si="102"/>
        <v>8.5168999999999995E-2</v>
      </c>
      <c r="EU150" s="55">
        <f t="shared" ca="1" si="103"/>
        <v>-0.88034800000000002</v>
      </c>
      <c r="EV150" s="55">
        <f t="shared" ca="1" si="104"/>
        <v>-0.25476799999999999</v>
      </c>
      <c r="EW150" s="55">
        <f t="shared" ca="1" si="105"/>
        <v>0.21149499999999999</v>
      </c>
      <c r="EX150" s="55">
        <f t="shared" ca="1" si="106"/>
        <v>-0.44474599999999997</v>
      </c>
      <c r="EY150" s="55">
        <f t="shared" ca="1" si="107"/>
        <v>-1.1809909999999999</v>
      </c>
      <c r="EZ150" s="55">
        <f t="shared" ca="1" si="108"/>
        <v>0.28868300000000002</v>
      </c>
      <c r="FA150" s="55">
        <f t="shared" ca="1" si="109"/>
        <v>0.70152700000000001</v>
      </c>
      <c r="FB150" s="55">
        <f t="shared" ca="1" si="110"/>
        <v>-0.30702600000000002</v>
      </c>
      <c r="FC150" s="55">
        <f t="shared" ca="1" si="111"/>
        <v>-0.76923600000000003</v>
      </c>
      <c r="FD150" s="55">
        <f t="shared" ca="1" si="112"/>
        <v>0.71762300000000001</v>
      </c>
      <c r="FE150" s="55">
        <f t="shared" ca="1" si="113"/>
        <v>-1.0298890000000001</v>
      </c>
      <c r="FF150" s="55">
        <f t="shared" ca="1" si="114"/>
        <v>-0.94150599999999995</v>
      </c>
      <c r="FH150" s="55">
        <f t="shared" ca="1" si="115"/>
        <v>0</v>
      </c>
      <c r="FI150" s="55">
        <f t="shared" ca="1" si="207"/>
        <v>0</v>
      </c>
      <c r="FJ150" s="55">
        <f t="shared" ca="1" si="208"/>
        <v>0</v>
      </c>
      <c r="FK150" s="55">
        <f t="shared" ca="1" si="209"/>
        <v>0</v>
      </c>
      <c r="FL150" s="55">
        <f t="shared" ca="1" si="210"/>
        <v>0</v>
      </c>
      <c r="FM150" s="55">
        <f t="shared" ca="1" si="211"/>
        <v>0</v>
      </c>
      <c r="FN150" s="55">
        <f t="shared" ca="1" si="212"/>
        <v>0</v>
      </c>
      <c r="FO150" s="55">
        <f t="shared" ca="1" si="213"/>
        <v>0</v>
      </c>
      <c r="FP150" s="55">
        <f t="shared" ca="1" si="214"/>
        <v>0</v>
      </c>
      <c r="FQ150" s="55">
        <f t="shared" ca="1" si="215"/>
        <v>0</v>
      </c>
      <c r="FR150" s="55">
        <f t="shared" ca="1" si="216"/>
        <v>0</v>
      </c>
      <c r="FS150" s="55">
        <f t="shared" ca="1" si="158"/>
        <v>0</v>
      </c>
      <c r="FT150" s="55">
        <f t="shared" ca="1" si="159"/>
        <v>0</v>
      </c>
      <c r="FU150" s="55">
        <f t="shared" ca="1" si="160"/>
        <v>0</v>
      </c>
      <c r="FV150" s="55">
        <f t="shared" ca="1" si="161"/>
        <v>0</v>
      </c>
      <c r="FW150" s="55">
        <f t="shared" ca="1" si="162"/>
        <v>0</v>
      </c>
      <c r="FX150" s="55">
        <f t="shared" ca="1" si="163"/>
        <v>0</v>
      </c>
      <c r="FY150" s="55">
        <f t="shared" ca="1" si="164"/>
        <v>0</v>
      </c>
      <c r="FZ150" s="55">
        <f t="shared" ca="1" si="165"/>
        <v>0</v>
      </c>
      <c r="GA150" s="55">
        <f t="shared" ca="1" si="166"/>
        <v>0</v>
      </c>
      <c r="GB150" s="55">
        <f t="shared" ca="1" si="167"/>
        <v>0</v>
      </c>
      <c r="GC150" s="55">
        <f t="shared" ca="1" si="168"/>
        <v>0</v>
      </c>
      <c r="GD150" s="55">
        <f t="shared" ca="1" si="169"/>
        <v>0</v>
      </c>
      <c r="GE150" s="55">
        <f t="shared" ca="1" si="170"/>
        <v>0</v>
      </c>
      <c r="GF150" s="55">
        <f t="shared" ca="1" si="171"/>
        <v>0</v>
      </c>
      <c r="GG150" s="55">
        <f t="shared" ca="1" si="172"/>
        <v>0</v>
      </c>
      <c r="GH150" s="55">
        <f t="shared" ca="1" si="173"/>
        <v>0</v>
      </c>
      <c r="GI150" s="55">
        <f t="shared" ca="1" si="174"/>
        <v>0</v>
      </c>
      <c r="GJ150" s="55">
        <f t="shared" ca="1" si="175"/>
        <v>0</v>
      </c>
      <c r="GK150" s="55">
        <f t="shared" ca="1" si="176"/>
        <v>0</v>
      </c>
      <c r="GL150" s="55">
        <f t="shared" ca="1" si="177"/>
        <v>0</v>
      </c>
      <c r="GM150" s="55">
        <f t="shared" ca="1" si="178"/>
        <v>0</v>
      </c>
      <c r="GN150" s="55">
        <f t="shared" ca="1" si="179"/>
        <v>0</v>
      </c>
      <c r="GO150" s="55">
        <f t="shared" ca="1" si="180"/>
        <v>0</v>
      </c>
      <c r="GP150" s="55">
        <f t="shared" ca="1" si="181"/>
        <v>0</v>
      </c>
      <c r="GQ150" s="55">
        <f t="shared" ca="1" si="182"/>
        <v>0</v>
      </c>
      <c r="GR150" s="55">
        <f t="shared" ca="1" si="183"/>
        <v>0</v>
      </c>
      <c r="GS150" s="55">
        <f t="shared" ca="1" si="184"/>
        <v>0</v>
      </c>
      <c r="GT150" s="55">
        <f t="shared" ca="1" si="185"/>
        <v>0</v>
      </c>
      <c r="GU150" s="55">
        <f t="shared" ca="1" si="186"/>
        <v>0</v>
      </c>
      <c r="GV150" s="55">
        <f t="shared" ca="1" si="187"/>
        <v>0</v>
      </c>
      <c r="GW150" s="55">
        <f t="shared" ca="1" si="188"/>
        <v>0</v>
      </c>
      <c r="GX150" s="55">
        <f t="shared" ca="1" si="189"/>
        <v>0</v>
      </c>
      <c r="GY150" s="55">
        <f t="shared" ca="1" si="190"/>
        <v>0</v>
      </c>
      <c r="GZ150" s="55">
        <f t="shared" ca="1" si="191"/>
        <v>0</v>
      </c>
      <c r="HA150" s="55">
        <f t="shared" ca="1" si="192"/>
        <v>0</v>
      </c>
      <c r="HB150" s="55">
        <f t="shared" ca="1" si="193"/>
        <v>0</v>
      </c>
      <c r="HC150" s="55">
        <f t="shared" ca="1" si="194"/>
        <v>0</v>
      </c>
      <c r="HD150" s="55">
        <f t="shared" ca="1" si="195"/>
        <v>0</v>
      </c>
      <c r="HE150" s="55">
        <f t="shared" ca="1" si="196"/>
        <v>0</v>
      </c>
    </row>
    <row r="151" spans="1:213">
      <c r="A151" s="27">
        <v>14</v>
      </c>
      <c r="B151" s="27">
        <v>34</v>
      </c>
      <c r="C151" s="27">
        <v>0.47510799999999997</v>
      </c>
      <c r="D151" s="27">
        <v>6.7587999999999995E-2</v>
      </c>
      <c r="E151" s="27">
        <v>46</v>
      </c>
      <c r="F151" s="27">
        <f t="shared" ca="1" si="59"/>
        <v>47</v>
      </c>
      <c r="G151" s="27">
        <f t="shared" si="54"/>
        <v>0</v>
      </c>
      <c r="H151" s="27" t="str">
        <f t="shared" si="60"/>
        <v>Sim</v>
      </c>
      <c r="I151" s="27">
        <f t="shared" si="61"/>
        <v>0</v>
      </c>
      <c r="J151" s="37">
        <f t="shared" si="62"/>
        <v>1</v>
      </c>
      <c r="K151" s="55">
        <f t="shared" si="63"/>
        <v>1.220248</v>
      </c>
      <c r="L151" s="55">
        <f t="shared" si="197"/>
        <v>-0.84979700000000002</v>
      </c>
      <c r="M151" s="55">
        <f t="shared" si="198"/>
        <v>0.52901100000000001</v>
      </c>
      <c r="N151" s="55">
        <f t="shared" si="199"/>
        <v>-0.44570799999999999</v>
      </c>
      <c r="O151" s="55">
        <f t="shared" si="200"/>
        <v>0.58260699999999999</v>
      </c>
      <c r="P151" s="55">
        <f t="shared" si="201"/>
        <v>1.0987579999999999</v>
      </c>
      <c r="Q151" s="55">
        <f t="shared" si="202"/>
        <v>-0.40750900000000001</v>
      </c>
      <c r="R151" s="55">
        <f t="shared" si="203"/>
        <v>-0.48164699999999999</v>
      </c>
      <c r="S151" s="55">
        <f t="shared" si="204"/>
        <v>0.64495800000000003</v>
      </c>
      <c r="T151" s="55">
        <f t="shared" si="205"/>
        <v>0.69749799999999995</v>
      </c>
      <c r="U151" s="55">
        <f t="shared" si="206"/>
        <v>-1.7539340000000001</v>
      </c>
      <c r="V151" s="55">
        <f t="shared" si="116"/>
        <v>0.200211</v>
      </c>
      <c r="W151" s="55">
        <f t="shared" si="117"/>
        <v>-0.65269900000000003</v>
      </c>
      <c r="X151" s="55">
        <f t="shared" si="118"/>
        <v>0.95049399999999995</v>
      </c>
      <c r="Y151" s="55">
        <f t="shared" si="119"/>
        <v>0.93861499999999998</v>
      </c>
      <c r="Z151" s="55">
        <f t="shared" si="120"/>
        <v>-1.813814</v>
      </c>
      <c r="AA151" s="55">
        <f t="shared" si="121"/>
        <v>-0.92457199999999995</v>
      </c>
      <c r="AB151" s="55">
        <f t="shared" si="122"/>
        <v>-0.44912299999999999</v>
      </c>
      <c r="AC151" s="55">
        <f t="shared" si="123"/>
        <v>7.5886999999999996E-2</v>
      </c>
      <c r="AD151" s="55">
        <f t="shared" si="124"/>
        <v>1.51451</v>
      </c>
      <c r="AE151" s="55">
        <f t="shared" si="125"/>
        <v>0.28528999999999999</v>
      </c>
      <c r="AF151" s="55">
        <f t="shared" si="126"/>
        <v>-0.47020000000000001</v>
      </c>
      <c r="AG151" s="55">
        <f t="shared" si="127"/>
        <v>0.14186699999999999</v>
      </c>
      <c r="AH151" s="55">
        <f t="shared" si="128"/>
        <v>-1.2525729999999999</v>
      </c>
      <c r="AI151" s="55">
        <f t="shared" si="129"/>
        <v>0.35832999999999998</v>
      </c>
      <c r="AJ151" s="55">
        <f t="shared" si="130"/>
        <v>6.2779000000000001E-2</v>
      </c>
      <c r="AK151" s="55">
        <f t="shared" si="131"/>
        <v>-0.24352299999999999</v>
      </c>
      <c r="AL151" s="55">
        <f t="shared" si="132"/>
        <v>0.74968000000000001</v>
      </c>
      <c r="AM151" s="55">
        <f t="shared" si="133"/>
        <v>-5.151E-2</v>
      </c>
      <c r="AN151" s="55">
        <f t="shared" si="134"/>
        <v>-0.48818</v>
      </c>
      <c r="AO151" s="55">
        <f t="shared" si="135"/>
        <v>0.22815199999999999</v>
      </c>
      <c r="AP151" s="55">
        <f t="shared" si="136"/>
        <v>0.77343899999999999</v>
      </c>
      <c r="AQ151" s="55">
        <f t="shared" si="137"/>
        <v>-1.3948130000000001</v>
      </c>
      <c r="AR151" s="55">
        <f t="shared" si="138"/>
        <v>-2.0788000000000001E-2</v>
      </c>
      <c r="AS151" s="55">
        <f t="shared" si="139"/>
        <v>2.0740999999999999E-2</v>
      </c>
      <c r="AT151" s="55">
        <f t="shared" si="140"/>
        <v>-1.097108</v>
      </c>
      <c r="AU151" s="55">
        <f t="shared" si="141"/>
        <v>-0.131464</v>
      </c>
      <c r="AV151" s="55">
        <f t="shared" si="142"/>
        <v>-1.2767850000000001</v>
      </c>
      <c r="AW151" s="55">
        <f t="shared" si="143"/>
        <v>-0.19317300000000001</v>
      </c>
      <c r="AX151" s="55">
        <f t="shared" si="144"/>
        <v>-6.6600999999999994E-2</v>
      </c>
      <c r="AY151" s="55">
        <f t="shared" si="145"/>
        <v>-0.24581500000000001</v>
      </c>
      <c r="AZ151" s="55">
        <f t="shared" si="146"/>
        <v>-0.139569</v>
      </c>
      <c r="BA151" s="55">
        <f t="shared" si="147"/>
        <v>0.39235700000000001</v>
      </c>
      <c r="BB151" s="55">
        <f t="shared" si="148"/>
        <v>-0.46349099999999999</v>
      </c>
      <c r="BC151" s="55">
        <f t="shared" si="149"/>
        <v>-1.0285200000000001</v>
      </c>
      <c r="BD151" s="55">
        <f t="shared" si="150"/>
        <v>0.19811200000000001</v>
      </c>
      <c r="BE151" s="55">
        <f t="shared" si="151"/>
        <v>0.56956200000000001</v>
      </c>
      <c r="BF151" s="55">
        <f t="shared" si="152"/>
        <v>0.33606200000000003</v>
      </c>
      <c r="BG151" s="55">
        <f t="shared" si="153"/>
        <v>0.224187</v>
      </c>
      <c r="BH151" s="55">
        <f t="shared" si="154"/>
        <v>0.51028200000000001</v>
      </c>
      <c r="BJ151" s="55">
        <f t="shared" si="64"/>
        <v>-0.66622000000000003</v>
      </c>
      <c r="BK151" s="55">
        <f t="shared" si="64"/>
        <v>-0.53908500000000004</v>
      </c>
      <c r="BL151" s="55">
        <f t="shared" si="64"/>
        <v>1.3139609999999999</v>
      </c>
      <c r="BM151" s="55">
        <f t="shared" si="64"/>
        <v>0.37419999999999998</v>
      </c>
      <c r="BN151" s="55">
        <f t="shared" si="64"/>
        <v>0.31695899999999999</v>
      </c>
      <c r="BO151" s="55">
        <f t="shared" si="64"/>
        <v>0.31533600000000001</v>
      </c>
      <c r="BP151" s="55">
        <f t="shared" si="64"/>
        <v>0.65815500000000005</v>
      </c>
      <c r="BQ151" s="55">
        <f t="shared" si="64"/>
        <v>0.12439</v>
      </c>
      <c r="BR151" s="55">
        <f t="shared" si="64"/>
        <v>-0.24601200000000001</v>
      </c>
      <c r="BS151" s="55">
        <f t="shared" si="64"/>
        <v>0.685338</v>
      </c>
      <c r="BT151" s="55">
        <f t="shared" si="64"/>
        <v>-1.6915340000000001</v>
      </c>
      <c r="BU151" s="55">
        <f t="shared" si="64"/>
        <v>1.7136009999999999</v>
      </c>
      <c r="BV151" s="55">
        <f t="shared" si="64"/>
        <v>-0.175285</v>
      </c>
      <c r="BW151" s="55">
        <f t="shared" si="64"/>
        <v>-0.88014700000000001</v>
      </c>
      <c r="BX151" s="55">
        <f t="shared" si="64"/>
        <v>0.24867</v>
      </c>
      <c r="BY151" s="55">
        <f t="shared" si="64"/>
        <v>-0.24318600000000001</v>
      </c>
      <c r="BZ151" s="55">
        <f t="shared" si="155"/>
        <v>1.020362</v>
      </c>
      <c r="CA151" s="55">
        <f t="shared" si="155"/>
        <v>-0.47453499999999998</v>
      </c>
      <c r="CB151" s="55">
        <f t="shared" si="155"/>
        <v>0.40415600000000002</v>
      </c>
      <c r="CC151" s="55">
        <f t="shared" si="155"/>
        <v>0.108114</v>
      </c>
      <c r="CD151" s="55">
        <f t="shared" si="155"/>
        <v>-0.73552499999999998</v>
      </c>
      <c r="CE151" s="55">
        <f t="shared" si="155"/>
        <v>0.56257599999999996</v>
      </c>
      <c r="CF151" s="55">
        <f t="shared" si="155"/>
        <v>0.539435</v>
      </c>
      <c r="CG151" s="55">
        <f t="shared" si="155"/>
        <v>0.74824500000000005</v>
      </c>
      <c r="CH151" s="55">
        <f t="shared" si="155"/>
        <v>-0.71911400000000003</v>
      </c>
      <c r="CI151" s="55">
        <f t="shared" si="155"/>
        <v>0.592117</v>
      </c>
      <c r="CJ151" s="55">
        <f t="shared" si="155"/>
        <v>-0.68152699999999999</v>
      </c>
      <c r="CK151" s="55">
        <f t="shared" si="156"/>
        <v>-3.1071999999999999E-2</v>
      </c>
      <c r="CL151" s="55">
        <f t="shared" si="156"/>
        <v>0.574847</v>
      </c>
      <c r="CM151" s="55">
        <f t="shared" si="156"/>
        <v>4.0721E-2</v>
      </c>
      <c r="CN151" s="55">
        <f t="shared" si="156"/>
        <v>-0.31113400000000002</v>
      </c>
      <c r="CO151" s="55">
        <f t="shared" si="156"/>
        <v>0.128106</v>
      </c>
      <c r="CP151" s="55">
        <f t="shared" si="156"/>
        <v>0.75648499999999996</v>
      </c>
      <c r="CQ151" s="55">
        <f t="shared" si="156"/>
        <v>0.64789099999999999</v>
      </c>
      <c r="CR151" s="55">
        <f t="shared" si="156"/>
        <v>0.62507000000000001</v>
      </c>
      <c r="CS151" s="55">
        <f t="shared" si="156"/>
        <v>0.26489299999999999</v>
      </c>
      <c r="CT151" s="55">
        <f t="shared" si="156"/>
        <v>-0.50260000000000005</v>
      </c>
      <c r="CU151" s="55">
        <f t="shared" si="156"/>
        <v>-0.37491999999999998</v>
      </c>
      <c r="CV151" s="55">
        <f t="shared" si="156"/>
        <v>0.42408800000000002</v>
      </c>
      <c r="CW151" s="55">
        <f t="shared" si="156"/>
        <v>0.13993700000000001</v>
      </c>
      <c r="CX151" s="55">
        <f t="shared" si="156"/>
        <v>-0.25101899999999999</v>
      </c>
      <c r="CY151" s="55">
        <f t="shared" si="156"/>
        <v>0.60972800000000005</v>
      </c>
      <c r="CZ151" s="55">
        <f t="shared" si="156"/>
        <v>-0.87458400000000003</v>
      </c>
      <c r="DA151" s="55">
        <f t="shared" si="157"/>
        <v>0.52196799999999999</v>
      </c>
      <c r="DB151" s="55">
        <f t="shared" si="157"/>
        <v>-0.47540500000000002</v>
      </c>
      <c r="DC151" s="55">
        <f t="shared" si="157"/>
        <v>0.41020699999999999</v>
      </c>
      <c r="DD151" s="55">
        <f t="shared" si="157"/>
        <v>0.496174</v>
      </c>
      <c r="DE151" s="55">
        <f t="shared" si="157"/>
        <v>0.10736800000000001</v>
      </c>
      <c r="DF151" s="55">
        <f t="shared" si="157"/>
        <v>0.55427300000000002</v>
      </c>
      <c r="DG151" s="55">
        <f t="shared" si="157"/>
        <v>-1.0216069999999999</v>
      </c>
      <c r="DI151" s="55">
        <f t="shared" ca="1" si="65"/>
        <v>1.220248</v>
      </c>
      <c r="DJ151" s="55">
        <f t="shared" ca="1" si="66"/>
        <v>-0.84979700000000002</v>
      </c>
      <c r="DK151" s="55">
        <f t="shared" ca="1" si="67"/>
        <v>0.52901100000000001</v>
      </c>
      <c r="DL151" s="55">
        <f t="shared" ca="1" si="68"/>
        <v>-0.44570799999999999</v>
      </c>
      <c r="DM151" s="55">
        <f t="shared" ca="1" si="69"/>
        <v>0.58260699999999999</v>
      </c>
      <c r="DN151" s="55">
        <f t="shared" ca="1" si="70"/>
        <v>1.0987579999999999</v>
      </c>
      <c r="DO151" s="55">
        <f t="shared" ca="1" si="71"/>
        <v>-0.40750900000000001</v>
      </c>
      <c r="DP151" s="55">
        <f t="shared" ca="1" si="72"/>
        <v>-0.48164699999999999</v>
      </c>
      <c r="DQ151" s="55">
        <f t="shared" ca="1" si="73"/>
        <v>0.64495800000000003</v>
      </c>
      <c r="DR151" s="55">
        <f t="shared" ca="1" si="74"/>
        <v>0.69749799999999995</v>
      </c>
      <c r="DS151" s="55">
        <f t="shared" ca="1" si="75"/>
        <v>-1.7539340000000001</v>
      </c>
      <c r="DT151" s="55">
        <f t="shared" ca="1" si="76"/>
        <v>0.200211</v>
      </c>
      <c r="DU151" s="55">
        <f t="shared" ca="1" si="77"/>
        <v>-0.65269900000000003</v>
      </c>
      <c r="DV151" s="55">
        <f t="shared" ca="1" si="78"/>
        <v>0.95049399999999995</v>
      </c>
      <c r="DW151" s="55">
        <f t="shared" ca="1" si="79"/>
        <v>0.93861499999999998</v>
      </c>
      <c r="DX151" s="55">
        <f t="shared" ca="1" si="80"/>
        <v>-1.813814</v>
      </c>
      <c r="DY151" s="55">
        <f t="shared" ca="1" si="81"/>
        <v>-0.92457199999999995</v>
      </c>
      <c r="DZ151" s="55">
        <f t="shared" ca="1" si="82"/>
        <v>-0.44912299999999999</v>
      </c>
      <c r="EA151" s="55">
        <f t="shared" ca="1" si="83"/>
        <v>7.5886999999999996E-2</v>
      </c>
      <c r="EB151" s="55">
        <f t="shared" ca="1" si="84"/>
        <v>1.51451</v>
      </c>
      <c r="EC151" s="55">
        <f t="shared" ca="1" si="85"/>
        <v>0.28528999999999999</v>
      </c>
      <c r="ED151" s="55">
        <f t="shared" ca="1" si="86"/>
        <v>-0.47020000000000001</v>
      </c>
      <c r="EE151" s="55">
        <f t="shared" ca="1" si="87"/>
        <v>0.14186699999999999</v>
      </c>
      <c r="EF151" s="55">
        <f t="shared" ca="1" si="88"/>
        <v>-1.2525729999999999</v>
      </c>
      <c r="EG151" s="55">
        <f t="shared" ca="1" si="89"/>
        <v>0.35832999999999998</v>
      </c>
      <c r="EH151" s="55">
        <f t="shared" ca="1" si="90"/>
        <v>6.2779000000000001E-2</v>
      </c>
      <c r="EI151" s="55">
        <f t="shared" ca="1" si="91"/>
        <v>-0.24352299999999999</v>
      </c>
      <c r="EJ151" s="55">
        <f t="shared" ca="1" si="92"/>
        <v>0.74968000000000001</v>
      </c>
      <c r="EK151" s="55">
        <f t="shared" ca="1" si="93"/>
        <v>-5.151E-2</v>
      </c>
      <c r="EL151" s="55">
        <f t="shared" ca="1" si="94"/>
        <v>-0.48818</v>
      </c>
      <c r="EM151" s="55">
        <f t="shared" ca="1" si="95"/>
        <v>0.22815199999999999</v>
      </c>
      <c r="EN151" s="55">
        <f t="shared" ca="1" si="96"/>
        <v>0.77343899999999999</v>
      </c>
      <c r="EO151" s="55">
        <f t="shared" ca="1" si="97"/>
        <v>-1.3948130000000001</v>
      </c>
      <c r="EP151" s="55">
        <f t="shared" ca="1" si="98"/>
        <v>-2.0788000000000001E-2</v>
      </c>
      <c r="EQ151" s="55">
        <f t="shared" ca="1" si="99"/>
        <v>2.0740999999999999E-2</v>
      </c>
      <c r="ER151" s="55">
        <f t="shared" ca="1" si="100"/>
        <v>-1.097108</v>
      </c>
      <c r="ES151" s="55">
        <f t="shared" ca="1" si="101"/>
        <v>-0.131464</v>
      </c>
      <c r="ET151" s="55">
        <f t="shared" ca="1" si="102"/>
        <v>-1.2767850000000001</v>
      </c>
      <c r="EU151" s="55">
        <f t="shared" ca="1" si="103"/>
        <v>-0.19317300000000001</v>
      </c>
      <c r="EV151" s="55">
        <f t="shared" ca="1" si="104"/>
        <v>-6.6600999999999994E-2</v>
      </c>
      <c r="EW151" s="55">
        <f t="shared" ca="1" si="105"/>
        <v>-0.24581500000000001</v>
      </c>
      <c r="EX151" s="55">
        <f t="shared" ca="1" si="106"/>
        <v>-0.139569</v>
      </c>
      <c r="EY151" s="55">
        <f t="shared" ca="1" si="107"/>
        <v>0.39235700000000001</v>
      </c>
      <c r="EZ151" s="55">
        <f t="shared" ca="1" si="108"/>
        <v>-0.46349099999999999</v>
      </c>
      <c r="FA151" s="55">
        <f t="shared" ca="1" si="109"/>
        <v>-1.0285200000000001</v>
      </c>
      <c r="FB151" s="55">
        <f t="shared" ca="1" si="110"/>
        <v>0.19811200000000001</v>
      </c>
      <c r="FC151" s="55">
        <f t="shared" ca="1" si="111"/>
        <v>0.50113414814400004</v>
      </c>
      <c r="FD151" s="55">
        <f t="shared" ca="1" si="112"/>
        <v>0.33606200000000003</v>
      </c>
      <c r="FE151" s="55">
        <f t="shared" ca="1" si="113"/>
        <v>0.224187</v>
      </c>
      <c r="FF151" s="55">
        <f t="shared" ca="1" si="114"/>
        <v>0.51028200000000001</v>
      </c>
      <c r="FH151" s="55">
        <f t="shared" ca="1" si="115"/>
        <v>0</v>
      </c>
      <c r="FI151" s="55">
        <f t="shared" ca="1" si="207"/>
        <v>0</v>
      </c>
      <c r="FJ151" s="55">
        <f t="shared" ca="1" si="208"/>
        <v>0</v>
      </c>
      <c r="FK151" s="55">
        <f t="shared" ca="1" si="209"/>
        <v>0</v>
      </c>
      <c r="FL151" s="55">
        <f t="shared" ca="1" si="210"/>
        <v>0</v>
      </c>
      <c r="FM151" s="55">
        <f t="shared" ca="1" si="211"/>
        <v>0</v>
      </c>
      <c r="FN151" s="55">
        <f t="shared" ca="1" si="212"/>
        <v>0</v>
      </c>
      <c r="FO151" s="55">
        <f t="shared" ca="1" si="213"/>
        <v>0</v>
      </c>
      <c r="FP151" s="55">
        <f t="shared" ca="1" si="214"/>
        <v>0</v>
      </c>
      <c r="FQ151" s="55">
        <f t="shared" ca="1" si="215"/>
        <v>0</v>
      </c>
      <c r="FR151" s="55">
        <f t="shared" ca="1" si="216"/>
        <v>0</v>
      </c>
      <c r="FS151" s="55">
        <f t="shared" ca="1" si="158"/>
        <v>0</v>
      </c>
      <c r="FT151" s="55">
        <f t="shared" ca="1" si="159"/>
        <v>0</v>
      </c>
      <c r="FU151" s="55">
        <f t="shared" ca="1" si="160"/>
        <v>0</v>
      </c>
      <c r="FV151" s="55">
        <f t="shared" ca="1" si="161"/>
        <v>0</v>
      </c>
      <c r="FW151" s="55">
        <f t="shared" ca="1" si="162"/>
        <v>0</v>
      </c>
      <c r="FX151" s="55">
        <f t="shared" ca="1" si="163"/>
        <v>0</v>
      </c>
      <c r="FY151" s="55">
        <f t="shared" ca="1" si="164"/>
        <v>0</v>
      </c>
      <c r="FZ151" s="55">
        <f t="shared" ca="1" si="165"/>
        <v>0</v>
      </c>
      <c r="GA151" s="55">
        <f t="shared" ca="1" si="166"/>
        <v>0</v>
      </c>
      <c r="GB151" s="55">
        <f t="shared" ca="1" si="167"/>
        <v>0</v>
      </c>
      <c r="GC151" s="55">
        <f t="shared" ca="1" si="168"/>
        <v>0</v>
      </c>
      <c r="GD151" s="55">
        <f t="shared" ca="1" si="169"/>
        <v>0</v>
      </c>
      <c r="GE151" s="55">
        <f t="shared" ca="1" si="170"/>
        <v>0</v>
      </c>
      <c r="GF151" s="55">
        <f t="shared" ca="1" si="171"/>
        <v>0</v>
      </c>
      <c r="GG151" s="55">
        <f t="shared" ca="1" si="172"/>
        <v>0</v>
      </c>
      <c r="GH151" s="55">
        <f t="shared" ca="1" si="173"/>
        <v>0</v>
      </c>
      <c r="GI151" s="55">
        <f t="shared" ca="1" si="174"/>
        <v>0</v>
      </c>
      <c r="GJ151" s="55">
        <f t="shared" ca="1" si="175"/>
        <v>0</v>
      </c>
      <c r="GK151" s="55">
        <f t="shared" ca="1" si="176"/>
        <v>0</v>
      </c>
      <c r="GL151" s="55">
        <f t="shared" ca="1" si="177"/>
        <v>0</v>
      </c>
      <c r="GM151" s="55">
        <f t="shared" ca="1" si="178"/>
        <v>0</v>
      </c>
      <c r="GN151" s="55">
        <f t="shared" ca="1" si="179"/>
        <v>0</v>
      </c>
      <c r="GO151" s="55">
        <f t="shared" ca="1" si="180"/>
        <v>0</v>
      </c>
      <c r="GP151" s="55">
        <f t="shared" ca="1" si="181"/>
        <v>0</v>
      </c>
      <c r="GQ151" s="55">
        <f t="shared" ca="1" si="182"/>
        <v>0</v>
      </c>
      <c r="GR151" s="55">
        <f t="shared" ca="1" si="183"/>
        <v>0</v>
      </c>
      <c r="GS151" s="55">
        <f t="shared" ca="1" si="184"/>
        <v>0</v>
      </c>
      <c r="GT151" s="55">
        <f t="shared" ca="1" si="185"/>
        <v>0</v>
      </c>
      <c r="GU151" s="55">
        <f t="shared" ca="1" si="186"/>
        <v>0</v>
      </c>
      <c r="GV151" s="55">
        <f t="shared" ca="1" si="187"/>
        <v>0</v>
      </c>
      <c r="GW151" s="55">
        <f t="shared" ca="1" si="188"/>
        <v>0</v>
      </c>
      <c r="GX151" s="55">
        <f t="shared" ca="1" si="189"/>
        <v>0</v>
      </c>
      <c r="GY151" s="55">
        <f t="shared" ca="1" si="190"/>
        <v>0</v>
      </c>
      <c r="GZ151" s="55">
        <f t="shared" ca="1" si="191"/>
        <v>0</v>
      </c>
      <c r="HA151" s="55">
        <f t="shared" ca="1" si="192"/>
        <v>0</v>
      </c>
      <c r="HB151" s="55">
        <f t="shared" ca="1" si="193"/>
        <v>-6.8427851855999977E-2</v>
      </c>
      <c r="HC151" s="55">
        <f t="shared" ca="1" si="194"/>
        <v>0</v>
      </c>
      <c r="HD151" s="55">
        <f t="shared" ca="1" si="195"/>
        <v>0</v>
      </c>
      <c r="HE151" s="55">
        <f t="shared" ca="1" si="196"/>
        <v>0</v>
      </c>
    </row>
    <row r="152" spans="1:213">
      <c r="A152" s="27">
        <v>15</v>
      </c>
      <c r="B152" s="27">
        <v>37</v>
      </c>
      <c r="C152" s="27">
        <v>0.76343300000000003</v>
      </c>
      <c r="D152" s="27">
        <v>0.46169500000000002</v>
      </c>
      <c r="E152" s="27">
        <v>32</v>
      </c>
      <c r="F152" s="27">
        <f t="shared" ca="1" si="59"/>
        <v>45</v>
      </c>
      <c r="G152" s="27">
        <f t="shared" si="54"/>
        <v>0</v>
      </c>
      <c r="H152" s="27" t="str">
        <f t="shared" si="60"/>
        <v>Não</v>
      </c>
      <c r="I152" s="27">
        <f t="shared" si="61"/>
        <v>0</v>
      </c>
      <c r="J152" s="37">
        <f t="shared" si="62"/>
        <v>0</v>
      </c>
      <c r="K152" s="55">
        <f t="shared" si="63"/>
        <v>0.74165199999999998</v>
      </c>
      <c r="L152" s="55">
        <f t="shared" si="197"/>
        <v>0.26011600000000001</v>
      </c>
      <c r="M152" s="55">
        <f t="shared" si="198"/>
        <v>-0.19200700000000001</v>
      </c>
      <c r="N152" s="55">
        <f t="shared" si="199"/>
        <v>0.39093</v>
      </c>
      <c r="O152" s="55">
        <f t="shared" si="200"/>
        <v>0.431419</v>
      </c>
      <c r="P152" s="55">
        <f t="shared" si="201"/>
        <v>-0.22012899999999999</v>
      </c>
      <c r="Q152" s="55">
        <f t="shared" si="202"/>
        <v>1.2590239999999999</v>
      </c>
      <c r="R152" s="55">
        <f t="shared" si="203"/>
        <v>0.14258000000000001</v>
      </c>
      <c r="S152" s="55">
        <f t="shared" si="204"/>
        <v>0.77181</v>
      </c>
      <c r="T152" s="55">
        <f t="shared" si="205"/>
        <v>-0.21779200000000001</v>
      </c>
      <c r="U152" s="55">
        <f t="shared" si="206"/>
        <v>0.87763599999999997</v>
      </c>
      <c r="V152" s="55">
        <f t="shared" si="116"/>
        <v>0.84106300000000001</v>
      </c>
      <c r="W152" s="55">
        <f t="shared" si="117"/>
        <v>1.0041530000000001</v>
      </c>
      <c r="X152" s="55">
        <f t="shared" si="118"/>
        <v>-0.97346200000000005</v>
      </c>
      <c r="Y152" s="55">
        <f t="shared" si="119"/>
        <v>0.962086</v>
      </c>
      <c r="Z152" s="55">
        <f t="shared" si="120"/>
        <v>-0.36222100000000002</v>
      </c>
      <c r="AA152" s="55">
        <f t="shared" si="121"/>
        <v>-0.85171399999999997</v>
      </c>
      <c r="AB152" s="55">
        <f t="shared" si="122"/>
        <v>-1.2297830000000001</v>
      </c>
      <c r="AC152" s="55">
        <f t="shared" si="123"/>
        <v>-1.113645</v>
      </c>
      <c r="AD152" s="55">
        <f t="shared" si="124"/>
        <v>-0.57122700000000004</v>
      </c>
      <c r="AE152" s="55">
        <f t="shared" si="125"/>
        <v>-1.261752</v>
      </c>
      <c r="AF152" s="55">
        <f t="shared" si="126"/>
        <v>-0.39733400000000002</v>
      </c>
      <c r="AG152" s="55">
        <f t="shared" si="127"/>
        <v>-1.5360799999999999</v>
      </c>
      <c r="AH152" s="55">
        <f t="shared" si="128"/>
        <v>0.38037500000000002</v>
      </c>
      <c r="AI152" s="55">
        <f t="shared" si="129"/>
        <v>-1.6188039999999999</v>
      </c>
      <c r="AJ152" s="55">
        <f t="shared" si="130"/>
        <v>-7.8633999999999996E-2</v>
      </c>
      <c r="AK152" s="55">
        <f t="shared" si="131"/>
        <v>-3.1660000000000001E-2</v>
      </c>
      <c r="AL152" s="55">
        <f t="shared" si="132"/>
        <v>-0.88983500000000004</v>
      </c>
      <c r="AM152" s="55">
        <f t="shared" si="133"/>
        <v>0.41203499999999998</v>
      </c>
      <c r="AN152" s="55">
        <f t="shared" si="134"/>
        <v>0.777084</v>
      </c>
      <c r="AO152" s="55">
        <f t="shared" si="135"/>
        <v>-0.33110000000000001</v>
      </c>
      <c r="AP152" s="55">
        <f t="shared" si="136"/>
        <v>-0.287018</v>
      </c>
      <c r="AQ152" s="55">
        <f t="shared" si="137"/>
        <v>1.363599</v>
      </c>
      <c r="AR152" s="55">
        <f t="shared" si="138"/>
        <v>1.2083809999999999</v>
      </c>
      <c r="AS152" s="55">
        <f t="shared" si="139"/>
        <v>0.41487400000000002</v>
      </c>
      <c r="AT152" s="55">
        <f t="shared" si="140"/>
        <v>0.25899</v>
      </c>
      <c r="AU152" s="55">
        <f t="shared" si="141"/>
        <v>0.58913000000000004</v>
      </c>
      <c r="AV152" s="55">
        <f t="shared" si="142"/>
        <v>-0.20588100000000001</v>
      </c>
      <c r="AW152" s="55">
        <f t="shared" si="143"/>
        <v>-5.2186000000000003E-2</v>
      </c>
      <c r="AX152" s="55">
        <f t="shared" si="144"/>
        <v>0.15509400000000001</v>
      </c>
      <c r="AY152" s="55">
        <f t="shared" si="145"/>
        <v>0.41556300000000002</v>
      </c>
      <c r="AZ152" s="55">
        <f t="shared" si="146"/>
        <v>0.458899</v>
      </c>
      <c r="BA152" s="55">
        <f t="shared" si="147"/>
        <v>0.20200000000000001</v>
      </c>
      <c r="BB152" s="55">
        <f t="shared" si="148"/>
        <v>-0.41248099999999999</v>
      </c>
      <c r="BC152" s="55">
        <f t="shared" si="149"/>
        <v>-1.231236</v>
      </c>
      <c r="BD152" s="55">
        <f t="shared" si="150"/>
        <v>0.31484200000000001</v>
      </c>
      <c r="BE152" s="55">
        <f t="shared" si="151"/>
        <v>0.376859</v>
      </c>
      <c r="BF152" s="55">
        <f t="shared" si="152"/>
        <v>-0.29426000000000002</v>
      </c>
      <c r="BG152" s="55">
        <f t="shared" si="153"/>
        <v>0.62272400000000006</v>
      </c>
      <c r="BH152" s="55">
        <f t="shared" si="154"/>
        <v>-3.891E-2</v>
      </c>
      <c r="BJ152" s="55">
        <f t="shared" si="64"/>
        <v>0.977024</v>
      </c>
      <c r="BK152" s="55">
        <f t="shared" si="64"/>
        <v>-0.77819899999999997</v>
      </c>
      <c r="BL152" s="55">
        <f t="shared" si="64"/>
        <v>0.28137000000000001</v>
      </c>
      <c r="BM152" s="55">
        <f t="shared" si="64"/>
        <v>0.210147</v>
      </c>
      <c r="BN152" s="55">
        <f t="shared" si="64"/>
        <v>0.75479200000000002</v>
      </c>
      <c r="BO152" s="55">
        <f t="shared" si="64"/>
        <v>-1.792562</v>
      </c>
      <c r="BP152" s="55">
        <f t="shared" si="64"/>
        <v>0.68064400000000003</v>
      </c>
      <c r="BQ152" s="55">
        <f t="shared" si="64"/>
        <v>-0.47226499999999999</v>
      </c>
      <c r="BR152" s="55">
        <f t="shared" si="64"/>
        <v>-0.21042</v>
      </c>
      <c r="BS152" s="55">
        <f t="shared" si="64"/>
        <v>-0.56348200000000004</v>
      </c>
      <c r="BT152" s="55">
        <f t="shared" si="64"/>
        <v>0.35940800000000001</v>
      </c>
      <c r="BU152" s="55">
        <f t="shared" si="64"/>
        <v>-0.662134</v>
      </c>
      <c r="BV152" s="55">
        <f t="shared" si="64"/>
        <v>-1.333936</v>
      </c>
      <c r="BW152" s="55">
        <f t="shared" si="64"/>
        <v>1.1656359999999999</v>
      </c>
      <c r="BX152" s="55">
        <f t="shared" si="64"/>
        <v>0.39030100000000001</v>
      </c>
      <c r="BY152" s="55">
        <f t="shared" si="64"/>
        <v>0.12973899999999999</v>
      </c>
      <c r="BZ152" s="55">
        <f t="shared" si="155"/>
        <v>-0.52273099999999995</v>
      </c>
      <c r="CA152" s="55">
        <f t="shared" si="155"/>
        <v>1.156361</v>
      </c>
      <c r="CB152" s="55">
        <f t="shared" si="155"/>
        <v>-0.85358699999999998</v>
      </c>
      <c r="CC152" s="55">
        <f t="shared" si="155"/>
        <v>4.7983999999999999E-2</v>
      </c>
      <c r="CD152" s="55">
        <f t="shared" si="155"/>
        <v>-0.40818500000000002</v>
      </c>
      <c r="CE152" s="55">
        <f t="shared" si="155"/>
        <v>-0.96428700000000001</v>
      </c>
      <c r="CF152" s="55">
        <f t="shared" si="155"/>
        <v>-0.70098700000000003</v>
      </c>
      <c r="CG152" s="55">
        <f t="shared" si="155"/>
        <v>5.7111000000000002E-2</v>
      </c>
      <c r="CH152" s="55">
        <f t="shared" si="155"/>
        <v>-0.157724</v>
      </c>
      <c r="CI152" s="55">
        <f t="shared" si="155"/>
        <v>-0.310886</v>
      </c>
      <c r="CJ152" s="55">
        <f t="shared" si="155"/>
        <v>-0.24035500000000001</v>
      </c>
      <c r="CK152" s="55">
        <f t="shared" si="156"/>
        <v>1.41211</v>
      </c>
      <c r="CL152" s="55">
        <f t="shared" si="156"/>
        <v>0.32704899999999998</v>
      </c>
      <c r="CM152" s="55">
        <f t="shared" si="156"/>
        <v>0.42012899999999997</v>
      </c>
      <c r="CN152" s="55">
        <f t="shared" si="156"/>
        <v>0.648756</v>
      </c>
      <c r="CO152" s="55">
        <f t="shared" si="156"/>
        <v>0.87153599999999998</v>
      </c>
      <c r="CP152" s="55">
        <f t="shared" si="156"/>
        <v>0.26472000000000001</v>
      </c>
      <c r="CQ152" s="55">
        <f t="shared" si="156"/>
        <v>3.2361000000000001E-2</v>
      </c>
      <c r="CR152" s="55">
        <f t="shared" si="156"/>
        <v>4.2389000000000003E-2</v>
      </c>
      <c r="CS152" s="55">
        <f t="shared" si="156"/>
        <v>0.51620500000000002</v>
      </c>
      <c r="CT152" s="55">
        <f t="shared" si="156"/>
        <v>6.7905999999999994E-2</v>
      </c>
      <c r="CU152" s="55">
        <f t="shared" si="156"/>
        <v>-0.15556400000000001</v>
      </c>
      <c r="CV152" s="55">
        <f t="shared" si="156"/>
        <v>-0.36950100000000002</v>
      </c>
      <c r="CW152" s="55">
        <f t="shared" si="156"/>
        <v>0.35318699999999997</v>
      </c>
      <c r="CX152" s="55">
        <f t="shared" si="156"/>
        <v>-0.182979</v>
      </c>
      <c r="CY152" s="55">
        <f t="shared" si="156"/>
        <v>1.2469730000000001</v>
      </c>
      <c r="CZ152" s="55">
        <f t="shared" si="156"/>
        <v>0.56035299999999999</v>
      </c>
      <c r="DA152" s="55">
        <f t="shared" si="157"/>
        <v>-9.7970000000000002E-3</v>
      </c>
      <c r="DB152" s="55">
        <f t="shared" si="157"/>
        <v>0.322075</v>
      </c>
      <c r="DC152" s="55">
        <f t="shared" si="157"/>
        <v>-1.2087969999999999</v>
      </c>
      <c r="DD152" s="55">
        <f t="shared" si="157"/>
        <v>-0.42161300000000002</v>
      </c>
      <c r="DE152" s="55">
        <f t="shared" si="157"/>
        <v>0.54421399999999998</v>
      </c>
      <c r="DF152" s="55">
        <f t="shared" si="157"/>
        <v>-0.45694699999999999</v>
      </c>
      <c r="DG152" s="55">
        <f t="shared" si="157"/>
        <v>0.80196400000000001</v>
      </c>
      <c r="DI152" s="55">
        <f t="shared" ca="1" si="65"/>
        <v>0.74165199999999998</v>
      </c>
      <c r="DJ152" s="55">
        <f t="shared" ca="1" si="66"/>
        <v>0.26011600000000001</v>
      </c>
      <c r="DK152" s="55">
        <f t="shared" ca="1" si="67"/>
        <v>-0.19200700000000001</v>
      </c>
      <c r="DL152" s="55">
        <f t="shared" ca="1" si="68"/>
        <v>0.39093</v>
      </c>
      <c r="DM152" s="55">
        <f t="shared" ca="1" si="69"/>
        <v>0.431419</v>
      </c>
      <c r="DN152" s="55">
        <f t="shared" ca="1" si="70"/>
        <v>-0.22012899999999999</v>
      </c>
      <c r="DO152" s="55">
        <f t="shared" ca="1" si="71"/>
        <v>1.2590239999999999</v>
      </c>
      <c r="DP152" s="55">
        <f t="shared" ca="1" si="72"/>
        <v>0.14258000000000001</v>
      </c>
      <c r="DQ152" s="55">
        <f t="shared" ca="1" si="73"/>
        <v>0.77181</v>
      </c>
      <c r="DR152" s="55">
        <f t="shared" ca="1" si="74"/>
        <v>-0.21779200000000001</v>
      </c>
      <c r="DS152" s="55">
        <f t="shared" ca="1" si="75"/>
        <v>0.87763599999999997</v>
      </c>
      <c r="DT152" s="55">
        <f t="shared" ca="1" si="76"/>
        <v>0.84106300000000001</v>
      </c>
      <c r="DU152" s="55">
        <f t="shared" ca="1" si="77"/>
        <v>1.0041530000000001</v>
      </c>
      <c r="DV152" s="55">
        <f t="shared" ca="1" si="78"/>
        <v>-0.97346200000000005</v>
      </c>
      <c r="DW152" s="55">
        <f t="shared" ca="1" si="79"/>
        <v>0.962086</v>
      </c>
      <c r="DX152" s="55">
        <f t="shared" ca="1" si="80"/>
        <v>-0.36222100000000002</v>
      </c>
      <c r="DY152" s="55">
        <f t="shared" ca="1" si="81"/>
        <v>-0.85171399999999997</v>
      </c>
      <c r="DZ152" s="55">
        <f t="shared" ca="1" si="82"/>
        <v>-1.2297830000000001</v>
      </c>
      <c r="EA152" s="55">
        <f t="shared" ca="1" si="83"/>
        <v>-1.113645</v>
      </c>
      <c r="EB152" s="55">
        <f t="shared" ca="1" si="84"/>
        <v>-0.57122700000000004</v>
      </c>
      <c r="EC152" s="55">
        <f t="shared" ca="1" si="85"/>
        <v>-1.261752</v>
      </c>
      <c r="ED152" s="55">
        <f t="shared" ca="1" si="86"/>
        <v>-0.39733400000000002</v>
      </c>
      <c r="EE152" s="55">
        <f t="shared" ca="1" si="87"/>
        <v>-1.5360799999999999</v>
      </c>
      <c r="EF152" s="55">
        <f t="shared" ca="1" si="88"/>
        <v>0.38037500000000002</v>
      </c>
      <c r="EG152" s="55">
        <f t="shared" ca="1" si="89"/>
        <v>-1.6188039999999999</v>
      </c>
      <c r="EH152" s="55">
        <f t="shared" ca="1" si="90"/>
        <v>-7.8633999999999996E-2</v>
      </c>
      <c r="EI152" s="55">
        <f t="shared" ca="1" si="91"/>
        <v>-3.1660000000000001E-2</v>
      </c>
      <c r="EJ152" s="55">
        <f t="shared" ca="1" si="92"/>
        <v>-0.88983500000000004</v>
      </c>
      <c r="EK152" s="55">
        <f t="shared" ca="1" si="93"/>
        <v>0.41203499999999998</v>
      </c>
      <c r="EL152" s="55">
        <f t="shared" ca="1" si="94"/>
        <v>0.777084</v>
      </c>
      <c r="EM152" s="55">
        <f t="shared" ca="1" si="95"/>
        <v>-0.33110000000000001</v>
      </c>
      <c r="EN152" s="55">
        <f t="shared" ca="1" si="96"/>
        <v>-0.287018</v>
      </c>
      <c r="EO152" s="55">
        <f t="shared" ca="1" si="97"/>
        <v>1.363599</v>
      </c>
      <c r="EP152" s="55">
        <f t="shared" ca="1" si="98"/>
        <v>1.2083809999999999</v>
      </c>
      <c r="EQ152" s="55">
        <f t="shared" ca="1" si="99"/>
        <v>0.41487400000000002</v>
      </c>
      <c r="ER152" s="55">
        <f t="shared" ca="1" si="100"/>
        <v>0.25899</v>
      </c>
      <c r="ES152" s="55">
        <f t="shared" ca="1" si="101"/>
        <v>0.58913000000000004</v>
      </c>
      <c r="ET152" s="55">
        <f t="shared" ca="1" si="102"/>
        <v>-0.20588100000000001</v>
      </c>
      <c r="EU152" s="55">
        <f t="shared" ca="1" si="103"/>
        <v>-5.2186000000000003E-2</v>
      </c>
      <c r="EV152" s="55">
        <f t="shared" ca="1" si="104"/>
        <v>0.15509400000000001</v>
      </c>
      <c r="EW152" s="55">
        <f t="shared" ca="1" si="105"/>
        <v>0.41556300000000002</v>
      </c>
      <c r="EX152" s="55">
        <f t="shared" ca="1" si="106"/>
        <v>0.458899</v>
      </c>
      <c r="EY152" s="55">
        <f t="shared" ca="1" si="107"/>
        <v>0.20200000000000001</v>
      </c>
      <c r="EZ152" s="55">
        <f t="shared" ca="1" si="108"/>
        <v>-0.41248099999999999</v>
      </c>
      <c r="FA152" s="55">
        <f t="shared" ca="1" si="109"/>
        <v>-1.231236</v>
      </c>
      <c r="FB152" s="55">
        <f t="shared" ca="1" si="110"/>
        <v>0.31484200000000001</v>
      </c>
      <c r="FC152" s="55">
        <f t="shared" ca="1" si="111"/>
        <v>0.376859</v>
      </c>
      <c r="FD152" s="55">
        <f t="shared" ca="1" si="112"/>
        <v>-0.29426000000000002</v>
      </c>
      <c r="FE152" s="55">
        <f t="shared" ca="1" si="113"/>
        <v>0.62272400000000006</v>
      </c>
      <c r="FF152" s="55">
        <f t="shared" ca="1" si="114"/>
        <v>-3.891E-2</v>
      </c>
      <c r="FH152" s="55">
        <f t="shared" ca="1" si="115"/>
        <v>0</v>
      </c>
      <c r="FI152" s="55">
        <f t="shared" ca="1" si="207"/>
        <v>0</v>
      </c>
      <c r="FJ152" s="55">
        <f t="shared" ca="1" si="208"/>
        <v>0</v>
      </c>
      <c r="FK152" s="55">
        <f t="shared" ca="1" si="209"/>
        <v>0</v>
      </c>
      <c r="FL152" s="55">
        <f t="shared" ca="1" si="210"/>
        <v>0</v>
      </c>
      <c r="FM152" s="55">
        <f t="shared" ca="1" si="211"/>
        <v>0</v>
      </c>
      <c r="FN152" s="55">
        <f t="shared" ca="1" si="212"/>
        <v>0</v>
      </c>
      <c r="FO152" s="55">
        <f t="shared" ca="1" si="213"/>
        <v>0</v>
      </c>
      <c r="FP152" s="55">
        <f t="shared" ca="1" si="214"/>
        <v>0</v>
      </c>
      <c r="FQ152" s="55">
        <f t="shared" ca="1" si="215"/>
        <v>0</v>
      </c>
      <c r="FR152" s="55">
        <f t="shared" ca="1" si="216"/>
        <v>0</v>
      </c>
      <c r="FS152" s="55">
        <f t="shared" ca="1" si="158"/>
        <v>0</v>
      </c>
      <c r="FT152" s="55">
        <f t="shared" ca="1" si="159"/>
        <v>0</v>
      </c>
      <c r="FU152" s="55">
        <f t="shared" ca="1" si="160"/>
        <v>0</v>
      </c>
      <c r="FV152" s="55">
        <f t="shared" ca="1" si="161"/>
        <v>0</v>
      </c>
      <c r="FW152" s="55">
        <f t="shared" ca="1" si="162"/>
        <v>0</v>
      </c>
      <c r="FX152" s="55">
        <f t="shared" ca="1" si="163"/>
        <v>0</v>
      </c>
      <c r="FY152" s="55">
        <f t="shared" ca="1" si="164"/>
        <v>0</v>
      </c>
      <c r="FZ152" s="55">
        <f t="shared" ca="1" si="165"/>
        <v>0</v>
      </c>
      <c r="GA152" s="55">
        <f t="shared" ca="1" si="166"/>
        <v>0</v>
      </c>
      <c r="GB152" s="55">
        <f t="shared" ca="1" si="167"/>
        <v>0</v>
      </c>
      <c r="GC152" s="55">
        <f t="shared" ca="1" si="168"/>
        <v>0</v>
      </c>
      <c r="GD152" s="55">
        <f t="shared" ca="1" si="169"/>
        <v>0</v>
      </c>
      <c r="GE152" s="55">
        <f t="shared" ca="1" si="170"/>
        <v>0</v>
      </c>
      <c r="GF152" s="55">
        <f t="shared" ca="1" si="171"/>
        <v>0</v>
      </c>
      <c r="GG152" s="55">
        <f t="shared" ca="1" si="172"/>
        <v>0</v>
      </c>
      <c r="GH152" s="55">
        <f t="shared" ca="1" si="173"/>
        <v>0</v>
      </c>
      <c r="GI152" s="55">
        <f t="shared" ca="1" si="174"/>
        <v>0</v>
      </c>
      <c r="GJ152" s="55">
        <f t="shared" ca="1" si="175"/>
        <v>0</v>
      </c>
      <c r="GK152" s="55">
        <f t="shared" ca="1" si="176"/>
        <v>0</v>
      </c>
      <c r="GL152" s="55">
        <f t="shared" ca="1" si="177"/>
        <v>0</v>
      </c>
      <c r="GM152" s="55">
        <f t="shared" ca="1" si="178"/>
        <v>0</v>
      </c>
      <c r="GN152" s="55">
        <f t="shared" ca="1" si="179"/>
        <v>0</v>
      </c>
      <c r="GO152" s="55">
        <f t="shared" ca="1" si="180"/>
        <v>0</v>
      </c>
      <c r="GP152" s="55">
        <f t="shared" ca="1" si="181"/>
        <v>0</v>
      </c>
      <c r="GQ152" s="55">
        <f t="shared" ca="1" si="182"/>
        <v>0</v>
      </c>
      <c r="GR152" s="55">
        <f t="shared" ca="1" si="183"/>
        <v>0</v>
      </c>
      <c r="GS152" s="55">
        <f t="shared" ca="1" si="184"/>
        <v>0</v>
      </c>
      <c r="GT152" s="55">
        <f t="shared" ca="1" si="185"/>
        <v>0</v>
      </c>
      <c r="GU152" s="55">
        <f t="shared" ca="1" si="186"/>
        <v>0</v>
      </c>
      <c r="GV152" s="55">
        <f t="shared" ca="1" si="187"/>
        <v>0</v>
      </c>
      <c r="GW152" s="55">
        <f t="shared" ca="1" si="188"/>
        <v>0</v>
      </c>
      <c r="GX152" s="55">
        <f t="shared" ca="1" si="189"/>
        <v>0</v>
      </c>
      <c r="GY152" s="55">
        <f t="shared" ca="1" si="190"/>
        <v>0</v>
      </c>
      <c r="GZ152" s="55">
        <f t="shared" ca="1" si="191"/>
        <v>0</v>
      </c>
      <c r="HA152" s="55">
        <f t="shared" ca="1" si="192"/>
        <v>0</v>
      </c>
      <c r="HB152" s="55">
        <f t="shared" ca="1" si="193"/>
        <v>0</v>
      </c>
      <c r="HC152" s="55">
        <f t="shared" ca="1" si="194"/>
        <v>0</v>
      </c>
      <c r="HD152" s="55">
        <f t="shared" ca="1" si="195"/>
        <v>0</v>
      </c>
      <c r="HE152" s="55">
        <f t="shared" ca="1" si="196"/>
        <v>0</v>
      </c>
    </row>
    <row r="153" spans="1:213">
      <c r="A153" s="27">
        <v>16</v>
      </c>
      <c r="B153" s="27">
        <v>68</v>
      </c>
      <c r="C153" s="27">
        <v>0.91031799999999996</v>
      </c>
      <c r="D153" s="27">
        <v>0.46063300000000001</v>
      </c>
      <c r="E153" s="27">
        <v>13</v>
      </c>
      <c r="F153" s="27">
        <f t="shared" ca="1" si="59"/>
        <v>27</v>
      </c>
      <c r="G153" s="27">
        <f t="shared" si="54"/>
        <v>0</v>
      </c>
      <c r="H153" s="27" t="str">
        <f t="shared" si="60"/>
        <v>Não</v>
      </c>
      <c r="I153" s="27">
        <f t="shared" si="61"/>
        <v>0</v>
      </c>
      <c r="J153" s="37">
        <f t="shared" si="62"/>
        <v>0</v>
      </c>
      <c r="K153" s="55">
        <f t="shared" si="63"/>
        <v>-0.83938599999999997</v>
      </c>
      <c r="L153" s="55">
        <f t="shared" si="197"/>
        <v>-7.3762999999999995E-2</v>
      </c>
      <c r="M153" s="55">
        <f t="shared" si="198"/>
        <v>0.222966</v>
      </c>
      <c r="N153" s="55">
        <f t="shared" si="199"/>
        <v>0.30225400000000002</v>
      </c>
      <c r="O153" s="55">
        <f t="shared" si="200"/>
        <v>0.68256499999999998</v>
      </c>
      <c r="P153" s="55">
        <f t="shared" si="201"/>
        <v>-0.35476799999999997</v>
      </c>
      <c r="Q153" s="55">
        <f t="shared" si="202"/>
        <v>-0.264739</v>
      </c>
      <c r="R153" s="55">
        <f t="shared" si="203"/>
        <v>-0.81806999999999996</v>
      </c>
      <c r="S153" s="55">
        <f t="shared" si="204"/>
        <v>0.25250699999999998</v>
      </c>
      <c r="T153" s="55">
        <f t="shared" si="205"/>
        <v>-0.689828</v>
      </c>
      <c r="U153" s="55">
        <f t="shared" si="206"/>
        <v>5.0720000000000001E-3</v>
      </c>
      <c r="V153" s="55">
        <f t="shared" si="116"/>
        <v>-0.25135200000000002</v>
      </c>
      <c r="W153" s="55">
        <f t="shared" si="117"/>
        <v>3.3418999999999997E-2</v>
      </c>
      <c r="X153" s="55">
        <f t="shared" si="118"/>
        <v>-0.80864000000000003</v>
      </c>
      <c r="Y153" s="55">
        <f t="shared" si="119"/>
        <v>0.35101399999999999</v>
      </c>
      <c r="Z153" s="55">
        <f t="shared" si="120"/>
        <v>1.280697</v>
      </c>
      <c r="AA153" s="55">
        <f t="shared" si="121"/>
        <v>-1.7562999999999999E-2</v>
      </c>
      <c r="AB153" s="55">
        <f t="shared" si="122"/>
        <v>-1.189017</v>
      </c>
      <c r="AC153" s="55">
        <f t="shared" si="123"/>
        <v>-0.61908399999999997</v>
      </c>
      <c r="AD153" s="55">
        <f t="shared" si="124"/>
        <v>-4.4188999999999999E-2</v>
      </c>
      <c r="AE153" s="55">
        <f t="shared" si="125"/>
        <v>0.584592</v>
      </c>
      <c r="AF153" s="55">
        <f t="shared" si="126"/>
        <v>1.049345</v>
      </c>
      <c r="AG153" s="55">
        <f t="shared" si="127"/>
        <v>0.62535700000000005</v>
      </c>
      <c r="AH153" s="55">
        <f t="shared" si="128"/>
        <v>0.58512900000000001</v>
      </c>
      <c r="AI153" s="55">
        <f t="shared" si="129"/>
        <v>-1.4290860000000001</v>
      </c>
      <c r="AJ153" s="55">
        <f t="shared" si="130"/>
        <v>7.5738E-2</v>
      </c>
      <c r="AK153" s="55">
        <f t="shared" si="131"/>
        <v>-0.53014099999999997</v>
      </c>
      <c r="AL153" s="55">
        <f t="shared" si="132"/>
        <v>0.73582999999999998</v>
      </c>
      <c r="AM153" s="55">
        <f t="shared" si="133"/>
        <v>-0.82043699999999997</v>
      </c>
      <c r="AN153" s="55">
        <f t="shared" si="134"/>
        <v>-0.92069299999999998</v>
      </c>
      <c r="AO153" s="55">
        <f t="shared" si="135"/>
        <v>-2.0251000000000002E-2</v>
      </c>
      <c r="AP153" s="55">
        <f t="shared" si="136"/>
        <v>-0.95974599999999999</v>
      </c>
      <c r="AQ153" s="55">
        <f t="shared" si="137"/>
        <v>0.49084</v>
      </c>
      <c r="AR153" s="55">
        <f t="shared" si="138"/>
        <v>0.16636699999999999</v>
      </c>
      <c r="AS153" s="55">
        <f t="shared" si="139"/>
        <v>-1.423308</v>
      </c>
      <c r="AT153" s="55">
        <f t="shared" si="140"/>
        <v>-0.426983</v>
      </c>
      <c r="AU153" s="55">
        <f t="shared" si="141"/>
        <v>0.70173099999999999</v>
      </c>
      <c r="AV153" s="55">
        <f t="shared" si="142"/>
        <v>0.28100799999999998</v>
      </c>
      <c r="AW153" s="55">
        <f t="shared" si="143"/>
        <v>-0.125828</v>
      </c>
      <c r="AX153" s="55">
        <f t="shared" si="144"/>
        <v>-0.39920099999999997</v>
      </c>
      <c r="AY153" s="55">
        <f t="shared" si="145"/>
        <v>0.17724200000000001</v>
      </c>
      <c r="AZ153" s="55">
        <f t="shared" si="146"/>
        <v>-0.61853800000000003</v>
      </c>
      <c r="BA153" s="55">
        <f t="shared" si="147"/>
        <v>-0.90148200000000001</v>
      </c>
      <c r="BB153" s="55">
        <f t="shared" si="148"/>
        <v>-0.65776100000000004</v>
      </c>
      <c r="BC153" s="55">
        <f t="shared" si="149"/>
        <v>-0.14538499999999999</v>
      </c>
      <c r="BD153" s="55">
        <f t="shared" si="150"/>
        <v>-0.63981299999999997</v>
      </c>
      <c r="BE153" s="55">
        <f t="shared" si="151"/>
        <v>0.203068</v>
      </c>
      <c r="BF153" s="55">
        <f t="shared" si="152"/>
        <v>0.72957000000000005</v>
      </c>
      <c r="BG153" s="55">
        <f t="shared" si="153"/>
        <v>0.97402999999999995</v>
      </c>
      <c r="BH153" s="55">
        <f t="shared" si="154"/>
        <v>-0.264011</v>
      </c>
      <c r="BJ153" s="55">
        <f t="shared" si="64"/>
        <v>0.59661299999999995</v>
      </c>
      <c r="BK153" s="55">
        <f t="shared" si="64"/>
        <v>4.6722E-2</v>
      </c>
      <c r="BL153" s="55">
        <f t="shared" si="64"/>
        <v>0.84499000000000002</v>
      </c>
      <c r="BM153" s="55">
        <f t="shared" si="64"/>
        <v>0.70559700000000003</v>
      </c>
      <c r="BN153" s="55">
        <f t="shared" si="64"/>
        <v>-0.26948</v>
      </c>
      <c r="BO153" s="55">
        <f t="shared" si="64"/>
        <v>0.55483099999999996</v>
      </c>
      <c r="BP153" s="55">
        <f t="shared" si="64"/>
        <v>0.27463599999999999</v>
      </c>
      <c r="BQ153" s="55">
        <f t="shared" si="64"/>
        <v>1.007574</v>
      </c>
      <c r="BR153" s="55">
        <f t="shared" si="64"/>
        <v>0.67580399999999996</v>
      </c>
      <c r="BS153" s="55">
        <f t="shared" si="64"/>
        <v>0.95684100000000005</v>
      </c>
      <c r="BT153" s="55">
        <f t="shared" si="64"/>
        <v>-0.33118999999999998</v>
      </c>
      <c r="BU153" s="55">
        <f t="shared" si="64"/>
        <v>-0.18388299999999999</v>
      </c>
      <c r="BV153" s="55">
        <f t="shared" si="64"/>
        <v>-0.823855</v>
      </c>
      <c r="BW153" s="55">
        <f t="shared" si="64"/>
        <v>-0.293875</v>
      </c>
      <c r="BX153" s="55">
        <f t="shared" si="64"/>
        <v>-1.150944</v>
      </c>
      <c r="BY153" s="55">
        <f t="shared" si="64"/>
        <v>-4.0208000000000001E-2</v>
      </c>
      <c r="BZ153" s="55">
        <f t="shared" si="155"/>
        <v>9.1570000000000002E-3</v>
      </c>
      <c r="CA153" s="55">
        <f t="shared" si="155"/>
        <v>0.71827300000000005</v>
      </c>
      <c r="CB153" s="55">
        <f t="shared" si="155"/>
        <v>-1.014146</v>
      </c>
      <c r="CC153" s="55">
        <f t="shared" si="155"/>
        <v>0.18909400000000001</v>
      </c>
      <c r="CD153" s="55">
        <f t="shared" si="155"/>
        <v>-0.137041</v>
      </c>
      <c r="CE153" s="55">
        <f t="shared" si="155"/>
        <v>-1.0149090000000001</v>
      </c>
      <c r="CF153" s="55">
        <f t="shared" si="155"/>
        <v>0.36501</v>
      </c>
      <c r="CG153" s="55">
        <f t="shared" si="155"/>
        <v>-0.16683000000000001</v>
      </c>
      <c r="CH153" s="55">
        <f t="shared" si="155"/>
        <v>-9.7029000000000004E-2</v>
      </c>
      <c r="CI153" s="55">
        <f t="shared" si="155"/>
        <v>-0.11078499999999999</v>
      </c>
      <c r="CJ153" s="55">
        <f t="shared" si="155"/>
        <v>0.140847</v>
      </c>
      <c r="CK153" s="55">
        <f t="shared" si="156"/>
        <v>0.76027500000000003</v>
      </c>
      <c r="CL153" s="55">
        <f t="shared" si="156"/>
        <v>1.0447329999999999</v>
      </c>
      <c r="CM153" s="55">
        <f t="shared" si="156"/>
        <v>-0.81359599999999999</v>
      </c>
      <c r="CN153" s="55">
        <f t="shared" si="156"/>
        <v>-0.56049700000000002</v>
      </c>
      <c r="CO153" s="55">
        <f t="shared" si="156"/>
        <v>0.66468400000000005</v>
      </c>
      <c r="CP153" s="55">
        <f t="shared" si="156"/>
        <v>-0.12205000000000001</v>
      </c>
      <c r="CQ153" s="55">
        <f t="shared" si="156"/>
        <v>-4.761E-2</v>
      </c>
      <c r="CR153" s="55">
        <f t="shared" si="156"/>
        <v>4.7496999999999998E-2</v>
      </c>
      <c r="CS153" s="55">
        <f t="shared" si="156"/>
        <v>-0.35219299999999998</v>
      </c>
      <c r="CT153" s="55">
        <f t="shared" si="156"/>
        <v>-1.0246930000000001</v>
      </c>
      <c r="CU153" s="55">
        <f t="shared" si="156"/>
        <v>-0.32544699999999999</v>
      </c>
      <c r="CV153" s="55">
        <f t="shared" si="156"/>
        <v>-0.489591</v>
      </c>
      <c r="CW153" s="55">
        <f t="shared" si="156"/>
        <v>-0.74582700000000002</v>
      </c>
      <c r="CX153" s="55">
        <f t="shared" si="156"/>
        <v>0.11329599999999999</v>
      </c>
      <c r="CY153" s="55">
        <f t="shared" si="156"/>
        <v>-1.3594470000000001</v>
      </c>
      <c r="CZ153" s="55">
        <f t="shared" si="156"/>
        <v>0.52810699999999999</v>
      </c>
      <c r="DA153" s="55">
        <f t="shared" si="157"/>
        <v>0.12609799999999999</v>
      </c>
      <c r="DB153" s="55">
        <f t="shared" si="157"/>
        <v>-0.71600699999999995</v>
      </c>
      <c r="DC153" s="55">
        <f t="shared" si="157"/>
        <v>-0.18382399999999999</v>
      </c>
      <c r="DD153" s="55">
        <f t="shared" si="157"/>
        <v>0.247616</v>
      </c>
      <c r="DE153" s="55">
        <f t="shared" si="157"/>
        <v>1.6714249999999999</v>
      </c>
      <c r="DF153" s="55">
        <f t="shared" si="157"/>
        <v>-0.43859100000000001</v>
      </c>
      <c r="DG153" s="55">
        <f t="shared" si="157"/>
        <v>-0.45567000000000002</v>
      </c>
      <c r="DI153" s="55">
        <f t="shared" ca="1" si="65"/>
        <v>-0.83938599999999997</v>
      </c>
      <c r="DJ153" s="55">
        <f t="shared" ca="1" si="66"/>
        <v>-7.3762999999999995E-2</v>
      </c>
      <c r="DK153" s="55">
        <f t="shared" ca="1" si="67"/>
        <v>0.222966</v>
      </c>
      <c r="DL153" s="55">
        <f t="shared" ca="1" si="68"/>
        <v>0.30225400000000002</v>
      </c>
      <c r="DM153" s="55">
        <f t="shared" ca="1" si="69"/>
        <v>0.68256499999999998</v>
      </c>
      <c r="DN153" s="55">
        <f t="shared" ca="1" si="70"/>
        <v>-0.35476799999999997</v>
      </c>
      <c r="DO153" s="55">
        <f t="shared" ca="1" si="71"/>
        <v>-0.264739</v>
      </c>
      <c r="DP153" s="55">
        <f t="shared" ca="1" si="72"/>
        <v>-0.81806999999999996</v>
      </c>
      <c r="DQ153" s="55">
        <f t="shared" ca="1" si="73"/>
        <v>0.25250699999999998</v>
      </c>
      <c r="DR153" s="55">
        <f t="shared" ca="1" si="74"/>
        <v>-0.689828</v>
      </c>
      <c r="DS153" s="55">
        <f t="shared" ca="1" si="75"/>
        <v>5.0720000000000001E-3</v>
      </c>
      <c r="DT153" s="55">
        <f t="shared" ca="1" si="76"/>
        <v>-0.25135200000000002</v>
      </c>
      <c r="DU153" s="55">
        <f t="shared" ca="1" si="77"/>
        <v>3.3418999999999997E-2</v>
      </c>
      <c r="DV153" s="55">
        <f t="shared" ca="1" si="78"/>
        <v>-0.80864000000000003</v>
      </c>
      <c r="DW153" s="55">
        <f t="shared" ca="1" si="79"/>
        <v>0.35101399999999999</v>
      </c>
      <c r="DX153" s="55">
        <f t="shared" ca="1" si="80"/>
        <v>1.280697</v>
      </c>
      <c r="DY153" s="55">
        <f t="shared" ca="1" si="81"/>
        <v>-1.7562999999999999E-2</v>
      </c>
      <c r="DZ153" s="55">
        <f t="shared" ca="1" si="82"/>
        <v>-1.189017</v>
      </c>
      <c r="EA153" s="55">
        <f t="shared" ca="1" si="83"/>
        <v>-0.61908399999999997</v>
      </c>
      <c r="EB153" s="55">
        <f t="shared" ca="1" si="84"/>
        <v>-4.4188999999999999E-2</v>
      </c>
      <c r="EC153" s="55">
        <f t="shared" ca="1" si="85"/>
        <v>0.584592</v>
      </c>
      <c r="ED153" s="55">
        <f t="shared" ca="1" si="86"/>
        <v>1.049345</v>
      </c>
      <c r="EE153" s="55">
        <f t="shared" ca="1" si="87"/>
        <v>0.62535700000000005</v>
      </c>
      <c r="EF153" s="55">
        <f t="shared" ca="1" si="88"/>
        <v>0.58512900000000001</v>
      </c>
      <c r="EG153" s="55">
        <f t="shared" ca="1" si="89"/>
        <v>-1.4290860000000001</v>
      </c>
      <c r="EH153" s="55">
        <f t="shared" ca="1" si="90"/>
        <v>7.5738E-2</v>
      </c>
      <c r="EI153" s="55">
        <f t="shared" ca="1" si="91"/>
        <v>-0.53014099999999997</v>
      </c>
      <c r="EJ153" s="55">
        <f t="shared" ca="1" si="92"/>
        <v>0.73582999999999998</v>
      </c>
      <c r="EK153" s="55">
        <f t="shared" ca="1" si="93"/>
        <v>-0.82043699999999997</v>
      </c>
      <c r="EL153" s="55">
        <f t="shared" ca="1" si="94"/>
        <v>-0.92069299999999998</v>
      </c>
      <c r="EM153" s="55">
        <f t="shared" ca="1" si="95"/>
        <v>-2.0251000000000002E-2</v>
      </c>
      <c r="EN153" s="55">
        <f t="shared" ca="1" si="96"/>
        <v>-0.95974599999999999</v>
      </c>
      <c r="EO153" s="55">
        <f t="shared" ca="1" si="97"/>
        <v>0.49084</v>
      </c>
      <c r="EP153" s="55">
        <f t="shared" ca="1" si="98"/>
        <v>0.16636699999999999</v>
      </c>
      <c r="EQ153" s="55">
        <f t="shared" ca="1" si="99"/>
        <v>-1.423308</v>
      </c>
      <c r="ER153" s="55">
        <f t="shared" ca="1" si="100"/>
        <v>-0.426983</v>
      </c>
      <c r="ES153" s="55">
        <f t="shared" ca="1" si="101"/>
        <v>0.70173099999999999</v>
      </c>
      <c r="ET153" s="55">
        <f t="shared" ca="1" si="102"/>
        <v>0.28100799999999998</v>
      </c>
      <c r="EU153" s="55">
        <f t="shared" ca="1" si="103"/>
        <v>-0.125828</v>
      </c>
      <c r="EV153" s="55">
        <f t="shared" ca="1" si="104"/>
        <v>-0.39920099999999997</v>
      </c>
      <c r="EW153" s="55">
        <f t="shared" ca="1" si="105"/>
        <v>0.17724200000000001</v>
      </c>
      <c r="EX153" s="55">
        <f t="shared" ca="1" si="106"/>
        <v>-0.61853800000000003</v>
      </c>
      <c r="EY153" s="55">
        <f t="shared" ca="1" si="107"/>
        <v>-0.90148200000000001</v>
      </c>
      <c r="EZ153" s="55">
        <f t="shared" ca="1" si="108"/>
        <v>-0.65776100000000004</v>
      </c>
      <c r="FA153" s="55">
        <f t="shared" ca="1" si="109"/>
        <v>-0.14538499999999999</v>
      </c>
      <c r="FB153" s="55">
        <f t="shared" ca="1" si="110"/>
        <v>-0.63981299999999997</v>
      </c>
      <c r="FC153" s="55">
        <f t="shared" ca="1" si="111"/>
        <v>0.203068</v>
      </c>
      <c r="FD153" s="55">
        <f t="shared" ca="1" si="112"/>
        <v>0.72957000000000005</v>
      </c>
      <c r="FE153" s="55">
        <f t="shared" ca="1" si="113"/>
        <v>0.97402999999999995</v>
      </c>
      <c r="FF153" s="55">
        <f t="shared" ca="1" si="114"/>
        <v>-0.264011</v>
      </c>
      <c r="FH153" s="55">
        <f t="shared" ca="1" si="115"/>
        <v>0</v>
      </c>
      <c r="FI153" s="55">
        <f t="shared" ca="1" si="207"/>
        <v>0</v>
      </c>
      <c r="FJ153" s="55">
        <f t="shared" ca="1" si="208"/>
        <v>0</v>
      </c>
      <c r="FK153" s="55">
        <f t="shared" ca="1" si="209"/>
        <v>0</v>
      </c>
      <c r="FL153" s="55">
        <f t="shared" ca="1" si="210"/>
        <v>0</v>
      </c>
      <c r="FM153" s="55">
        <f t="shared" ca="1" si="211"/>
        <v>0</v>
      </c>
      <c r="FN153" s="55">
        <f t="shared" ca="1" si="212"/>
        <v>0</v>
      </c>
      <c r="FO153" s="55">
        <f t="shared" ca="1" si="213"/>
        <v>0</v>
      </c>
      <c r="FP153" s="55">
        <f t="shared" ca="1" si="214"/>
        <v>0</v>
      </c>
      <c r="FQ153" s="55">
        <f t="shared" ca="1" si="215"/>
        <v>0</v>
      </c>
      <c r="FR153" s="55">
        <f t="shared" ca="1" si="216"/>
        <v>0</v>
      </c>
      <c r="FS153" s="55">
        <f t="shared" ca="1" si="158"/>
        <v>0</v>
      </c>
      <c r="FT153" s="55">
        <f t="shared" ca="1" si="159"/>
        <v>0</v>
      </c>
      <c r="FU153" s="55">
        <f t="shared" ca="1" si="160"/>
        <v>0</v>
      </c>
      <c r="FV153" s="55">
        <f t="shared" ca="1" si="161"/>
        <v>0</v>
      </c>
      <c r="FW153" s="55">
        <f t="shared" ca="1" si="162"/>
        <v>0</v>
      </c>
      <c r="FX153" s="55">
        <f t="shared" ca="1" si="163"/>
        <v>0</v>
      </c>
      <c r="FY153" s="55">
        <f t="shared" ca="1" si="164"/>
        <v>0</v>
      </c>
      <c r="FZ153" s="55">
        <f t="shared" ca="1" si="165"/>
        <v>0</v>
      </c>
      <c r="GA153" s="55">
        <f t="shared" ca="1" si="166"/>
        <v>0</v>
      </c>
      <c r="GB153" s="55">
        <f t="shared" ca="1" si="167"/>
        <v>0</v>
      </c>
      <c r="GC153" s="55">
        <f t="shared" ca="1" si="168"/>
        <v>0</v>
      </c>
      <c r="GD153" s="55">
        <f t="shared" ca="1" si="169"/>
        <v>0</v>
      </c>
      <c r="GE153" s="55">
        <f t="shared" ca="1" si="170"/>
        <v>0</v>
      </c>
      <c r="GF153" s="55">
        <f t="shared" ca="1" si="171"/>
        <v>0</v>
      </c>
      <c r="GG153" s="55">
        <f t="shared" ca="1" si="172"/>
        <v>0</v>
      </c>
      <c r="GH153" s="55">
        <f t="shared" ca="1" si="173"/>
        <v>0</v>
      </c>
      <c r="GI153" s="55">
        <f t="shared" ca="1" si="174"/>
        <v>0</v>
      </c>
      <c r="GJ153" s="55">
        <f t="shared" ca="1" si="175"/>
        <v>0</v>
      </c>
      <c r="GK153" s="55">
        <f t="shared" ca="1" si="176"/>
        <v>0</v>
      </c>
      <c r="GL153" s="55">
        <f t="shared" ca="1" si="177"/>
        <v>0</v>
      </c>
      <c r="GM153" s="55">
        <f t="shared" ca="1" si="178"/>
        <v>0</v>
      </c>
      <c r="GN153" s="55">
        <f t="shared" ca="1" si="179"/>
        <v>0</v>
      </c>
      <c r="GO153" s="55">
        <f t="shared" ca="1" si="180"/>
        <v>0</v>
      </c>
      <c r="GP153" s="55">
        <f t="shared" ca="1" si="181"/>
        <v>0</v>
      </c>
      <c r="GQ153" s="55">
        <f t="shared" ca="1" si="182"/>
        <v>0</v>
      </c>
      <c r="GR153" s="55">
        <f t="shared" ca="1" si="183"/>
        <v>0</v>
      </c>
      <c r="GS153" s="55">
        <f t="shared" ca="1" si="184"/>
        <v>0</v>
      </c>
      <c r="GT153" s="55">
        <f t="shared" ca="1" si="185"/>
        <v>0</v>
      </c>
      <c r="GU153" s="55">
        <f t="shared" ca="1" si="186"/>
        <v>0</v>
      </c>
      <c r="GV153" s="55">
        <f t="shared" ca="1" si="187"/>
        <v>0</v>
      </c>
      <c r="GW153" s="55">
        <f t="shared" ca="1" si="188"/>
        <v>0</v>
      </c>
      <c r="GX153" s="55">
        <f t="shared" ca="1" si="189"/>
        <v>0</v>
      </c>
      <c r="GY153" s="55">
        <f t="shared" ca="1" si="190"/>
        <v>0</v>
      </c>
      <c r="GZ153" s="55">
        <f t="shared" ca="1" si="191"/>
        <v>0</v>
      </c>
      <c r="HA153" s="55">
        <f t="shared" ca="1" si="192"/>
        <v>0</v>
      </c>
      <c r="HB153" s="55">
        <f t="shared" ca="1" si="193"/>
        <v>0</v>
      </c>
      <c r="HC153" s="55">
        <f t="shared" ca="1" si="194"/>
        <v>0</v>
      </c>
      <c r="HD153" s="55">
        <f t="shared" ca="1" si="195"/>
        <v>0</v>
      </c>
      <c r="HE153" s="55">
        <f t="shared" ca="1" si="196"/>
        <v>0</v>
      </c>
    </row>
    <row r="154" spans="1:213">
      <c r="A154" s="27">
        <v>17</v>
      </c>
      <c r="B154" s="27">
        <v>55</v>
      </c>
      <c r="C154" s="27">
        <v>6.1568999999999999E-2</v>
      </c>
      <c r="D154" s="27">
        <v>6.0547999999999998E-2</v>
      </c>
      <c r="E154" s="27">
        <v>46</v>
      </c>
      <c r="F154" s="27">
        <f t="shared" ca="1" si="59"/>
        <v>49</v>
      </c>
      <c r="G154" s="27">
        <f t="shared" si="54"/>
        <v>0</v>
      </c>
      <c r="H154" s="27" t="str">
        <f t="shared" si="60"/>
        <v>Sim</v>
      </c>
      <c r="I154" s="27">
        <f t="shared" si="61"/>
        <v>0</v>
      </c>
      <c r="J154" s="37">
        <f t="shared" si="62"/>
        <v>1</v>
      </c>
      <c r="K154" s="55">
        <f t="shared" si="63"/>
        <v>-1.4143520000000001</v>
      </c>
      <c r="L154" s="55">
        <f t="shared" si="197"/>
        <v>1.4850350000000001</v>
      </c>
      <c r="M154" s="55">
        <f t="shared" si="198"/>
        <v>1.864975</v>
      </c>
      <c r="N154" s="55">
        <f t="shared" si="199"/>
        <v>-9.8659999999999998E-3</v>
      </c>
      <c r="O154" s="55">
        <f t="shared" si="200"/>
        <v>0.437025</v>
      </c>
      <c r="P154" s="55">
        <f t="shared" si="201"/>
        <v>2.8424999999999999E-2</v>
      </c>
      <c r="Q154" s="55">
        <f t="shared" si="202"/>
        <v>0.55350200000000005</v>
      </c>
      <c r="R154" s="55">
        <f t="shared" si="203"/>
        <v>-0.56803800000000004</v>
      </c>
      <c r="S154" s="55">
        <f t="shared" si="204"/>
        <v>0.14879800000000001</v>
      </c>
      <c r="T154" s="55">
        <f t="shared" si="205"/>
        <v>0.33643699999999999</v>
      </c>
      <c r="U154" s="55">
        <f t="shared" si="206"/>
        <v>0.92656400000000005</v>
      </c>
      <c r="V154" s="55">
        <f t="shared" si="116"/>
        <v>0.245313</v>
      </c>
      <c r="W154" s="55">
        <f t="shared" si="117"/>
        <v>-0.29562300000000002</v>
      </c>
      <c r="X154" s="55">
        <f t="shared" si="118"/>
        <v>0.51491600000000004</v>
      </c>
      <c r="Y154" s="55">
        <f t="shared" si="119"/>
        <v>0.81218100000000004</v>
      </c>
      <c r="Z154" s="55">
        <f t="shared" si="120"/>
        <v>0.80408900000000005</v>
      </c>
      <c r="AA154" s="55">
        <f t="shared" si="121"/>
        <v>0.119377</v>
      </c>
      <c r="AB154" s="55">
        <f t="shared" si="122"/>
        <v>-0.25527100000000003</v>
      </c>
      <c r="AC154" s="55">
        <f t="shared" si="123"/>
        <v>0.45116600000000001</v>
      </c>
      <c r="AD154" s="55">
        <f t="shared" si="124"/>
        <v>-0.22115799999999999</v>
      </c>
      <c r="AE154" s="55">
        <f t="shared" si="125"/>
        <v>-0.198461</v>
      </c>
      <c r="AF154" s="55">
        <f t="shared" si="126"/>
        <v>-0.83983200000000002</v>
      </c>
      <c r="AG154" s="55">
        <f t="shared" si="127"/>
        <v>-0.26358700000000002</v>
      </c>
      <c r="AH154" s="55">
        <f t="shared" si="128"/>
        <v>1.152701</v>
      </c>
      <c r="AI154" s="55">
        <f t="shared" si="129"/>
        <v>0.67613800000000002</v>
      </c>
      <c r="AJ154" s="55">
        <f t="shared" si="130"/>
        <v>0.385245</v>
      </c>
      <c r="AK154" s="55">
        <f t="shared" si="131"/>
        <v>0.309529</v>
      </c>
      <c r="AL154" s="55">
        <f t="shared" si="132"/>
        <v>-0.31473400000000001</v>
      </c>
      <c r="AM154" s="55">
        <f t="shared" si="133"/>
        <v>6.6188999999999998E-2</v>
      </c>
      <c r="AN154" s="55">
        <f t="shared" si="134"/>
        <v>-0.38019999999999998</v>
      </c>
      <c r="AO154" s="55">
        <f t="shared" si="135"/>
        <v>-0.136792</v>
      </c>
      <c r="AP154" s="55">
        <f t="shared" si="136"/>
        <v>-0.94594100000000003</v>
      </c>
      <c r="AQ154" s="55">
        <f t="shared" si="137"/>
        <v>0.76394499999999999</v>
      </c>
      <c r="AR154" s="55">
        <f t="shared" si="138"/>
        <v>0.17771200000000001</v>
      </c>
      <c r="AS154" s="55">
        <f t="shared" si="139"/>
        <v>-0.60980400000000001</v>
      </c>
      <c r="AT154" s="55">
        <f t="shared" si="140"/>
        <v>0.92602200000000001</v>
      </c>
      <c r="AU154" s="55">
        <f t="shared" si="141"/>
        <v>-0.47570200000000001</v>
      </c>
      <c r="AV154" s="55">
        <f t="shared" si="142"/>
        <v>-0.249861</v>
      </c>
      <c r="AW154" s="55">
        <f t="shared" si="143"/>
        <v>-0.32104700000000003</v>
      </c>
      <c r="AX154" s="55">
        <f t="shared" si="144"/>
        <v>-9.8815E-2</v>
      </c>
      <c r="AY154" s="55">
        <f t="shared" si="145"/>
        <v>-0.18464900000000001</v>
      </c>
      <c r="AZ154" s="55">
        <f t="shared" si="146"/>
        <v>0.437639</v>
      </c>
      <c r="BA154" s="55">
        <f t="shared" si="147"/>
        <v>0.52409899999999998</v>
      </c>
      <c r="BB154" s="55">
        <f t="shared" si="148"/>
        <v>-0.50070800000000004</v>
      </c>
      <c r="BC154" s="55">
        <f t="shared" si="149"/>
        <v>-0.35497600000000001</v>
      </c>
      <c r="BD154" s="55">
        <f t="shared" si="150"/>
        <v>1.149502</v>
      </c>
      <c r="BE154" s="55">
        <f t="shared" si="151"/>
        <v>-0.60473500000000002</v>
      </c>
      <c r="BF154" s="55">
        <f t="shared" si="152"/>
        <v>0.37254500000000002</v>
      </c>
      <c r="BG154" s="55">
        <f t="shared" si="153"/>
        <v>0.311108</v>
      </c>
      <c r="BH154" s="55">
        <f t="shared" si="154"/>
        <v>-1.0673820000000001</v>
      </c>
      <c r="BJ154" s="55">
        <f t="shared" si="64"/>
        <v>1.201147</v>
      </c>
      <c r="BK154" s="55">
        <f t="shared" si="64"/>
        <v>0.79544800000000004</v>
      </c>
      <c r="BL154" s="55">
        <f t="shared" si="64"/>
        <v>-0.347964</v>
      </c>
      <c r="BM154" s="55">
        <f t="shared" si="64"/>
        <v>0.64128600000000002</v>
      </c>
      <c r="BN154" s="55">
        <f t="shared" si="64"/>
        <v>-1.14191</v>
      </c>
      <c r="BO154" s="55">
        <f t="shared" si="64"/>
        <v>-0.75992899999999997</v>
      </c>
      <c r="BP154" s="55">
        <f t="shared" si="64"/>
        <v>-1.604358</v>
      </c>
      <c r="BQ154" s="55">
        <f t="shared" si="64"/>
        <v>0.857491</v>
      </c>
      <c r="BR154" s="55">
        <f t="shared" si="64"/>
        <v>-0.38516099999999998</v>
      </c>
      <c r="BS154" s="55">
        <f t="shared" si="64"/>
        <v>-0.71442099999999997</v>
      </c>
      <c r="BT154" s="55">
        <f t="shared" si="64"/>
        <v>0.24291399999999999</v>
      </c>
      <c r="BU154" s="55">
        <f t="shared" si="64"/>
        <v>0.67096800000000001</v>
      </c>
      <c r="BV154" s="55">
        <f t="shared" si="64"/>
        <v>-0.96941600000000006</v>
      </c>
      <c r="BW154" s="55">
        <f t="shared" si="64"/>
        <v>0.99116300000000002</v>
      </c>
      <c r="BX154" s="55">
        <f t="shared" si="64"/>
        <v>-0.74195800000000001</v>
      </c>
      <c r="BY154" s="55">
        <f t="shared" si="64"/>
        <v>-0.86413799999999996</v>
      </c>
      <c r="BZ154" s="55">
        <f t="shared" si="155"/>
        <v>0.40667399999999998</v>
      </c>
      <c r="CA154" s="55">
        <f t="shared" si="155"/>
        <v>-0.128631</v>
      </c>
      <c r="CB154" s="55">
        <f t="shared" si="155"/>
        <v>0.52541599999999999</v>
      </c>
      <c r="CC154" s="55">
        <f t="shared" si="155"/>
        <v>-0.70207799999999998</v>
      </c>
      <c r="CD154" s="55">
        <f t="shared" si="155"/>
        <v>0.44840099999999999</v>
      </c>
      <c r="CE154" s="55">
        <f t="shared" si="155"/>
        <v>0.16995399999999999</v>
      </c>
      <c r="CF154" s="55">
        <f t="shared" si="155"/>
        <v>-0.86248899999999995</v>
      </c>
      <c r="CG154" s="55">
        <f t="shared" si="155"/>
        <v>-0.22888700000000001</v>
      </c>
      <c r="CH154" s="55">
        <f t="shared" si="155"/>
        <v>0.45491999999999999</v>
      </c>
      <c r="CI154" s="55">
        <f t="shared" si="155"/>
        <v>-0.72645800000000005</v>
      </c>
      <c r="CJ154" s="55">
        <f t="shared" si="155"/>
        <v>1.391367</v>
      </c>
      <c r="CK154" s="55">
        <f t="shared" si="156"/>
        <v>9.3720000000000001E-3</v>
      </c>
      <c r="CL154" s="55">
        <f t="shared" si="156"/>
        <v>0.78249100000000005</v>
      </c>
      <c r="CM154" s="55">
        <f t="shared" si="156"/>
        <v>0.10928599999999999</v>
      </c>
      <c r="CN154" s="55">
        <f t="shared" si="156"/>
        <v>0.149314</v>
      </c>
      <c r="CO154" s="55">
        <f t="shared" si="156"/>
        <v>-0.14735699999999999</v>
      </c>
      <c r="CP154" s="55">
        <f t="shared" si="156"/>
        <v>-0.37022500000000003</v>
      </c>
      <c r="CQ154" s="55">
        <f t="shared" si="156"/>
        <v>0.68862100000000004</v>
      </c>
      <c r="CR154" s="55">
        <f t="shared" si="156"/>
        <v>0.116507</v>
      </c>
      <c r="CS154" s="55">
        <f t="shared" si="156"/>
        <v>0.70454499999999998</v>
      </c>
      <c r="CT154" s="55">
        <f t="shared" si="156"/>
        <v>0.25917099999999998</v>
      </c>
      <c r="CU154" s="55">
        <f t="shared" si="156"/>
        <v>0.58424699999999996</v>
      </c>
      <c r="CV154" s="55">
        <f t="shared" si="156"/>
        <v>0.43226199999999998</v>
      </c>
      <c r="CW154" s="55">
        <f t="shared" si="156"/>
        <v>0.38578699999999999</v>
      </c>
      <c r="CX154" s="55">
        <f t="shared" si="156"/>
        <v>1.4157839999999999</v>
      </c>
      <c r="CY154" s="55">
        <f t="shared" si="156"/>
        <v>0.87623600000000001</v>
      </c>
      <c r="CZ154" s="55">
        <f t="shared" si="156"/>
        <v>-3.2625000000000001E-2</v>
      </c>
      <c r="DA154" s="55">
        <f t="shared" si="157"/>
        <v>0.20579900000000001</v>
      </c>
      <c r="DB154" s="55">
        <f t="shared" si="157"/>
        <v>0.16142899999999999</v>
      </c>
      <c r="DC154" s="55">
        <f t="shared" si="157"/>
        <v>0.53557699999999997</v>
      </c>
      <c r="DD154" s="55">
        <f t="shared" si="157"/>
        <v>2.696E-3</v>
      </c>
      <c r="DE154" s="55">
        <f t="shared" si="157"/>
        <v>0.41212700000000002</v>
      </c>
      <c r="DF154" s="55">
        <f t="shared" si="157"/>
        <v>-9.1273000000000007E-2</v>
      </c>
      <c r="DG154" s="55">
        <f t="shared" si="157"/>
        <v>-9.8309999999999995E-2</v>
      </c>
      <c r="DI154" s="55">
        <f t="shared" ca="1" si="65"/>
        <v>-1.4143520000000001</v>
      </c>
      <c r="DJ154" s="55">
        <f t="shared" ca="1" si="66"/>
        <v>1.4850350000000001</v>
      </c>
      <c r="DK154" s="55">
        <f t="shared" ca="1" si="67"/>
        <v>1.864975</v>
      </c>
      <c r="DL154" s="55">
        <f t="shared" ca="1" si="68"/>
        <v>-9.8659999999999998E-3</v>
      </c>
      <c r="DM154" s="55">
        <f t="shared" ca="1" si="69"/>
        <v>0.437025</v>
      </c>
      <c r="DN154" s="55">
        <f t="shared" ca="1" si="70"/>
        <v>2.8424999999999999E-2</v>
      </c>
      <c r="DO154" s="55">
        <f t="shared" ca="1" si="71"/>
        <v>0.55350200000000005</v>
      </c>
      <c r="DP154" s="55">
        <f t="shared" ca="1" si="72"/>
        <v>-0.56803800000000004</v>
      </c>
      <c r="DQ154" s="55">
        <f t="shared" ca="1" si="73"/>
        <v>0.14879800000000001</v>
      </c>
      <c r="DR154" s="55">
        <f t="shared" ca="1" si="74"/>
        <v>0.33643699999999999</v>
      </c>
      <c r="DS154" s="55">
        <f t="shared" ca="1" si="75"/>
        <v>0.92656400000000005</v>
      </c>
      <c r="DT154" s="55">
        <f t="shared" ca="1" si="76"/>
        <v>0.245313</v>
      </c>
      <c r="DU154" s="55">
        <f t="shared" ca="1" si="77"/>
        <v>-0.29562300000000002</v>
      </c>
      <c r="DV154" s="55">
        <f t="shared" ca="1" si="78"/>
        <v>0.51491600000000004</v>
      </c>
      <c r="DW154" s="55">
        <f t="shared" ca="1" si="79"/>
        <v>0.81218100000000004</v>
      </c>
      <c r="DX154" s="55">
        <f t="shared" ca="1" si="80"/>
        <v>0.80408900000000005</v>
      </c>
      <c r="DY154" s="55">
        <f t="shared" ca="1" si="81"/>
        <v>0.119377</v>
      </c>
      <c r="DZ154" s="55">
        <f t="shared" ca="1" si="82"/>
        <v>-0.25527100000000003</v>
      </c>
      <c r="EA154" s="55">
        <f t="shared" ca="1" si="83"/>
        <v>0.45116600000000001</v>
      </c>
      <c r="EB154" s="55">
        <f t="shared" ca="1" si="84"/>
        <v>-0.22115799999999999</v>
      </c>
      <c r="EC154" s="55">
        <f t="shared" ca="1" si="85"/>
        <v>-0.198461</v>
      </c>
      <c r="ED154" s="55">
        <f t="shared" ca="1" si="86"/>
        <v>-0.83983200000000002</v>
      </c>
      <c r="EE154" s="55">
        <f t="shared" ca="1" si="87"/>
        <v>-0.26358700000000002</v>
      </c>
      <c r="EF154" s="55">
        <f t="shared" ca="1" si="88"/>
        <v>1.152701</v>
      </c>
      <c r="EG154" s="55">
        <f t="shared" ca="1" si="89"/>
        <v>0.67613800000000002</v>
      </c>
      <c r="EH154" s="55">
        <f t="shared" ca="1" si="90"/>
        <v>0.385245</v>
      </c>
      <c r="EI154" s="55">
        <f t="shared" ca="1" si="91"/>
        <v>0.309529</v>
      </c>
      <c r="EJ154" s="55">
        <f t="shared" ca="1" si="92"/>
        <v>-0.31473400000000001</v>
      </c>
      <c r="EK154" s="55">
        <f t="shared" ca="1" si="93"/>
        <v>6.6188999999999998E-2</v>
      </c>
      <c r="EL154" s="55">
        <f t="shared" ca="1" si="94"/>
        <v>-0.38019999999999998</v>
      </c>
      <c r="EM154" s="55">
        <f t="shared" ca="1" si="95"/>
        <v>-0.136792</v>
      </c>
      <c r="EN154" s="55">
        <f t="shared" ca="1" si="96"/>
        <v>-0.94594100000000003</v>
      </c>
      <c r="EO154" s="55">
        <f t="shared" ca="1" si="97"/>
        <v>0.76394499999999999</v>
      </c>
      <c r="EP154" s="55">
        <f t="shared" ca="1" si="98"/>
        <v>0.17771200000000001</v>
      </c>
      <c r="EQ154" s="55">
        <f t="shared" ca="1" si="99"/>
        <v>-0.60980400000000001</v>
      </c>
      <c r="ER154" s="55">
        <f t="shared" ca="1" si="100"/>
        <v>0.92602200000000001</v>
      </c>
      <c r="ES154" s="55">
        <f t="shared" ca="1" si="101"/>
        <v>-0.47570200000000001</v>
      </c>
      <c r="ET154" s="55">
        <f t="shared" ca="1" si="102"/>
        <v>-0.249861</v>
      </c>
      <c r="EU154" s="55">
        <f t="shared" ca="1" si="103"/>
        <v>-0.32104700000000003</v>
      </c>
      <c r="EV154" s="55">
        <f t="shared" ca="1" si="104"/>
        <v>-9.8815E-2</v>
      </c>
      <c r="EW154" s="55">
        <f t="shared" ca="1" si="105"/>
        <v>-0.18464900000000001</v>
      </c>
      <c r="EX154" s="55">
        <f t="shared" ca="1" si="106"/>
        <v>0.437639</v>
      </c>
      <c r="EY154" s="55">
        <f t="shared" ca="1" si="107"/>
        <v>0.52409899999999998</v>
      </c>
      <c r="EZ154" s="55">
        <f t="shared" ca="1" si="108"/>
        <v>-0.50070800000000004</v>
      </c>
      <c r="FA154" s="55">
        <f t="shared" ca="1" si="109"/>
        <v>-0.35497600000000001</v>
      </c>
      <c r="FB154" s="55">
        <f t="shared" ca="1" si="110"/>
        <v>1.149502</v>
      </c>
      <c r="FC154" s="55">
        <f t="shared" ca="1" si="111"/>
        <v>-3.4082732188000002E-2</v>
      </c>
      <c r="FD154" s="55">
        <f t="shared" ca="1" si="112"/>
        <v>0.409730389064</v>
      </c>
      <c r="FE154" s="55">
        <f t="shared" ca="1" si="113"/>
        <v>-6.6909635211999996E-2</v>
      </c>
      <c r="FF154" s="55">
        <f t="shared" ca="1" si="114"/>
        <v>-1.0673820000000001</v>
      </c>
      <c r="FH154" s="55">
        <f t="shared" ca="1" si="115"/>
        <v>0</v>
      </c>
      <c r="FI154" s="55">
        <f t="shared" ca="1" si="207"/>
        <v>0</v>
      </c>
      <c r="FJ154" s="55">
        <f t="shared" ca="1" si="208"/>
        <v>0</v>
      </c>
      <c r="FK154" s="55">
        <f t="shared" ca="1" si="209"/>
        <v>0</v>
      </c>
      <c r="FL154" s="55">
        <f t="shared" ca="1" si="210"/>
        <v>0</v>
      </c>
      <c r="FM154" s="55">
        <f t="shared" ca="1" si="211"/>
        <v>0</v>
      </c>
      <c r="FN154" s="55">
        <f t="shared" ca="1" si="212"/>
        <v>0</v>
      </c>
      <c r="FO154" s="55">
        <f t="shared" ca="1" si="213"/>
        <v>0</v>
      </c>
      <c r="FP154" s="55">
        <f t="shared" ca="1" si="214"/>
        <v>0</v>
      </c>
      <c r="FQ154" s="55">
        <f t="shared" ca="1" si="215"/>
        <v>0</v>
      </c>
      <c r="FR154" s="55">
        <f t="shared" ca="1" si="216"/>
        <v>0</v>
      </c>
      <c r="FS154" s="55">
        <f t="shared" ca="1" si="158"/>
        <v>0</v>
      </c>
      <c r="FT154" s="55">
        <f t="shared" ca="1" si="159"/>
        <v>0</v>
      </c>
      <c r="FU154" s="55">
        <f t="shared" ca="1" si="160"/>
        <v>0</v>
      </c>
      <c r="FV154" s="55">
        <f t="shared" ca="1" si="161"/>
        <v>0</v>
      </c>
      <c r="FW154" s="55">
        <f t="shared" ca="1" si="162"/>
        <v>0</v>
      </c>
      <c r="FX154" s="55">
        <f t="shared" ca="1" si="163"/>
        <v>0</v>
      </c>
      <c r="FY154" s="55">
        <f t="shared" ca="1" si="164"/>
        <v>0</v>
      </c>
      <c r="FZ154" s="55">
        <f t="shared" ca="1" si="165"/>
        <v>0</v>
      </c>
      <c r="GA154" s="55">
        <f t="shared" ca="1" si="166"/>
        <v>0</v>
      </c>
      <c r="GB154" s="55">
        <f t="shared" ca="1" si="167"/>
        <v>0</v>
      </c>
      <c r="GC154" s="55">
        <f t="shared" ca="1" si="168"/>
        <v>0</v>
      </c>
      <c r="GD154" s="55">
        <f t="shared" ca="1" si="169"/>
        <v>0</v>
      </c>
      <c r="GE154" s="55">
        <f t="shared" ca="1" si="170"/>
        <v>0</v>
      </c>
      <c r="GF154" s="55">
        <f t="shared" ca="1" si="171"/>
        <v>0</v>
      </c>
      <c r="GG154" s="55">
        <f t="shared" ca="1" si="172"/>
        <v>0</v>
      </c>
      <c r="GH154" s="55">
        <f t="shared" ca="1" si="173"/>
        <v>0</v>
      </c>
      <c r="GI154" s="55">
        <f t="shared" ca="1" si="174"/>
        <v>0</v>
      </c>
      <c r="GJ154" s="55">
        <f t="shared" ca="1" si="175"/>
        <v>0</v>
      </c>
      <c r="GK154" s="55">
        <f t="shared" ca="1" si="176"/>
        <v>0</v>
      </c>
      <c r="GL154" s="55">
        <f t="shared" ca="1" si="177"/>
        <v>0</v>
      </c>
      <c r="GM154" s="55">
        <f t="shared" ca="1" si="178"/>
        <v>0</v>
      </c>
      <c r="GN154" s="55">
        <f t="shared" ca="1" si="179"/>
        <v>0</v>
      </c>
      <c r="GO154" s="55">
        <f t="shared" ca="1" si="180"/>
        <v>0</v>
      </c>
      <c r="GP154" s="55">
        <f t="shared" ca="1" si="181"/>
        <v>0</v>
      </c>
      <c r="GQ154" s="55">
        <f t="shared" ca="1" si="182"/>
        <v>0</v>
      </c>
      <c r="GR154" s="55">
        <f t="shared" ca="1" si="183"/>
        <v>0</v>
      </c>
      <c r="GS154" s="55">
        <f t="shared" ca="1" si="184"/>
        <v>0</v>
      </c>
      <c r="GT154" s="55">
        <f t="shared" ca="1" si="185"/>
        <v>0</v>
      </c>
      <c r="GU154" s="55">
        <f t="shared" ca="1" si="186"/>
        <v>0</v>
      </c>
      <c r="GV154" s="55">
        <f t="shared" ca="1" si="187"/>
        <v>0</v>
      </c>
      <c r="GW154" s="55">
        <f t="shared" ca="1" si="188"/>
        <v>0</v>
      </c>
      <c r="GX154" s="55">
        <f t="shared" ca="1" si="189"/>
        <v>0</v>
      </c>
      <c r="GY154" s="55">
        <f t="shared" ca="1" si="190"/>
        <v>0</v>
      </c>
      <c r="GZ154" s="55">
        <f t="shared" ca="1" si="191"/>
        <v>0</v>
      </c>
      <c r="HA154" s="55">
        <f t="shared" ca="1" si="192"/>
        <v>0</v>
      </c>
      <c r="HB154" s="55">
        <f t="shared" ca="1" si="193"/>
        <v>0.57065226781200007</v>
      </c>
      <c r="HC154" s="55">
        <f t="shared" ca="1" si="194"/>
        <v>3.7185389063999985E-2</v>
      </c>
      <c r="HD154" s="55">
        <f t="shared" ca="1" si="195"/>
        <v>-0.37801763521199999</v>
      </c>
      <c r="HE154" s="55">
        <f t="shared" ca="1" si="196"/>
        <v>0</v>
      </c>
    </row>
    <row r="155" spans="1:213">
      <c r="A155" s="27">
        <v>18</v>
      </c>
      <c r="B155" s="27">
        <v>52</v>
      </c>
      <c r="C155" s="27">
        <v>0.765795</v>
      </c>
      <c r="D155" s="27">
        <v>0.73979600000000001</v>
      </c>
      <c r="E155" s="27">
        <v>44</v>
      </c>
      <c r="F155" s="27">
        <f t="shared" ca="1" si="59"/>
        <v>45</v>
      </c>
      <c r="G155" s="27">
        <f t="shared" si="54"/>
        <v>0</v>
      </c>
      <c r="H155" s="27" t="str">
        <f t="shared" si="60"/>
        <v>Não</v>
      </c>
      <c r="I155" s="27">
        <f t="shared" si="61"/>
        <v>0</v>
      </c>
      <c r="J155" s="37">
        <f t="shared" si="62"/>
        <v>0</v>
      </c>
      <c r="K155" s="55">
        <f t="shared" si="63"/>
        <v>-8.9701000000000003E-2</v>
      </c>
      <c r="L155" s="55">
        <f t="shared" si="197"/>
        <v>-1.062033</v>
      </c>
      <c r="M155" s="55">
        <f t="shared" si="198"/>
        <v>0.99671799999999999</v>
      </c>
      <c r="N155" s="55">
        <f t="shared" si="199"/>
        <v>-0.50319899999999995</v>
      </c>
      <c r="O155" s="55">
        <f t="shared" si="200"/>
        <v>-1.3004290000000001</v>
      </c>
      <c r="P155" s="55">
        <f t="shared" si="201"/>
        <v>-3.0889E-2</v>
      </c>
      <c r="Q155" s="55">
        <f t="shared" si="202"/>
        <v>0.88186699999999996</v>
      </c>
      <c r="R155" s="55">
        <f t="shared" si="203"/>
        <v>0.71436999999999995</v>
      </c>
      <c r="S155" s="55">
        <f t="shared" si="204"/>
        <v>-0.26535799999999998</v>
      </c>
      <c r="T155" s="55">
        <f t="shared" si="205"/>
        <v>-0.51729899999999995</v>
      </c>
      <c r="U155" s="55">
        <f t="shared" si="206"/>
        <v>-1.3392459999999999</v>
      </c>
      <c r="V155" s="55">
        <f t="shared" si="116"/>
        <v>7.4237999999999998E-2</v>
      </c>
      <c r="W155" s="55">
        <f t="shared" si="117"/>
        <v>0.51790199999999997</v>
      </c>
      <c r="X155" s="55">
        <f t="shared" si="118"/>
        <v>-0.42674699999999999</v>
      </c>
      <c r="Y155" s="55">
        <f t="shared" si="119"/>
        <v>0.20774899999999999</v>
      </c>
      <c r="Z155" s="55">
        <f t="shared" si="120"/>
        <v>-0.73572700000000002</v>
      </c>
      <c r="AA155" s="55">
        <f t="shared" si="121"/>
        <v>0.70632300000000003</v>
      </c>
      <c r="AB155" s="55">
        <f t="shared" si="122"/>
        <v>0.33780100000000002</v>
      </c>
      <c r="AC155" s="55">
        <f t="shared" si="123"/>
        <v>0.563886</v>
      </c>
      <c r="AD155" s="55">
        <f t="shared" si="124"/>
        <v>-0.70856399999999997</v>
      </c>
      <c r="AE155" s="55">
        <f t="shared" si="125"/>
        <v>0.72263100000000002</v>
      </c>
      <c r="AF155" s="55">
        <f t="shared" si="126"/>
        <v>-0.23342099999999999</v>
      </c>
      <c r="AG155" s="55">
        <f t="shared" si="127"/>
        <v>-7.2009000000000004E-2</v>
      </c>
      <c r="AH155" s="55">
        <f t="shared" si="128"/>
        <v>-1.2075830000000001</v>
      </c>
      <c r="AI155" s="55">
        <f t="shared" si="129"/>
        <v>-0.440944</v>
      </c>
      <c r="AJ155" s="55">
        <f t="shared" si="130"/>
        <v>1.379237</v>
      </c>
      <c r="AK155" s="55">
        <f t="shared" si="131"/>
        <v>1.701673</v>
      </c>
      <c r="AL155" s="55">
        <f t="shared" si="132"/>
        <v>-0.17763499999999999</v>
      </c>
      <c r="AM155" s="55">
        <f t="shared" si="133"/>
        <v>-0.97233800000000004</v>
      </c>
      <c r="AN155" s="55">
        <f t="shared" si="134"/>
        <v>-0.75466800000000001</v>
      </c>
      <c r="AO155" s="55">
        <f t="shared" si="135"/>
        <v>0.47717900000000002</v>
      </c>
      <c r="AP155" s="55">
        <f t="shared" si="136"/>
        <v>-1.487E-2</v>
      </c>
      <c r="AQ155" s="55">
        <f t="shared" si="137"/>
        <v>0.19036</v>
      </c>
      <c r="AR155" s="55">
        <f t="shared" si="138"/>
        <v>-5.2224E-2</v>
      </c>
      <c r="AS155" s="55">
        <f t="shared" si="139"/>
        <v>-0.67636700000000005</v>
      </c>
      <c r="AT155" s="55">
        <f t="shared" si="140"/>
        <v>-0.44637100000000002</v>
      </c>
      <c r="AU155" s="55">
        <f t="shared" si="141"/>
        <v>0.46221600000000002</v>
      </c>
      <c r="AV155" s="55">
        <f t="shared" si="142"/>
        <v>0.33387099999999997</v>
      </c>
      <c r="AW155" s="55">
        <f t="shared" si="143"/>
        <v>1.359496</v>
      </c>
      <c r="AX155" s="55">
        <f t="shared" si="144"/>
        <v>0.58911400000000003</v>
      </c>
      <c r="AY155" s="55">
        <f t="shared" si="145"/>
        <v>-0.38329999999999997</v>
      </c>
      <c r="AZ155" s="55">
        <f t="shared" si="146"/>
        <v>0.37964500000000001</v>
      </c>
      <c r="BA155" s="55">
        <f t="shared" si="147"/>
        <v>-0.30181799999999998</v>
      </c>
      <c r="BB155" s="55">
        <f t="shared" si="148"/>
        <v>7.979E-2</v>
      </c>
      <c r="BC155" s="55">
        <f t="shared" si="149"/>
        <v>-0.33604899999999999</v>
      </c>
      <c r="BD155" s="55">
        <f t="shared" si="150"/>
        <v>0.165774</v>
      </c>
      <c r="BE155" s="55">
        <f t="shared" si="151"/>
        <v>0.53484799999999999</v>
      </c>
      <c r="BF155" s="55">
        <f t="shared" si="152"/>
        <v>0.34875499999999998</v>
      </c>
      <c r="BG155" s="55">
        <f t="shared" si="153"/>
        <v>-3.4063999999999997E-2</v>
      </c>
      <c r="BH155" s="55">
        <f t="shared" si="154"/>
        <v>0.59342600000000001</v>
      </c>
      <c r="BJ155" s="55">
        <f t="shared" si="64"/>
        <v>-0.95977299999999999</v>
      </c>
      <c r="BK155" s="55">
        <f t="shared" si="64"/>
        <v>1.3521590000000001</v>
      </c>
      <c r="BL155" s="55">
        <f t="shared" si="64"/>
        <v>-0.97222600000000003</v>
      </c>
      <c r="BM155" s="55">
        <f t="shared" si="64"/>
        <v>-0.63371699999999997</v>
      </c>
      <c r="BN155" s="55">
        <f t="shared" si="64"/>
        <v>-0.20852200000000001</v>
      </c>
      <c r="BO155" s="55">
        <f t="shared" si="64"/>
        <v>-0.52859100000000003</v>
      </c>
      <c r="BP155" s="55">
        <f t="shared" si="64"/>
        <v>0.77335600000000004</v>
      </c>
      <c r="BQ155" s="55">
        <f t="shared" si="64"/>
        <v>-0.38056000000000001</v>
      </c>
      <c r="BR155" s="55">
        <f t="shared" si="64"/>
        <v>0.26928099999999999</v>
      </c>
      <c r="BS155" s="55">
        <f t="shared" si="64"/>
        <v>-0.345333</v>
      </c>
      <c r="BT155" s="55">
        <f t="shared" si="64"/>
        <v>0.298543</v>
      </c>
      <c r="BU155" s="55">
        <f t="shared" si="64"/>
        <v>-0.37693100000000002</v>
      </c>
      <c r="BV155" s="55">
        <f t="shared" si="64"/>
        <v>0.91954400000000003</v>
      </c>
      <c r="BW155" s="55">
        <f t="shared" si="64"/>
        <v>1.5420609999999999</v>
      </c>
      <c r="BX155" s="55">
        <f t="shared" si="64"/>
        <v>-0.81930700000000001</v>
      </c>
      <c r="BY155" s="55">
        <f t="shared" si="64"/>
        <v>-1.2955650000000001</v>
      </c>
      <c r="BZ155" s="55">
        <f t="shared" si="155"/>
        <v>0.37706600000000001</v>
      </c>
      <c r="CA155" s="55">
        <f t="shared" si="155"/>
        <v>0.276175</v>
      </c>
      <c r="CB155" s="55">
        <f t="shared" si="155"/>
        <v>0.97481499999999999</v>
      </c>
      <c r="CC155" s="55">
        <f t="shared" si="155"/>
        <v>0.74573299999999998</v>
      </c>
      <c r="CD155" s="55">
        <f t="shared" si="155"/>
        <v>0.83898399999999995</v>
      </c>
      <c r="CE155" s="55">
        <f t="shared" si="155"/>
        <v>-0.50897000000000003</v>
      </c>
      <c r="CF155" s="55">
        <f t="shared" si="155"/>
        <v>-0.48234100000000002</v>
      </c>
      <c r="CG155" s="55">
        <f t="shared" si="155"/>
        <v>0.26180900000000001</v>
      </c>
      <c r="CH155" s="55">
        <f t="shared" si="155"/>
        <v>-9.3143000000000004E-2</v>
      </c>
      <c r="CI155" s="55">
        <f t="shared" si="155"/>
        <v>-0.68452299999999999</v>
      </c>
      <c r="CJ155" s="55">
        <f t="shared" si="155"/>
        <v>-0.89580899999999997</v>
      </c>
      <c r="CK155" s="55">
        <f t="shared" si="156"/>
        <v>0.81614200000000003</v>
      </c>
      <c r="CL155" s="55">
        <f t="shared" si="156"/>
        <v>-0.72858000000000001</v>
      </c>
      <c r="CM155" s="55">
        <f t="shared" si="156"/>
        <v>-0.30116700000000002</v>
      </c>
      <c r="CN155" s="55">
        <f t="shared" si="156"/>
        <v>0.89139500000000005</v>
      </c>
      <c r="CO155" s="55">
        <f t="shared" si="156"/>
        <v>1.1832609999999999</v>
      </c>
      <c r="CP155" s="55">
        <f t="shared" si="156"/>
        <v>-0.45641100000000001</v>
      </c>
      <c r="CQ155" s="55">
        <f t="shared" si="156"/>
        <v>0.82640999999999998</v>
      </c>
      <c r="CR155" s="55">
        <f t="shared" si="156"/>
        <v>0.54644000000000004</v>
      </c>
      <c r="CS155" s="55">
        <f t="shared" si="156"/>
        <v>-0.26073499999999999</v>
      </c>
      <c r="CT155" s="55">
        <f t="shared" si="156"/>
        <v>0.37647000000000003</v>
      </c>
      <c r="CU155" s="55">
        <f t="shared" si="156"/>
        <v>-0.51036899999999996</v>
      </c>
      <c r="CV155" s="55">
        <f t="shared" si="156"/>
        <v>-0.57530800000000004</v>
      </c>
      <c r="CW155" s="55">
        <f t="shared" si="156"/>
        <v>0.68396199999999996</v>
      </c>
      <c r="CX155" s="55">
        <f t="shared" si="156"/>
        <v>-0.49688300000000002</v>
      </c>
      <c r="CY155" s="55">
        <f t="shared" si="156"/>
        <v>-9.1037000000000007E-2</v>
      </c>
      <c r="CZ155" s="55">
        <f t="shared" si="156"/>
        <v>-0.48456100000000002</v>
      </c>
      <c r="DA155" s="55">
        <f t="shared" si="157"/>
        <v>-0.30803599999999998</v>
      </c>
      <c r="DB155" s="55">
        <f t="shared" si="157"/>
        <v>0.31140099999999998</v>
      </c>
      <c r="DC155" s="55">
        <f t="shared" si="157"/>
        <v>-0.64474600000000004</v>
      </c>
      <c r="DD155" s="55">
        <f t="shared" si="157"/>
        <v>-0.25173899999999999</v>
      </c>
      <c r="DE155" s="55">
        <f t="shared" si="157"/>
        <v>-0.113664</v>
      </c>
      <c r="DF155" s="55">
        <f t="shared" si="157"/>
        <v>-8.3446999999999993E-2</v>
      </c>
      <c r="DG155" s="55">
        <f t="shared" si="157"/>
        <v>0.73359600000000003</v>
      </c>
      <c r="DI155" s="55">
        <f t="shared" ca="1" si="65"/>
        <v>-8.9701000000000003E-2</v>
      </c>
      <c r="DJ155" s="55">
        <f t="shared" ca="1" si="66"/>
        <v>-1.062033</v>
      </c>
      <c r="DK155" s="55">
        <f t="shared" ca="1" si="67"/>
        <v>0.99671799999999999</v>
      </c>
      <c r="DL155" s="55">
        <f t="shared" ca="1" si="68"/>
        <v>-0.50319899999999995</v>
      </c>
      <c r="DM155" s="55">
        <f t="shared" ca="1" si="69"/>
        <v>-1.3004290000000001</v>
      </c>
      <c r="DN155" s="55">
        <f t="shared" ca="1" si="70"/>
        <v>-3.0889E-2</v>
      </c>
      <c r="DO155" s="55">
        <f t="shared" ca="1" si="71"/>
        <v>0.88186699999999996</v>
      </c>
      <c r="DP155" s="55">
        <f t="shared" ca="1" si="72"/>
        <v>0.71436999999999995</v>
      </c>
      <c r="DQ155" s="55">
        <f t="shared" ca="1" si="73"/>
        <v>-0.26535799999999998</v>
      </c>
      <c r="DR155" s="55">
        <f t="shared" ca="1" si="74"/>
        <v>-0.51729899999999995</v>
      </c>
      <c r="DS155" s="55">
        <f t="shared" ca="1" si="75"/>
        <v>-1.3392459999999999</v>
      </c>
      <c r="DT155" s="55">
        <f t="shared" ca="1" si="76"/>
        <v>7.4237999999999998E-2</v>
      </c>
      <c r="DU155" s="55">
        <f t="shared" ca="1" si="77"/>
        <v>0.51790199999999997</v>
      </c>
      <c r="DV155" s="55">
        <f t="shared" ca="1" si="78"/>
        <v>-0.42674699999999999</v>
      </c>
      <c r="DW155" s="55">
        <f t="shared" ca="1" si="79"/>
        <v>0.20774899999999999</v>
      </c>
      <c r="DX155" s="55">
        <f t="shared" ca="1" si="80"/>
        <v>-0.73572700000000002</v>
      </c>
      <c r="DY155" s="55">
        <f t="shared" ca="1" si="81"/>
        <v>0.70632300000000003</v>
      </c>
      <c r="DZ155" s="55">
        <f t="shared" ca="1" si="82"/>
        <v>0.33780100000000002</v>
      </c>
      <c r="EA155" s="55">
        <f t="shared" ca="1" si="83"/>
        <v>0.563886</v>
      </c>
      <c r="EB155" s="55">
        <f t="shared" ca="1" si="84"/>
        <v>-0.70856399999999997</v>
      </c>
      <c r="EC155" s="55">
        <f t="shared" ca="1" si="85"/>
        <v>0.72263100000000002</v>
      </c>
      <c r="ED155" s="55">
        <f t="shared" ca="1" si="86"/>
        <v>-0.23342099999999999</v>
      </c>
      <c r="EE155" s="55">
        <f t="shared" ca="1" si="87"/>
        <v>-7.2009000000000004E-2</v>
      </c>
      <c r="EF155" s="55">
        <f t="shared" ca="1" si="88"/>
        <v>-1.2075830000000001</v>
      </c>
      <c r="EG155" s="55">
        <f t="shared" ca="1" si="89"/>
        <v>-0.440944</v>
      </c>
      <c r="EH155" s="55">
        <f t="shared" ca="1" si="90"/>
        <v>1.379237</v>
      </c>
      <c r="EI155" s="55">
        <f t="shared" ca="1" si="91"/>
        <v>1.701673</v>
      </c>
      <c r="EJ155" s="55">
        <f t="shared" ca="1" si="92"/>
        <v>-0.17763499999999999</v>
      </c>
      <c r="EK155" s="55">
        <f t="shared" ca="1" si="93"/>
        <v>-0.97233800000000004</v>
      </c>
      <c r="EL155" s="55">
        <f t="shared" ca="1" si="94"/>
        <v>-0.75466800000000001</v>
      </c>
      <c r="EM155" s="55">
        <f t="shared" ca="1" si="95"/>
        <v>0.47717900000000002</v>
      </c>
      <c r="EN155" s="55">
        <f t="shared" ca="1" si="96"/>
        <v>-1.487E-2</v>
      </c>
      <c r="EO155" s="55">
        <f t="shared" ca="1" si="97"/>
        <v>0.19036</v>
      </c>
      <c r="EP155" s="55">
        <f t="shared" ca="1" si="98"/>
        <v>-5.2224E-2</v>
      </c>
      <c r="EQ155" s="55">
        <f t="shared" ca="1" si="99"/>
        <v>-0.67636700000000005</v>
      </c>
      <c r="ER155" s="55">
        <f t="shared" ca="1" si="100"/>
        <v>-0.44637100000000002</v>
      </c>
      <c r="ES155" s="55">
        <f t="shared" ca="1" si="101"/>
        <v>0.46221600000000002</v>
      </c>
      <c r="ET155" s="55">
        <f t="shared" ca="1" si="102"/>
        <v>0.33387099999999997</v>
      </c>
      <c r="EU155" s="55">
        <f t="shared" ca="1" si="103"/>
        <v>1.359496</v>
      </c>
      <c r="EV155" s="55">
        <f t="shared" ca="1" si="104"/>
        <v>0.58911400000000003</v>
      </c>
      <c r="EW155" s="55">
        <f t="shared" ca="1" si="105"/>
        <v>-0.38329999999999997</v>
      </c>
      <c r="EX155" s="55">
        <f t="shared" ca="1" si="106"/>
        <v>0.37964500000000001</v>
      </c>
      <c r="EY155" s="55">
        <f t="shared" ca="1" si="107"/>
        <v>-0.30181799999999998</v>
      </c>
      <c r="EZ155" s="55">
        <f t="shared" ca="1" si="108"/>
        <v>7.979E-2</v>
      </c>
      <c r="FA155" s="55">
        <f t="shared" ca="1" si="109"/>
        <v>-0.33604899999999999</v>
      </c>
      <c r="FB155" s="55">
        <f t="shared" ca="1" si="110"/>
        <v>0.165774</v>
      </c>
      <c r="FC155" s="55">
        <f t="shared" ca="1" si="111"/>
        <v>0.53484799999999999</v>
      </c>
      <c r="FD155" s="55">
        <f t="shared" ca="1" si="112"/>
        <v>0.34875499999999998</v>
      </c>
      <c r="FE155" s="55">
        <f t="shared" ca="1" si="113"/>
        <v>-3.4063999999999997E-2</v>
      </c>
      <c r="FF155" s="55">
        <f t="shared" ca="1" si="114"/>
        <v>0.59342600000000001</v>
      </c>
      <c r="FH155" s="55">
        <f t="shared" ca="1" si="115"/>
        <v>0</v>
      </c>
      <c r="FI155" s="55">
        <f t="shared" ca="1" si="207"/>
        <v>0</v>
      </c>
      <c r="FJ155" s="55">
        <f t="shared" ca="1" si="208"/>
        <v>0</v>
      </c>
      <c r="FK155" s="55">
        <f t="shared" ca="1" si="209"/>
        <v>0</v>
      </c>
      <c r="FL155" s="55">
        <f t="shared" ca="1" si="210"/>
        <v>0</v>
      </c>
      <c r="FM155" s="55">
        <f t="shared" ca="1" si="211"/>
        <v>0</v>
      </c>
      <c r="FN155" s="55">
        <f t="shared" ca="1" si="212"/>
        <v>0</v>
      </c>
      <c r="FO155" s="55">
        <f t="shared" ca="1" si="213"/>
        <v>0</v>
      </c>
      <c r="FP155" s="55">
        <f t="shared" ca="1" si="214"/>
        <v>0</v>
      </c>
      <c r="FQ155" s="55">
        <f t="shared" ca="1" si="215"/>
        <v>0</v>
      </c>
      <c r="FR155" s="55">
        <f t="shared" ca="1" si="216"/>
        <v>0</v>
      </c>
      <c r="FS155" s="55">
        <f t="shared" ca="1" si="158"/>
        <v>0</v>
      </c>
      <c r="FT155" s="55">
        <f t="shared" ca="1" si="159"/>
        <v>0</v>
      </c>
      <c r="FU155" s="55">
        <f t="shared" ca="1" si="160"/>
        <v>0</v>
      </c>
      <c r="FV155" s="55">
        <f t="shared" ca="1" si="161"/>
        <v>0</v>
      </c>
      <c r="FW155" s="55">
        <f t="shared" ca="1" si="162"/>
        <v>0</v>
      </c>
      <c r="FX155" s="55">
        <f t="shared" ca="1" si="163"/>
        <v>0</v>
      </c>
      <c r="FY155" s="55">
        <f t="shared" ca="1" si="164"/>
        <v>0</v>
      </c>
      <c r="FZ155" s="55">
        <f t="shared" ca="1" si="165"/>
        <v>0</v>
      </c>
      <c r="GA155" s="55">
        <f t="shared" ca="1" si="166"/>
        <v>0</v>
      </c>
      <c r="GB155" s="55">
        <f t="shared" ca="1" si="167"/>
        <v>0</v>
      </c>
      <c r="GC155" s="55">
        <f t="shared" ca="1" si="168"/>
        <v>0</v>
      </c>
      <c r="GD155" s="55">
        <f t="shared" ca="1" si="169"/>
        <v>0</v>
      </c>
      <c r="GE155" s="55">
        <f t="shared" ca="1" si="170"/>
        <v>0</v>
      </c>
      <c r="GF155" s="55">
        <f t="shared" ca="1" si="171"/>
        <v>0</v>
      </c>
      <c r="GG155" s="55">
        <f t="shared" ca="1" si="172"/>
        <v>0</v>
      </c>
      <c r="GH155" s="55">
        <f t="shared" ca="1" si="173"/>
        <v>0</v>
      </c>
      <c r="GI155" s="55">
        <f t="shared" ca="1" si="174"/>
        <v>0</v>
      </c>
      <c r="GJ155" s="55">
        <f t="shared" ca="1" si="175"/>
        <v>0</v>
      </c>
      <c r="GK155" s="55">
        <f t="shared" ca="1" si="176"/>
        <v>0</v>
      </c>
      <c r="GL155" s="55">
        <f t="shared" ca="1" si="177"/>
        <v>0</v>
      </c>
      <c r="GM155" s="55">
        <f t="shared" ca="1" si="178"/>
        <v>0</v>
      </c>
      <c r="GN155" s="55">
        <f t="shared" ca="1" si="179"/>
        <v>0</v>
      </c>
      <c r="GO155" s="55">
        <f t="shared" ca="1" si="180"/>
        <v>0</v>
      </c>
      <c r="GP155" s="55">
        <f t="shared" ca="1" si="181"/>
        <v>0</v>
      </c>
      <c r="GQ155" s="55">
        <f t="shared" ca="1" si="182"/>
        <v>0</v>
      </c>
      <c r="GR155" s="55">
        <f t="shared" ca="1" si="183"/>
        <v>0</v>
      </c>
      <c r="GS155" s="55">
        <f t="shared" ca="1" si="184"/>
        <v>0</v>
      </c>
      <c r="GT155" s="55">
        <f t="shared" ca="1" si="185"/>
        <v>0</v>
      </c>
      <c r="GU155" s="55">
        <f t="shared" ca="1" si="186"/>
        <v>0</v>
      </c>
      <c r="GV155" s="55">
        <f t="shared" ca="1" si="187"/>
        <v>0</v>
      </c>
      <c r="GW155" s="55">
        <f t="shared" ca="1" si="188"/>
        <v>0</v>
      </c>
      <c r="GX155" s="55">
        <f t="shared" ca="1" si="189"/>
        <v>0</v>
      </c>
      <c r="GY155" s="55">
        <f t="shared" ca="1" si="190"/>
        <v>0</v>
      </c>
      <c r="GZ155" s="55">
        <f t="shared" ca="1" si="191"/>
        <v>0</v>
      </c>
      <c r="HA155" s="55">
        <f t="shared" ca="1" si="192"/>
        <v>0</v>
      </c>
      <c r="HB155" s="55">
        <f t="shared" ca="1" si="193"/>
        <v>0</v>
      </c>
      <c r="HC155" s="55">
        <f t="shared" ca="1" si="194"/>
        <v>0</v>
      </c>
      <c r="HD155" s="55">
        <f t="shared" ca="1" si="195"/>
        <v>0</v>
      </c>
      <c r="HE155" s="55">
        <f t="shared" ca="1" si="196"/>
        <v>0</v>
      </c>
    </row>
    <row r="156" spans="1:213">
      <c r="A156" s="27">
        <v>19</v>
      </c>
      <c r="B156" s="27">
        <v>43</v>
      </c>
      <c r="C156" s="27">
        <v>0.241254</v>
      </c>
      <c r="D156" s="27">
        <v>0.94141200000000003</v>
      </c>
      <c r="E156" s="27">
        <v>25</v>
      </c>
      <c r="F156" s="27">
        <f t="shared" ca="1" si="59"/>
        <v>36</v>
      </c>
      <c r="G156" s="27">
        <f t="shared" si="54"/>
        <v>0</v>
      </c>
      <c r="H156" s="27" t="str">
        <f t="shared" si="60"/>
        <v>Sim</v>
      </c>
      <c r="I156" s="27">
        <f t="shared" si="61"/>
        <v>0</v>
      </c>
      <c r="J156" s="37">
        <f t="shared" si="62"/>
        <v>1</v>
      </c>
      <c r="K156" s="55">
        <f t="shared" si="63"/>
        <v>-0.95977299999999999</v>
      </c>
      <c r="L156" s="55">
        <f t="shared" si="197"/>
        <v>1.3521590000000001</v>
      </c>
      <c r="M156" s="55">
        <f t="shared" si="198"/>
        <v>-0.97222600000000003</v>
      </c>
      <c r="N156" s="55">
        <f t="shared" si="199"/>
        <v>-0.63371699999999997</v>
      </c>
      <c r="O156" s="55">
        <f t="shared" si="200"/>
        <v>-0.20852200000000001</v>
      </c>
      <c r="P156" s="55">
        <f t="shared" si="201"/>
        <v>-0.52859100000000003</v>
      </c>
      <c r="Q156" s="55">
        <f t="shared" si="202"/>
        <v>0.77335600000000004</v>
      </c>
      <c r="R156" s="55">
        <f t="shared" si="203"/>
        <v>-0.38056000000000001</v>
      </c>
      <c r="S156" s="55">
        <f t="shared" si="204"/>
        <v>0.26928099999999999</v>
      </c>
      <c r="T156" s="55">
        <f t="shared" si="205"/>
        <v>-0.345333</v>
      </c>
      <c r="U156" s="55">
        <f t="shared" si="206"/>
        <v>0.298543</v>
      </c>
      <c r="V156" s="55">
        <f t="shared" si="116"/>
        <v>-0.37693100000000002</v>
      </c>
      <c r="W156" s="55">
        <f t="shared" si="117"/>
        <v>0.91954400000000003</v>
      </c>
      <c r="X156" s="55">
        <f t="shared" si="118"/>
        <v>1.5420609999999999</v>
      </c>
      <c r="Y156" s="55">
        <f t="shared" si="119"/>
        <v>-0.81930700000000001</v>
      </c>
      <c r="Z156" s="55">
        <f t="shared" si="120"/>
        <v>-1.2955650000000001</v>
      </c>
      <c r="AA156" s="55">
        <f t="shared" si="121"/>
        <v>0.37706600000000001</v>
      </c>
      <c r="AB156" s="55">
        <f t="shared" si="122"/>
        <v>0.276175</v>
      </c>
      <c r="AC156" s="55">
        <f t="shared" si="123"/>
        <v>0.97481499999999999</v>
      </c>
      <c r="AD156" s="55">
        <f t="shared" si="124"/>
        <v>0.74573299999999998</v>
      </c>
      <c r="AE156" s="55">
        <f t="shared" si="125"/>
        <v>0.83898399999999995</v>
      </c>
      <c r="AF156" s="55">
        <f t="shared" si="126"/>
        <v>-0.50897000000000003</v>
      </c>
      <c r="AG156" s="55">
        <f t="shared" si="127"/>
        <v>-0.48234100000000002</v>
      </c>
      <c r="AH156" s="55">
        <f t="shared" si="128"/>
        <v>0.26180900000000001</v>
      </c>
      <c r="AI156" s="55">
        <f t="shared" si="129"/>
        <v>-9.3143000000000004E-2</v>
      </c>
      <c r="AJ156" s="55">
        <f t="shared" si="130"/>
        <v>-0.68452299999999999</v>
      </c>
      <c r="AK156" s="55">
        <f t="shared" si="131"/>
        <v>-0.89580899999999997</v>
      </c>
      <c r="AL156" s="55">
        <f t="shared" si="132"/>
        <v>0.81614200000000003</v>
      </c>
      <c r="AM156" s="55">
        <f t="shared" si="133"/>
        <v>-0.72858000000000001</v>
      </c>
      <c r="AN156" s="55">
        <f t="shared" si="134"/>
        <v>-0.30116700000000002</v>
      </c>
      <c r="AO156" s="55">
        <f t="shared" si="135"/>
        <v>0.89139500000000005</v>
      </c>
      <c r="AP156" s="55">
        <f t="shared" si="136"/>
        <v>1.1832609999999999</v>
      </c>
      <c r="AQ156" s="55">
        <f t="shared" si="137"/>
        <v>-0.45641100000000001</v>
      </c>
      <c r="AR156" s="55">
        <f t="shared" si="138"/>
        <v>0.82640999999999998</v>
      </c>
      <c r="AS156" s="55">
        <f t="shared" si="139"/>
        <v>0.54644000000000004</v>
      </c>
      <c r="AT156" s="55">
        <f t="shared" si="140"/>
        <v>-0.26073499999999999</v>
      </c>
      <c r="AU156" s="55">
        <f t="shared" si="141"/>
        <v>0.37647000000000003</v>
      </c>
      <c r="AV156" s="55">
        <f t="shared" si="142"/>
        <v>-0.51036899999999996</v>
      </c>
      <c r="AW156" s="55">
        <f t="shared" si="143"/>
        <v>-0.57530800000000004</v>
      </c>
      <c r="AX156" s="55">
        <f t="shared" si="144"/>
        <v>0.68396199999999996</v>
      </c>
      <c r="AY156" s="55">
        <f t="shared" si="145"/>
        <v>-0.49688300000000002</v>
      </c>
      <c r="AZ156" s="55">
        <f t="shared" si="146"/>
        <v>-9.1037000000000007E-2</v>
      </c>
      <c r="BA156" s="55">
        <f t="shared" si="147"/>
        <v>-0.48456100000000002</v>
      </c>
      <c r="BB156" s="55">
        <f t="shared" si="148"/>
        <v>-0.30803599999999998</v>
      </c>
      <c r="BC156" s="55">
        <f t="shared" si="149"/>
        <v>0.31140099999999998</v>
      </c>
      <c r="BD156" s="55">
        <f t="shared" si="150"/>
        <v>-0.64474600000000004</v>
      </c>
      <c r="BE156" s="55">
        <f t="shared" si="151"/>
        <v>-0.25173899999999999</v>
      </c>
      <c r="BF156" s="55">
        <f t="shared" si="152"/>
        <v>-0.113664</v>
      </c>
      <c r="BG156" s="55">
        <f t="shared" si="153"/>
        <v>-8.3446999999999993E-2</v>
      </c>
      <c r="BH156" s="55">
        <f t="shared" si="154"/>
        <v>0.73359600000000003</v>
      </c>
      <c r="BJ156" s="55">
        <f t="shared" si="64"/>
        <v>1.440941</v>
      </c>
      <c r="BK156" s="55">
        <f t="shared" si="64"/>
        <v>1.299329</v>
      </c>
      <c r="BL156" s="55">
        <f t="shared" si="64"/>
        <v>0.281916</v>
      </c>
      <c r="BM156" s="55">
        <f t="shared" si="64"/>
        <v>-0.62502599999999997</v>
      </c>
      <c r="BN156" s="55">
        <f t="shared" si="64"/>
        <v>0.87468100000000004</v>
      </c>
      <c r="BO156" s="55">
        <f t="shared" si="64"/>
        <v>0.97413799999999995</v>
      </c>
      <c r="BP156" s="55">
        <f t="shared" si="64"/>
        <v>0.825268</v>
      </c>
      <c r="BQ156" s="55">
        <f t="shared" si="64"/>
        <v>0.43290200000000001</v>
      </c>
      <c r="BR156" s="55">
        <f t="shared" si="64"/>
        <v>0.28018700000000002</v>
      </c>
      <c r="BS156" s="55">
        <f t="shared" si="64"/>
        <v>0.259573</v>
      </c>
      <c r="BT156" s="55">
        <f t="shared" si="64"/>
        <v>1.138341</v>
      </c>
      <c r="BU156" s="55">
        <f t="shared" si="64"/>
        <v>-9.8521999999999998E-2</v>
      </c>
      <c r="BV156" s="55">
        <f t="shared" si="64"/>
        <v>0.94133299999999998</v>
      </c>
      <c r="BW156" s="55">
        <f t="shared" si="64"/>
        <v>-0.896123</v>
      </c>
      <c r="BX156" s="55">
        <f t="shared" si="64"/>
        <v>1.4025479999999999</v>
      </c>
      <c r="BY156" s="55">
        <f t="shared" si="64"/>
        <v>8.7759000000000004E-2</v>
      </c>
      <c r="BZ156" s="55">
        <f t="shared" si="155"/>
        <v>-1.012005</v>
      </c>
      <c r="CA156" s="55">
        <f t="shared" si="155"/>
        <v>0.766428</v>
      </c>
      <c r="CB156" s="55">
        <f t="shared" si="155"/>
        <v>-0.20749899999999999</v>
      </c>
      <c r="CC156" s="55">
        <f t="shared" si="155"/>
        <v>-6.4310000000000001E-3</v>
      </c>
      <c r="CD156" s="55">
        <f t="shared" si="155"/>
        <v>0.56614100000000001</v>
      </c>
      <c r="CE156" s="55">
        <f t="shared" si="155"/>
        <v>-0.225073</v>
      </c>
      <c r="CF156" s="55">
        <f t="shared" si="155"/>
        <v>0.74898699999999996</v>
      </c>
      <c r="CG156" s="55">
        <f t="shared" si="155"/>
        <v>-0.57152199999999997</v>
      </c>
      <c r="CH156" s="55">
        <f t="shared" si="155"/>
        <v>-0.55666499999999997</v>
      </c>
      <c r="CI156" s="55">
        <f t="shared" si="155"/>
        <v>0.74126899999999996</v>
      </c>
      <c r="CJ156" s="55">
        <f t="shared" si="155"/>
        <v>-0.82163900000000001</v>
      </c>
      <c r="CK156" s="55">
        <f t="shared" si="156"/>
        <v>1.5381590000000001</v>
      </c>
      <c r="CL156" s="55">
        <f t="shared" si="156"/>
        <v>9.2231999999999995E-2</v>
      </c>
      <c r="CM156" s="55">
        <f t="shared" si="156"/>
        <v>0.19169600000000001</v>
      </c>
      <c r="CN156" s="55">
        <f t="shared" si="156"/>
        <v>-0.69573300000000005</v>
      </c>
      <c r="CO156" s="55">
        <f t="shared" si="156"/>
        <v>0.218058</v>
      </c>
      <c r="CP156" s="55">
        <f t="shared" si="156"/>
        <v>-2.3509999999999998E-3</v>
      </c>
      <c r="CQ156" s="55">
        <f t="shared" si="156"/>
        <v>0.63448000000000004</v>
      </c>
      <c r="CR156" s="55">
        <f t="shared" si="156"/>
        <v>-0.47769400000000001</v>
      </c>
      <c r="CS156" s="55">
        <f t="shared" si="156"/>
        <v>0.57117300000000004</v>
      </c>
      <c r="CT156" s="55">
        <f t="shared" si="156"/>
        <v>-0.908304</v>
      </c>
      <c r="CU156" s="55">
        <f t="shared" si="156"/>
        <v>-1.360957</v>
      </c>
      <c r="CV156" s="55">
        <f t="shared" si="156"/>
        <v>-8.5694000000000006E-2</v>
      </c>
      <c r="CW156" s="55">
        <f t="shared" si="156"/>
        <v>0.87209899999999996</v>
      </c>
      <c r="CX156" s="55">
        <f t="shared" si="156"/>
        <v>-0.53004499999999999</v>
      </c>
      <c r="CY156" s="55">
        <f t="shared" si="156"/>
        <v>-0.35658200000000001</v>
      </c>
      <c r="CZ156" s="55">
        <f t="shared" si="156"/>
        <v>0.675705</v>
      </c>
      <c r="DA156" s="55">
        <f t="shared" si="157"/>
        <v>-0.60852499999999998</v>
      </c>
      <c r="DB156" s="55">
        <f t="shared" si="157"/>
        <v>0.52091600000000005</v>
      </c>
      <c r="DC156" s="55">
        <f t="shared" si="157"/>
        <v>0.99195999999999995</v>
      </c>
      <c r="DD156" s="55">
        <f t="shared" si="157"/>
        <v>-0.19673099999999999</v>
      </c>
      <c r="DE156" s="55">
        <f t="shared" si="157"/>
        <v>-0.50486299999999995</v>
      </c>
      <c r="DF156" s="55">
        <f t="shared" si="157"/>
        <v>-0.63707100000000005</v>
      </c>
      <c r="DG156" s="55">
        <f t="shared" si="157"/>
        <v>0.184058</v>
      </c>
      <c r="DI156" s="55">
        <f t="shared" ca="1" si="65"/>
        <v>-0.95977299999999999</v>
      </c>
      <c r="DJ156" s="55">
        <f t="shared" ca="1" si="66"/>
        <v>1.3521590000000001</v>
      </c>
      <c r="DK156" s="55">
        <f t="shared" ca="1" si="67"/>
        <v>-0.97222600000000003</v>
      </c>
      <c r="DL156" s="55">
        <f t="shared" ca="1" si="68"/>
        <v>-0.63371699999999997</v>
      </c>
      <c r="DM156" s="55">
        <f t="shared" ca="1" si="69"/>
        <v>-0.20852200000000001</v>
      </c>
      <c r="DN156" s="55">
        <f t="shared" ca="1" si="70"/>
        <v>-0.52859100000000003</v>
      </c>
      <c r="DO156" s="55">
        <f t="shared" ca="1" si="71"/>
        <v>0.77335600000000004</v>
      </c>
      <c r="DP156" s="55">
        <f t="shared" ca="1" si="72"/>
        <v>-0.38056000000000001</v>
      </c>
      <c r="DQ156" s="55">
        <f t="shared" ca="1" si="73"/>
        <v>0.26928099999999999</v>
      </c>
      <c r="DR156" s="55">
        <f t="shared" ca="1" si="74"/>
        <v>-0.345333</v>
      </c>
      <c r="DS156" s="55">
        <f t="shared" ca="1" si="75"/>
        <v>0.298543</v>
      </c>
      <c r="DT156" s="55">
        <f t="shared" ca="1" si="76"/>
        <v>-0.37693100000000002</v>
      </c>
      <c r="DU156" s="55">
        <f t="shared" ca="1" si="77"/>
        <v>0.91954400000000003</v>
      </c>
      <c r="DV156" s="55">
        <f t="shared" ca="1" si="78"/>
        <v>1.5420609999999999</v>
      </c>
      <c r="DW156" s="55">
        <f t="shared" ca="1" si="79"/>
        <v>-0.81930700000000001</v>
      </c>
      <c r="DX156" s="55">
        <f t="shared" ca="1" si="80"/>
        <v>-1.2955650000000001</v>
      </c>
      <c r="DY156" s="55">
        <f t="shared" ca="1" si="81"/>
        <v>0.37706600000000001</v>
      </c>
      <c r="DZ156" s="55">
        <f t="shared" ca="1" si="82"/>
        <v>0.276175</v>
      </c>
      <c r="EA156" s="55">
        <f t="shared" ca="1" si="83"/>
        <v>0.97481499999999999</v>
      </c>
      <c r="EB156" s="55">
        <f t="shared" ca="1" si="84"/>
        <v>0.74573299999999998</v>
      </c>
      <c r="EC156" s="55">
        <f t="shared" ca="1" si="85"/>
        <v>0.83898399999999995</v>
      </c>
      <c r="ED156" s="55">
        <f t="shared" ca="1" si="86"/>
        <v>-0.50897000000000003</v>
      </c>
      <c r="EE156" s="55">
        <f t="shared" ca="1" si="87"/>
        <v>-0.48234100000000002</v>
      </c>
      <c r="EF156" s="55">
        <f t="shared" ca="1" si="88"/>
        <v>0.26180900000000001</v>
      </c>
      <c r="EG156" s="55">
        <f t="shared" ca="1" si="89"/>
        <v>-9.3143000000000004E-2</v>
      </c>
      <c r="EH156" s="55">
        <f t="shared" ca="1" si="90"/>
        <v>-0.60098869830400004</v>
      </c>
      <c r="EI156" s="55">
        <f t="shared" ca="1" si="91"/>
        <v>-0.89146352804000006</v>
      </c>
      <c r="EJ156" s="55">
        <f t="shared" ca="1" si="92"/>
        <v>0.85844353199599999</v>
      </c>
      <c r="EK156" s="55">
        <f t="shared" ca="1" si="93"/>
        <v>-0.68049026654400002</v>
      </c>
      <c r="EL156" s="55">
        <f t="shared" ca="1" si="94"/>
        <v>-0.27229114255600007</v>
      </c>
      <c r="EM156" s="55">
        <f t="shared" ca="1" si="95"/>
        <v>0.79840834473600009</v>
      </c>
      <c r="EN156" s="55">
        <f t="shared" ca="1" si="96"/>
        <v>1.1267116866360001</v>
      </c>
      <c r="EO156" s="55">
        <f t="shared" ca="1" si="97"/>
        <v>-0.42980853272000002</v>
      </c>
      <c r="EP156" s="55">
        <f t="shared" ca="1" si="98"/>
        <v>0.81516520516000002</v>
      </c>
      <c r="EQ156" s="55">
        <f t="shared" ca="1" si="99"/>
        <v>0.48643803720800005</v>
      </c>
      <c r="ER156" s="55">
        <f t="shared" ca="1" si="100"/>
        <v>-0.21199517409599999</v>
      </c>
      <c r="ES156" s="55">
        <f t="shared" ca="1" si="101"/>
        <v>0.37647000000000003</v>
      </c>
      <c r="ET156" s="55">
        <f t="shared" ca="1" si="102"/>
        <v>-0.51036899999999996</v>
      </c>
      <c r="EU156" s="55">
        <f t="shared" ca="1" si="103"/>
        <v>-0.57530800000000004</v>
      </c>
      <c r="EV156" s="55">
        <f t="shared" ca="1" si="104"/>
        <v>0.68396199999999996</v>
      </c>
      <c r="EW156" s="55">
        <f t="shared" ca="1" si="105"/>
        <v>-0.49688300000000002</v>
      </c>
      <c r="EX156" s="55">
        <f t="shared" ca="1" si="106"/>
        <v>-9.1037000000000007E-2</v>
      </c>
      <c r="EY156" s="55">
        <f t="shared" ca="1" si="107"/>
        <v>-0.48456100000000002</v>
      </c>
      <c r="EZ156" s="55">
        <f t="shared" ca="1" si="108"/>
        <v>-0.30803599999999998</v>
      </c>
      <c r="FA156" s="55">
        <f t="shared" ca="1" si="109"/>
        <v>0.31140099999999998</v>
      </c>
      <c r="FB156" s="55">
        <f t="shared" ca="1" si="110"/>
        <v>-0.64474600000000004</v>
      </c>
      <c r="FC156" s="55">
        <f t="shared" ca="1" si="111"/>
        <v>-0.25173899999999999</v>
      </c>
      <c r="FD156" s="55">
        <f t="shared" ca="1" si="112"/>
        <v>-0.113664</v>
      </c>
      <c r="FE156" s="55">
        <f t="shared" ca="1" si="113"/>
        <v>-8.3446999999999993E-2</v>
      </c>
      <c r="FF156" s="55">
        <f t="shared" ca="1" si="114"/>
        <v>0.73359600000000003</v>
      </c>
      <c r="FH156" s="55">
        <f t="shared" ca="1" si="115"/>
        <v>0</v>
      </c>
      <c r="FI156" s="55">
        <f t="shared" ca="1" si="207"/>
        <v>0</v>
      </c>
      <c r="FJ156" s="55">
        <f t="shared" ca="1" si="208"/>
        <v>0</v>
      </c>
      <c r="FK156" s="55">
        <f t="shared" ca="1" si="209"/>
        <v>0</v>
      </c>
      <c r="FL156" s="55">
        <f t="shared" ca="1" si="210"/>
        <v>0</v>
      </c>
      <c r="FM156" s="55">
        <f t="shared" ca="1" si="211"/>
        <v>0</v>
      </c>
      <c r="FN156" s="55">
        <f t="shared" ca="1" si="212"/>
        <v>0</v>
      </c>
      <c r="FO156" s="55">
        <f t="shared" ca="1" si="213"/>
        <v>0</v>
      </c>
      <c r="FP156" s="55">
        <f t="shared" ca="1" si="214"/>
        <v>0</v>
      </c>
      <c r="FQ156" s="55">
        <f t="shared" ca="1" si="215"/>
        <v>0</v>
      </c>
      <c r="FR156" s="55">
        <f t="shared" ca="1" si="216"/>
        <v>0</v>
      </c>
      <c r="FS156" s="55">
        <f t="shared" ca="1" si="158"/>
        <v>0</v>
      </c>
      <c r="FT156" s="55">
        <f t="shared" ca="1" si="159"/>
        <v>0</v>
      </c>
      <c r="FU156" s="55">
        <f t="shared" ca="1" si="160"/>
        <v>0</v>
      </c>
      <c r="FV156" s="55">
        <f t="shared" ca="1" si="161"/>
        <v>0</v>
      </c>
      <c r="FW156" s="55">
        <f t="shared" ca="1" si="162"/>
        <v>0</v>
      </c>
      <c r="FX156" s="55">
        <f t="shared" ca="1" si="163"/>
        <v>0</v>
      </c>
      <c r="FY156" s="55">
        <f t="shared" ca="1" si="164"/>
        <v>0</v>
      </c>
      <c r="FZ156" s="55">
        <f t="shared" ca="1" si="165"/>
        <v>0</v>
      </c>
      <c r="GA156" s="55">
        <f t="shared" ca="1" si="166"/>
        <v>0</v>
      </c>
      <c r="GB156" s="55">
        <f t="shared" ca="1" si="167"/>
        <v>0</v>
      </c>
      <c r="GC156" s="55">
        <f t="shared" ca="1" si="168"/>
        <v>0</v>
      </c>
      <c r="GD156" s="55">
        <f t="shared" ca="1" si="169"/>
        <v>0</v>
      </c>
      <c r="GE156" s="55">
        <f t="shared" ca="1" si="170"/>
        <v>0</v>
      </c>
      <c r="GF156" s="55">
        <f t="shared" ca="1" si="171"/>
        <v>0</v>
      </c>
      <c r="GG156" s="55">
        <f t="shared" ca="1" si="172"/>
        <v>8.3534301695999957E-2</v>
      </c>
      <c r="GH156" s="55">
        <f t="shared" ca="1" si="173"/>
        <v>4.3454719599999025E-3</v>
      </c>
      <c r="GI156" s="55">
        <f t="shared" ca="1" si="174"/>
        <v>4.2301531995999953E-2</v>
      </c>
      <c r="GJ156" s="55">
        <f t="shared" ca="1" si="175"/>
        <v>4.8089733455999983E-2</v>
      </c>
      <c r="GK156" s="55">
        <f t="shared" ca="1" si="176"/>
        <v>2.8875857443999953E-2</v>
      </c>
      <c r="GL156" s="55">
        <f t="shared" ca="1" si="177"/>
        <v>-9.2986655263999962E-2</v>
      </c>
      <c r="GM156" s="55">
        <f t="shared" ca="1" si="178"/>
        <v>-5.654931336399982E-2</v>
      </c>
      <c r="GN156" s="55">
        <f t="shared" ca="1" si="179"/>
        <v>2.6602467279999986E-2</v>
      </c>
      <c r="GO156" s="55">
        <f t="shared" ca="1" si="180"/>
        <v>-1.1244794839999961E-2</v>
      </c>
      <c r="GP156" s="55">
        <f t="shared" ca="1" si="181"/>
        <v>-6.0001962791999985E-2</v>
      </c>
      <c r="GQ156" s="55">
        <f t="shared" ca="1" si="182"/>
        <v>4.8739825904E-2</v>
      </c>
      <c r="GR156" s="55">
        <f t="shared" ca="1" si="183"/>
        <v>0</v>
      </c>
      <c r="GS156" s="55">
        <f t="shared" ca="1" si="184"/>
        <v>0</v>
      </c>
      <c r="GT156" s="55">
        <f t="shared" ca="1" si="185"/>
        <v>0</v>
      </c>
      <c r="GU156" s="55">
        <f t="shared" ca="1" si="186"/>
        <v>0</v>
      </c>
      <c r="GV156" s="55">
        <f t="shared" ca="1" si="187"/>
        <v>0</v>
      </c>
      <c r="GW156" s="55">
        <f t="shared" ca="1" si="188"/>
        <v>0</v>
      </c>
      <c r="GX156" s="55">
        <f t="shared" ca="1" si="189"/>
        <v>0</v>
      </c>
      <c r="GY156" s="55">
        <f t="shared" ca="1" si="190"/>
        <v>0</v>
      </c>
      <c r="GZ156" s="55">
        <f t="shared" ca="1" si="191"/>
        <v>0</v>
      </c>
      <c r="HA156" s="55">
        <f t="shared" ca="1" si="192"/>
        <v>0</v>
      </c>
      <c r="HB156" s="55">
        <f t="shared" ca="1" si="193"/>
        <v>0</v>
      </c>
      <c r="HC156" s="55">
        <f t="shared" ca="1" si="194"/>
        <v>0</v>
      </c>
      <c r="HD156" s="55">
        <f t="shared" ca="1" si="195"/>
        <v>0</v>
      </c>
      <c r="HE156" s="55">
        <f t="shared" ca="1" si="196"/>
        <v>0</v>
      </c>
    </row>
    <row r="157" spans="1:213">
      <c r="A157" s="27">
        <v>20</v>
      </c>
      <c r="B157" s="27">
        <v>94</v>
      </c>
      <c r="C157" s="27">
        <v>0.90909600000000002</v>
      </c>
      <c r="D157" s="27">
        <v>0.76563999999999999</v>
      </c>
      <c r="E157" s="27">
        <v>2</v>
      </c>
      <c r="F157" s="27">
        <f t="shared" ca="1" si="59"/>
        <v>28</v>
      </c>
      <c r="G157" s="27">
        <f t="shared" si="54"/>
        <v>0</v>
      </c>
      <c r="H157" s="27" t="str">
        <f t="shared" si="60"/>
        <v>Não</v>
      </c>
      <c r="I157" s="27">
        <f t="shared" si="61"/>
        <v>0</v>
      </c>
      <c r="J157" s="37">
        <f t="shared" si="62"/>
        <v>0</v>
      </c>
      <c r="K157" s="55">
        <f t="shared" si="63"/>
        <v>-8.9701000000000003E-2</v>
      </c>
      <c r="L157" s="55">
        <f t="shared" si="197"/>
        <v>-1.062033</v>
      </c>
      <c r="M157" s="55">
        <f t="shared" si="198"/>
        <v>0.99671799999999999</v>
      </c>
      <c r="N157" s="55">
        <f t="shared" si="199"/>
        <v>-0.50319899999999995</v>
      </c>
      <c r="O157" s="55">
        <f t="shared" si="200"/>
        <v>-1.3004290000000001</v>
      </c>
      <c r="P157" s="55">
        <f t="shared" si="201"/>
        <v>-3.0889E-2</v>
      </c>
      <c r="Q157" s="55">
        <f t="shared" si="202"/>
        <v>0.88186699999999996</v>
      </c>
      <c r="R157" s="55">
        <f t="shared" si="203"/>
        <v>0.71436999999999995</v>
      </c>
      <c r="S157" s="55">
        <f t="shared" si="204"/>
        <v>-0.26535799999999998</v>
      </c>
      <c r="T157" s="55">
        <f t="shared" si="205"/>
        <v>-0.51729899999999995</v>
      </c>
      <c r="U157" s="55">
        <f t="shared" si="206"/>
        <v>-1.3392459999999999</v>
      </c>
      <c r="V157" s="55">
        <f t="shared" si="116"/>
        <v>7.4237999999999998E-2</v>
      </c>
      <c r="W157" s="55">
        <f t="shared" si="117"/>
        <v>0.51790199999999997</v>
      </c>
      <c r="X157" s="55">
        <f t="shared" si="118"/>
        <v>-0.42674699999999999</v>
      </c>
      <c r="Y157" s="55">
        <f t="shared" si="119"/>
        <v>0.20774899999999999</v>
      </c>
      <c r="Z157" s="55">
        <f t="shared" si="120"/>
        <v>-0.73572700000000002</v>
      </c>
      <c r="AA157" s="55">
        <f t="shared" si="121"/>
        <v>0.70632300000000003</v>
      </c>
      <c r="AB157" s="55">
        <f t="shared" si="122"/>
        <v>0.33780100000000002</v>
      </c>
      <c r="AC157" s="55">
        <f t="shared" si="123"/>
        <v>0.563886</v>
      </c>
      <c r="AD157" s="55">
        <f t="shared" si="124"/>
        <v>-0.70856399999999997</v>
      </c>
      <c r="AE157" s="55">
        <f t="shared" si="125"/>
        <v>0.72263100000000002</v>
      </c>
      <c r="AF157" s="55">
        <f t="shared" si="126"/>
        <v>-0.23342099999999999</v>
      </c>
      <c r="AG157" s="55">
        <f t="shared" si="127"/>
        <v>-7.2009000000000004E-2</v>
      </c>
      <c r="AH157" s="55">
        <f t="shared" si="128"/>
        <v>-1.2075830000000001</v>
      </c>
      <c r="AI157" s="55">
        <f t="shared" si="129"/>
        <v>-0.440944</v>
      </c>
      <c r="AJ157" s="55">
        <f t="shared" si="130"/>
        <v>1.379237</v>
      </c>
      <c r="AK157" s="55">
        <f t="shared" si="131"/>
        <v>1.701673</v>
      </c>
      <c r="AL157" s="55">
        <f t="shared" si="132"/>
        <v>-0.17763499999999999</v>
      </c>
      <c r="AM157" s="55">
        <f t="shared" si="133"/>
        <v>-0.97233800000000004</v>
      </c>
      <c r="AN157" s="55">
        <f t="shared" si="134"/>
        <v>-0.75466800000000001</v>
      </c>
      <c r="AO157" s="55">
        <f t="shared" si="135"/>
        <v>0.47717900000000002</v>
      </c>
      <c r="AP157" s="55">
        <f t="shared" si="136"/>
        <v>-1.487E-2</v>
      </c>
      <c r="AQ157" s="55">
        <f t="shared" si="137"/>
        <v>0.19036</v>
      </c>
      <c r="AR157" s="55">
        <f t="shared" si="138"/>
        <v>-5.2224E-2</v>
      </c>
      <c r="AS157" s="55">
        <f t="shared" si="139"/>
        <v>-0.67636700000000005</v>
      </c>
      <c r="AT157" s="55">
        <f t="shared" si="140"/>
        <v>-0.44637100000000002</v>
      </c>
      <c r="AU157" s="55">
        <f t="shared" si="141"/>
        <v>0.46221600000000002</v>
      </c>
      <c r="AV157" s="55">
        <f t="shared" si="142"/>
        <v>0.33387099999999997</v>
      </c>
      <c r="AW157" s="55">
        <f t="shared" si="143"/>
        <v>1.359496</v>
      </c>
      <c r="AX157" s="55">
        <f t="shared" si="144"/>
        <v>0.58911400000000003</v>
      </c>
      <c r="AY157" s="55">
        <f t="shared" si="145"/>
        <v>-0.38329999999999997</v>
      </c>
      <c r="AZ157" s="55">
        <f t="shared" si="146"/>
        <v>0.37964500000000001</v>
      </c>
      <c r="BA157" s="55">
        <f t="shared" si="147"/>
        <v>-0.30181799999999998</v>
      </c>
      <c r="BB157" s="55">
        <f t="shared" si="148"/>
        <v>7.979E-2</v>
      </c>
      <c r="BC157" s="55">
        <f t="shared" si="149"/>
        <v>-0.33604899999999999</v>
      </c>
      <c r="BD157" s="55">
        <f t="shared" si="150"/>
        <v>0.165774</v>
      </c>
      <c r="BE157" s="55">
        <f t="shared" si="151"/>
        <v>0.53484799999999999</v>
      </c>
      <c r="BF157" s="55">
        <f t="shared" si="152"/>
        <v>0.34875499999999998</v>
      </c>
      <c r="BG157" s="55">
        <f t="shared" si="153"/>
        <v>-3.4063999999999997E-2</v>
      </c>
      <c r="BH157" s="55">
        <f t="shared" si="154"/>
        <v>0.59342600000000001</v>
      </c>
      <c r="BJ157" s="55">
        <f t="shared" si="64"/>
        <v>1.6254040000000001</v>
      </c>
      <c r="BK157" s="55">
        <f t="shared" si="64"/>
        <v>-0.32974100000000001</v>
      </c>
      <c r="BL157" s="55">
        <f t="shared" si="64"/>
        <v>-0.96115799999999996</v>
      </c>
      <c r="BM157" s="55">
        <f t="shared" si="64"/>
        <v>-0.70081599999999999</v>
      </c>
      <c r="BN157" s="55">
        <f t="shared" si="64"/>
        <v>-1.4411430000000001</v>
      </c>
      <c r="BO157" s="55">
        <f t="shared" si="64"/>
        <v>-0.68226600000000004</v>
      </c>
      <c r="BP157" s="55">
        <f t="shared" si="64"/>
        <v>-0.89169799999999999</v>
      </c>
      <c r="BQ157" s="55">
        <f t="shared" si="64"/>
        <v>0.85860499999999995</v>
      </c>
      <c r="BR157" s="55">
        <f t="shared" si="64"/>
        <v>-0.48549900000000001</v>
      </c>
      <c r="BS157" s="55">
        <f t="shared" si="64"/>
        <v>0.76777899999999999</v>
      </c>
      <c r="BT157" s="55">
        <f t="shared" si="64"/>
        <v>0.54898499999999995</v>
      </c>
      <c r="BU157" s="55">
        <f t="shared" si="64"/>
        <v>-0.81550199999999995</v>
      </c>
      <c r="BV157" s="55">
        <f t="shared" si="64"/>
        <v>-0.86378900000000003</v>
      </c>
      <c r="BW157" s="55">
        <f t="shared" si="64"/>
        <v>0.79839000000000004</v>
      </c>
      <c r="BX157" s="55">
        <f t="shared" si="64"/>
        <v>-0.55228100000000002</v>
      </c>
      <c r="BY157" s="55">
        <f t="shared" si="64"/>
        <v>0.314245</v>
      </c>
      <c r="BZ157" s="55">
        <f t="shared" si="155"/>
        <v>-1.4318789999999999</v>
      </c>
      <c r="CA157" s="55">
        <f t="shared" si="155"/>
        <v>-0.92930100000000004</v>
      </c>
      <c r="CB157" s="55">
        <f t="shared" si="155"/>
        <v>0.57114299999999996</v>
      </c>
      <c r="CC157" s="55">
        <f t="shared" si="155"/>
        <v>-0.26586100000000001</v>
      </c>
      <c r="CD157" s="55">
        <f t="shared" si="155"/>
        <v>0.451239</v>
      </c>
      <c r="CE157" s="55">
        <f t="shared" si="155"/>
        <v>-0.236091</v>
      </c>
      <c r="CF157" s="55">
        <f t="shared" si="155"/>
        <v>1.634371</v>
      </c>
      <c r="CG157" s="55">
        <f t="shared" si="155"/>
        <v>8.8885000000000006E-2</v>
      </c>
      <c r="CH157" s="55">
        <f t="shared" si="155"/>
        <v>-1.4460789999999999</v>
      </c>
      <c r="CI157" s="55">
        <f t="shared" si="155"/>
        <v>0.106548</v>
      </c>
      <c r="CJ157" s="55">
        <f t="shared" si="155"/>
        <v>0.447882</v>
      </c>
      <c r="CK157" s="55">
        <f t="shared" si="156"/>
        <v>-0.80142199999999997</v>
      </c>
      <c r="CL157" s="55">
        <f t="shared" si="156"/>
        <v>-0.182949</v>
      </c>
      <c r="CM157" s="55">
        <f t="shared" si="156"/>
        <v>0.85319900000000004</v>
      </c>
      <c r="CN157" s="55">
        <f t="shared" si="156"/>
        <v>0.76485499999999995</v>
      </c>
      <c r="CO157" s="55">
        <f t="shared" si="156"/>
        <v>-1.4253290000000001</v>
      </c>
      <c r="CP157" s="55">
        <f t="shared" si="156"/>
        <v>-0.37792199999999998</v>
      </c>
      <c r="CQ157" s="55">
        <f t="shared" si="156"/>
        <v>-0.102326</v>
      </c>
      <c r="CR157" s="55">
        <f t="shared" si="156"/>
        <v>0.76357299999999995</v>
      </c>
      <c r="CS157" s="55">
        <f t="shared" si="156"/>
        <v>1.8122400000000001</v>
      </c>
      <c r="CT157" s="55">
        <f t="shared" si="156"/>
        <v>7.0805000000000007E-2</v>
      </c>
      <c r="CU157" s="55">
        <f t="shared" si="156"/>
        <v>-7.2219000000000005E-2</v>
      </c>
      <c r="CV157" s="55">
        <f t="shared" si="156"/>
        <v>0.31185000000000002</v>
      </c>
      <c r="CW157" s="55">
        <f t="shared" si="156"/>
        <v>-0.25651600000000002</v>
      </c>
      <c r="CX157" s="55">
        <f t="shared" si="156"/>
        <v>-0.31519399999999997</v>
      </c>
      <c r="CY157" s="55">
        <f t="shared" si="156"/>
        <v>6.9620000000000003E-3</v>
      </c>
      <c r="CZ157" s="55">
        <f t="shared" ref="CZ157:DG172" si="217">VLOOKUP($B157,$A$33:$BG$132,CZ$134,FALSE)</f>
        <v>0.72981499999999999</v>
      </c>
      <c r="DA157" s="55">
        <f t="shared" si="217"/>
        <v>0.65998199999999996</v>
      </c>
      <c r="DB157" s="55">
        <f t="shared" si="217"/>
        <v>0.22279599999999999</v>
      </c>
      <c r="DC157" s="55">
        <f t="shared" si="217"/>
        <v>8.8345000000000007E-2</v>
      </c>
      <c r="DD157" s="55">
        <f t="shared" si="217"/>
        <v>0.31037700000000001</v>
      </c>
      <c r="DE157" s="55">
        <f t="shared" si="217"/>
        <v>-0.64868899999999996</v>
      </c>
      <c r="DF157" s="55">
        <f t="shared" si="217"/>
        <v>-0.58344099999999999</v>
      </c>
      <c r="DG157" s="55">
        <f t="shared" si="217"/>
        <v>-0.49345800000000001</v>
      </c>
      <c r="DI157" s="55">
        <f t="shared" ca="1" si="65"/>
        <v>-8.9701000000000003E-2</v>
      </c>
      <c r="DJ157" s="55">
        <f t="shared" ca="1" si="66"/>
        <v>-1.062033</v>
      </c>
      <c r="DK157" s="55">
        <f t="shared" ca="1" si="67"/>
        <v>0.99671799999999999</v>
      </c>
      <c r="DL157" s="55">
        <f t="shared" ca="1" si="68"/>
        <v>-0.50319899999999995</v>
      </c>
      <c r="DM157" s="55">
        <f t="shared" ca="1" si="69"/>
        <v>-1.3004290000000001</v>
      </c>
      <c r="DN157" s="55">
        <f t="shared" ca="1" si="70"/>
        <v>-3.0889E-2</v>
      </c>
      <c r="DO157" s="55">
        <f t="shared" ca="1" si="71"/>
        <v>0.88186699999999996</v>
      </c>
      <c r="DP157" s="55">
        <f t="shared" ca="1" si="72"/>
        <v>0.71436999999999995</v>
      </c>
      <c r="DQ157" s="55">
        <f t="shared" ca="1" si="73"/>
        <v>-0.26535799999999998</v>
      </c>
      <c r="DR157" s="55">
        <f t="shared" ca="1" si="74"/>
        <v>-0.51729899999999995</v>
      </c>
      <c r="DS157" s="55">
        <f t="shared" ca="1" si="75"/>
        <v>-1.3392459999999999</v>
      </c>
      <c r="DT157" s="55">
        <f t="shared" ca="1" si="76"/>
        <v>7.4237999999999998E-2</v>
      </c>
      <c r="DU157" s="55">
        <f t="shared" ca="1" si="77"/>
        <v>0.51790199999999997</v>
      </c>
      <c r="DV157" s="55">
        <f t="shared" ca="1" si="78"/>
        <v>-0.42674699999999999</v>
      </c>
      <c r="DW157" s="55">
        <f t="shared" ca="1" si="79"/>
        <v>0.20774899999999999</v>
      </c>
      <c r="DX157" s="55">
        <f t="shared" ca="1" si="80"/>
        <v>-0.73572700000000002</v>
      </c>
      <c r="DY157" s="55">
        <f t="shared" ca="1" si="81"/>
        <v>0.70632300000000003</v>
      </c>
      <c r="DZ157" s="55">
        <f t="shared" ca="1" si="82"/>
        <v>0.33780100000000002</v>
      </c>
      <c r="EA157" s="55">
        <f t="shared" ca="1" si="83"/>
        <v>0.563886</v>
      </c>
      <c r="EB157" s="55">
        <f t="shared" ca="1" si="84"/>
        <v>-0.70856399999999997</v>
      </c>
      <c r="EC157" s="55">
        <f t="shared" ca="1" si="85"/>
        <v>0.72263100000000002</v>
      </c>
      <c r="ED157" s="55">
        <f t="shared" ca="1" si="86"/>
        <v>-0.23342099999999999</v>
      </c>
      <c r="EE157" s="55">
        <f t="shared" ca="1" si="87"/>
        <v>-7.2009000000000004E-2</v>
      </c>
      <c r="EF157" s="55">
        <f t="shared" ca="1" si="88"/>
        <v>-1.2075830000000001</v>
      </c>
      <c r="EG157" s="55">
        <f t="shared" ca="1" si="89"/>
        <v>-0.440944</v>
      </c>
      <c r="EH157" s="55">
        <f t="shared" ca="1" si="90"/>
        <v>1.379237</v>
      </c>
      <c r="EI157" s="55">
        <f t="shared" ca="1" si="91"/>
        <v>1.701673</v>
      </c>
      <c r="EJ157" s="55">
        <f t="shared" ca="1" si="92"/>
        <v>-0.17763499999999999</v>
      </c>
      <c r="EK157" s="55">
        <f t="shared" ca="1" si="93"/>
        <v>-0.97233800000000004</v>
      </c>
      <c r="EL157" s="55">
        <f t="shared" ca="1" si="94"/>
        <v>-0.75466800000000001</v>
      </c>
      <c r="EM157" s="55">
        <f t="shared" ca="1" si="95"/>
        <v>0.47717900000000002</v>
      </c>
      <c r="EN157" s="55">
        <f t="shared" ca="1" si="96"/>
        <v>-1.487E-2</v>
      </c>
      <c r="EO157" s="55">
        <f t="shared" ca="1" si="97"/>
        <v>0.19036</v>
      </c>
      <c r="EP157" s="55">
        <f t="shared" ca="1" si="98"/>
        <v>-5.2224E-2</v>
      </c>
      <c r="EQ157" s="55">
        <f t="shared" ca="1" si="99"/>
        <v>-0.67636700000000005</v>
      </c>
      <c r="ER157" s="55">
        <f t="shared" ca="1" si="100"/>
        <v>-0.44637100000000002</v>
      </c>
      <c r="ES157" s="55">
        <f t="shared" ca="1" si="101"/>
        <v>0.46221600000000002</v>
      </c>
      <c r="ET157" s="55">
        <f t="shared" ca="1" si="102"/>
        <v>0.33387099999999997</v>
      </c>
      <c r="EU157" s="55">
        <f t="shared" ca="1" si="103"/>
        <v>1.359496</v>
      </c>
      <c r="EV157" s="55">
        <f t="shared" ca="1" si="104"/>
        <v>0.58911400000000003</v>
      </c>
      <c r="EW157" s="55">
        <f t="shared" ca="1" si="105"/>
        <v>-0.38329999999999997</v>
      </c>
      <c r="EX157" s="55">
        <f t="shared" ca="1" si="106"/>
        <v>0.37964500000000001</v>
      </c>
      <c r="EY157" s="55">
        <f t="shared" ca="1" si="107"/>
        <v>-0.30181799999999998</v>
      </c>
      <c r="EZ157" s="55">
        <f t="shared" ca="1" si="108"/>
        <v>7.979E-2</v>
      </c>
      <c r="FA157" s="55">
        <f t="shared" ca="1" si="109"/>
        <v>-0.33604899999999999</v>
      </c>
      <c r="FB157" s="55">
        <f t="shared" ca="1" si="110"/>
        <v>0.165774</v>
      </c>
      <c r="FC157" s="55">
        <f t="shared" ca="1" si="111"/>
        <v>0.53484799999999999</v>
      </c>
      <c r="FD157" s="55">
        <f t="shared" ca="1" si="112"/>
        <v>0.34875499999999998</v>
      </c>
      <c r="FE157" s="55">
        <f t="shared" ca="1" si="113"/>
        <v>-3.4063999999999997E-2</v>
      </c>
      <c r="FF157" s="55">
        <f t="shared" ca="1" si="114"/>
        <v>0.59342600000000001</v>
      </c>
      <c r="FH157" s="55">
        <f t="shared" ca="1" si="115"/>
        <v>0</v>
      </c>
      <c r="FI157" s="55">
        <f t="shared" ca="1" si="207"/>
        <v>0</v>
      </c>
      <c r="FJ157" s="55">
        <f t="shared" ca="1" si="208"/>
        <v>0</v>
      </c>
      <c r="FK157" s="55">
        <f t="shared" ca="1" si="209"/>
        <v>0</v>
      </c>
      <c r="FL157" s="55">
        <f t="shared" ca="1" si="210"/>
        <v>0</v>
      </c>
      <c r="FM157" s="55">
        <f t="shared" ca="1" si="211"/>
        <v>0</v>
      </c>
      <c r="FN157" s="55">
        <f t="shared" ca="1" si="212"/>
        <v>0</v>
      </c>
      <c r="FO157" s="55">
        <f t="shared" ca="1" si="213"/>
        <v>0</v>
      </c>
      <c r="FP157" s="55">
        <f t="shared" ca="1" si="214"/>
        <v>0</v>
      </c>
      <c r="FQ157" s="55">
        <f t="shared" ca="1" si="215"/>
        <v>0</v>
      </c>
      <c r="FR157" s="55">
        <f t="shared" ca="1" si="216"/>
        <v>0</v>
      </c>
      <c r="FS157" s="55">
        <f t="shared" ca="1" si="158"/>
        <v>0</v>
      </c>
      <c r="FT157" s="55">
        <f t="shared" ca="1" si="159"/>
        <v>0</v>
      </c>
      <c r="FU157" s="55">
        <f t="shared" ca="1" si="160"/>
        <v>0</v>
      </c>
      <c r="FV157" s="55">
        <f t="shared" ca="1" si="161"/>
        <v>0</v>
      </c>
      <c r="FW157" s="55">
        <f t="shared" ca="1" si="162"/>
        <v>0</v>
      </c>
      <c r="FX157" s="55">
        <f t="shared" ca="1" si="163"/>
        <v>0</v>
      </c>
      <c r="FY157" s="55">
        <f t="shared" ca="1" si="164"/>
        <v>0</v>
      </c>
      <c r="FZ157" s="55">
        <f t="shared" ca="1" si="165"/>
        <v>0</v>
      </c>
      <c r="GA157" s="55">
        <f t="shared" ca="1" si="166"/>
        <v>0</v>
      </c>
      <c r="GB157" s="55">
        <f t="shared" ca="1" si="167"/>
        <v>0</v>
      </c>
      <c r="GC157" s="55">
        <f t="shared" ca="1" si="168"/>
        <v>0</v>
      </c>
      <c r="GD157" s="55">
        <f t="shared" ca="1" si="169"/>
        <v>0</v>
      </c>
      <c r="GE157" s="55">
        <f t="shared" ca="1" si="170"/>
        <v>0</v>
      </c>
      <c r="GF157" s="55">
        <f t="shared" ca="1" si="171"/>
        <v>0</v>
      </c>
      <c r="GG157" s="55">
        <f t="shared" ca="1" si="172"/>
        <v>0</v>
      </c>
      <c r="GH157" s="55">
        <f t="shared" ca="1" si="173"/>
        <v>0</v>
      </c>
      <c r="GI157" s="55">
        <f t="shared" ca="1" si="174"/>
        <v>0</v>
      </c>
      <c r="GJ157" s="55">
        <f t="shared" ca="1" si="175"/>
        <v>0</v>
      </c>
      <c r="GK157" s="55">
        <f t="shared" ca="1" si="176"/>
        <v>0</v>
      </c>
      <c r="GL157" s="55">
        <f t="shared" ca="1" si="177"/>
        <v>0</v>
      </c>
      <c r="GM157" s="55">
        <f t="shared" ca="1" si="178"/>
        <v>0</v>
      </c>
      <c r="GN157" s="55">
        <f t="shared" ca="1" si="179"/>
        <v>0</v>
      </c>
      <c r="GO157" s="55">
        <f t="shared" ca="1" si="180"/>
        <v>0</v>
      </c>
      <c r="GP157" s="55">
        <f t="shared" ca="1" si="181"/>
        <v>0</v>
      </c>
      <c r="GQ157" s="55">
        <f t="shared" ca="1" si="182"/>
        <v>0</v>
      </c>
      <c r="GR157" s="55">
        <f t="shared" ca="1" si="183"/>
        <v>0</v>
      </c>
      <c r="GS157" s="55">
        <f t="shared" ca="1" si="184"/>
        <v>0</v>
      </c>
      <c r="GT157" s="55">
        <f t="shared" ca="1" si="185"/>
        <v>0</v>
      </c>
      <c r="GU157" s="55">
        <f t="shared" ca="1" si="186"/>
        <v>0</v>
      </c>
      <c r="GV157" s="55">
        <f t="shared" ca="1" si="187"/>
        <v>0</v>
      </c>
      <c r="GW157" s="55">
        <f t="shared" ca="1" si="188"/>
        <v>0</v>
      </c>
      <c r="GX157" s="55">
        <f t="shared" ca="1" si="189"/>
        <v>0</v>
      </c>
      <c r="GY157" s="55">
        <f t="shared" ca="1" si="190"/>
        <v>0</v>
      </c>
      <c r="GZ157" s="55">
        <f t="shared" ca="1" si="191"/>
        <v>0</v>
      </c>
      <c r="HA157" s="55">
        <f t="shared" ca="1" si="192"/>
        <v>0</v>
      </c>
      <c r="HB157" s="55">
        <f t="shared" ca="1" si="193"/>
        <v>0</v>
      </c>
      <c r="HC157" s="55">
        <f t="shared" ca="1" si="194"/>
        <v>0</v>
      </c>
      <c r="HD157" s="55">
        <f t="shared" ca="1" si="195"/>
        <v>0</v>
      </c>
      <c r="HE157" s="55">
        <f t="shared" ca="1" si="196"/>
        <v>0</v>
      </c>
    </row>
    <row r="158" spans="1:213">
      <c r="A158" s="27">
        <v>21</v>
      </c>
      <c r="B158" s="27">
        <v>62</v>
      </c>
      <c r="C158" s="27">
        <v>0.52221499999999998</v>
      </c>
      <c r="D158" s="27">
        <v>8.8116E-2</v>
      </c>
      <c r="E158" s="27">
        <v>29</v>
      </c>
      <c r="F158" s="27">
        <f t="shared" ca="1" si="59"/>
        <v>35</v>
      </c>
      <c r="G158" s="27">
        <f t="shared" si="54"/>
        <v>0</v>
      </c>
      <c r="H158" s="27" t="str">
        <f t="shared" si="60"/>
        <v>Sim</v>
      </c>
      <c r="I158" s="27">
        <f t="shared" si="61"/>
        <v>0</v>
      </c>
      <c r="J158" s="37">
        <f t="shared" si="62"/>
        <v>1</v>
      </c>
      <c r="K158" s="55">
        <f t="shared" si="63"/>
        <v>-0.71946399999999999</v>
      </c>
      <c r="L158" s="55">
        <f t="shared" si="197"/>
        <v>-0.73594499999999996</v>
      </c>
      <c r="M158" s="55">
        <f t="shared" si="198"/>
        <v>-0.69006000000000001</v>
      </c>
      <c r="N158" s="55">
        <f t="shared" si="199"/>
        <v>-0.34209299999999998</v>
      </c>
      <c r="O158" s="55">
        <f t="shared" si="200"/>
        <v>-0.31892100000000001</v>
      </c>
      <c r="P158" s="55">
        <f t="shared" si="201"/>
        <v>-0.58953699999999998</v>
      </c>
      <c r="Q158" s="55">
        <f t="shared" si="202"/>
        <v>-0.32579599999999997</v>
      </c>
      <c r="R158" s="55">
        <f t="shared" si="203"/>
        <v>0.71869700000000003</v>
      </c>
      <c r="S158" s="55">
        <f t="shared" si="204"/>
        <v>0.80860500000000002</v>
      </c>
      <c r="T158" s="55">
        <f t="shared" si="205"/>
        <v>0.61799599999999999</v>
      </c>
      <c r="U158" s="55">
        <f t="shared" si="206"/>
        <v>-1.7843000000000001E-2</v>
      </c>
      <c r="V158" s="55">
        <f t="shared" si="116"/>
        <v>-1.8738999999999999E-2</v>
      </c>
      <c r="W158" s="55">
        <f t="shared" si="117"/>
        <v>0.14765900000000001</v>
      </c>
      <c r="X158" s="55">
        <f t="shared" si="118"/>
        <v>-0.71404100000000004</v>
      </c>
      <c r="Y158" s="55">
        <f t="shared" si="119"/>
        <v>-3.7748999999999998E-2</v>
      </c>
      <c r="Z158" s="55">
        <f t="shared" si="120"/>
        <v>-0.99968599999999996</v>
      </c>
      <c r="AA158" s="55">
        <f t="shared" si="121"/>
        <v>0.86208799999999997</v>
      </c>
      <c r="AB158" s="55">
        <f t="shared" si="122"/>
        <v>0.41539799999999999</v>
      </c>
      <c r="AC158" s="55">
        <f t="shared" si="123"/>
        <v>-0.65564999999999996</v>
      </c>
      <c r="AD158" s="55">
        <f t="shared" si="124"/>
        <v>-0.66113699999999997</v>
      </c>
      <c r="AE158" s="55">
        <f t="shared" si="125"/>
        <v>-1.3733299999999999</v>
      </c>
      <c r="AF158" s="55">
        <f t="shared" si="126"/>
        <v>-0.30818699999999999</v>
      </c>
      <c r="AG158" s="55">
        <f t="shared" si="127"/>
        <v>0.58544499999999999</v>
      </c>
      <c r="AH158" s="55">
        <f t="shared" si="128"/>
        <v>0.91493500000000005</v>
      </c>
      <c r="AI158" s="55">
        <f t="shared" si="129"/>
        <v>-0.61669799999999997</v>
      </c>
      <c r="AJ158" s="55">
        <f t="shared" si="130"/>
        <v>-9.2242000000000005E-2</v>
      </c>
      <c r="AK158" s="55">
        <f t="shared" si="131"/>
        <v>7.2071999999999997E-2</v>
      </c>
      <c r="AL158" s="55">
        <f t="shared" si="132"/>
        <v>0.91459999999999997</v>
      </c>
      <c r="AM158" s="55">
        <f t="shared" si="133"/>
        <v>0.90785300000000002</v>
      </c>
      <c r="AN158" s="55">
        <f t="shared" si="134"/>
        <v>1.199748</v>
      </c>
      <c r="AO158" s="55">
        <f t="shared" si="135"/>
        <v>-0.68840100000000004</v>
      </c>
      <c r="AP158" s="55">
        <f t="shared" si="136"/>
        <v>0.94482299999999997</v>
      </c>
      <c r="AQ158" s="55">
        <f t="shared" si="137"/>
        <v>-0.16120200000000001</v>
      </c>
      <c r="AR158" s="55">
        <f t="shared" si="138"/>
        <v>0.42426599999999998</v>
      </c>
      <c r="AS158" s="55">
        <f t="shared" si="139"/>
        <v>-0.75958400000000004</v>
      </c>
      <c r="AT158" s="55">
        <f t="shared" si="140"/>
        <v>3.1233E-2</v>
      </c>
      <c r="AU158" s="55">
        <f t="shared" si="141"/>
        <v>0.81156799999999996</v>
      </c>
      <c r="AV158" s="55">
        <f t="shared" si="142"/>
        <v>0.85221499999999994</v>
      </c>
      <c r="AW158" s="55">
        <f t="shared" si="143"/>
        <v>-0.279673</v>
      </c>
      <c r="AX158" s="55">
        <f t="shared" si="144"/>
        <v>-0.97603399999999996</v>
      </c>
      <c r="AY158" s="55">
        <f t="shared" si="145"/>
        <v>0.39465299999999998</v>
      </c>
      <c r="AZ158" s="55">
        <f t="shared" si="146"/>
        <v>-0.43111300000000002</v>
      </c>
      <c r="BA158" s="55">
        <f t="shared" si="147"/>
        <v>-0.429564</v>
      </c>
      <c r="BB158" s="55">
        <f t="shared" si="148"/>
        <v>-0.26039800000000002</v>
      </c>
      <c r="BC158" s="55">
        <f t="shared" si="149"/>
        <v>0.79750699999999997</v>
      </c>
      <c r="BD158" s="55">
        <f t="shared" si="150"/>
        <v>-0.332347</v>
      </c>
      <c r="BE158" s="55">
        <f t="shared" si="151"/>
        <v>-0.479051</v>
      </c>
      <c r="BF158" s="55">
        <f t="shared" si="152"/>
        <v>-0.29484900000000003</v>
      </c>
      <c r="BG158" s="55">
        <f t="shared" si="153"/>
        <v>-1.1352439999999999</v>
      </c>
      <c r="BH158" s="55">
        <f t="shared" si="154"/>
        <v>-0.46868599999999999</v>
      </c>
      <c r="BJ158" s="55">
        <f t="shared" si="64"/>
        <v>0.62340799999999996</v>
      </c>
      <c r="BK158" s="55">
        <f t="shared" si="64"/>
        <v>-0.388465</v>
      </c>
      <c r="BL158" s="55">
        <f t="shared" si="64"/>
        <v>5.6070000000000002E-2</v>
      </c>
      <c r="BM158" s="55">
        <f t="shared" si="64"/>
        <v>7.9558000000000004E-2</v>
      </c>
      <c r="BN158" s="55">
        <f t="shared" si="64"/>
        <v>0.96263500000000002</v>
      </c>
      <c r="BO158" s="55">
        <f t="shared" si="64"/>
        <v>0.15728300000000001</v>
      </c>
      <c r="BP158" s="55">
        <f t="shared" si="64"/>
        <v>-0.16175100000000001</v>
      </c>
      <c r="BQ158" s="55">
        <f t="shared" si="64"/>
        <v>0.80041499999999999</v>
      </c>
      <c r="BR158" s="55">
        <f t="shared" si="64"/>
        <v>-0.85971399999999998</v>
      </c>
      <c r="BS158" s="55">
        <f t="shared" si="64"/>
        <v>0.67834000000000005</v>
      </c>
      <c r="BT158" s="55">
        <f t="shared" ref="BT158:CI173" si="218">VLOOKUP($B158,$A$33:$BG$132,BT$134,FALSE)</f>
        <v>5.4384000000000002E-2</v>
      </c>
      <c r="BU158" s="55">
        <f t="shared" si="218"/>
        <v>-0.63309899999999997</v>
      </c>
      <c r="BV158" s="55">
        <f t="shared" si="218"/>
        <v>-1.530619</v>
      </c>
      <c r="BW158" s="55">
        <f t="shared" si="218"/>
        <v>-1.4579279999999999</v>
      </c>
      <c r="BX158" s="55">
        <f t="shared" si="218"/>
        <v>0.20503399999999999</v>
      </c>
      <c r="BY158" s="55">
        <f t="shared" si="218"/>
        <v>0.92105700000000001</v>
      </c>
      <c r="BZ158" s="55">
        <f t="shared" si="218"/>
        <v>0.62899000000000005</v>
      </c>
      <c r="CA158" s="55">
        <f t="shared" si="218"/>
        <v>-4.3908000000000003E-2</v>
      </c>
      <c r="CB158" s="55">
        <f t="shared" si="218"/>
        <v>0.28092299999999998</v>
      </c>
      <c r="CC158" s="55">
        <f t="shared" si="218"/>
        <v>-0.456926</v>
      </c>
      <c r="CD158" s="55">
        <f t="shared" si="218"/>
        <v>0.85801099999999997</v>
      </c>
      <c r="CE158" s="55">
        <f t="shared" si="218"/>
        <v>-0.24601700000000001</v>
      </c>
      <c r="CF158" s="55">
        <f t="shared" si="218"/>
        <v>-0.61331400000000003</v>
      </c>
      <c r="CG158" s="55">
        <f t="shared" si="218"/>
        <v>-0.403613</v>
      </c>
      <c r="CH158" s="55">
        <f t="shared" si="218"/>
        <v>-0.86787400000000003</v>
      </c>
      <c r="CI158" s="55">
        <f t="shared" si="218"/>
        <v>-8.0771999999999997E-2</v>
      </c>
      <c r="CJ158" s="55">
        <f t="shared" si="155"/>
        <v>-0.50662700000000005</v>
      </c>
      <c r="CK158" s="55">
        <f t="shared" ref="CK158:CZ173" si="219">VLOOKUP($B158,$A$33:$BG$132,CK$134,FALSE)</f>
        <v>-5.1968E-2</v>
      </c>
      <c r="CL158" s="55">
        <f t="shared" si="219"/>
        <v>1.2316450000000001</v>
      </c>
      <c r="CM158" s="55">
        <f t="shared" si="219"/>
        <v>-0.17550399999999999</v>
      </c>
      <c r="CN158" s="55">
        <f t="shared" si="219"/>
        <v>0.39920099999999997</v>
      </c>
      <c r="CO158" s="55">
        <f t="shared" si="219"/>
        <v>-0.81987600000000005</v>
      </c>
      <c r="CP158" s="55">
        <f t="shared" si="219"/>
        <v>0.87561999999999995</v>
      </c>
      <c r="CQ158" s="55">
        <f t="shared" si="219"/>
        <v>0.68350100000000003</v>
      </c>
      <c r="CR158" s="55">
        <f t="shared" si="219"/>
        <v>-1.003925</v>
      </c>
      <c r="CS158" s="55">
        <f t="shared" si="219"/>
        <v>-0.71970599999999996</v>
      </c>
      <c r="CT158" s="55">
        <f t="shared" si="219"/>
        <v>0.49610500000000002</v>
      </c>
      <c r="CU158" s="55">
        <f t="shared" si="219"/>
        <v>0.11883100000000001</v>
      </c>
      <c r="CV158" s="55">
        <f t="shared" si="219"/>
        <v>0.90245799999999998</v>
      </c>
      <c r="CW158" s="55">
        <f t="shared" si="219"/>
        <v>0.146954</v>
      </c>
      <c r="CX158" s="55">
        <f t="shared" si="219"/>
        <v>3.9683000000000003E-2</v>
      </c>
      <c r="CY158" s="55">
        <f t="shared" si="219"/>
        <v>-1.390312</v>
      </c>
      <c r="CZ158" s="55">
        <f t="shared" si="219"/>
        <v>0.51397999999999999</v>
      </c>
      <c r="DA158" s="55">
        <f t="shared" si="217"/>
        <v>-0.69938699999999998</v>
      </c>
      <c r="DB158" s="55">
        <f t="shared" si="217"/>
        <v>-0.61740399999999995</v>
      </c>
      <c r="DC158" s="55">
        <f t="shared" si="217"/>
        <v>-0.36079800000000001</v>
      </c>
      <c r="DD158" s="55">
        <f t="shared" si="217"/>
        <v>-0.52576500000000004</v>
      </c>
      <c r="DE158" s="55">
        <f t="shared" si="217"/>
        <v>0.21933800000000001</v>
      </c>
      <c r="DF158" s="55">
        <f t="shared" si="217"/>
        <v>-0.73863699999999999</v>
      </c>
      <c r="DG158" s="55">
        <f t="shared" si="217"/>
        <v>0.98329599999999995</v>
      </c>
      <c r="DI158" s="55">
        <f t="shared" ca="1" si="65"/>
        <v>-0.71946399999999999</v>
      </c>
      <c r="DJ158" s="55">
        <f t="shared" ca="1" si="66"/>
        <v>-0.73594499999999996</v>
      </c>
      <c r="DK158" s="55">
        <f t="shared" ca="1" si="67"/>
        <v>-0.69006000000000001</v>
      </c>
      <c r="DL158" s="55">
        <f t="shared" ca="1" si="68"/>
        <v>-0.34209299999999998</v>
      </c>
      <c r="DM158" s="55">
        <f t="shared" ca="1" si="69"/>
        <v>-0.31892100000000001</v>
      </c>
      <c r="DN158" s="55">
        <f t="shared" ca="1" si="70"/>
        <v>-0.58953699999999998</v>
      </c>
      <c r="DO158" s="55">
        <f t="shared" ca="1" si="71"/>
        <v>-0.32579599999999997</v>
      </c>
      <c r="DP158" s="55">
        <f t="shared" ca="1" si="72"/>
        <v>0.71869700000000003</v>
      </c>
      <c r="DQ158" s="55">
        <f t="shared" ca="1" si="73"/>
        <v>0.80860500000000002</v>
      </c>
      <c r="DR158" s="55">
        <f t="shared" ca="1" si="74"/>
        <v>0.61799599999999999</v>
      </c>
      <c r="DS158" s="55">
        <f t="shared" ca="1" si="75"/>
        <v>-1.7843000000000001E-2</v>
      </c>
      <c r="DT158" s="55">
        <f t="shared" ca="1" si="76"/>
        <v>-1.8738999999999999E-2</v>
      </c>
      <c r="DU158" s="55">
        <f t="shared" ca="1" si="77"/>
        <v>0.14765900000000001</v>
      </c>
      <c r="DV158" s="55">
        <f t="shared" ca="1" si="78"/>
        <v>-0.71404100000000004</v>
      </c>
      <c r="DW158" s="55">
        <f t="shared" ca="1" si="79"/>
        <v>-3.7748999999999998E-2</v>
      </c>
      <c r="DX158" s="55">
        <f t="shared" ca="1" si="80"/>
        <v>-0.99968599999999996</v>
      </c>
      <c r="DY158" s="55">
        <f t="shared" ca="1" si="81"/>
        <v>0.86208799999999997</v>
      </c>
      <c r="DZ158" s="55">
        <f t="shared" ca="1" si="82"/>
        <v>0.41539799999999999</v>
      </c>
      <c r="EA158" s="55">
        <f t="shared" ca="1" si="83"/>
        <v>-0.65564999999999996</v>
      </c>
      <c r="EB158" s="55">
        <f t="shared" ca="1" si="84"/>
        <v>-0.66113699999999997</v>
      </c>
      <c r="EC158" s="55">
        <f t="shared" ca="1" si="85"/>
        <v>-1.3733299999999999</v>
      </c>
      <c r="ED158" s="55">
        <f t="shared" ca="1" si="86"/>
        <v>-0.30818699999999999</v>
      </c>
      <c r="EE158" s="55">
        <f t="shared" ca="1" si="87"/>
        <v>0.58544499999999999</v>
      </c>
      <c r="EF158" s="55">
        <f t="shared" ca="1" si="88"/>
        <v>0.91493500000000005</v>
      </c>
      <c r="EG158" s="55">
        <f t="shared" ca="1" si="89"/>
        <v>-0.61669799999999997</v>
      </c>
      <c r="EH158" s="55">
        <f t="shared" ca="1" si="90"/>
        <v>-9.2242000000000005E-2</v>
      </c>
      <c r="EI158" s="55">
        <f t="shared" ca="1" si="91"/>
        <v>7.2071999999999997E-2</v>
      </c>
      <c r="EJ158" s="55">
        <f t="shared" ca="1" si="92"/>
        <v>0.91459999999999997</v>
      </c>
      <c r="EK158" s="55">
        <f t="shared" ca="1" si="93"/>
        <v>0.90785300000000002</v>
      </c>
      <c r="EL158" s="55">
        <f t="shared" ca="1" si="94"/>
        <v>-5.432229476799999E-2</v>
      </c>
      <c r="EM158" s="55">
        <f t="shared" ca="1" si="95"/>
        <v>0.30336586216799999</v>
      </c>
      <c r="EN158" s="55">
        <f t="shared" ca="1" si="96"/>
        <v>-0.66437778291600003</v>
      </c>
      <c r="EO158" s="55">
        <f t="shared" ca="1" si="97"/>
        <v>0.78425939264800004</v>
      </c>
      <c r="EP158" s="55">
        <f t="shared" ca="1" si="98"/>
        <v>0.66065824874000001</v>
      </c>
      <c r="EQ158" s="55">
        <f t="shared" ca="1" si="99"/>
        <v>-0.98239464844400004</v>
      </c>
      <c r="ER158" s="55">
        <f t="shared" ca="1" si="100"/>
        <v>3.1233E-2</v>
      </c>
      <c r="ES158" s="55">
        <f t="shared" ca="1" si="101"/>
        <v>0.81156799999999996</v>
      </c>
      <c r="ET158" s="55">
        <f t="shared" ca="1" si="102"/>
        <v>0.85221499999999994</v>
      </c>
      <c r="EU158" s="55">
        <f t="shared" ca="1" si="103"/>
        <v>-0.279673</v>
      </c>
      <c r="EV158" s="55">
        <f t="shared" ca="1" si="104"/>
        <v>-0.97603399999999996</v>
      </c>
      <c r="EW158" s="55">
        <f t="shared" ca="1" si="105"/>
        <v>0.39465299999999998</v>
      </c>
      <c r="EX158" s="55">
        <f t="shared" ca="1" si="106"/>
        <v>-0.43111300000000002</v>
      </c>
      <c r="EY158" s="55">
        <f t="shared" ca="1" si="107"/>
        <v>-0.429564</v>
      </c>
      <c r="EZ158" s="55">
        <f t="shared" ca="1" si="108"/>
        <v>-0.26039800000000002</v>
      </c>
      <c r="FA158" s="55">
        <f t="shared" ca="1" si="109"/>
        <v>0.79750699999999997</v>
      </c>
      <c r="FB158" s="55">
        <f t="shared" ca="1" si="110"/>
        <v>-0.332347</v>
      </c>
      <c r="FC158" s="55">
        <f t="shared" ca="1" si="111"/>
        <v>-0.479051</v>
      </c>
      <c r="FD158" s="55">
        <f t="shared" ca="1" si="112"/>
        <v>-0.29484900000000003</v>
      </c>
      <c r="FE158" s="55">
        <f t="shared" ca="1" si="113"/>
        <v>-1.1352439999999999</v>
      </c>
      <c r="FF158" s="55">
        <f t="shared" ca="1" si="114"/>
        <v>-0.46868599999999999</v>
      </c>
      <c r="FH158" s="55">
        <f t="shared" ca="1" si="115"/>
        <v>0</v>
      </c>
      <c r="FI158" s="55">
        <f t="shared" ca="1" si="207"/>
        <v>0</v>
      </c>
      <c r="FJ158" s="55">
        <f t="shared" ca="1" si="208"/>
        <v>0</v>
      </c>
      <c r="FK158" s="55">
        <f t="shared" ca="1" si="209"/>
        <v>0</v>
      </c>
      <c r="FL158" s="55">
        <f t="shared" ca="1" si="210"/>
        <v>0</v>
      </c>
      <c r="FM158" s="55">
        <f t="shared" ca="1" si="211"/>
        <v>0</v>
      </c>
      <c r="FN158" s="55">
        <f t="shared" ca="1" si="212"/>
        <v>0</v>
      </c>
      <c r="FO158" s="55">
        <f t="shared" ca="1" si="213"/>
        <v>0</v>
      </c>
      <c r="FP158" s="55">
        <f t="shared" ca="1" si="214"/>
        <v>0</v>
      </c>
      <c r="FQ158" s="55">
        <f t="shared" ca="1" si="215"/>
        <v>0</v>
      </c>
      <c r="FR158" s="55">
        <f t="shared" ca="1" si="216"/>
        <v>0</v>
      </c>
      <c r="FS158" s="55">
        <f t="shared" ca="1" si="158"/>
        <v>0</v>
      </c>
      <c r="FT158" s="55">
        <f t="shared" ca="1" si="159"/>
        <v>0</v>
      </c>
      <c r="FU158" s="55">
        <f t="shared" ca="1" si="160"/>
        <v>0</v>
      </c>
      <c r="FV158" s="55">
        <f t="shared" ca="1" si="161"/>
        <v>0</v>
      </c>
      <c r="FW158" s="55">
        <f t="shared" ca="1" si="162"/>
        <v>0</v>
      </c>
      <c r="FX158" s="55">
        <f t="shared" ca="1" si="163"/>
        <v>0</v>
      </c>
      <c r="FY158" s="55">
        <f t="shared" ca="1" si="164"/>
        <v>0</v>
      </c>
      <c r="FZ158" s="55">
        <f t="shared" ca="1" si="165"/>
        <v>0</v>
      </c>
      <c r="GA158" s="55">
        <f t="shared" ca="1" si="166"/>
        <v>0</v>
      </c>
      <c r="GB158" s="55">
        <f t="shared" ca="1" si="167"/>
        <v>0</v>
      </c>
      <c r="GC158" s="55">
        <f t="shared" ca="1" si="168"/>
        <v>0</v>
      </c>
      <c r="GD158" s="55">
        <f t="shared" ca="1" si="169"/>
        <v>0</v>
      </c>
      <c r="GE158" s="55">
        <f t="shared" ca="1" si="170"/>
        <v>0</v>
      </c>
      <c r="GF158" s="55">
        <f t="shared" ca="1" si="171"/>
        <v>0</v>
      </c>
      <c r="GG158" s="55">
        <f t="shared" ca="1" si="172"/>
        <v>0</v>
      </c>
      <c r="GH158" s="55">
        <f t="shared" ca="1" si="173"/>
        <v>0</v>
      </c>
      <c r="GI158" s="55">
        <f t="shared" ca="1" si="174"/>
        <v>0</v>
      </c>
      <c r="GJ158" s="55">
        <f t="shared" ca="1" si="175"/>
        <v>0</v>
      </c>
      <c r="GK158" s="55">
        <f t="shared" ca="1" si="176"/>
        <v>-1.254070294768</v>
      </c>
      <c r="GL158" s="55">
        <f t="shared" ca="1" si="177"/>
        <v>0.99176686216800003</v>
      </c>
      <c r="GM158" s="55">
        <f t="shared" ca="1" si="178"/>
        <v>-1.609200782916</v>
      </c>
      <c r="GN158" s="55">
        <f t="shared" ca="1" si="179"/>
        <v>0.945461392648</v>
      </c>
      <c r="GO158" s="55">
        <f t="shared" ca="1" si="180"/>
        <v>0.23639224874000003</v>
      </c>
      <c r="GP158" s="55">
        <f t="shared" ca="1" si="181"/>
        <v>-0.222810648444</v>
      </c>
      <c r="GQ158" s="55">
        <f t="shared" ca="1" si="182"/>
        <v>0</v>
      </c>
      <c r="GR158" s="55">
        <f t="shared" ca="1" si="183"/>
        <v>0</v>
      </c>
      <c r="GS158" s="55">
        <f t="shared" ca="1" si="184"/>
        <v>0</v>
      </c>
      <c r="GT158" s="55">
        <f t="shared" ca="1" si="185"/>
        <v>0</v>
      </c>
      <c r="GU158" s="55">
        <f t="shared" ca="1" si="186"/>
        <v>0</v>
      </c>
      <c r="GV158" s="55">
        <f t="shared" ca="1" si="187"/>
        <v>0</v>
      </c>
      <c r="GW158" s="55">
        <f t="shared" ca="1" si="188"/>
        <v>0</v>
      </c>
      <c r="GX158" s="55">
        <f t="shared" ca="1" si="189"/>
        <v>0</v>
      </c>
      <c r="GY158" s="55">
        <f t="shared" ca="1" si="190"/>
        <v>0</v>
      </c>
      <c r="GZ158" s="55">
        <f t="shared" ca="1" si="191"/>
        <v>0</v>
      </c>
      <c r="HA158" s="55">
        <f t="shared" ca="1" si="192"/>
        <v>0</v>
      </c>
      <c r="HB158" s="55">
        <f t="shared" ca="1" si="193"/>
        <v>0</v>
      </c>
      <c r="HC158" s="55">
        <f t="shared" ca="1" si="194"/>
        <v>0</v>
      </c>
      <c r="HD158" s="55">
        <f t="shared" ca="1" si="195"/>
        <v>0</v>
      </c>
      <c r="HE158" s="55">
        <f t="shared" ca="1" si="196"/>
        <v>0</v>
      </c>
    </row>
    <row r="159" spans="1:213">
      <c r="A159" s="27">
        <v>22</v>
      </c>
      <c r="B159" s="27">
        <v>19</v>
      </c>
      <c r="C159" s="27">
        <v>0.46790300000000001</v>
      </c>
      <c r="D159" s="27">
        <v>0.61474099999999998</v>
      </c>
      <c r="E159" s="27">
        <v>44</v>
      </c>
      <c r="F159" s="27">
        <f t="shared" ca="1" si="59"/>
        <v>47</v>
      </c>
      <c r="G159" s="27">
        <f t="shared" si="54"/>
        <v>0</v>
      </c>
      <c r="H159" s="27" t="str">
        <f t="shared" si="60"/>
        <v>Sim</v>
      </c>
      <c r="I159" s="27">
        <f t="shared" si="61"/>
        <v>0</v>
      </c>
      <c r="J159" s="37">
        <f t="shared" si="62"/>
        <v>1</v>
      </c>
      <c r="K159" s="55">
        <f t="shared" si="63"/>
        <v>0.89290999999999998</v>
      </c>
      <c r="L159" s="55">
        <f t="shared" si="197"/>
        <v>-0.92225699999999999</v>
      </c>
      <c r="M159" s="55">
        <f t="shared" si="198"/>
        <v>0.44889099999999998</v>
      </c>
      <c r="N159" s="55">
        <f t="shared" si="199"/>
        <v>-0.339088</v>
      </c>
      <c r="O159" s="55">
        <f t="shared" si="200"/>
        <v>0.77873899999999996</v>
      </c>
      <c r="P159" s="55">
        <f t="shared" si="201"/>
        <v>0.178679</v>
      </c>
      <c r="Q159" s="55">
        <f t="shared" si="202"/>
        <v>-0.550404</v>
      </c>
      <c r="R159" s="55">
        <f t="shared" si="203"/>
        <v>0.31940400000000002</v>
      </c>
      <c r="S159" s="55">
        <f t="shared" si="204"/>
        <v>0.55406200000000005</v>
      </c>
      <c r="T159" s="55">
        <f t="shared" si="205"/>
        <v>-1.5974600000000001</v>
      </c>
      <c r="U159" s="55">
        <f t="shared" si="206"/>
        <v>0.62670999999999999</v>
      </c>
      <c r="V159" s="55">
        <f t="shared" si="116"/>
        <v>-1.58036</v>
      </c>
      <c r="W159" s="55">
        <f t="shared" si="117"/>
        <v>0.43925500000000001</v>
      </c>
      <c r="X159" s="55">
        <f t="shared" si="118"/>
        <v>-0.21241599999999999</v>
      </c>
      <c r="Y159" s="55">
        <f t="shared" si="119"/>
        <v>-0.137293</v>
      </c>
      <c r="Z159" s="55">
        <f t="shared" si="120"/>
        <v>0.94842599999999999</v>
      </c>
      <c r="AA159" s="55">
        <f t="shared" si="121"/>
        <v>-0.116146</v>
      </c>
      <c r="AB159" s="55">
        <f t="shared" si="122"/>
        <v>-0.47578100000000001</v>
      </c>
      <c r="AC159" s="55">
        <f t="shared" si="123"/>
        <v>0.605846</v>
      </c>
      <c r="AD159" s="55">
        <f t="shared" si="124"/>
        <v>0.57053500000000001</v>
      </c>
      <c r="AE159" s="55">
        <f t="shared" si="125"/>
        <v>0.84854099999999999</v>
      </c>
      <c r="AF159" s="55">
        <f t="shared" si="126"/>
        <v>-1.3692470000000001</v>
      </c>
      <c r="AG159" s="55">
        <f t="shared" si="127"/>
        <v>0.29556399999999999</v>
      </c>
      <c r="AH159" s="55">
        <f t="shared" si="128"/>
        <v>-0.79325199999999996</v>
      </c>
      <c r="AI159" s="55">
        <f t="shared" si="129"/>
        <v>0.54601999999999995</v>
      </c>
      <c r="AJ159" s="55">
        <f t="shared" si="130"/>
        <v>-0.60622100000000001</v>
      </c>
      <c r="AK159" s="55">
        <f t="shared" si="131"/>
        <v>0.76331599999999999</v>
      </c>
      <c r="AL159" s="55">
        <f t="shared" si="132"/>
        <v>-0.77407999999999999</v>
      </c>
      <c r="AM159" s="55">
        <f t="shared" si="133"/>
        <v>0.21528900000000001</v>
      </c>
      <c r="AN159" s="55">
        <f t="shared" si="134"/>
        <v>0.47770699999999999</v>
      </c>
      <c r="AO159" s="55">
        <f t="shared" si="135"/>
        <v>0.28191300000000002</v>
      </c>
      <c r="AP159" s="55">
        <f t="shared" si="136"/>
        <v>-0.33427200000000001</v>
      </c>
      <c r="AQ159" s="55">
        <f t="shared" si="137"/>
        <v>-0.28843400000000002</v>
      </c>
      <c r="AR159" s="55">
        <f t="shared" si="138"/>
        <v>-0.61893299999999996</v>
      </c>
      <c r="AS159" s="55">
        <f t="shared" si="139"/>
        <v>-0.99542699999999995</v>
      </c>
      <c r="AT159" s="55">
        <f t="shared" si="140"/>
        <v>1.50929</v>
      </c>
      <c r="AU159" s="55">
        <f t="shared" si="141"/>
        <v>0.49689899999999998</v>
      </c>
      <c r="AV159" s="55">
        <f t="shared" si="142"/>
        <v>0.94131100000000001</v>
      </c>
      <c r="AW159" s="55">
        <f t="shared" si="143"/>
        <v>-0.60974300000000003</v>
      </c>
      <c r="AX159" s="55">
        <f t="shared" si="144"/>
        <v>-0.35215099999999999</v>
      </c>
      <c r="AY159" s="55">
        <f t="shared" si="145"/>
        <v>-0.33057599999999998</v>
      </c>
      <c r="AZ159" s="55">
        <f t="shared" si="146"/>
        <v>0.14055300000000001</v>
      </c>
      <c r="BA159" s="55">
        <f t="shared" si="147"/>
        <v>0.67197700000000005</v>
      </c>
      <c r="BB159" s="55">
        <f t="shared" si="148"/>
        <v>-0.86238000000000004</v>
      </c>
      <c r="BC159" s="55">
        <f t="shared" si="149"/>
        <v>-1.4978E-2</v>
      </c>
      <c r="BD159" s="55">
        <f t="shared" si="150"/>
        <v>-0.68662100000000004</v>
      </c>
      <c r="BE159" s="55">
        <f t="shared" si="151"/>
        <v>-0.70351300000000005</v>
      </c>
      <c r="BF159" s="55">
        <f t="shared" si="152"/>
        <v>0.82305600000000001</v>
      </c>
      <c r="BG159" s="55">
        <f t="shared" si="153"/>
        <v>-1.439106</v>
      </c>
      <c r="BH159" s="55">
        <f t="shared" si="154"/>
        <v>-0.61887300000000001</v>
      </c>
      <c r="BJ159" s="55">
        <f t="shared" ref="BJ159:BY174" si="220">VLOOKUP($B159,$A$33:$BG$132,BJ$134,FALSE)</f>
        <v>-0.95977299999999999</v>
      </c>
      <c r="BK159" s="55">
        <f t="shared" si="220"/>
        <v>1.3521590000000001</v>
      </c>
      <c r="BL159" s="55">
        <f t="shared" si="220"/>
        <v>-0.97222600000000003</v>
      </c>
      <c r="BM159" s="55">
        <f t="shared" si="220"/>
        <v>-0.63371699999999997</v>
      </c>
      <c r="BN159" s="55">
        <f t="shared" si="220"/>
        <v>-0.20852200000000001</v>
      </c>
      <c r="BO159" s="55">
        <f t="shared" si="220"/>
        <v>-0.52859100000000003</v>
      </c>
      <c r="BP159" s="55">
        <f t="shared" si="220"/>
        <v>0.77335600000000004</v>
      </c>
      <c r="BQ159" s="55">
        <f t="shared" si="220"/>
        <v>-0.38056000000000001</v>
      </c>
      <c r="BR159" s="55">
        <f t="shared" si="220"/>
        <v>0.26928099999999999</v>
      </c>
      <c r="BS159" s="55">
        <f t="shared" si="220"/>
        <v>-0.345333</v>
      </c>
      <c r="BT159" s="55">
        <f t="shared" si="220"/>
        <v>0.298543</v>
      </c>
      <c r="BU159" s="55">
        <f t="shared" si="220"/>
        <v>-0.37693100000000002</v>
      </c>
      <c r="BV159" s="55">
        <f t="shared" si="220"/>
        <v>0.91954400000000003</v>
      </c>
      <c r="BW159" s="55">
        <f t="shared" si="220"/>
        <v>1.5420609999999999</v>
      </c>
      <c r="BX159" s="55">
        <f t="shared" si="220"/>
        <v>-0.81930700000000001</v>
      </c>
      <c r="BY159" s="55">
        <f t="shared" si="220"/>
        <v>-1.2955650000000001</v>
      </c>
      <c r="BZ159" s="55">
        <f t="shared" si="218"/>
        <v>0.37706600000000001</v>
      </c>
      <c r="CA159" s="55">
        <f t="shared" si="218"/>
        <v>0.276175</v>
      </c>
      <c r="CB159" s="55">
        <f t="shared" si="218"/>
        <v>0.97481499999999999</v>
      </c>
      <c r="CC159" s="55">
        <f t="shared" si="218"/>
        <v>0.74573299999999998</v>
      </c>
      <c r="CD159" s="55">
        <f t="shared" si="218"/>
        <v>0.83898399999999995</v>
      </c>
      <c r="CE159" s="55">
        <f t="shared" si="218"/>
        <v>-0.50897000000000003</v>
      </c>
      <c r="CF159" s="55">
        <f t="shared" si="218"/>
        <v>-0.48234100000000002</v>
      </c>
      <c r="CG159" s="55">
        <f t="shared" si="218"/>
        <v>0.26180900000000001</v>
      </c>
      <c r="CH159" s="55">
        <f t="shared" si="218"/>
        <v>-9.3143000000000004E-2</v>
      </c>
      <c r="CI159" s="55">
        <f t="shared" si="218"/>
        <v>-0.68452299999999999</v>
      </c>
      <c r="CJ159" s="55">
        <f t="shared" si="155"/>
        <v>-0.89580899999999997</v>
      </c>
      <c r="CK159" s="55">
        <f t="shared" si="219"/>
        <v>0.81614200000000003</v>
      </c>
      <c r="CL159" s="55">
        <f t="shared" si="219"/>
        <v>-0.72858000000000001</v>
      </c>
      <c r="CM159" s="55">
        <f t="shared" si="219"/>
        <v>-0.30116700000000002</v>
      </c>
      <c r="CN159" s="55">
        <f t="shared" si="219"/>
        <v>0.89139500000000005</v>
      </c>
      <c r="CO159" s="55">
        <f t="shared" si="219"/>
        <v>1.1832609999999999</v>
      </c>
      <c r="CP159" s="55">
        <f t="shared" si="219"/>
        <v>-0.45641100000000001</v>
      </c>
      <c r="CQ159" s="55">
        <f t="shared" si="219"/>
        <v>0.82640999999999998</v>
      </c>
      <c r="CR159" s="55">
        <f t="shared" si="219"/>
        <v>0.54644000000000004</v>
      </c>
      <c r="CS159" s="55">
        <f t="shared" si="219"/>
        <v>-0.26073499999999999</v>
      </c>
      <c r="CT159" s="55">
        <f t="shared" si="219"/>
        <v>0.37647000000000003</v>
      </c>
      <c r="CU159" s="55">
        <f t="shared" si="219"/>
        <v>-0.51036899999999996</v>
      </c>
      <c r="CV159" s="55">
        <f t="shared" si="219"/>
        <v>-0.57530800000000004</v>
      </c>
      <c r="CW159" s="55">
        <f t="shared" si="219"/>
        <v>0.68396199999999996</v>
      </c>
      <c r="CX159" s="55">
        <f t="shared" si="219"/>
        <v>-0.49688300000000002</v>
      </c>
      <c r="CY159" s="55">
        <f t="shared" si="219"/>
        <v>-9.1037000000000007E-2</v>
      </c>
      <c r="CZ159" s="55">
        <f t="shared" si="219"/>
        <v>-0.48456100000000002</v>
      </c>
      <c r="DA159" s="55">
        <f t="shared" si="217"/>
        <v>-0.30803599999999998</v>
      </c>
      <c r="DB159" s="55">
        <f t="shared" si="217"/>
        <v>0.31140099999999998</v>
      </c>
      <c r="DC159" s="55">
        <f t="shared" si="217"/>
        <v>-0.64474600000000004</v>
      </c>
      <c r="DD159" s="55">
        <f t="shared" si="217"/>
        <v>-0.25173899999999999</v>
      </c>
      <c r="DE159" s="55">
        <f t="shared" si="217"/>
        <v>-0.113664</v>
      </c>
      <c r="DF159" s="55">
        <f t="shared" si="217"/>
        <v>-8.3446999999999993E-2</v>
      </c>
      <c r="DG159" s="55">
        <f t="shared" si="217"/>
        <v>0.73359600000000003</v>
      </c>
      <c r="DI159" s="55">
        <f t="shared" ca="1" si="65"/>
        <v>0.89290999999999998</v>
      </c>
      <c r="DJ159" s="55">
        <f t="shared" ca="1" si="66"/>
        <v>-0.92225699999999999</v>
      </c>
      <c r="DK159" s="55">
        <f t="shared" ca="1" si="67"/>
        <v>0.44889099999999998</v>
      </c>
      <c r="DL159" s="55">
        <f t="shared" ca="1" si="68"/>
        <v>-0.339088</v>
      </c>
      <c r="DM159" s="55">
        <f t="shared" ca="1" si="69"/>
        <v>0.77873899999999996</v>
      </c>
      <c r="DN159" s="55">
        <f t="shared" ca="1" si="70"/>
        <v>0.178679</v>
      </c>
      <c r="DO159" s="55">
        <f t="shared" ca="1" si="71"/>
        <v>-0.550404</v>
      </c>
      <c r="DP159" s="55">
        <f t="shared" ca="1" si="72"/>
        <v>0.31940400000000002</v>
      </c>
      <c r="DQ159" s="55">
        <f t="shared" ca="1" si="73"/>
        <v>0.55406200000000005</v>
      </c>
      <c r="DR159" s="55">
        <f t="shared" ca="1" si="74"/>
        <v>-1.5974600000000001</v>
      </c>
      <c r="DS159" s="55">
        <f t="shared" ca="1" si="75"/>
        <v>0.62670999999999999</v>
      </c>
      <c r="DT159" s="55">
        <f t="shared" ca="1" si="76"/>
        <v>-1.58036</v>
      </c>
      <c r="DU159" s="55">
        <f t="shared" ca="1" si="77"/>
        <v>0.43925500000000001</v>
      </c>
      <c r="DV159" s="55">
        <f t="shared" ca="1" si="78"/>
        <v>-0.21241599999999999</v>
      </c>
      <c r="DW159" s="55">
        <f t="shared" ca="1" si="79"/>
        <v>-0.137293</v>
      </c>
      <c r="DX159" s="55">
        <f t="shared" ca="1" si="80"/>
        <v>0.94842599999999999</v>
      </c>
      <c r="DY159" s="55">
        <f t="shared" ca="1" si="81"/>
        <v>-0.116146</v>
      </c>
      <c r="DZ159" s="55">
        <f t="shared" ca="1" si="82"/>
        <v>-0.47578100000000001</v>
      </c>
      <c r="EA159" s="55">
        <f t="shared" ca="1" si="83"/>
        <v>0.605846</v>
      </c>
      <c r="EB159" s="55">
        <f t="shared" ca="1" si="84"/>
        <v>0.57053500000000001</v>
      </c>
      <c r="EC159" s="55">
        <f t="shared" ca="1" si="85"/>
        <v>0.84854099999999999</v>
      </c>
      <c r="ED159" s="55">
        <f t="shared" ca="1" si="86"/>
        <v>-1.3692470000000001</v>
      </c>
      <c r="EE159" s="55">
        <f t="shared" ca="1" si="87"/>
        <v>0.29556399999999999</v>
      </c>
      <c r="EF159" s="55">
        <f t="shared" ca="1" si="88"/>
        <v>-0.79325199999999996</v>
      </c>
      <c r="EG159" s="55">
        <f t="shared" ca="1" si="89"/>
        <v>0.54601999999999995</v>
      </c>
      <c r="EH159" s="55">
        <f t="shared" ca="1" si="90"/>
        <v>-0.60622100000000001</v>
      </c>
      <c r="EI159" s="55">
        <f t="shared" ca="1" si="91"/>
        <v>0.76331599999999999</v>
      </c>
      <c r="EJ159" s="55">
        <f t="shared" ca="1" si="92"/>
        <v>-0.77407999999999999</v>
      </c>
      <c r="EK159" s="55">
        <f t="shared" ca="1" si="93"/>
        <v>0.21528900000000001</v>
      </c>
      <c r="EL159" s="55">
        <f t="shared" ca="1" si="94"/>
        <v>0.47770699999999999</v>
      </c>
      <c r="EM159" s="55">
        <f t="shared" ca="1" si="95"/>
        <v>0.28191300000000002</v>
      </c>
      <c r="EN159" s="55">
        <f t="shared" ca="1" si="96"/>
        <v>-0.33427200000000001</v>
      </c>
      <c r="EO159" s="55">
        <f t="shared" ca="1" si="97"/>
        <v>-0.28843400000000002</v>
      </c>
      <c r="EP159" s="55">
        <f t="shared" ca="1" si="98"/>
        <v>-0.61893299999999996</v>
      </c>
      <c r="EQ159" s="55">
        <f t="shared" ca="1" si="99"/>
        <v>-0.99542699999999995</v>
      </c>
      <c r="ER159" s="55">
        <f t="shared" ca="1" si="100"/>
        <v>1.50929</v>
      </c>
      <c r="ES159" s="55">
        <f t="shared" ca="1" si="101"/>
        <v>0.49689899999999998</v>
      </c>
      <c r="ET159" s="55">
        <f t="shared" ca="1" si="102"/>
        <v>0.94131100000000001</v>
      </c>
      <c r="EU159" s="55">
        <f t="shared" ca="1" si="103"/>
        <v>-0.60974300000000003</v>
      </c>
      <c r="EV159" s="55">
        <f t="shared" ca="1" si="104"/>
        <v>-0.35215099999999999</v>
      </c>
      <c r="EW159" s="55">
        <f t="shared" ca="1" si="105"/>
        <v>-0.33057599999999998</v>
      </c>
      <c r="EX159" s="55">
        <f t="shared" ca="1" si="106"/>
        <v>0.14055300000000001</v>
      </c>
      <c r="EY159" s="55">
        <f t="shared" ca="1" si="107"/>
        <v>0.67197700000000005</v>
      </c>
      <c r="EZ159" s="55">
        <f t="shared" ca="1" si="108"/>
        <v>-0.86238000000000004</v>
      </c>
      <c r="FA159" s="55">
        <f t="shared" ca="1" si="109"/>
        <v>0.110762447161</v>
      </c>
      <c r="FB159" s="55">
        <f t="shared" ca="1" si="110"/>
        <v>-0.670488279375</v>
      </c>
      <c r="FC159" s="55">
        <f t="shared" ca="1" si="111"/>
        <v>-0.52946300053399997</v>
      </c>
      <c r="FD159" s="55">
        <f t="shared" ca="1" si="112"/>
        <v>0.82305600000000001</v>
      </c>
      <c r="FE159" s="55">
        <f t="shared" ca="1" si="113"/>
        <v>-1.439106</v>
      </c>
      <c r="FF159" s="55">
        <f t="shared" ca="1" si="114"/>
        <v>-0.61887300000000001</v>
      </c>
      <c r="FH159" s="55">
        <f t="shared" ca="1" si="115"/>
        <v>0</v>
      </c>
      <c r="FI159" s="55">
        <f t="shared" ca="1" si="207"/>
        <v>0</v>
      </c>
      <c r="FJ159" s="55">
        <f t="shared" ca="1" si="208"/>
        <v>0</v>
      </c>
      <c r="FK159" s="55">
        <f t="shared" ca="1" si="209"/>
        <v>0</v>
      </c>
      <c r="FL159" s="55">
        <f t="shared" ca="1" si="210"/>
        <v>0</v>
      </c>
      <c r="FM159" s="55">
        <f t="shared" ca="1" si="211"/>
        <v>0</v>
      </c>
      <c r="FN159" s="55">
        <f t="shared" ca="1" si="212"/>
        <v>0</v>
      </c>
      <c r="FO159" s="55">
        <f t="shared" ca="1" si="213"/>
        <v>0</v>
      </c>
      <c r="FP159" s="55">
        <f t="shared" ca="1" si="214"/>
        <v>0</v>
      </c>
      <c r="FQ159" s="55">
        <f t="shared" ca="1" si="215"/>
        <v>0</v>
      </c>
      <c r="FR159" s="55">
        <f t="shared" ca="1" si="216"/>
        <v>0</v>
      </c>
      <c r="FS159" s="55">
        <f t="shared" ca="1" si="158"/>
        <v>0</v>
      </c>
      <c r="FT159" s="55">
        <f t="shared" ca="1" si="159"/>
        <v>0</v>
      </c>
      <c r="FU159" s="55">
        <f t="shared" ca="1" si="160"/>
        <v>0</v>
      </c>
      <c r="FV159" s="55">
        <f t="shared" ca="1" si="161"/>
        <v>0</v>
      </c>
      <c r="FW159" s="55">
        <f t="shared" ca="1" si="162"/>
        <v>0</v>
      </c>
      <c r="FX159" s="55">
        <f t="shared" ca="1" si="163"/>
        <v>0</v>
      </c>
      <c r="FY159" s="55">
        <f t="shared" ca="1" si="164"/>
        <v>0</v>
      </c>
      <c r="FZ159" s="55">
        <f t="shared" ca="1" si="165"/>
        <v>0</v>
      </c>
      <c r="GA159" s="55">
        <f t="shared" ca="1" si="166"/>
        <v>0</v>
      </c>
      <c r="GB159" s="55">
        <f t="shared" ca="1" si="167"/>
        <v>0</v>
      </c>
      <c r="GC159" s="55">
        <f t="shared" ca="1" si="168"/>
        <v>0</v>
      </c>
      <c r="GD159" s="55">
        <f t="shared" ca="1" si="169"/>
        <v>0</v>
      </c>
      <c r="GE159" s="55">
        <f t="shared" ca="1" si="170"/>
        <v>0</v>
      </c>
      <c r="GF159" s="55">
        <f t="shared" ca="1" si="171"/>
        <v>0</v>
      </c>
      <c r="GG159" s="55">
        <f t="shared" ca="1" si="172"/>
        <v>0</v>
      </c>
      <c r="GH159" s="55">
        <f t="shared" ca="1" si="173"/>
        <v>0</v>
      </c>
      <c r="GI159" s="55">
        <f t="shared" ca="1" si="174"/>
        <v>0</v>
      </c>
      <c r="GJ159" s="55">
        <f t="shared" ca="1" si="175"/>
        <v>0</v>
      </c>
      <c r="GK159" s="55">
        <f t="shared" ca="1" si="176"/>
        <v>0</v>
      </c>
      <c r="GL159" s="55">
        <f t="shared" ca="1" si="177"/>
        <v>0</v>
      </c>
      <c r="GM159" s="55">
        <f t="shared" ca="1" si="178"/>
        <v>0</v>
      </c>
      <c r="GN159" s="55">
        <f t="shared" ca="1" si="179"/>
        <v>0</v>
      </c>
      <c r="GO159" s="55">
        <f t="shared" ca="1" si="180"/>
        <v>0</v>
      </c>
      <c r="GP159" s="55">
        <f t="shared" ca="1" si="181"/>
        <v>0</v>
      </c>
      <c r="GQ159" s="55">
        <f t="shared" ca="1" si="182"/>
        <v>0</v>
      </c>
      <c r="GR159" s="55">
        <f t="shared" ca="1" si="183"/>
        <v>0</v>
      </c>
      <c r="GS159" s="55">
        <f t="shared" ca="1" si="184"/>
        <v>0</v>
      </c>
      <c r="GT159" s="55">
        <f t="shared" ca="1" si="185"/>
        <v>0</v>
      </c>
      <c r="GU159" s="55">
        <f t="shared" ca="1" si="186"/>
        <v>0</v>
      </c>
      <c r="GV159" s="55">
        <f t="shared" ca="1" si="187"/>
        <v>0</v>
      </c>
      <c r="GW159" s="55">
        <f t="shared" ca="1" si="188"/>
        <v>0</v>
      </c>
      <c r="GX159" s="55">
        <f t="shared" ca="1" si="189"/>
        <v>0</v>
      </c>
      <c r="GY159" s="55">
        <f t="shared" ca="1" si="190"/>
        <v>0</v>
      </c>
      <c r="GZ159" s="55">
        <f t="shared" ca="1" si="191"/>
        <v>0.125740447161</v>
      </c>
      <c r="HA159" s="55">
        <f t="shared" ca="1" si="192"/>
        <v>1.6132720625000041E-2</v>
      </c>
      <c r="HB159" s="55">
        <f t="shared" ca="1" si="193"/>
        <v>0.17404999946600008</v>
      </c>
      <c r="HC159" s="55">
        <f t="shared" ca="1" si="194"/>
        <v>0</v>
      </c>
      <c r="HD159" s="55">
        <f t="shared" ca="1" si="195"/>
        <v>0</v>
      </c>
      <c r="HE159" s="55">
        <f t="shared" ca="1" si="196"/>
        <v>0</v>
      </c>
    </row>
    <row r="160" spans="1:213">
      <c r="A160" s="27">
        <v>23</v>
      </c>
      <c r="B160" s="27">
        <v>16</v>
      </c>
      <c r="C160" s="27">
        <v>8.7274000000000004E-2</v>
      </c>
      <c r="D160" s="27">
        <v>0.996695</v>
      </c>
      <c r="E160" s="27">
        <v>45</v>
      </c>
      <c r="F160" s="27">
        <f t="shared" ca="1" si="59"/>
        <v>49</v>
      </c>
      <c r="G160" s="27">
        <f t="shared" si="54"/>
        <v>0</v>
      </c>
      <c r="H160" s="27" t="str">
        <f t="shared" si="60"/>
        <v>Sim</v>
      </c>
      <c r="I160" s="27">
        <f t="shared" si="61"/>
        <v>0</v>
      </c>
      <c r="J160" s="37">
        <f t="shared" si="62"/>
        <v>1</v>
      </c>
      <c r="K160" s="55">
        <f t="shared" si="63"/>
        <v>0.62340799999999996</v>
      </c>
      <c r="L160" s="55">
        <f t="shared" si="197"/>
        <v>-0.388465</v>
      </c>
      <c r="M160" s="55">
        <f t="shared" si="198"/>
        <v>5.6070000000000002E-2</v>
      </c>
      <c r="N160" s="55">
        <f t="shared" si="199"/>
        <v>7.9558000000000004E-2</v>
      </c>
      <c r="O160" s="55">
        <f t="shared" si="200"/>
        <v>0.96263500000000002</v>
      </c>
      <c r="P160" s="55">
        <f t="shared" si="201"/>
        <v>0.15728300000000001</v>
      </c>
      <c r="Q160" s="55">
        <f t="shared" si="202"/>
        <v>-0.16175100000000001</v>
      </c>
      <c r="R160" s="55">
        <f t="shared" si="203"/>
        <v>0.80041499999999999</v>
      </c>
      <c r="S160" s="55">
        <f t="shared" si="204"/>
        <v>-0.85971399999999998</v>
      </c>
      <c r="T160" s="55">
        <f t="shared" si="205"/>
        <v>0.67834000000000005</v>
      </c>
      <c r="U160" s="55">
        <f t="shared" si="206"/>
        <v>5.4384000000000002E-2</v>
      </c>
      <c r="V160" s="55">
        <f t="shared" si="116"/>
        <v>-0.63309899999999997</v>
      </c>
      <c r="W160" s="55">
        <f t="shared" si="117"/>
        <v>-1.530619</v>
      </c>
      <c r="X160" s="55">
        <f t="shared" si="118"/>
        <v>-1.4579279999999999</v>
      </c>
      <c r="Y160" s="55">
        <f t="shared" si="119"/>
        <v>0.20503399999999999</v>
      </c>
      <c r="Z160" s="55">
        <f t="shared" si="120"/>
        <v>0.92105700000000001</v>
      </c>
      <c r="AA160" s="55">
        <f t="shared" si="121"/>
        <v>0.62899000000000005</v>
      </c>
      <c r="AB160" s="55">
        <f t="shared" si="122"/>
        <v>-4.3908000000000003E-2</v>
      </c>
      <c r="AC160" s="55">
        <f t="shared" si="123"/>
        <v>0.28092299999999998</v>
      </c>
      <c r="AD160" s="55">
        <f t="shared" si="124"/>
        <v>-0.456926</v>
      </c>
      <c r="AE160" s="55">
        <f t="shared" si="125"/>
        <v>0.85801099999999997</v>
      </c>
      <c r="AF160" s="55">
        <f t="shared" si="126"/>
        <v>-0.24601700000000001</v>
      </c>
      <c r="AG160" s="55">
        <f t="shared" si="127"/>
        <v>-0.61331400000000003</v>
      </c>
      <c r="AH160" s="55">
        <f t="shared" si="128"/>
        <v>-0.403613</v>
      </c>
      <c r="AI160" s="55">
        <f t="shared" si="129"/>
        <v>-0.86787400000000003</v>
      </c>
      <c r="AJ160" s="55">
        <f t="shared" si="130"/>
        <v>-8.0771999999999997E-2</v>
      </c>
      <c r="AK160" s="55">
        <f t="shared" si="131"/>
        <v>-0.50662700000000005</v>
      </c>
      <c r="AL160" s="55">
        <f t="shared" si="132"/>
        <v>-5.1968E-2</v>
      </c>
      <c r="AM160" s="55">
        <f t="shared" si="133"/>
        <v>1.2316450000000001</v>
      </c>
      <c r="AN160" s="55">
        <f t="shared" si="134"/>
        <v>-0.17550399999999999</v>
      </c>
      <c r="AO160" s="55">
        <f t="shared" si="135"/>
        <v>0.39920099999999997</v>
      </c>
      <c r="AP160" s="55">
        <f t="shared" si="136"/>
        <v>-0.81987600000000005</v>
      </c>
      <c r="AQ160" s="55">
        <f t="shared" si="137"/>
        <v>0.87561999999999995</v>
      </c>
      <c r="AR160" s="55">
        <f t="shared" si="138"/>
        <v>0.68350100000000003</v>
      </c>
      <c r="AS160" s="55">
        <f t="shared" si="139"/>
        <v>-1.003925</v>
      </c>
      <c r="AT160" s="55">
        <f t="shared" si="140"/>
        <v>-0.71970599999999996</v>
      </c>
      <c r="AU160" s="55">
        <f t="shared" si="141"/>
        <v>0.49610500000000002</v>
      </c>
      <c r="AV160" s="55">
        <f t="shared" si="142"/>
        <v>0.11883100000000001</v>
      </c>
      <c r="AW160" s="55">
        <f t="shared" si="143"/>
        <v>0.90245799999999998</v>
      </c>
      <c r="AX160" s="55">
        <f t="shared" si="144"/>
        <v>0.146954</v>
      </c>
      <c r="AY160" s="55">
        <f t="shared" si="145"/>
        <v>3.9683000000000003E-2</v>
      </c>
      <c r="AZ160" s="55">
        <f t="shared" si="146"/>
        <v>-1.390312</v>
      </c>
      <c r="BA160" s="55">
        <f t="shared" si="147"/>
        <v>0.51397999999999999</v>
      </c>
      <c r="BB160" s="55">
        <f t="shared" si="148"/>
        <v>-0.69938699999999998</v>
      </c>
      <c r="BC160" s="55">
        <f t="shared" si="149"/>
        <v>-0.61740399999999995</v>
      </c>
      <c r="BD160" s="55">
        <f t="shared" si="150"/>
        <v>-0.36079800000000001</v>
      </c>
      <c r="BE160" s="55">
        <f t="shared" si="151"/>
        <v>-0.52576500000000004</v>
      </c>
      <c r="BF160" s="55">
        <f t="shared" si="152"/>
        <v>0.21933800000000001</v>
      </c>
      <c r="BG160" s="55">
        <f t="shared" si="153"/>
        <v>-0.73863699999999999</v>
      </c>
      <c r="BH160" s="55">
        <f t="shared" si="154"/>
        <v>0.98329599999999995</v>
      </c>
      <c r="BJ160" s="55">
        <f t="shared" si="220"/>
        <v>-0.83938599999999997</v>
      </c>
      <c r="BK160" s="55">
        <f t="shared" si="220"/>
        <v>-7.3762999999999995E-2</v>
      </c>
      <c r="BL160" s="55">
        <f t="shared" si="220"/>
        <v>0.222966</v>
      </c>
      <c r="BM160" s="55">
        <f t="shared" si="220"/>
        <v>0.30225400000000002</v>
      </c>
      <c r="BN160" s="55">
        <f t="shared" si="220"/>
        <v>0.68256499999999998</v>
      </c>
      <c r="BO160" s="55">
        <f t="shared" si="220"/>
        <v>-0.35476799999999997</v>
      </c>
      <c r="BP160" s="55">
        <f t="shared" si="220"/>
        <v>-0.264739</v>
      </c>
      <c r="BQ160" s="55">
        <f t="shared" si="220"/>
        <v>-0.81806999999999996</v>
      </c>
      <c r="BR160" s="55">
        <f t="shared" si="220"/>
        <v>0.25250699999999998</v>
      </c>
      <c r="BS160" s="55">
        <f t="shared" si="220"/>
        <v>-0.689828</v>
      </c>
      <c r="BT160" s="55">
        <f t="shared" si="220"/>
        <v>5.0720000000000001E-3</v>
      </c>
      <c r="BU160" s="55">
        <f t="shared" si="220"/>
        <v>-0.25135200000000002</v>
      </c>
      <c r="BV160" s="55">
        <f t="shared" si="220"/>
        <v>3.3418999999999997E-2</v>
      </c>
      <c r="BW160" s="55">
        <f t="shared" si="220"/>
        <v>-0.80864000000000003</v>
      </c>
      <c r="BX160" s="55">
        <f t="shared" si="220"/>
        <v>0.35101399999999999</v>
      </c>
      <c r="BY160" s="55">
        <f t="shared" si="220"/>
        <v>1.280697</v>
      </c>
      <c r="BZ160" s="55">
        <f t="shared" si="218"/>
        <v>-1.7562999999999999E-2</v>
      </c>
      <c r="CA160" s="55">
        <f t="shared" si="218"/>
        <v>-1.189017</v>
      </c>
      <c r="CB160" s="55">
        <f t="shared" si="218"/>
        <v>-0.61908399999999997</v>
      </c>
      <c r="CC160" s="55">
        <f t="shared" si="218"/>
        <v>-4.4188999999999999E-2</v>
      </c>
      <c r="CD160" s="55">
        <f t="shared" si="218"/>
        <v>0.584592</v>
      </c>
      <c r="CE160" s="55">
        <f t="shared" si="218"/>
        <v>1.049345</v>
      </c>
      <c r="CF160" s="55">
        <f t="shared" si="218"/>
        <v>0.62535700000000005</v>
      </c>
      <c r="CG160" s="55">
        <f t="shared" si="218"/>
        <v>0.58512900000000001</v>
      </c>
      <c r="CH160" s="55">
        <f t="shared" si="218"/>
        <v>-1.4290860000000001</v>
      </c>
      <c r="CI160" s="55">
        <f t="shared" si="218"/>
        <v>7.5738E-2</v>
      </c>
      <c r="CJ160" s="55">
        <f t="shared" si="155"/>
        <v>-0.53014099999999997</v>
      </c>
      <c r="CK160" s="55">
        <f t="shared" si="219"/>
        <v>0.73582999999999998</v>
      </c>
      <c r="CL160" s="55">
        <f t="shared" si="219"/>
        <v>-0.82043699999999997</v>
      </c>
      <c r="CM160" s="55">
        <f t="shared" si="219"/>
        <v>-0.92069299999999998</v>
      </c>
      <c r="CN160" s="55">
        <f t="shared" si="219"/>
        <v>-2.0251000000000002E-2</v>
      </c>
      <c r="CO160" s="55">
        <f t="shared" si="219"/>
        <v>-0.95974599999999999</v>
      </c>
      <c r="CP160" s="55">
        <f t="shared" si="219"/>
        <v>0.49084</v>
      </c>
      <c r="CQ160" s="55">
        <f t="shared" si="219"/>
        <v>0.16636699999999999</v>
      </c>
      <c r="CR160" s="55">
        <f t="shared" si="219"/>
        <v>-1.423308</v>
      </c>
      <c r="CS160" s="55">
        <f t="shared" si="219"/>
        <v>-0.426983</v>
      </c>
      <c r="CT160" s="55">
        <f t="shared" si="219"/>
        <v>0.70173099999999999</v>
      </c>
      <c r="CU160" s="55">
        <f t="shared" si="219"/>
        <v>0.28100799999999998</v>
      </c>
      <c r="CV160" s="55">
        <f t="shared" si="219"/>
        <v>-0.125828</v>
      </c>
      <c r="CW160" s="55">
        <f t="shared" si="219"/>
        <v>-0.39920099999999997</v>
      </c>
      <c r="CX160" s="55">
        <f t="shared" si="219"/>
        <v>0.17724200000000001</v>
      </c>
      <c r="CY160" s="55">
        <f t="shared" si="219"/>
        <v>-0.61853800000000003</v>
      </c>
      <c r="CZ160" s="55">
        <f t="shared" si="219"/>
        <v>-0.90148200000000001</v>
      </c>
      <c r="DA160" s="55">
        <f t="shared" si="217"/>
        <v>-0.65776100000000004</v>
      </c>
      <c r="DB160" s="55">
        <f t="shared" si="217"/>
        <v>-0.14538499999999999</v>
      </c>
      <c r="DC160" s="55">
        <f t="shared" si="217"/>
        <v>-0.63981299999999997</v>
      </c>
      <c r="DD160" s="55">
        <f t="shared" si="217"/>
        <v>0.203068</v>
      </c>
      <c r="DE160" s="55">
        <f t="shared" si="217"/>
        <v>0.72957000000000005</v>
      </c>
      <c r="DF160" s="55">
        <f t="shared" si="217"/>
        <v>0.97402999999999995</v>
      </c>
      <c r="DG160" s="55">
        <f t="shared" si="217"/>
        <v>-0.264011</v>
      </c>
      <c r="DI160" s="55">
        <f t="shared" ca="1" si="65"/>
        <v>0.62340799999999996</v>
      </c>
      <c r="DJ160" s="55">
        <f t="shared" ca="1" si="66"/>
        <v>-0.388465</v>
      </c>
      <c r="DK160" s="55">
        <f t="shared" ca="1" si="67"/>
        <v>5.6070000000000002E-2</v>
      </c>
      <c r="DL160" s="55">
        <f t="shared" ca="1" si="68"/>
        <v>7.9558000000000004E-2</v>
      </c>
      <c r="DM160" s="55">
        <f t="shared" ca="1" si="69"/>
        <v>0.96263500000000002</v>
      </c>
      <c r="DN160" s="55">
        <f t="shared" ca="1" si="70"/>
        <v>0.15728300000000001</v>
      </c>
      <c r="DO160" s="55">
        <f t="shared" ca="1" si="71"/>
        <v>-0.16175100000000001</v>
      </c>
      <c r="DP160" s="55">
        <f t="shared" ca="1" si="72"/>
        <v>0.80041499999999999</v>
      </c>
      <c r="DQ160" s="55">
        <f t="shared" ca="1" si="73"/>
        <v>-0.85971399999999998</v>
      </c>
      <c r="DR160" s="55">
        <f t="shared" ca="1" si="74"/>
        <v>0.67834000000000005</v>
      </c>
      <c r="DS160" s="55">
        <f t="shared" ca="1" si="75"/>
        <v>5.4384000000000002E-2</v>
      </c>
      <c r="DT160" s="55">
        <f t="shared" ca="1" si="76"/>
        <v>-0.63309899999999997</v>
      </c>
      <c r="DU160" s="55">
        <f t="shared" ca="1" si="77"/>
        <v>-1.530619</v>
      </c>
      <c r="DV160" s="55">
        <f t="shared" ca="1" si="78"/>
        <v>-1.4579279999999999</v>
      </c>
      <c r="DW160" s="55">
        <f t="shared" ca="1" si="79"/>
        <v>0.20503399999999999</v>
      </c>
      <c r="DX160" s="55">
        <f t="shared" ca="1" si="80"/>
        <v>0.92105700000000001</v>
      </c>
      <c r="DY160" s="55">
        <f t="shared" ca="1" si="81"/>
        <v>0.62899000000000005</v>
      </c>
      <c r="DZ160" s="55">
        <f t="shared" ca="1" si="82"/>
        <v>-4.3908000000000003E-2</v>
      </c>
      <c r="EA160" s="55">
        <f t="shared" ca="1" si="83"/>
        <v>0.28092299999999998</v>
      </c>
      <c r="EB160" s="55">
        <f t="shared" ca="1" si="84"/>
        <v>-0.456926</v>
      </c>
      <c r="EC160" s="55">
        <f t="shared" ca="1" si="85"/>
        <v>0.85801099999999997</v>
      </c>
      <c r="ED160" s="55">
        <f t="shared" ca="1" si="86"/>
        <v>-0.24601700000000001</v>
      </c>
      <c r="EE160" s="55">
        <f t="shared" ca="1" si="87"/>
        <v>-0.61331400000000003</v>
      </c>
      <c r="EF160" s="55">
        <f t="shared" ca="1" si="88"/>
        <v>-0.403613</v>
      </c>
      <c r="EG160" s="55">
        <f t="shared" ca="1" si="89"/>
        <v>-0.86787400000000003</v>
      </c>
      <c r="EH160" s="55">
        <f t="shared" ca="1" si="90"/>
        <v>-8.0771999999999997E-2</v>
      </c>
      <c r="EI160" s="55">
        <f t="shared" ca="1" si="91"/>
        <v>-0.50662700000000005</v>
      </c>
      <c r="EJ160" s="55">
        <f t="shared" ca="1" si="92"/>
        <v>-5.1968E-2</v>
      </c>
      <c r="EK160" s="55">
        <f t="shared" ca="1" si="93"/>
        <v>1.2316450000000001</v>
      </c>
      <c r="EL160" s="55">
        <f t="shared" ca="1" si="94"/>
        <v>-0.17550399999999999</v>
      </c>
      <c r="EM160" s="55">
        <f t="shared" ca="1" si="95"/>
        <v>0.39920099999999997</v>
      </c>
      <c r="EN160" s="55">
        <f t="shared" ca="1" si="96"/>
        <v>-0.81987600000000005</v>
      </c>
      <c r="EO160" s="55">
        <f t="shared" ca="1" si="97"/>
        <v>0.87561999999999995</v>
      </c>
      <c r="EP160" s="55">
        <f t="shared" ca="1" si="98"/>
        <v>0.68350100000000003</v>
      </c>
      <c r="EQ160" s="55">
        <f t="shared" ca="1" si="99"/>
        <v>-1.003925</v>
      </c>
      <c r="ER160" s="55">
        <f t="shared" ca="1" si="100"/>
        <v>-0.71970599999999996</v>
      </c>
      <c r="ES160" s="55">
        <f t="shared" ca="1" si="101"/>
        <v>0.49610500000000002</v>
      </c>
      <c r="ET160" s="55">
        <f t="shared" ca="1" si="102"/>
        <v>0.11883100000000001</v>
      </c>
      <c r="EU160" s="55">
        <f t="shared" ca="1" si="103"/>
        <v>0.90245799999999998</v>
      </c>
      <c r="EV160" s="55">
        <f t="shared" ca="1" si="104"/>
        <v>0.146954</v>
      </c>
      <c r="EW160" s="55">
        <f t="shared" ca="1" si="105"/>
        <v>3.9683000000000003E-2</v>
      </c>
      <c r="EX160" s="55">
        <f t="shared" ca="1" si="106"/>
        <v>-1.390312</v>
      </c>
      <c r="EY160" s="55">
        <f t="shared" ca="1" si="107"/>
        <v>0.51397999999999999</v>
      </c>
      <c r="EZ160" s="55">
        <f t="shared" ca="1" si="108"/>
        <v>-0.69938699999999998</v>
      </c>
      <c r="FA160" s="55">
        <f t="shared" ca="1" si="109"/>
        <v>-0.61740399999999995</v>
      </c>
      <c r="FB160" s="55">
        <f t="shared" ca="1" si="110"/>
        <v>-0.36172014457500001</v>
      </c>
      <c r="FC160" s="55">
        <f t="shared" ca="1" si="111"/>
        <v>-0.52335620693500007</v>
      </c>
      <c r="FD160" s="55">
        <f t="shared" ca="1" si="112"/>
        <v>0.22102431676000001</v>
      </c>
      <c r="FE160" s="55">
        <f t="shared" ca="1" si="113"/>
        <v>-0.73297663556500003</v>
      </c>
      <c r="FF160" s="55">
        <f t="shared" ca="1" si="114"/>
        <v>0.98329599999999995</v>
      </c>
      <c r="FH160" s="55">
        <f t="shared" ca="1" si="115"/>
        <v>0</v>
      </c>
      <c r="FI160" s="55">
        <f t="shared" ca="1" si="207"/>
        <v>0</v>
      </c>
      <c r="FJ160" s="55">
        <f t="shared" ca="1" si="208"/>
        <v>0</v>
      </c>
      <c r="FK160" s="55">
        <f t="shared" ca="1" si="209"/>
        <v>0</v>
      </c>
      <c r="FL160" s="55">
        <f t="shared" ca="1" si="210"/>
        <v>0</v>
      </c>
      <c r="FM160" s="55">
        <f t="shared" ca="1" si="211"/>
        <v>0</v>
      </c>
      <c r="FN160" s="55">
        <f t="shared" ca="1" si="212"/>
        <v>0</v>
      </c>
      <c r="FO160" s="55">
        <f t="shared" ca="1" si="213"/>
        <v>0</v>
      </c>
      <c r="FP160" s="55">
        <f t="shared" ca="1" si="214"/>
        <v>0</v>
      </c>
      <c r="FQ160" s="55">
        <f t="shared" ca="1" si="215"/>
        <v>0</v>
      </c>
      <c r="FR160" s="55">
        <f t="shared" ca="1" si="216"/>
        <v>0</v>
      </c>
      <c r="FS160" s="55">
        <f t="shared" ca="1" si="158"/>
        <v>0</v>
      </c>
      <c r="FT160" s="55">
        <f t="shared" ca="1" si="159"/>
        <v>0</v>
      </c>
      <c r="FU160" s="55">
        <f t="shared" ca="1" si="160"/>
        <v>0</v>
      </c>
      <c r="FV160" s="55">
        <f t="shared" ca="1" si="161"/>
        <v>0</v>
      </c>
      <c r="FW160" s="55">
        <f t="shared" ca="1" si="162"/>
        <v>0</v>
      </c>
      <c r="FX160" s="55">
        <f t="shared" ca="1" si="163"/>
        <v>0</v>
      </c>
      <c r="FY160" s="55">
        <f t="shared" ca="1" si="164"/>
        <v>0</v>
      </c>
      <c r="FZ160" s="55">
        <f t="shared" ca="1" si="165"/>
        <v>0</v>
      </c>
      <c r="GA160" s="55">
        <f t="shared" ca="1" si="166"/>
        <v>0</v>
      </c>
      <c r="GB160" s="55">
        <f t="shared" ca="1" si="167"/>
        <v>0</v>
      </c>
      <c r="GC160" s="55">
        <f t="shared" ca="1" si="168"/>
        <v>0</v>
      </c>
      <c r="GD160" s="55">
        <f t="shared" ca="1" si="169"/>
        <v>0</v>
      </c>
      <c r="GE160" s="55">
        <f t="shared" ca="1" si="170"/>
        <v>0</v>
      </c>
      <c r="GF160" s="55">
        <f t="shared" ca="1" si="171"/>
        <v>0</v>
      </c>
      <c r="GG160" s="55">
        <f t="shared" ca="1" si="172"/>
        <v>0</v>
      </c>
      <c r="GH160" s="55">
        <f t="shared" ca="1" si="173"/>
        <v>0</v>
      </c>
      <c r="GI160" s="55">
        <f t="shared" ca="1" si="174"/>
        <v>0</v>
      </c>
      <c r="GJ160" s="55">
        <f t="shared" ca="1" si="175"/>
        <v>0</v>
      </c>
      <c r="GK160" s="55">
        <f t="shared" ca="1" si="176"/>
        <v>0</v>
      </c>
      <c r="GL160" s="55">
        <f t="shared" ca="1" si="177"/>
        <v>0</v>
      </c>
      <c r="GM160" s="55">
        <f t="shared" ca="1" si="178"/>
        <v>0</v>
      </c>
      <c r="GN160" s="55">
        <f t="shared" ca="1" si="179"/>
        <v>0</v>
      </c>
      <c r="GO160" s="55">
        <f t="shared" ca="1" si="180"/>
        <v>0</v>
      </c>
      <c r="GP160" s="55">
        <f t="shared" ca="1" si="181"/>
        <v>0</v>
      </c>
      <c r="GQ160" s="55">
        <f t="shared" ca="1" si="182"/>
        <v>0</v>
      </c>
      <c r="GR160" s="55">
        <f t="shared" ca="1" si="183"/>
        <v>0</v>
      </c>
      <c r="GS160" s="55">
        <f t="shared" ca="1" si="184"/>
        <v>0</v>
      </c>
      <c r="GT160" s="55">
        <f t="shared" ca="1" si="185"/>
        <v>0</v>
      </c>
      <c r="GU160" s="55">
        <f t="shared" ca="1" si="186"/>
        <v>0</v>
      </c>
      <c r="GV160" s="55">
        <f t="shared" ca="1" si="187"/>
        <v>0</v>
      </c>
      <c r="GW160" s="55">
        <f t="shared" ca="1" si="188"/>
        <v>0</v>
      </c>
      <c r="GX160" s="55">
        <f t="shared" ca="1" si="189"/>
        <v>0</v>
      </c>
      <c r="GY160" s="55">
        <f t="shared" ca="1" si="190"/>
        <v>0</v>
      </c>
      <c r="GZ160" s="55">
        <f t="shared" ca="1" si="191"/>
        <v>0</v>
      </c>
      <c r="HA160" s="55">
        <f t="shared" ca="1" si="192"/>
        <v>-9.2214457500000568E-4</v>
      </c>
      <c r="HB160" s="55">
        <f t="shared" ca="1" si="193"/>
        <v>2.40879306499997E-3</v>
      </c>
      <c r="HC160" s="55">
        <f t="shared" ca="1" si="194"/>
        <v>1.6863167600000006E-3</v>
      </c>
      <c r="HD160" s="55">
        <f t="shared" ca="1" si="195"/>
        <v>5.6603644349999538E-3</v>
      </c>
      <c r="HE160" s="55">
        <f t="shared" ca="1" si="196"/>
        <v>0</v>
      </c>
    </row>
    <row r="161" spans="1:213">
      <c r="A161" s="27">
        <v>24</v>
      </c>
      <c r="B161" s="27">
        <v>13</v>
      </c>
      <c r="C161" s="27">
        <v>0.285414</v>
      </c>
      <c r="D161" s="27">
        <v>0.94623699999999999</v>
      </c>
      <c r="E161" s="27">
        <v>42</v>
      </c>
      <c r="F161" s="27">
        <f t="shared" ca="1" si="59"/>
        <v>46</v>
      </c>
      <c r="G161" s="27">
        <f t="shared" si="54"/>
        <v>0</v>
      </c>
      <c r="H161" s="27" t="str">
        <f t="shared" si="60"/>
        <v>Sim</v>
      </c>
      <c r="I161" s="27">
        <f t="shared" si="61"/>
        <v>0</v>
      </c>
      <c r="J161" s="37">
        <f t="shared" si="62"/>
        <v>1</v>
      </c>
      <c r="K161" s="55">
        <f t="shared" si="63"/>
        <v>-0.699237</v>
      </c>
      <c r="L161" s="55">
        <f t="shared" si="197"/>
        <v>0.77654800000000002</v>
      </c>
      <c r="M161" s="55">
        <f t="shared" si="198"/>
        <v>-0.55426699999999995</v>
      </c>
      <c r="N161" s="55">
        <f t="shared" si="199"/>
        <v>-0.338505</v>
      </c>
      <c r="O161" s="55">
        <f t="shared" si="200"/>
        <v>1.5558449999999999</v>
      </c>
      <c r="P161" s="55">
        <f t="shared" si="201"/>
        <v>0.435251</v>
      </c>
      <c r="Q161" s="55">
        <f t="shared" si="202"/>
        <v>0.44120799999999999</v>
      </c>
      <c r="R161" s="55">
        <f t="shared" si="203"/>
        <v>-1.6388510000000001</v>
      </c>
      <c r="S161" s="55">
        <f t="shared" si="204"/>
        <v>-0.106992</v>
      </c>
      <c r="T161" s="55">
        <f t="shared" si="205"/>
        <v>2.0667999999999999E-2</v>
      </c>
      <c r="U161" s="55">
        <f t="shared" si="206"/>
        <v>-0.542238</v>
      </c>
      <c r="V161" s="55">
        <f t="shared" si="116"/>
        <v>-0.30153600000000003</v>
      </c>
      <c r="W161" s="55">
        <f t="shared" si="117"/>
        <v>-0.22511200000000001</v>
      </c>
      <c r="X161" s="55">
        <f t="shared" si="118"/>
        <v>0.49783100000000002</v>
      </c>
      <c r="Y161" s="55">
        <f t="shared" si="119"/>
        <v>0.81537099999999996</v>
      </c>
      <c r="Z161" s="55">
        <f t="shared" si="120"/>
        <v>0.71334399999999998</v>
      </c>
      <c r="AA161" s="55">
        <f t="shared" si="121"/>
        <v>-0.192411</v>
      </c>
      <c r="AB161" s="55">
        <f t="shared" si="122"/>
        <v>0.178346</v>
      </c>
      <c r="AC161" s="55">
        <f t="shared" si="123"/>
        <v>0.76347699999999996</v>
      </c>
      <c r="AD161" s="55">
        <f t="shared" si="124"/>
        <v>0.35051199999999999</v>
      </c>
      <c r="AE161" s="55">
        <f t="shared" si="125"/>
        <v>0.61338599999999999</v>
      </c>
      <c r="AF161" s="55">
        <f t="shared" si="126"/>
        <v>-0.40745300000000001</v>
      </c>
      <c r="AG161" s="55">
        <f t="shared" si="127"/>
        <v>0.86730300000000005</v>
      </c>
      <c r="AH161" s="55">
        <f t="shared" si="128"/>
        <v>-1.021844</v>
      </c>
      <c r="AI161" s="55">
        <f t="shared" si="129"/>
        <v>-0.55268799999999996</v>
      </c>
      <c r="AJ161" s="55">
        <f t="shared" si="130"/>
        <v>-0.19992099999999999</v>
      </c>
      <c r="AK161" s="55">
        <f t="shared" si="131"/>
        <v>-0.64130600000000004</v>
      </c>
      <c r="AL161" s="55">
        <f t="shared" si="132"/>
        <v>0.82286499999999996</v>
      </c>
      <c r="AM161" s="55">
        <f t="shared" si="133"/>
        <v>1.1199330000000001</v>
      </c>
      <c r="AN161" s="55">
        <f t="shared" si="134"/>
        <v>-0.224494</v>
      </c>
      <c r="AO161" s="55">
        <f t="shared" si="135"/>
        <v>0.47010000000000002</v>
      </c>
      <c r="AP161" s="55">
        <f t="shared" si="136"/>
        <v>0.29121399999999997</v>
      </c>
      <c r="AQ161" s="55">
        <f t="shared" si="137"/>
        <v>-3.7795000000000002E-2</v>
      </c>
      <c r="AR161" s="55">
        <f t="shared" si="138"/>
        <v>0.36605500000000002</v>
      </c>
      <c r="AS161" s="55">
        <f t="shared" si="139"/>
        <v>-0.57834300000000005</v>
      </c>
      <c r="AT161" s="55">
        <f t="shared" si="140"/>
        <v>-1.0184390000000001</v>
      </c>
      <c r="AU161" s="55">
        <f t="shared" si="141"/>
        <v>-0.445689</v>
      </c>
      <c r="AV161" s="55">
        <f t="shared" si="142"/>
        <v>-9.1711000000000001E-2</v>
      </c>
      <c r="AW161" s="55">
        <f t="shared" si="143"/>
        <v>0.26874500000000001</v>
      </c>
      <c r="AX161" s="55">
        <f t="shared" si="144"/>
        <v>-4.7309999999999998E-2</v>
      </c>
      <c r="AY161" s="55">
        <f t="shared" si="145"/>
        <v>-0.664856</v>
      </c>
      <c r="AZ161" s="55">
        <f t="shared" si="146"/>
        <v>-0.91440100000000002</v>
      </c>
      <c r="BA161" s="55">
        <f t="shared" si="147"/>
        <v>0.25162600000000002</v>
      </c>
      <c r="BB161" s="55">
        <f t="shared" si="148"/>
        <v>0.840341</v>
      </c>
      <c r="BC161" s="55">
        <f t="shared" si="149"/>
        <v>-0.57918499999999995</v>
      </c>
      <c r="BD161" s="55">
        <f t="shared" si="150"/>
        <v>-0.39771000000000001</v>
      </c>
      <c r="BE161" s="55">
        <f t="shared" si="151"/>
        <v>0.49109000000000003</v>
      </c>
      <c r="BF161" s="55">
        <f t="shared" si="152"/>
        <v>-0.73852899999999999</v>
      </c>
      <c r="BG161" s="55">
        <f t="shared" si="153"/>
        <v>-0.36857299999999998</v>
      </c>
      <c r="BH161" s="55">
        <f t="shared" si="154"/>
        <v>-0.158419</v>
      </c>
      <c r="BJ161" s="55">
        <f t="shared" si="220"/>
        <v>1.614214</v>
      </c>
      <c r="BK161" s="55">
        <f t="shared" si="220"/>
        <v>0.23215</v>
      </c>
      <c r="BL161" s="55">
        <f t="shared" si="220"/>
        <v>0.25669599999999998</v>
      </c>
      <c r="BM161" s="55">
        <f t="shared" si="220"/>
        <v>-0.116481</v>
      </c>
      <c r="BN161" s="55">
        <f t="shared" si="220"/>
        <v>1.692396</v>
      </c>
      <c r="BO161" s="55">
        <f t="shared" si="220"/>
        <v>2.0740000000000001E-2</v>
      </c>
      <c r="BP161" s="55">
        <f t="shared" si="220"/>
        <v>0.43417099999999997</v>
      </c>
      <c r="BQ161" s="55">
        <f t="shared" si="220"/>
        <v>0.15672700000000001</v>
      </c>
      <c r="BR161" s="55">
        <f t="shared" si="220"/>
        <v>0.84644900000000001</v>
      </c>
      <c r="BS161" s="55">
        <f t="shared" si="220"/>
        <v>-0.326988</v>
      </c>
      <c r="BT161" s="55">
        <f t="shared" si="220"/>
        <v>0.35654599999999997</v>
      </c>
      <c r="BU161" s="55">
        <f t="shared" si="220"/>
        <v>-0.69081700000000001</v>
      </c>
      <c r="BV161" s="55">
        <f t="shared" si="220"/>
        <v>-1.5205679999999999</v>
      </c>
      <c r="BW161" s="55">
        <f t="shared" si="220"/>
        <v>0.101855</v>
      </c>
      <c r="BX161" s="55">
        <f t="shared" si="220"/>
        <v>-5.0455E-2</v>
      </c>
      <c r="BY161" s="55">
        <f t="shared" si="220"/>
        <v>0.73058999999999996</v>
      </c>
      <c r="BZ161" s="55">
        <f t="shared" si="218"/>
        <v>-1.4077809999999999</v>
      </c>
      <c r="CA161" s="55">
        <f t="shared" si="218"/>
        <v>0.94844899999999999</v>
      </c>
      <c r="CB161" s="55">
        <f t="shared" si="218"/>
        <v>0.60904899999999995</v>
      </c>
      <c r="CC161" s="55">
        <f t="shared" si="218"/>
        <v>-0.75822400000000001</v>
      </c>
      <c r="CD161" s="55">
        <f t="shared" si="218"/>
        <v>0.56430199999999997</v>
      </c>
      <c r="CE161" s="55">
        <f t="shared" si="218"/>
        <v>0.21484500000000001</v>
      </c>
      <c r="CF161" s="55">
        <f t="shared" si="218"/>
        <v>0.75581500000000001</v>
      </c>
      <c r="CG161" s="55">
        <f t="shared" si="218"/>
        <v>0.199127</v>
      </c>
      <c r="CH161" s="55">
        <f t="shared" si="218"/>
        <v>-0.65629000000000004</v>
      </c>
      <c r="CI161" s="55">
        <f t="shared" si="218"/>
        <v>-0.14308100000000001</v>
      </c>
      <c r="CJ161" s="55">
        <f t="shared" si="155"/>
        <v>3.3890000000000003E-2</v>
      </c>
      <c r="CK161" s="55">
        <f t="shared" si="219"/>
        <v>0.30363499999999999</v>
      </c>
      <c r="CL161" s="55">
        <f t="shared" si="219"/>
        <v>-0.53788599999999998</v>
      </c>
      <c r="CM161" s="55">
        <f t="shared" si="219"/>
        <v>-0.13880600000000001</v>
      </c>
      <c r="CN161" s="55">
        <f t="shared" si="219"/>
        <v>1.799318</v>
      </c>
      <c r="CO161" s="55">
        <f t="shared" si="219"/>
        <v>-0.298431</v>
      </c>
      <c r="CP161" s="55">
        <f t="shared" si="219"/>
        <v>0.81237499999999996</v>
      </c>
      <c r="CQ161" s="55">
        <f t="shared" si="219"/>
        <v>-0.84752400000000006</v>
      </c>
      <c r="CR161" s="55">
        <f t="shared" si="219"/>
        <v>-0.52254</v>
      </c>
      <c r="CS161" s="55">
        <f t="shared" si="219"/>
        <v>0.27977600000000002</v>
      </c>
      <c r="CT161" s="55">
        <f t="shared" si="219"/>
        <v>1.7250000000000001E-2</v>
      </c>
      <c r="CU161" s="55">
        <f t="shared" si="219"/>
        <v>8.5168999999999995E-2</v>
      </c>
      <c r="CV161" s="55">
        <f t="shared" si="219"/>
        <v>-0.88034800000000002</v>
      </c>
      <c r="CW161" s="55">
        <f t="shared" si="219"/>
        <v>-0.25476799999999999</v>
      </c>
      <c r="CX161" s="55">
        <f t="shared" si="219"/>
        <v>0.21149499999999999</v>
      </c>
      <c r="CY161" s="55">
        <f t="shared" si="219"/>
        <v>-0.44474599999999997</v>
      </c>
      <c r="CZ161" s="55">
        <f t="shared" si="219"/>
        <v>-1.1809909999999999</v>
      </c>
      <c r="DA161" s="55">
        <f t="shared" si="217"/>
        <v>0.28868300000000002</v>
      </c>
      <c r="DB161" s="55">
        <f t="shared" si="217"/>
        <v>0.70152700000000001</v>
      </c>
      <c r="DC161" s="55">
        <f t="shared" si="217"/>
        <v>-0.30702600000000002</v>
      </c>
      <c r="DD161" s="55">
        <f t="shared" si="217"/>
        <v>-0.76923600000000003</v>
      </c>
      <c r="DE161" s="55">
        <f t="shared" si="217"/>
        <v>0.71762300000000001</v>
      </c>
      <c r="DF161" s="55">
        <f t="shared" si="217"/>
        <v>-1.0298890000000001</v>
      </c>
      <c r="DG161" s="55">
        <f t="shared" si="217"/>
        <v>-0.94150599999999995</v>
      </c>
      <c r="DI161" s="55">
        <f t="shared" ca="1" si="65"/>
        <v>-0.699237</v>
      </c>
      <c r="DJ161" s="55">
        <f t="shared" ca="1" si="66"/>
        <v>0.77654800000000002</v>
      </c>
      <c r="DK161" s="55">
        <f t="shared" ca="1" si="67"/>
        <v>-0.55426699999999995</v>
      </c>
      <c r="DL161" s="55">
        <f t="shared" ca="1" si="68"/>
        <v>-0.338505</v>
      </c>
      <c r="DM161" s="55">
        <f t="shared" ca="1" si="69"/>
        <v>1.5558449999999999</v>
      </c>
      <c r="DN161" s="55">
        <f t="shared" ca="1" si="70"/>
        <v>0.435251</v>
      </c>
      <c r="DO161" s="55">
        <f t="shared" ca="1" si="71"/>
        <v>0.44120799999999999</v>
      </c>
      <c r="DP161" s="55">
        <f t="shared" ca="1" si="72"/>
        <v>-1.6388510000000001</v>
      </c>
      <c r="DQ161" s="55">
        <f t="shared" ca="1" si="73"/>
        <v>-0.106992</v>
      </c>
      <c r="DR161" s="55">
        <f t="shared" ca="1" si="74"/>
        <v>2.0667999999999999E-2</v>
      </c>
      <c r="DS161" s="55">
        <f t="shared" ca="1" si="75"/>
        <v>-0.542238</v>
      </c>
      <c r="DT161" s="55">
        <f t="shared" ca="1" si="76"/>
        <v>-0.30153600000000003</v>
      </c>
      <c r="DU161" s="55">
        <f t="shared" ca="1" si="77"/>
        <v>-0.22511200000000001</v>
      </c>
      <c r="DV161" s="55">
        <f t="shared" ca="1" si="78"/>
        <v>0.49783100000000002</v>
      </c>
      <c r="DW161" s="55">
        <f t="shared" ca="1" si="79"/>
        <v>0.81537099999999996</v>
      </c>
      <c r="DX161" s="55">
        <f t="shared" ca="1" si="80"/>
        <v>0.71334399999999998</v>
      </c>
      <c r="DY161" s="55">
        <f t="shared" ca="1" si="81"/>
        <v>-0.192411</v>
      </c>
      <c r="DZ161" s="55">
        <f t="shared" ca="1" si="82"/>
        <v>0.178346</v>
      </c>
      <c r="EA161" s="55">
        <f t="shared" ca="1" si="83"/>
        <v>0.76347699999999996</v>
      </c>
      <c r="EB161" s="55">
        <f t="shared" ca="1" si="84"/>
        <v>0.35051199999999999</v>
      </c>
      <c r="EC161" s="55">
        <f t="shared" ca="1" si="85"/>
        <v>0.61338599999999999</v>
      </c>
      <c r="ED161" s="55">
        <f t="shared" ca="1" si="86"/>
        <v>-0.40745300000000001</v>
      </c>
      <c r="EE161" s="55">
        <f t="shared" ca="1" si="87"/>
        <v>0.86730300000000005</v>
      </c>
      <c r="EF161" s="55">
        <f t="shared" ca="1" si="88"/>
        <v>-1.021844</v>
      </c>
      <c r="EG161" s="55">
        <f t="shared" ca="1" si="89"/>
        <v>-0.55268799999999996</v>
      </c>
      <c r="EH161" s="55">
        <f t="shared" ca="1" si="90"/>
        <v>-0.19992099999999999</v>
      </c>
      <c r="EI161" s="55">
        <f t="shared" ca="1" si="91"/>
        <v>-0.64130600000000004</v>
      </c>
      <c r="EJ161" s="55">
        <f t="shared" ca="1" si="92"/>
        <v>0.82286499999999996</v>
      </c>
      <c r="EK161" s="55">
        <f t="shared" ca="1" si="93"/>
        <v>1.1199330000000001</v>
      </c>
      <c r="EL161" s="55">
        <f t="shared" ca="1" si="94"/>
        <v>-0.224494</v>
      </c>
      <c r="EM161" s="55">
        <f t="shared" ca="1" si="95"/>
        <v>0.47010000000000002</v>
      </c>
      <c r="EN161" s="55">
        <f t="shared" ca="1" si="96"/>
        <v>0.29121399999999997</v>
      </c>
      <c r="EO161" s="55">
        <f t="shared" ca="1" si="97"/>
        <v>-3.7795000000000002E-2</v>
      </c>
      <c r="EP161" s="55">
        <f t="shared" ca="1" si="98"/>
        <v>0.36605500000000002</v>
      </c>
      <c r="EQ161" s="55">
        <f t="shared" ca="1" si="99"/>
        <v>-0.57834300000000005</v>
      </c>
      <c r="ER161" s="55">
        <f t="shared" ca="1" si="100"/>
        <v>-1.0184390000000001</v>
      </c>
      <c r="ES161" s="55">
        <f t="shared" ca="1" si="101"/>
        <v>-0.445689</v>
      </c>
      <c r="ET161" s="55">
        <f t="shared" ca="1" si="102"/>
        <v>-9.1711000000000001E-2</v>
      </c>
      <c r="EU161" s="55">
        <f t="shared" ca="1" si="103"/>
        <v>0.26874500000000001</v>
      </c>
      <c r="EV161" s="55">
        <f t="shared" ca="1" si="104"/>
        <v>-4.7309999999999998E-2</v>
      </c>
      <c r="EW161" s="55">
        <f t="shared" ca="1" si="105"/>
        <v>-0.664856</v>
      </c>
      <c r="EX161" s="55">
        <f t="shared" ca="1" si="106"/>
        <v>-0.91440100000000002</v>
      </c>
      <c r="EY161" s="55">
        <f t="shared" ca="1" si="107"/>
        <v>0.17460421222900002</v>
      </c>
      <c r="EZ161" s="55">
        <f t="shared" ca="1" si="108"/>
        <v>0.81068221094600001</v>
      </c>
      <c r="FA161" s="55">
        <f t="shared" ca="1" si="109"/>
        <v>-0.51033008074399999</v>
      </c>
      <c r="FB161" s="55">
        <f t="shared" ca="1" si="110"/>
        <v>-0.392834556108</v>
      </c>
      <c r="FC161" s="55">
        <f t="shared" ca="1" si="111"/>
        <v>0.49109000000000003</v>
      </c>
      <c r="FD161" s="55">
        <f t="shared" ca="1" si="112"/>
        <v>-0.73852899999999999</v>
      </c>
      <c r="FE161" s="55">
        <f t="shared" ca="1" si="113"/>
        <v>-0.36857299999999998</v>
      </c>
      <c r="FF161" s="55">
        <f t="shared" ca="1" si="114"/>
        <v>-0.158419</v>
      </c>
      <c r="FH161" s="55">
        <f t="shared" ca="1" si="115"/>
        <v>0</v>
      </c>
      <c r="FI161" s="55">
        <f t="shared" ca="1" si="207"/>
        <v>0</v>
      </c>
      <c r="FJ161" s="55">
        <f t="shared" ca="1" si="208"/>
        <v>0</v>
      </c>
      <c r="FK161" s="55">
        <f t="shared" ca="1" si="209"/>
        <v>0</v>
      </c>
      <c r="FL161" s="55">
        <f t="shared" ca="1" si="210"/>
        <v>0</v>
      </c>
      <c r="FM161" s="55">
        <f t="shared" ca="1" si="211"/>
        <v>0</v>
      </c>
      <c r="FN161" s="55">
        <f t="shared" ca="1" si="212"/>
        <v>0</v>
      </c>
      <c r="FO161" s="55">
        <f t="shared" ca="1" si="213"/>
        <v>0</v>
      </c>
      <c r="FP161" s="55">
        <f t="shared" ca="1" si="214"/>
        <v>0</v>
      </c>
      <c r="FQ161" s="55">
        <f t="shared" ca="1" si="215"/>
        <v>0</v>
      </c>
      <c r="FR161" s="55">
        <f t="shared" ca="1" si="216"/>
        <v>0</v>
      </c>
      <c r="FS161" s="55">
        <f t="shared" ca="1" si="158"/>
        <v>0</v>
      </c>
      <c r="FT161" s="55">
        <f t="shared" ca="1" si="159"/>
        <v>0</v>
      </c>
      <c r="FU161" s="55">
        <f t="shared" ca="1" si="160"/>
        <v>0</v>
      </c>
      <c r="FV161" s="55">
        <f t="shared" ca="1" si="161"/>
        <v>0</v>
      </c>
      <c r="FW161" s="55">
        <f t="shared" ca="1" si="162"/>
        <v>0</v>
      </c>
      <c r="FX161" s="55">
        <f t="shared" ca="1" si="163"/>
        <v>0</v>
      </c>
      <c r="FY161" s="55">
        <f t="shared" ca="1" si="164"/>
        <v>0</v>
      </c>
      <c r="FZ161" s="55">
        <f t="shared" ca="1" si="165"/>
        <v>0</v>
      </c>
      <c r="GA161" s="55">
        <f t="shared" ca="1" si="166"/>
        <v>0</v>
      </c>
      <c r="GB161" s="55">
        <f t="shared" ca="1" si="167"/>
        <v>0</v>
      </c>
      <c r="GC161" s="55">
        <f t="shared" ca="1" si="168"/>
        <v>0</v>
      </c>
      <c r="GD161" s="55">
        <f t="shared" ca="1" si="169"/>
        <v>0</v>
      </c>
      <c r="GE161" s="55">
        <f t="shared" ca="1" si="170"/>
        <v>0</v>
      </c>
      <c r="GF161" s="55">
        <f t="shared" ca="1" si="171"/>
        <v>0</v>
      </c>
      <c r="GG161" s="55">
        <f t="shared" ca="1" si="172"/>
        <v>0</v>
      </c>
      <c r="GH161" s="55">
        <f t="shared" ca="1" si="173"/>
        <v>0</v>
      </c>
      <c r="GI161" s="55">
        <f t="shared" ca="1" si="174"/>
        <v>0</v>
      </c>
      <c r="GJ161" s="55">
        <f t="shared" ca="1" si="175"/>
        <v>0</v>
      </c>
      <c r="GK161" s="55">
        <f t="shared" ca="1" si="176"/>
        <v>0</v>
      </c>
      <c r="GL161" s="55">
        <f t="shared" ca="1" si="177"/>
        <v>0</v>
      </c>
      <c r="GM161" s="55">
        <f t="shared" ca="1" si="178"/>
        <v>0</v>
      </c>
      <c r="GN161" s="55">
        <f t="shared" ca="1" si="179"/>
        <v>0</v>
      </c>
      <c r="GO161" s="55">
        <f t="shared" ca="1" si="180"/>
        <v>0</v>
      </c>
      <c r="GP161" s="55">
        <f t="shared" ca="1" si="181"/>
        <v>0</v>
      </c>
      <c r="GQ161" s="55">
        <f t="shared" ca="1" si="182"/>
        <v>0</v>
      </c>
      <c r="GR161" s="55">
        <f t="shared" ca="1" si="183"/>
        <v>0</v>
      </c>
      <c r="GS161" s="55">
        <f t="shared" ca="1" si="184"/>
        <v>0</v>
      </c>
      <c r="GT161" s="55">
        <f t="shared" ca="1" si="185"/>
        <v>0</v>
      </c>
      <c r="GU161" s="55">
        <f t="shared" ca="1" si="186"/>
        <v>0</v>
      </c>
      <c r="GV161" s="55">
        <f t="shared" ca="1" si="187"/>
        <v>0</v>
      </c>
      <c r="GW161" s="55">
        <f t="shared" ca="1" si="188"/>
        <v>0</v>
      </c>
      <c r="GX161" s="55">
        <f t="shared" ca="1" si="189"/>
        <v>-7.7021787770999994E-2</v>
      </c>
      <c r="GY161" s="55">
        <f t="shared" ca="1" si="190"/>
        <v>-2.965878905399999E-2</v>
      </c>
      <c r="GZ161" s="55">
        <f t="shared" ca="1" si="191"/>
        <v>6.8854919255999958E-2</v>
      </c>
      <c r="HA161" s="55">
        <f t="shared" ca="1" si="192"/>
        <v>4.8754438920000087E-3</v>
      </c>
      <c r="HB161" s="55">
        <f t="shared" ca="1" si="193"/>
        <v>0</v>
      </c>
      <c r="HC161" s="55">
        <f t="shared" ca="1" si="194"/>
        <v>0</v>
      </c>
      <c r="HD161" s="55">
        <f t="shared" ca="1" si="195"/>
        <v>0</v>
      </c>
      <c r="HE161" s="55">
        <f t="shared" ca="1" si="196"/>
        <v>0</v>
      </c>
    </row>
    <row r="162" spans="1:213">
      <c r="A162" s="27">
        <v>25</v>
      </c>
      <c r="B162" s="27">
        <v>40</v>
      </c>
      <c r="C162" s="27">
        <v>9.2044000000000001E-2</v>
      </c>
      <c r="D162" s="27">
        <v>0.60780599999999996</v>
      </c>
      <c r="E162" s="27">
        <v>8</v>
      </c>
      <c r="F162" s="27">
        <f t="shared" ca="1" si="59"/>
        <v>37</v>
      </c>
      <c r="G162" s="27">
        <f t="shared" si="54"/>
        <v>0</v>
      </c>
      <c r="H162" s="27" t="str">
        <f t="shared" si="60"/>
        <v>Sim</v>
      </c>
      <c r="I162" s="27">
        <f t="shared" si="61"/>
        <v>0</v>
      </c>
      <c r="J162" s="37">
        <f t="shared" si="62"/>
        <v>1</v>
      </c>
      <c r="K162" s="55">
        <f t="shared" si="63"/>
        <v>0.74165199999999998</v>
      </c>
      <c r="L162" s="55">
        <f t="shared" si="197"/>
        <v>0.26011600000000001</v>
      </c>
      <c r="M162" s="55">
        <f t="shared" si="198"/>
        <v>-0.19200700000000001</v>
      </c>
      <c r="N162" s="55">
        <f t="shared" si="199"/>
        <v>0.39093</v>
      </c>
      <c r="O162" s="55">
        <f t="shared" si="200"/>
        <v>0.431419</v>
      </c>
      <c r="P162" s="55">
        <f t="shared" si="201"/>
        <v>-0.22012899999999999</v>
      </c>
      <c r="Q162" s="55">
        <f t="shared" si="202"/>
        <v>1.2590239999999999</v>
      </c>
      <c r="R162" s="55">
        <f t="shared" si="203"/>
        <v>0.14258000000000001</v>
      </c>
      <c r="S162" s="55">
        <f t="shared" si="204"/>
        <v>0.77181</v>
      </c>
      <c r="T162" s="55">
        <f t="shared" si="205"/>
        <v>-0.21779200000000001</v>
      </c>
      <c r="U162" s="55">
        <f t="shared" si="206"/>
        <v>0.87763599999999997</v>
      </c>
      <c r="V162" s="55">
        <f t="shared" si="116"/>
        <v>0.84106300000000001</v>
      </c>
      <c r="W162" s="55">
        <f t="shared" si="117"/>
        <v>1.0041530000000001</v>
      </c>
      <c r="X162" s="55">
        <f t="shared" si="118"/>
        <v>-0.97346200000000005</v>
      </c>
      <c r="Y162" s="55">
        <f t="shared" si="119"/>
        <v>0.962086</v>
      </c>
      <c r="Z162" s="55">
        <f t="shared" si="120"/>
        <v>-0.36222100000000002</v>
      </c>
      <c r="AA162" s="55">
        <f t="shared" si="121"/>
        <v>-0.85171399999999997</v>
      </c>
      <c r="AB162" s="55">
        <f t="shared" si="122"/>
        <v>-1.2297830000000001</v>
      </c>
      <c r="AC162" s="55">
        <f t="shared" si="123"/>
        <v>-1.113645</v>
      </c>
      <c r="AD162" s="55">
        <f t="shared" si="124"/>
        <v>-0.57122700000000004</v>
      </c>
      <c r="AE162" s="55">
        <f t="shared" si="125"/>
        <v>-1.261752</v>
      </c>
      <c r="AF162" s="55">
        <f t="shared" si="126"/>
        <v>-0.39733400000000002</v>
      </c>
      <c r="AG162" s="55">
        <f t="shared" si="127"/>
        <v>-1.5360799999999999</v>
      </c>
      <c r="AH162" s="55">
        <f t="shared" si="128"/>
        <v>0.38037500000000002</v>
      </c>
      <c r="AI162" s="55">
        <f t="shared" si="129"/>
        <v>-1.6188039999999999</v>
      </c>
      <c r="AJ162" s="55">
        <f t="shared" si="130"/>
        <v>-7.8633999999999996E-2</v>
      </c>
      <c r="AK162" s="55">
        <f t="shared" si="131"/>
        <v>-3.1660000000000001E-2</v>
      </c>
      <c r="AL162" s="55">
        <f t="shared" si="132"/>
        <v>-0.88983500000000004</v>
      </c>
      <c r="AM162" s="55">
        <f t="shared" si="133"/>
        <v>0.41203499999999998</v>
      </c>
      <c r="AN162" s="55">
        <f t="shared" si="134"/>
        <v>0.777084</v>
      </c>
      <c r="AO162" s="55">
        <f t="shared" si="135"/>
        <v>-0.33110000000000001</v>
      </c>
      <c r="AP162" s="55">
        <f t="shared" si="136"/>
        <v>-0.287018</v>
      </c>
      <c r="AQ162" s="55">
        <f t="shared" si="137"/>
        <v>1.363599</v>
      </c>
      <c r="AR162" s="55">
        <f t="shared" si="138"/>
        <v>1.2083809999999999</v>
      </c>
      <c r="AS162" s="55">
        <f t="shared" si="139"/>
        <v>0.41487400000000002</v>
      </c>
      <c r="AT162" s="55">
        <f t="shared" si="140"/>
        <v>0.25899</v>
      </c>
      <c r="AU162" s="55">
        <f t="shared" si="141"/>
        <v>0.58913000000000004</v>
      </c>
      <c r="AV162" s="55">
        <f t="shared" si="142"/>
        <v>-0.20588100000000001</v>
      </c>
      <c r="AW162" s="55">
        <f t="shared" si="143"/>
        <v>-5.2186000000000003E-2</v>
      </c>
      <c r="AX162" s="55">
        <f t="shared" si="144"/>
        <v>0.15509400000000001</v>
      </c>
      <c r="AY162" s="55">
        <f t="shared" si="145"/>
        <v>0.41556300000000002</v>
      </c>
      <c r="AZ162" s="55">
        <f t="shared" si="146"/>
        <v>0.458899</v>
      </c>
      <c r="BA162" s="55">
        <f t="shared" si="147"/>
        <v>0.20200000000000001</v>
      </c>
      <c r="BB162" s="55">
        <f t="shared" si="148"/>
        <v>-0.41248099999999999</v>
      </c>
      <c r="BC162" s="55">
        <f t="shared" si="149"/>
        <v>-1.231236</v>
      </c>
      <c r="BD162" s="55">
        <f t="shared" si="150"/>
        <v>0.31484200000000001</v>
      </c>
      <c r="BE162" s="55">
        <f t="shared" si="151"/>
        <v>0.376859</v>
      </c>
      <c r="BF162" s="55">
        <f t="shared" si="152"/>
        <v>-0.29426000000000002</v>
      </c>
      <c r="BG162" s="55">
        <f t="shared" si="153"/>
        <v>0.62272400000000006</v>
      </c>
      <c r="BH162" s="55">
        <f t="shared" si="154"/>
        <v>-3.891E-2</v>
      </c>
      <c r="BJ162" s="55">
        <f t="shared" si="220"/>
        <v>0.86573100000000003</v>
      </c>
      <c r="BK162" s="55">
        <f t="shared" si="220"/>
        <v>0.26011600000000001</v>
      </c>
      <c r="BL162" s="55">
        <f t="shared" si="220"/>
        <v>-0.19200700000000001</v>
      </c>
      <c r="BM162" s="55">
        <f t="shared" si="220"/>
        <v>-0.44339400000000001</v>
      </c>
      <c r="BN162" s="55">
        <f t="shared" si="220"/>
        <v>0.431925</v>
      </c>
      <c r="BO162" s="55">
        <f t="shared" si="220"/>
        <v>7.9322000000000004E-2</v>
      </c>
      <c r="BP162" s="55">
        <f t="shared" si="220"/>
        <v>0.51962200000000003</v>
      </c>
      <c r="BQ162" s="55">
        <f t="shared" si="220"/>
        <v>-0.51019000000000003</v>
      </c>
      <c r="BR162" s="55">
        <f t="shared" si="220"/>
        <v>-0.20116000000000001</v>
      </c>
      <c r="BS162" s="55">
        <f t="shared" si="220"/>
        <v>-0.21779200000000001</v>
      </c>
      <c r="BT162" s="55">
        <f t="shared" si="220"/>
        <v>0.87763599999999997</v>
      </c>
      <c r="BU162" s="55">
        <f t="shared" si="220"/>
        <v>1.3365689999999999</v>
      </c>
      <c r="BV162" s="55">
        <f t="shared" si="220"/>
        <v>0.80072900000000002</v>
      </c>
      <c r="BW162" s="55">
        <f t="shared" si="220"/>
        <v>-0.15603400000000001</v>
      </c>
      <c r="BX162" s="55">
        <f t="shared" si="220"/>
        <v>-0.19306799999999999</v>
      </c>
      <c r="BY162" s="55">
        <f t="shared" si="220"/>
        <v>-1.3053049999999999</v>
      </c>
      <c r="BZ162" s="55">
        <f t="shared" si="218"/>
        <v>-0.85171399999999997</v>
      </c>
      <c r="CA162" s="55">
        <f t="shared" si="218"/>
        <v>-0.50067700000000004</v>
      </c>
      <c r="CB162" s="55">
        <f t="shared" si="218"/>
        <v>-0.79435599999999995</v>
      </c>
      <c r="CC162" s="55">
        <f t="shared" si="218"/>
        <v>-1.2058519999999999</v>
      </c>
      <c r="CD162" s="55">
        <f t="shared" si="218"/>
        <v>-1.1045689999999999</v>
      </c>
      <c r="CE162" s="55">
        <f t="shared" si="218"/>
        <v>-0.39733400000000002</v>
      </c>
      <c r="CF162" s="55">
        <f t="shared" si="218"/>
        <v>-0.728078</v>
      </c>
      <c r="CG162" s="55">
        <f t="shared" si="218"/>
        <v>0.93000499999999997</v>
      </c>
      <c r="CH162" s="55">
        <f t="shared" si="218"/>
        <v>-1.10981</v>
      </c>
      <c r="CI162" s="55">
        <f t="shared" si="218"/>
        <v>0.49109999999999998</v>
      </c>
      <c r="CJ162" s="55">
        <f t="shared" si="155"/>
        <v>0.45009300000000002</v>
      </c>
      <c r="CK162" s="55">
        <f t="shared" si="219"/>
        <v>-0.49880099999999999</v>
      </c>
      <c r="CL162" s="55">
        <f t="shared" si="219"/>
        <v>-1.379103</v>
      </c>
      <c r="CM162" s="55">
        <f t="shared" si="219"/>
        <v>8.8372999999999993E-2</v>
      </c>
      <c r="CN162" s="55">
        <f t="shared" si="219"/>
        <v>-0.87578100000000003</v>
      </c>
      <c r="CO162" s="55">
        <f t="shared" si="219"/>
        <v>-1.5870000000000001E-3</v>
      </c>
      <c r="CP162" s="55">
        <f t="shared" si="219"/>
        <v>0.24960499999999999</v>
      </c>
      <c r="CQ162" s="55">
        <f t="shared" si="219"/>
        <v>0.51665499999999998</v>
      </c>
      <c r="CR162" s="55">
        <f t="shared" si="219"/>
        <v>0.89010100000000003</v>
      </c>
      <c r="CS162" s="55">
        <f t="shared" si="219"/>
        <v>0.14461299999999999</v>
      </c>
      <c r="CT162" s="55">
        <f t="shared" si="219"/>
        <v>-0.121977</v>
      </c>
      <c r="CU162" s="55">
        <f t="shared" si="219"/>
        <v>-1.275976</v>
      </c>
      <c r="CV162" s="55">
        <f t="shared" si="219"/>
        <v>0.71731</v>
      </c>
      <c r="CW162" s="55">
        <f t="shared" si="219"/>
        <v>0.48627700000000001</v>
      </c>
      <c r="CX162" s="55">
        <f t="shared" si="219"/>
        <v>0.94775399999999999</v>
      </c>
      <c r="CY162" s="55">
        <f t="shared" si="219"/>
        <v>0.92302799999999996</v>
      </c>
      <c r="CZ162" s="55">
        <f t="shared" si="219"/>
        <v>-0.50062700000000004</v>
      </c>
      <c r="DA162" s="55">
        <f t="shared" si="217"/>
        <v>0.52948799999999996</v>
      </c>
      <c r="DB162" s="55">
        <f t="shared" si="217"/>
        <v>0.97743400000000003</v>
      </c>
      <c r="DC162" s="55">
        <f t="shared" si="217"/>
        <v>-0.78965600000000002</v>
      </c>
      <c r="DD162" s="55">
        <f t="shared" si="217"/>
        <v>-0.59387999999999996</v>
      </c>
      <c r="DE162" s="55">
        <f t="shared" si="217"/>
        <v>0.99133800000000005</v>
      </c>
      <c r="DF162" s="55">
        <f t="shared" si="217"/>
        <v>0.22816400000000001</v>
      </c>
      <c r="DG162" s="55">
        <f t="shared" si="217"/>
        <v>-0.48311799999999999</v>
      </c>
      <c r="DI162" s="55">
        <f t="shared" ca="1" si="65"/>
        <v>0.74165199999999998</v>
      </c>
      <c r="DJ162" s="55">
        <f t="shared" ca="1" si="66"/>
        <v>0.26011600000000001</v>
      </c>
      <c r="DK162" s="55">
        <f t="shared" ca="1" si="67"/>
        <v>-0.19200700000000001</v>
      </c>
      <c r="DL162" s="55">
        <f t="shared" ca="1" si="68"/>
        <v>0.39093</v>
      </c>
      <c r="DM162" s="55">
        <f t="shared" ca="1" si="69"/>
        <v>0.431419</v>
      </c>
      <c r="DN162" s="55">
        <f t="shared" ca="1" si="70"/>
        <v>-0.22012899999999999</v>
      </c>
      <c r="DO162" s="55">
        <f t="shared" ca="1" si="71"/>
        <v>1.2590239999999999</v>
      </c>
      <c r="DP162" s="55">
        <f t="shared" ca="1" si="72"/>
        <v>0.14258000000000001</v>
      </c>
      <c r="DQ162" s="55">
        <f t="shared" ca="1" si="73"/>
        <v>0.39021700381999996</v>
      </c>
      <c r="DR162" s="55">
        <f t="shared" ca="1" si="74"/>
        <v>-0.21779200000000001</v>
      </c>
      <c r="DS162" s="55">
        <f t="shared" ca="1" si="75"/>
        <v>0.87763600000000008</v>
      </c>
      <c r="DT162" s="55">
        <f t="shared" ca="1" si="76"/>
        <v>1.035397480164</v>
      </c>
      <c r="DU162" s="55">
        <f t="shared" ca="1" si="77"/>
        <v>0.9243713277440001</v>
      </c>
      <c r="DV162" s="55">
        <f t="shared" ca="1" si="78"/>
        <v>-0.65287164296799993</v>
      </c>
      <c r="DW162" s="55">
        <f t="shared" ca="1" si="79"/>
        <v>0.50904153212400005</v>
      </c>
      <c r="DX162" s="55">
        <f t="shared" ca="1" si="80"/>
        <v>-0.73209288629600011</v>
      </c>
      <c r="DY162" s="55">
        <f t="shared" ca="1" si="81"/>
        <v>-0.85171400000000008</v>
      </c>
      <c r="DZ162" s="55">
        <f t="shared" ca="1" si="82"/>
        <v>-0.94383200143599999</v>
      </c>
      <c r="EA162" s="55">
        <f t="shared" ca="1" si="83"/>
        <v>-0.98842176993399988</v>
      </c>
      <c r="EB162" s="55">
        <f t="shared" ca="1" si="84"/>
        <v>-0.82012311725000009</v>
      </c>
      <c r="EC162" s="55">
        <f t="shared" ca="1" si="85"/>
        <v>-1.200105770498</v>
      </c>
      <c r="ED162" s="55">
        <f t="shared" ca="1" si="86"/>
        <v>-0.39733400000000002</v>
      </c>
      <c r="EE162" s="55">
        <f t="shared" ca="1" si="87"/>
        <v>-1.219186463612</v>
      </c>
      <c r="EF162" s="55">
        <f t="shared" ca="1" si="88"/>
        <v>0.59593658822000006</v>
      </c>
      <c r="EG162" s="55">
        <f t="shared" ca="1" si="89"/>
        <v>-1.4191796071639999</v>
      </c>
      <c r="EH162" s="55">
        <f t="shared" ca="1" si="90"/>
        <v>0.14481225639600001</v>
      </c>
      <c r="EI162" s="55">
        <f t="shared" ca="1" si="91"/>
        <v>0.15728063608200005</v>
      </c>
      <c r="EJ162" s="55">
        <f t="shared" ca="1" si="92"/>
        <v>-0.73647381140399992</v>
      </c>
      <c r="EK162" s="55">
        <f t="shared" ca="1" si="93"/>
        <v>-0.29043857677200008</v>
      </c>
      <c r="EL162" s="55">
        <f t="shared" ca="1" si="94"/>
        <v>0.50697567806599997</v>
      </c>
      <c r="EM162" s="55">
        <f t="shared" ca="1" si="95"/>
        <v>-0.54472062011400002</v>
      </c>
      <c r="EN162" s="55">
        <f t="shared" ca="1" si="96"/>
        <v>-0.17507367438599997</v>
      </c>
      <c r="EO162" s="55">
        <f t="shared" ca="1" si="97"/>
        <v>0.92669723716399988</v>
      </c>
      <c r="EP162" s="55">
        <f t="shared" ca="1" si="98"/>
        <v>0.93709021315599994</v>
      </c>
      <c r="EQ162" s="55">
        <f t="shared" ca="1" si="99"/>
        <v>0.60125517803799999</v>
      </c>
      <c r="ER162" s="55">
        <f t="shared" ca="1" si="100"/>
        <v>0.214132026862</v>
      </c>
      <c r="ES162" s="55">
        <f t="shared" ca="1" si="101"/>
        <v>0.31023810124200002</v>
      </c>
      <c r="ET162" s="55">
        <f t="shared" ca="1" si="102"/>
        <v>-0.20588100000000001</v>
      </c>
      <c r="EU162" s="55">
        <f t="shared" ca="1" si="103"/>
        <v>-5.2186000000000003E-2</v>
      </c>
      <c r="EV162" s="55">
        <f t="shared" ca="1" si="104"/>
        <v>0.15509400000000001</v>
      </c>
      <c r="EW162" s="55">
        <f t="shared" ca="1" si="105"/>
        <v>0.41556300000000002</v>
      </c>
      <c r="EX162" s="55">
        <f t="shared" ca="1" si="106"/>
        <v>0.458899</v>
      </c>
      <c r="EY162" s="55">
        <f t="shared" ca="1" si="107"/>
        <v>0.20200000000000001</v>
      </c>
      <c r="EZ162" s="55">
        <f t="shared" ca="1" si="108"/>
        <v>-0.41248099999999999</v>
      </c>
      <c r="FA162" s="55">
        <f t="shared" ca="1" si="109"/>
        <v>-1.231236</v>
      </c>
      <c r="FB162" s="55">
        <f t="shared" ca="1" si="110"/>
        <v>0.31484200000000001</v>
      </c>
      <c r="FC162" s="55">
        <f t="shared" ca="1" si="111"/>
        <v>0.376859</v>
      </c>
      <c r="FD162" s="55">
        <f t="shared" ca="1" si="112"/>
        <v>-0.29426000000000002</v>
      </c>
      <c r="FE162" s="55">
        <f t="shared" ca="1" si="113"/>
        <v>0.62272400000000006</v>
      </c>
      <c r="FF162" s="55">
        <f t="shared" ca="1" si="114"/>
        <v>-3.891E-2</v>
      </c>
      <c r="FH162" s="55">
        <f t="shared" ca="1" si="115"/>
        <v>0</v>
      </c>
      <c r="FI162" s="55">
        <f t="shared" ca="1" si="207"/>
        <v>0</v>
      </c>
      <c r="FJ162" s="55">
        <f t="shared" ca="1" si="208"/>
        <v>0</v>
      </c>
      <c r="FK162" s="55">
        <f t="shared" ca="1" si="209"/>
        <v>0</v>
      </c>
      <c r="FL162" s="55">
        <f t="shared" ca="1" si="210"/>
        <v>0</v>
      </c>
      <c r="FM162" s="55">
        <f t="shared" ca="1" si="211"/>
        <v>0</v>
      </c>
      <c r="FN162" s="55">
        <f t="shared" ca="1" si="212"/>
        <v>0</v>
      </c>
      <c r="FO162" s="55">
        <f t="shared" ca="1" si="213"/>
        <v>0</v>
      </c>
      <c r="FP162" s="55">
        <f t="shared" ca="1" si="214"/>
        <v>-0.38159299618000003</v>
      </c>
      <c r="FQ162" s="55">
        <f t="shared" ca="1" si="215"/>
        <v>0</v>
      </c>
      <c r="FR162" s="55">
        <f t="shared" ca="1" si="216"/>
        <v>0</v>
      </c>
      <c r="FS162" s="55">
        <f t="shared" ca="1" si="158"/>
        <v>0.19433448016400001</v>
      </c>
      <c r="FT162" s="55">
        <f t="shared" ca="1" si="159"/>
        <v>-7.9781672255999969E-2</v>
      </c>
      <c r="FU162" s="55">
        <f t="shared" ca="1" si="160"/>
        <v>0.32059035703200012</v>
      </c>
      <c r="FV162" s="55">
        <f t="shared" ca="1" si="161"/>
        <v>-0.45304446787599995</v>
      </c>
      <c r="FW162" s="55">
        <f t="shared" ca="1" si="162"/>
        <v>-0.3698718862960001</v>
      </c>
      <c r="FX162" s="55">
        <f t="shared" ca="1" si="163"/>
        <v>0</v>
      </c>
      <c r="FY162" s="55">
        <f t="shared" ca="1" si="164"/>
        <v>0.28595099856400008</v>
      </c>
      <c r="FZ162" s="55">
        <f t="shared" ca="1" si="165"/>
        <v>0.12522323006600011</v>
      </c>
      <c r="GA162" s="55">
        <f t="shared" ca="1" si="166"/>
        <v>-0.24889611725000005</v>
      </c>
      <c r="GB162" s="55">
        <f t="shared" ca="1" si="167"/>
        <v>6.1646229501999938E-2</v>
      </c>
      <c r="GC162" s="55">
        <f t="shared" ca="1" si="168"/>
        <v>0</v>
      </c>
      <c r="GD162" s="55">
        <f t="shared" ca="1" si="169"/>
        <v>0.31689353638799989</v>
      </c>
      <c r="GE162" s="55">
        <f t="shared" ca="1" si="170"/>
        <v>0.21556158822000004</v>
      </c>
      <c r="GF162" s="55">
        <f t="shared" ca="1" si="171"/>
        <v>0.19962439283599998</v>
      </c>
      <c r="GG162" s="55">
        <f t="shared" ca="1" si="172"/>
        <v>0.22344625639600002</v>
      </c>
      <c r="GH162" s="55">
        <f t="shared" ca="1" si="173"/>
        <v>0.18894063608200004</v>
      </c>
      <c r="GI162" s="55">
        <f t="shared" ca="1" si="174"/>
        <v>0.15336118859600012</v>
      </c>
      <c r="GJ162" s="55">
        <f t="shared" ca="1" si="175"/>
        <v>-0.70247357677200006</v>
      </c>
      <c r="GK162" s="55">
        <f t="shared" ca="1" si="176"/>
        <v>-0.27010832193400003</v>
      </c>
      <c r="GL162" s="55">
        <f t="shared" ca="1" si="177"/>
        <v>-0.21362062011400001</v>
      </c>
      <c r="GM162" s="55">
        <f t="shared" ca="1" si="178"/>
        <v>0.11194432561400003</v>
      </c>
      <c r="GN162" s="55">
        <f t="shared" ca="1" si="179"/>
        <v>-0.43690176283600013</v>
      </c>
      <c r="GO162" s="55">
        <f t="shared" ca="1" si="180"/>
        <v>-0.27129078684399999</v>
      </c>
      <c r="GP162" s="55">
        <f t="shared" ca="1" si="181"/>
        <v>0.18638117803799997</v>
      </c>
      <c r="GQ162" s="55">
        <f t="shared" ca="1" si="182"/>
        <v>-4.4857973137999996E-2</v>
      </c>
      <c r="GR162" s="55">
        <f t="shared" ca="1" si="183"/>
        <v>-0.27889189875800002</v>
      </c>
      <c r="GS162" s="55">
        <f t="shared" ca="1" si="184"/>
        <v>0</v>
      </c>
      <c r="GT162" s="55">
        <f t="shared" ca="1" si="185"/>
        <v>0</v>
      </c>
      <c r="GU162" s="55">
        <f t="shared" ca="1" si="186"/>
        <v>0</v>
      </c>
      <c r="GV162" s="55">
        <f t="shared" ca="1" si="187"/>
        <v>0</v>
      </c>
      <c r="GW162" s="55">
        <f t="shared" ca="1" si="188"/>
        <v>0</v>
      </c>
      <c r="GX162" s="55">
        <f t="shared" ca="1" si="189"/>
        <v>0</v>
      </c>
      <c r="GY162" s="55">
        <f t="shared" ca="1" si="190"/>
        <v>0</v>
      </c>
      <c r="GZ162" s="55">
        <f t="shared" ca="1" si="191"/>
        <v>0</v>
      </c>
      <c r="HA162" s="55">
        <f t="shared" ca="1" si="192"/>
        <v>0</v>
      </c>
      <c r="HB162" s="55">
        <f t="shared" ca="1" si="193"/>
        <v>0</v>
      </c>
      <c r="HC162" s="55">
        <f t="shared" ca="1" si="194"/>
        <v>0</v>
      </c>
      <c r="HD162" s="55">
        <f t="shared" ca="1" si="195"/>
        <v>0</v>
      </c>
      <c r="HE162" s="55">
        <f t="shared" ca="1" si="196"/>
        <v>0</v>
      </c>
    </row>
    <row r="163" spans="1:213">
      <c r="A163" s="27">
        <v>26</v>
      </c>
      <c r="B163" s="27">
        <v>9</v>
      </c>
      <c r="C163" s="27">
        <v>0.11182</v>
      </c>
      <c r="D163" s="27">
        <v>0.68442199999999997</v>
      </c>
      <c r="E163" s="27">
        <v>7</v>
      </c>
      <c r="F163" s="27">
        <f t="shared" ca="1" si="59"/>
        <v>29</v>
      </c>
      <c r="G163" s="27">
        <f t="shared" si="54"/>
        <v>0</v>
      </c>
      <c r="H163" s="27" t="str">
        <f t="shared" si="60"/>
        <v>Sim</v>
      </c>
      <c r="I163" s="27">
        <f t="shared" si="61"/>
        <v>0</v>
      </c>
      <c r="J163" s="37">
        <f t="shared" si="62"/>
        <v>1</v>
      </c>
      <c r="K163" s="55">
        <f t="shared" si="63"/>
        <v>0.977024</v>
      </c>
      <c r="L163" s="55">
        <f t="shared" si="197"/>
        <v>-0.77819899999999997</v>
      </c>
      <c r="M163" s="55">
        <f t="shared" si="198"/>
        <v>0.28137000000000001</v>
      </c>
      <c r="N163" s="55">
        <f t="shared" si="199"/>
        <v>0.210147</v>
      </c>
      <c r="O163" s="55">
        <f t="shared" si="200"/>
        <v>0.75479200000000002</v>
      </c>
      <c r="P163" s="55">
        <f t="shared" si="201"/>
        <v>-1.792562</v>
      </c>
      <c r="Q163" s="55">
        <f t="shared" si="202"/>
        <v>0.68064400000000003</v>
      </c>
      <c r="R163" s="55">
        <f t="shared" si="203"/>
        <v>-0.47226499999999999</v>
      </c>
      <c r="S163" s="55">
        <f t="shared" si="204"/>
        <v>-0.21042</v>
      </c>
      <c r="T163" s="55">
        <f t="shared" si="205"/>
        <v>-0.56348200000000004</v>
      </c>
      <c r="U163" s="55">
        <f t="shared" si="206"/>
        <v>0.35940800000000001</v>
      </c>
      <c r="V163" s="55">
        <f t="shared" si="116"/>
        <v>-0.662134</v>
      </c>
      <c r="W163" s="55">
        <f t="shared" si="117"/>
        <v>-1.333936</v>
      </c>
      <c r="X163" s="55">
        <f t="shared" si="118"/>
        <v>1.1656359999999999</v>
      </c>
      <c r="Y163" s="55">
        <f t="shared" si="119"/>
        <v>0.39030100000000001</v>
      </c>
      <c r="Z163" s="55">
        <f t="shared" si="120"/>
        <v>0.12973899999999999</v>
      </c>
      <c r="AA163" s="55">
        <f t="shared" si="121"/>
        <v>-0.52273099999999995</v>
      </c>
      <c r="AB163" s="55">
        <f t="shared" si="122"/>
        <v>1.156361</v>
      </c>
      <c r="AC163" s="55">
        <f t="shared" si="123"/>
        <v>-0.85358699999999998</v>
      </c>
      <c r="AD163" s="55">
        <f t="shared" si="124"/>
        <v>4.7983999999999999E-2</v>
      </c>
      <c r="AE163" s="55">
        <f t="shared" si="125"/>
        <v>-0.40818500000000002</v>
      </c>
      <c r="AF163" s="55">
        <f t="shared" si="126"/>
        <v>-0.96428700000000001</v>
      </c>
      <c r="AG163" s="55">
        <f t="shared" si="127"/>
        <v>-0.70098700000000003</v>
      </c>
      <c r="AH163" s="55">
        <f t="shared" si="128"/>
        <v>5.7111000000000002E-2</v>
      </c>
      <c r="AI163" s="55">
        <f t="shared" si="129"/>
        <v>-0.157724</v>
      </c>
      <c r="AJ163" s="55">
        <f t="shared" si="130"/>
        <v>-0.310886</v>
      </c>
      <c r="AK163" s="55">
        <f t="shared" si="131"/>
        <v>-0.24035500000000001</v>
      </c>
      <c r="AL163" s="55">
        <f t="shared" si="132"/>
        <v>1.41211</v>
      </c>
      <c r="AM163" s="55">
        <f t="shared" si="133"/>
        <v>0.32704899999999998</v>
      </c>
      <c r="AN163" s="55">
        <f t="shared" si="134"/>
        <v>0.42012899999999997</v>
      </c>
      <c r="AO163" s="55">
        <f t="shared" si="135"/>
        <v>0.648756</v>
      </c>
      <c r="AP163" s="55">
        <f t="shared" si="136"/>
        <v>0.87153599999999998</v>
      </c>
      <c r="AQ163" s="55">
        <f t="shared" si="137"/>
        <v>0.26472000000000001</v>
      </c>
      <c r="AR163" s="55">
        <f t="shared" si="138"/>
        <v>3.2361000000000001E-2</v>
      </c>
      <c r="AS163" s="55">
        <f t="shared" si="139"/>
        <v>4.2389000000000003E-2</v>
      </c>
      <c r="AT163" s="55">
        <f t="shared" si="140"/>
        <v>0.51620500000000002</v>
      </c>
      <c r="AU163" s="55">
        <f t="shared" si="141"/>
        <v>6.7905999999999994E-2</v>
      </c>
      <c r="AV163" s="55">
        <f t="shared" si="142"/>
        <v>-0.15556400000000001</v>
      </c>
      <c r="AW163" s="55">
        <f t="shared" si="143"/>
        <v>-0.36950100000000002</v>
      </c>
      <c r="AX163" s="55">
        <f t="shared" si="144"/>
        <v>0.35318699999999997</v>
      </c>
      <c r="AY163" s="55">
        <f t="shared" si="145"/>
        <v>-0.182979</v>
      </c>
      <c r="AZ163" s="55">
        <f t="shared" si="146"/>
        <v>1.2469730000000001</v>
      </c>
      <c r="BA163" s="55">
        <f t="shared" si="147"/>
        <v>0.56035299999999999</v>
      </c>
      <c r="BB163" s="55">
        <f t="shared" si="148"/>
        <v>-9.7970000000000002E-3</v>
      </c>
      <c r="BC163" s="55">
        <f t="shared" si="149"/>
        <v>0.322075</v>
      </c>
      <c r="BD163" s="55">
        <f t="shared" si="150"/>
        <v>-1.2087969999999999</v>
      </c>
      <c r="BE163" s="55">
        <f t="shared" si="151"/>
        <v>-0.42161300000000002</v>
      </c>
      <c r="BF163" s="55">
        <f t="shared" si="152"/>
        <v>0.54421399999999998</v>
      </c>
      <c r="BG163" s="55">
        <f t="shared" si="153"/>
        <v>-0.45694699999999999</v>
      </c>
      <c r="BH163" s="55">
        <f t="shared" si="154"/>
        <v>0.80196400000000001</v>
      </c>
      <c r="BJ163" s="55">
        <f t="shared" si="220"/>
        <v>-0.33737299999999998</v>
      </c>
      <c r="BK163" s="55">
        <f t="shared" si="220"/>
        <v>-3.2556000000000002E-2</v>
      </c>
      <c r="BL163" s="55">
        <f t="shared" si="220"/>
        <v>0.49451899999999999</v>
      </c>
      <c r="BM163" s="55">
        <f t="shared" si="220"/>
        <v>0.80033900000000002</v>
      </c>
      <c r="BN163" s="55">
        <f t="shared" si="220"/>
        <v>-0.41122799999999998</v>
      </c>
      <c r="BO163" s="55">
        <f t="shared" si="220"/>
        <v>0.103978</v>
      </c>
      <c r="BP163" s="55">
        <f t="shared" si="220"/>
        <v>-0.45666099999999998</v>
      </c>
      <c r="BQ163" s="55">
        <f t="shared" si="220"/>
        <v>-0.89855799999999997</v>
      </c>
      <c r="BR163" s="55">
        <f t="shared" si="220"/>
        <v>2.3390000000000001E-2</v>
      </c>
      <c r="BS163" s="55">
        <f t="shared" si="220"/>
        <v>0.76636599999999999</v>
      </c>
      <c r="BT163" s="55">
        <f t="shared" si="220"/>
        <v>-0.52148700000000003</v>
      </c>
      <c r="BU163" s="55">
        <f t="shared" si="220"/>
        <v>-0.48751299999999997</v>
      </c>
      <c r="BV163" s="55">
        <f t="shared" si="220"/>
        <v>-0.45302399999999998</v>
      </c>
      <c r="BW163" s="55">
        <f t="shared" si="220"/>
        <v>-3.8660000000000001E-3</v>
      </c>
      <c r="BX163" s="55">
        <f t="shared" si="220"/>
        <v>-0.29153200000000001</v>
      </c>
      <c r="BY163" s="55">
        <f t="shared" si="220"/>
        <v>-4.9637000000000001E-2</v>
      </c>
      <c r="BZ163" s="55">
        <f t="shared" si="218"/>
        <v>-0.82672299999999999</v>
      </c>
      <c r="CA163" s="55">
        <f t="shared" si="218"/>
        <v>-1.569612</v>
      </c>
      <c r="CB163" s="55">
        <f t="shared" si="218"/>
        <v>-1.192097</v>
      </c>
      <c r="CC163" s="55">
        <f t="shared" si="218"/>
        <v>0.68378499999999998</v>
      </c>
      <c r="CD163" s="55">
        <f t="shared" si="218"/>
        <v>-0.39924100000000001</v>
      </c>
      <c r="CE163" s="55">
        <f t="shared" si="218"/>
        <v>-0.43151</v>
      </c>
      <c r="CF163" s="55">
        <f t="shared" si="218"/>
        <v>-0.41017799999999999</v>
      </c>
      <c r="CG163" s="55">
        <f t="shared" si="218"/>
        <v>0.304643</v>
      </c>
      <c r="CH163" s="55">
        <f t="shared" si="218"/>
        <v>-0.24080199999999999</v>
      </c>
      <c r="CI163" s="55">
        <f t="shared" si="218"/>
        <v>0.70867400000000003</v>
      </c>
      <c r="CJ163" s="55">
        <f t="shared" si="155"/>
        <v>-0.61898600000000004</v>
      </c>
      <c r="CK163" s="55">
        <f t="shared" si="219"/>
        <v>1.5591729999999999</v>
      </c>
      <c r="CL163" s="55">
        <f t="shared" si="219"/>
        <v>0.53772399999999998</v>
      </c>
      <c r="CM163" s="55">
        <f t="shared" si="219"/>
        <v>2.5140000000000002E-3</v>
      </c>
      <c r="CN163" s="55">
        <f t="shared" si="219"/>
        <v>-0.184424</v>
      </c>
      <c r="CO163" s="55">
        <f t="shared" si="219"/>
        <v>0.42896499999999999</v>
      </c>
      <c r="CP163" s="55">
        <f t="shared" si="219"/>
        <v>-0.33809499999999998</v>
      </c>
      <c r="CQ163" s="55">
        <f t="shared" si="219"/>
        <v>0.139071</v>
      </c>
      <c r="CR163" s="55">
        <f t="shared" si="219"/>
        <v>0.21063899999999999</v>
      </c>
      <c r="CS163" s="55">
        <f t="shared" si="219"/>
        <v>-0.16170699999999999</v>
      </c>
      <c r="CT163" s="55">
        <f t="shared" si="219"/>
        <v>0.37043399999999999</v>
      </c>
      <c r="CU163" s="55">
        <f t="shared" si="219"/>
        <v>0.120472</v>
      </c>
      <c r="CV163" s="55">
        <f t="shared" si="219"/>
        <v>-0.24499699999999999</v>
      </c>
      <c r="CW163" s="55">
        <f t="shared" si="219"/>
        <v>-0.50331199999999998</v>
      </c>
      <c r="CX163" s="55">
        <f t="shared" si="219"/>
        <v>0.159106</v>
      </c>
      <c r="CY163" s="55">
        <f t="shared" si="219"/>
        <v>0.24166499999999999</v>
      </c>
      <c r="CZ163" s="55">
        <f t="shared" si="219"/>
        <v>1.4123540000000001</v>
      </c>
      <c r="DA163" s="55">
        <f t="shared" si="217"/>
        <v>0.39681</v>
      </c>
      <c r="DB163" s="55">
        <f t="shared" si="217"/>
        <v>0.56566499999999997</v>
      </c>
      <c r="DC163" s="55">
        <f t="shared" si="217"/>
        <v>-0.61748700000000001</v>
      </c>
      <c r="DD163" s="55">
        <f t="shared" si="217"/>
        <v>0.48023900000000003</v>
      </c>
      <c r="DE163" s="55">
        <f t="shared" si="217"/>
        <v>-9.0085999999999999E-2</v>
      </c>
      <c r="DF163" s="55">
        <f t="shared" si="217"/>
        <v>-0.34352100000000002</v>
      </c>
      <c r="DG163" s="55">
        <f t="shared" si="217"/>
        <v>-0.52598800000000001</v>
      </c>
      <c r="DI163" s="55">
        <f t="shared" ca="1" si="65"/>
        <v>0.977024</v>
      </c>
      <c r="DJ163" s="55">
        <f t="shared" ca="1" si="66"/>
        <v>-0.77819899999999997</v>
      </c>
      <c r="DK163" s="55">
        <f t="shared" ca="1" si="67"/>
        <v>0.28137000000000001</v>
      </c>
      <c r="DL163" s="55">
        <f t="shared" ca="1" si="68"/>
        <v>0.210147</v>
      </c>
      <c r="DM163" s="55">
        <f t="shared" ca="1" si="69"/>
        <v>0.75479200000000002</v>
      </c>
      <c r="DN163" s="55">
        <f t="shared" ca="1" si="70"/>
        <v>-1.792562</v>
      </c>
      <c r="DO163" s="55">
        <f t="shared" ca="1" si="71"/>
        <v>0.68064400000000003</v>
      </c>
      <c r="DP163" s="55">
        <f t="shared" ca="1" si="72"/>
        <v>-0.60679369235400005</v>
      </c>
      <c r="DQ163" s="55">
        <f t="shared" ca="1" si="73"/>
        <v>-0.13663470781999998</v>
      </c>
      <c r="DR163" s="55">
        <f t="shared" ca="1" si="74"/>
        <v>-0.14381122785600001</v>
      </c>
      <c r="DS163" s="55">
        <f t="shared" ca="1" si="75"/>
        <v>8.1416917689999979E-2</v>
      </c>
      <c r="DT163" s="55">
        <f t="shared" ca="1" si="76"/>
        <v>-0.60702745406199998</v>
      </c>
      <c r="DU163" s="55">
        <f t="shared" ca="1" si="77"/>
        <v>-1.0559395528639999</v>
      </c>
      <c r="DV163" s="55">
        <f t="shared" ca="1" si="78"/>
        <v>0.79656689784399992</v>
      </c>
      <c r="DW163" s="55">
        <f t="shared" ca="1" si="79"/>
        <v>0.17512950552599998</v>
      </c>
      <c r="DX163" s="55">
        <f t="shared" ca="1" si="80"/>
        <v>7.3131880671999994E-2</v>
      </c>
      <c r="DY163" s="55">
        <f t="shared" ca="1" si="81"/>
        <v>-0.61866418737599993</v>
      </c>
      <c r="DZ163" s="55">
        <f t="shared" ca="1" si="82"/>
        <v>0.2961038926059999</v>
      </c>
      <c r="EA163" s="55">
        <f t="shared" ca="1" si="83"/>
        <v>-0.96041330877999997</v>
      </c>
      <c r="EB163" s="55">
        <f t="shared" ca="1" si="84"/>
        <v>0.24862880797799999</v>
      </c>
      <c r="EC163" s="55">
        <f t="shared" ca="1" si="85"/>
        <v>-0.40536247036799999</v>
      </c>
      <c r="ED163" s="55">
        <f t="shared" ca="1" si="86"/>
        <v>-0.79615429989399999</v>
      </c>
      <c r="EE163" s="55">
        <f t="shared" ca="1" si="87"/>
        <v>-0.60921407739800004</v>
      </c>
      <c r="EF163" s="55">
        <f t="shared" ca="1" si="88"/>
        <v>0.13522665349599999</v>
      </c>
      <c r="EG163" s="55">
        <f t="shared" ca="1" si="89"/>
        <v>-0.18394158908399999</v>
      </c>
      <c r="EH163" s="55">
        <f t="shared" ca="1" si="90"/>
        <v>1.0864705680000031E-2</v>
      </c>
      <c r="EI163" s="55">
        <f t="shared" ca="1" si="91"/>
        <v>-0.35984261371800003</v>
      </c>
      <c r="EJ163" s="55">
        <f t="shared" ca="1" si="92"/>
        <v>1.458519847414</v>
      </c>
      <c r="EK163" s="55">
        <f t="shared" ca="1" si="93"/>
        <v>0.39353339514999996</v>
      </c>
      <c r="EL163" s="55">
        <f t="shared" ca="1" si="94"/>
        <v>0.42012899999999997</v>
      </c>
      <c r="EM163" s="55">
        <f t="shared" ca="1" si="95"/>
        <v>0.648756</v>
      </c>
      <c r="EN163" s="55">
        <f t="shared" ca="1" si="96"/>
        <v>0.87153599999999998</v>
      </c>
      <c r="EO163" s="55">
        <f t="shared" ca="1" si="97"/>
        <v>0.26472000000000001</v>
      </c>
      <c r="EP163" s="55">
        <f t="shared" ca="1" si="98"/>
        <v>3.2361000000000001E-2</v>
      </c>
      <c r="EQ163" s="55">
        <f t="shared" ca="1" si="99"/>
        <v>4.2389000000000003E-2</v>
      </c>
      <c r="ER163" s="55">
        <f t="shared" ca="1" si="100"/>
        <v>0.51620500000000002</v>
      </c>
      <c r="ES163" s="55">
        <f t="shared" ca="1" si="101"/>
        <v>6.7905999999999994E-2</v>
      </c>
      <c r="ET163" s="55">
        <f t="shared" ca="1" si="102"/>
        <v>-0.15556400000000001</v>
      </c>
      <c r="EU163" s="55">
        <f t="shared" ca="1" si="103"/>
        <v>-0.36950100000000002</v>
      </c>
      <c r="EV163" s="55">
        <f t="shared" ca="1" si="104"/>
        <v>0.35318699999999997</v>
      </c>
      <c r="EW163" s="55">
        <f t="shared" ca="1" si="105"/>
        <v>-0.182979</v>
      </c>
      <c r="EX163" s="55">
        <f t="shared" ca="1" si="106"/>
        <v>1.2469730000000001</v>
      </c>
      <c r="EY163" s="55">
        <f t="shared" ca="1" si="107"/>
        <v>0.56035299999999999</v>
      </c>
      <c r="EZ163" s="55">
        <f t="shared" ca="1" si="108"/>
        <v>-9.7970000000000002E-3</v>
      </c>
      <c r="FA163" s="55">
        <f t="shared" ca="1" si="109"/>
        <v>0.322075</v>
      </c>
      <c r="FB163" s="55">
        <f t="shared" ca="1" si="110"/>
        <v>-1.2087969999999999</v>
      </c>
      <c r="FC163" s="55">
        <f t="shared" ca="1" si="111"/>
        <v>-0.42161300000000002</v>
      </c>
      <c r="FD163" s="55">
        <f t="shared" ca="1" si="112"/>
        <v>0.54421399999999998</v>
      </c>
      <c r="FE163" s="55">
        <f t="shared" ca="1" si="113"/>
        <v>-0.45694699999999999</v>
      </c>
      <c r="FF163" s="55">
        <f t="shared" ca="1" si="114"/>
        <v>0.80196400000000001</v>
      </c>
      <c r="FH163" s="55">
        <f t="shared" ca="1" si="115"/>
        <v>0</v>
      </c>
      <c r="FI163" s="55">
        <f t="shared" ca="1" si="207"/>
        <v>0</v>
      </c>
      <c r="FJ163" s="55">
        <f t="shared" ca="1" si="208"/>
        <v>0</v>
      </c>
      <c r="FK163" s="55">
        <f t="shared" ca="1" si="209"/>
        <v>0</v>
      </c>
      <c r="FL163" s="55">
        <f t="shared" ca="1" si="210"/>
        <v>0</v>
      </c>
      <c r="FM163" s="55">
        <f t="shared" ca="1" si="211"/>
        <v>0</v>
      </c>
      <c r="FN163" s="55">
        <f t="shared" ca="1" si="212"/>
        <v>0</v>
      </c>
      <c r="FO163" s="55">
        <f t="shared" ca="1" si="213"/>
        <v>-0.13452869235400006</v>
      </c>
      <c r="FP163" s="55">
        <f t="shared" ca="1" si="214"/>
        <v>7.3785292180000017E-2</v>
      </c>
      <c r="FQ163" s="55">
        <f t="shared" ca="1" si="215"/>
        <v>0.41967077214400006</v>
      </c>
      <c r="FR163" s="55">
        <f t="shared" ca="1" si="216"/>
        <v>-0.27799108231000003</v>
      </c>
      <c r="FS163" s="55">
        <f t="shared" ca="1" si="158"/>
        <v>5.5106545938000018E-2</v>
      </c>
      <c r="FT163" s="55">
        <f t="shared" ca="1" si="159"/>
        <v>0.27799644713600014</v>
      </c>
      <c r="FU163" s="55">
        <f t="shared" ca="1" si="160"/>
        <v>-0.36906910215599997</v>
      </c>
      <c r="FV163" s="55">
        <f t="shared" ca="1" si="161"/>
        <v>-0.21517149447400002</v>
      </c>
      <c r="FW163" s="55">
        <f t="shared" ca="1" si="162"/>
        <v>-5.6607119328E-2</v>
      </c>
      <c r="FX163" s="55">
        <f t="shared" ca="1" si="163"/>
        <v>-9.5933187375999984E-2</v>
      </c>
      <c r="FY163" s="55">
        <f t="shared" ca="1" si="164"/>
        <v>-0.86025710739400008</v>
      </c>
      <c r="FZ163" s="55">
        <f t="shared" ca="1" si="165"/>
        <v>-0.10682630877999999</v>
      </c>
      <c r="GA163" s="55">
        <f t="shared" ca="1" si="166"/>
        <v>0.20064480797799999</v>
      </c>
      <c r="GB163" s="55">
        <f t="shared" ca="1" si="167"/>
        <v>2.8225296320000259E-3</v>
      </c>
      <c r="GC163" s="55">
        <f t="shared" ca="1" si="168"/>
        <v>0.16813270010600001</v>
      </c>
      <c r="GD163" s="55">
        <f t="shared" ca="1" si="169"/>
        <v>9.1772922601999984E-2</v>
      </c>
      <c r="GE163" s="55">
        <f t="shared" ca="1" si="170"/>
        <v>7.8115653495999998E-2</v>
      </c>
      <c r="GF163" s="55">
        <f t="shared" ca="1" si="171"/>
        <v>-2.6217589083999987E-2</v>
      </c>
      <c r="GG163" s="55">
        <f t="shared" ca="1" si="172"/>
        <v>0.32175070568000003</v>
      </c>
      <c r="GH163" s="55">
        <f t="shared" ca="1" si="173"/>
        <v>-0.11948761371800001</v>
      </c>
      <c r="GI163" s="55">
        <f t="shared" ca="1" si="174"/>
        <v>4.6409847414000005E-2</v>
      </c>
      <c r="GJ163" s="55">
        <f t="shared" ca="1" si="175"/>
        <v>6.6484395149999986E-2</v>
      </c>
      <c r="GK163" s="55">
        <f t="shared" ca="1" si="176"/>
        <v>0</v>
      </c>
      <c r="GL163" s="55">
        <f t="shared" ca="1" si="177"/>
        <v>0</v>
      </c>
      <c r="GM163" s="55">
        <f t="shared" ca="1" si="178"/>
        <v>0</v>
      </c>
      <c r="GN163" s="55">
        <f t="shared" ca="1" si="179"/>
        <v>0</v>
      </c>
      <c r="GO163" s="55">
        <f t="shared" ca="1" si="180"/>
        <v>0</v>
      </c>
      <c r="GP163" s="55">
        <f t="shared" ca="1" si="181"/>
        <v>0</v>
      </c>
      <c r="GQ163" s="55">
        <f t="shared" ca="1" si="182"/>
        <v>0</v>
      </c>
      <c r="GR163" s="55">
        <f t="shared" ca="1" si="183"/>
        <v>0</v>
      </c>
      <c r="GS163" s="55">
        <f t="shared" ca="1" si="184"/>
        <v>0</v>
      </c>
      <c r="GT163" s="55">
        <f t="shared" ca="1" si="185"/>
        <v>0</v>
      </c>
      <c r="GU163" s="55">
        <f t="shared" ca="1" si="186"/>
        <v>0</v>
      </c>
      <c r="GV163" s="55">
        <f t="shared" ca="1" si="187"/>
        <v>0</v>
      </c>
      <c r="GW163" s="55">
        <f t="shared" ca="1" si="188"/>
        <v>0</v>
      </c>
      <c r="GX163" s="55">
        <f t="shared" ca="1" si="189"/>
        <v>0</v>
      </c>
      <c r="GY163" s="55">
        <f t="shared" ca="1" si="190"/>
        <v>0</v>
      </c>
      <c r="GZ163" s="55">
        <f t="shared" ca="1" si="191"/>
        <v>0</v>
      </c>
      <c r="HA163" s="55">
        <f t="shared" ca="1" si="192"/>
        <v>0</v>
      </c>
      <c r="HB163" s="55">
        <f t="shared" ca="1" si="193"/>
        <v>0</v>
      </c>
      <c r="HC163" s="55">
        <f t="shared" ca="1" si="194"/>
        <v>0</v>
      </c>
      <c r="HD163" s="55">
        <f t="shared" ca="1" si="195"/>
        <v>0</v>
      </c>
      <c r="HE163" s="55">
        <f t="shared" ca="1" si="196"/>
        <v>0</v>
      </c>
    </row>
    <row r="164" spans="1:213">
      <c r="A164" s="27">
        <v>27</v>
      </c>
      <c r="B164" s="27">
        <v>17</v>
      </c>
      <c r="C164" s="27">
        <v>0.63476999999999995</v>
      </c>
      <c r="D164" s="27">
        <v>6.5559000000000006E-2</v>
      </c>
      <c r="E164" s="27">
        <v>23</v>
      </c>
      <c r="F164" s="27">
        <f t="shared" ca="1" si="59"/>
        <v>26</v>
      </c>
      <c r="G164" s="27">
        <f t="shared" si="54"/>
        <v>0</v>
      </c>
      <c r="H164" s="27" t="str">
        <f t="shared" si="60"/>
        <v>Sim</v>
      </c>
      <c r="I164" s="27">
        <f t="shared" si="61"/>
        <v>0</v>
      </c>
      <c r="J164" s="37">
        <f t="shared" si="62"/>
        <v>1</v>
      </c>
      <c r="K164" s="55">
        <f t="shared" si="63"/>
        <v>0.80271800000000004</v>
      </c>
      <c r="L164" s="55">
        <f t="shared" si="197"/>
        <v>0.41569299999999998</v>
      </c>
      <c r="M164" s="55">
        <f t="shared" si="198"/>
        <v>-0.65010199999999996</v>
      </c>
      <c r="N164" s="55">
        <f t="shared" si="199"/>
        <v>1.421875</v>
      </c>
      <c r="O164" s="55">
        <f t="shared" si="200"/>
        <v>-1.3561369999999999</v>
      </c>
      <c r="P164" s="55">
        <f t="shared" si="201"/>
        <v>-0.280613</v>
      </c>
      <c r="Q164" s="55">
        <f t="shared" si="202"/>
        <v>-0.77776800000000001</v>
      </c>
      <c r="R164" s="55">
        <f t="shared" si="203"/>
        <v>0.216886</v>
      </c>
      <c r="S164" s="55">
        <f t="shared" si="204"/>
        <v>-9.5966999999999997E-2</v>
      </c>
      <c r="T164" s="55">
        <f t="shared" si="205"/>
        <v>-1.415297</v>
      </c>
      <c r="U164" s="55">
        <f t="shared" si="206"/>
        <v>0.40227499999999999</v>
      </c>
      <c r="V164" s="55">
        <f t="shared" si="116"/>
        <v>5.2469999999999999E-3</v>
      </c>
      <c r="W164" s="55">
        <f t="shared" si="117"/>
        <v>-0.25848399999999999</v>
      </c>
      <c r="X164" s="55">
        <f t="shared" si="118"/>
        <v>-0.59054499999999999</v>
      </c>
      <c r="Y164" s="55">
        <f t="shared" si="119"/>
        <v>-0.66590099999999997</v>
      </c>
      <c r="Z164" s="55">
        <f t="shared" si="120"/>
        <v>-1.029955</v>
      </c>
      <c r="AA164" s="55">
        <f t="shared" si="121"/>
        <v>0.46449499999999999</v>
      </c>
      <c r="AB164" s="55">
        <f t="shared" si="122"/>
        <v>1.274626</v>
      </c>
      <c r="AC164" s="55">
        <f t="shared" si="123"/>
        <v>-0.88309400000000005</v>
      </c>
      <c r="AD164" s="55">
        <f t="shared" si="124"/>
        <v>0.18010200000000001</v>
      </c>
      <c r="AE164" s="55">
        <f t="shared" si="125"/>
        <v>-2.7584000000000001E-2</v>
      </c>
      <c r="AF164" s="55">
        <f t="shared" si="126"/>
        <v>0.92403800000000003</v>
      </c>
      <c r="AG164" s="55">
        <f t="shared" si="127"/>
        <v>0.16814299999999999</v>
      </c>
      <c r="AH164" s="55">
        <f t="shared" si="128"/>
        <v>0.79659800000000003</v>
      </c>
      <c r="AI164" s="55">
        <f t="shared" si="129"/>
        <v>-0.64390000000000003</v>
      </c>
      <c r="AJ164" s="55">
        <f t="shared" si="130"/>
        <v>-0.66383000000000003</v>
      </c>
      <c r="AK164" s="55">
        <f t="shared" si="131"/>
        <v>-0.73873999999999995</v>
      </c>
      <c r="AL164" s="55">
        <f t="shared" si="132"/>
        <v>-0.97223599999999999</v>
      </c>
      <c r="AM164" s="55">
        <f t="shared" si="133"/>
        <v>0.71340599999999998</v>
      </c>
      <c r="AN164" s="55">
        <f t="shared" si="134"/>
        <v>0.93837599999999999</v>
      </c>
      <c r="AO164" s="55">
        <f t="shared" si="135"/>
        <v>-0.27566000000000002</v>
      </c>
      <c r="AP164" s="55">
        <f t="shared" si="136"/>
        <v>-0.31607000000000002</v>
      </c>
      <c r="AQ164" s="55">
        <f t="shared" si="137"/>
        <v>1.2694879999999999</v>
      </c>
      <c r="AR164" s="55">
        <f t="shared" si="138"/>
        <v>0.28856700000000002</v>
      </c>
      <c r="AS164" s="55">
        <f t="shared" si="139"/>
        <v>4.6719999999999999E-3</v>
      </c>
      <c r="AT164" s="55">
        <f t="shared" si="140"/>
        <v>-1.6549000000000001E-2</v>
      </c>
      <c r="AU164" s="55">
        <f t="shared" si="141"/>
        <v>0.64384699999999995</v>
      </c>
      <c r="AV164" s="55">
        <f t="shared" si="142"/>
        <v>0.36836799999999997</v>
      </c>
      <c r="AW164" s="55">
        <f t="shared" si="143"/>
        <v>0.689689</v>
      </c>
      <c r="AX164" s="55">
        <f t="shared" si="144"/>
        <v>0.12138500000000001</v>
      </c>
      <c r="AY164" s="55">
        <f t="shared" si="145"/>
        <v>0.36139500000000002</v>
      </c>
      <c r="AZ164" s="55">
        <f t="shared" si="146"/>
        <v>1.077331</v>
      </c>
      <c r="BA164" s="55">
        <f t="shared" si="147"/>
        <v>-1.804222</v>
      </c>
      <c r="BB164" s="55">
        <f t="shared" si="148"/>
        <v>-0.78857100000000002</v>
      </c>
      <c r="BC164" s="55">
        <f t="shared" si="149"/>
        <v>-1.718933</v>
      </c>
      <c r="BD164" s="55">
        <f t="shared" si="150"/>
        <v>0.42726199999999998</v>
      </c>
      <c r="BE164" s="55">
        <f t="shared" si="151"/>
        <v>0.47566399999999998</v>
      </c>
      <c r="BF164" s="55">
        <f t="shared" si="152"/>
        <v>0.336169</v>
      </c>
      <c r="BG164" s="55">
        <f t="shared" si="153"/>
        <v>0.69408199999999998</v>
      </c>
      <c r="BH164" s="55">
        <f t="shared" si="154"/>
        <v>-0.95454600000000001</v>
      </c>
      <c r="BJ164" s="55">
        <f t="shared" si="220"/>
        <v>-1.4143520000000001</v>
      </c>
      <c r="BK164" s="55">
        <f t="shared" si="220"/>
        <v>1.4850350000000001</v>
      </c>
      <c r="BL164" s="55">
        <f t="shared" si="220"/>
        <v>1.864975</v>
      </c>
      <c r="BM164" s="55">
        <f t="shared" si="220"/>
        <v>-9.8659999999999998E-3</v>
      </c>
      <c r="BN164" s="55">
        <f t="shared" si="220"/>
        <v>0.437025</v>
      </c>
      <c r="BO164" s="55">
        <f t="shared" si="220"/>
        <v>2.8424999999999999E-2</v>
      </c>
      <c r="BP164" s="55">
        <f t="shared" si="220"/>
        <v>0.55350200000000005</v>
      </c>
      <c r="BQ164" s="55">
        <f t="shared" si="220"/>
        <v>-0.56803800000000004</v>
      </c>
      <c r="BR164" s="55">
        <f t="shared" si="220"/>
        <v>0.14879800000000001</v>
      </c>
      <c r="BS164" s="55">
        <f t="shared" si="220"/>
        <v>0.33643699999999999</v>
      </c>
      <c r="BT164" s="55">
        <f t="shared" si="220"/>
        <v>0.92656400000000005</v>
      </c>
      <c r="BU164" s="55">
        <f t="shared" si="220"/>
        <v>0.245313</v>
      </c>
      <c r="BV164" s="55">
        <f t="shared" si="220"/>
        <v>-0.29562300000000002</v>
      </c>
      <c r="BW164" s="55">
        <f t="shared" si="220"/>
        <v>0.51491600000000004</v>
      </c>
      <c r="BX164" s="55">
        <f t="shared" si="220"/>
        <v>0.81218100000000004</v>
      </c>
      <c r="BY164" s="55">
        <f t="shared" si="220"/>
        <v>0.80408900000000005</v>
      </c>
      <c r="BZ164" s="55">
        <f t="shared" si="218"/>
        <v>0.119377</v>
      </c>
      <c r="CA164" s="55">
        <f t="shared" si="218"/>
        <v>-0.25527100000000003</v>
      </c>
      <c r="CB164" s="55">
        <f t="shared" si="218"/>
        <v>0.45116600000000001</v>
      </c>
      <c r="CC164" s="55">
        <f t="shared" si="218"/>
        <v>-0.22115799999999999</v>
      </c>
      <c r="CD164" s="55">
        <f t="shared" si="218"/>
        <v>-0.198461</v>
      </c>
      <c r="CE164" s="55">
        <f t="shared" si="218"/>
        <v>-0.83983200000000002</v>
      </c>
      <c r="CF164" s="55">
        <f t="shared" si="218"/>
        <v>-0.26358700000000002</v>
      </c>
      <c r="CG164" s="55">
        <f t="shared" si="218"/>
        <v>1.152701</v>
      </c>
      <c r="CH164" s="55">
        <f t="shared" si="218"/>
        <v>0.67613800000000002</v>
      </c>
      <c r="CI164" s="55">
        <f t="shared" si="218"/>
        <v>0.385245</v>
      </c>
      <c r="CJ164" s="55">
        <f t="shared" si="155"/>
        <v>0.309529</v>
      </c>
      <c r="CK164" s="55">
        <f t="shared" si="219"/>
        <v>-0.31473400000000001</v>
      </c>
      <c r="CL164" s="55">
        <f t="shared" si="219"/>
        <v>6.6188999999999998E-2</v>
      </c>
      <c r="CM164" s="55">
        <f t="shared" si="219"/>
        <v>-0.38019999999999998</v>
      </c>
      <c r="CN164" s="55">
        <f t="shared" si="219"/>
        <v>-0.136792</v>
      </c>
      <c r="CO164" s="55">
        <f t="shared" si="219"/>
        <v>-0.94594100000000003</v>
      </c>
      <c r="CP164" s="55">
        <f t="shared" si="219"/>
        <v>0.76394499999999999</v>
      </c>
      <c r="CQ164" s="55">
        <f t="shared" si="219"/>
        <v>0.17771200000000001</v>
      </c>
      <c r="CR164" s="55">
        <f t="shared" si="219"/>
        <v>-0.60980400000000001</v>
      </c>
      <c r="CS164" s="55">
        <f t="shared" si="219"/>
        <v>0.92602200000000001</v>
      </c>
      <c r="CT164" s="55">
        <f t="shared" si="219"/>
        <v>-0.47570200000000001</v>
      </c>
      <c r="CU164" s="55">
        <f t="shared" si="219"/>
        <v>-0.249861</v>
      </c>
      <c r="CV164" s="55">
        <f t="shared" si="219"/>
        <v>-0.32104700000000003</v>
      </c>
      <c r="CW164" s="55">
        <f t="shared" si="219"/>
        <v>-9.8815E-2</v>
      </c>
      <c r="CX164" s="55">
        <f t="shared" si="219"/>
        <v>-0.18464900000000001</v>
      </c>
      <c r="CY164" s="55">
        <f t="shared" si="219"/>
        <v>0.437639</v>
      </c>
      <c r="CZ164" s="55">
        <f t="shared" si="219"/>
        <v>0.52409899999999998</v>
      </c>
      <c r="DA164" s="55">
        <f t="shared" si="217"/>
        <v>-0.50070800000000004</v>
      </c>
      <c r="DB164" s="55">
        <f t="shared" si="217"/>
        <v>-0.35497600000000001</v>
      </c>
      <c r="DC164" s="55">
        <f t="shared" si="217"/>
        <v>1.149502</v>
      </c>
      <c r="DD164" s="55">
        <f t="shared" si="217"/>
        <v>-0.60473500000000002</v>
      </c>
      <c r="DE164" s="55">
        <f t="shared" si="217"/>
        <v>0.37254500000000002</v>
      </c>
      <c r="DF164" s="55">
        <f t="shared" si="217"/>
        <v>0.311108</v>
      </c>
      <c r="DG164" s="55">
        <f t="shared" si="217"/>
        <v>-1.0673820000000001</v>
      </c>
      <c r="DI164" s="55">
        <f t="shared" ca="1" si="65"/>
        <v>0.80271800000000004</v>
      </c>
      <c r="DJ164" s="55">
        <f t="shared" ca="1" si="66"/>
        <v>0.41569299999999998</v>
      </c>
      <c r="DK164" s="55">
        <f t="shared" ca="1" si="67"/>
        <v>-0.65010199999999996</v>
      </c>
      <c r="DL164" s="55">
        <f t="shared" ca="1" si="68"/>
        <v>1.421875</v>
      </c>
      <c r="DM164" s="55">
        <f t="shared" ca="1" si="69"/>
        <v>-1.3561369999999999</v>
      </c>
      <c r="DN164" s="55">
        <f t="shared" ca="1" si="70"/>
        <v>-0.280613</v>
      </c>
      <c r="DO164" s="55">
        <f t="shared" ca="1" si="71"/>
        <v>-0.77776800000000001</v>
      </c>
      <c r="DP164" s="55">
        <f t="shared" ca="1" si="72"/>
        <v>0.216886</v>
      </c>
      <c r="DQ164" s="55">
        <f t="shared" ca="1" si="73"/>
        <v>-9.5966999999999997E-2</v>
      </c>
      <c r="DR164" s="55">
        <f t="shared" ca="1" si="74"/>
        <v>-1.415297</v>
      </c>
      <c r="DS164" s="55">
        <f t="shared" ca="1" si="75"/>
        <v>0.40227499999999999</v>
      </c>
      <c r="DT164" s="55">
        <f t="shared" ca="1" si="76"/>
        <v>5.2469999999999999E-3</v>
      </c>
      <c r="DU164" s="55">
        <f t="shared" ca="1" si="77"/>
        <v>-0.25848399999999999</v>
      </c>
      <c r="DV164" s="55">
        <f t="shared" ca="1" si="78"/>
        <v>-0.59054499999999999</v>
      </c>
      <c r="DW164" s="55">
        <f t="shared" ca="1" si="79"/>
        <v>-0.66590099999999997</v>
      </c>
      <c r="DX164" s="55">
        <f t="shared" ca="1" si="80"/>
        <v>-1.029955</v>
      </c>
      <c r="DY164" s="55">
        <f t="shared" ca="1" si="81"/>
        <v>0.46449499999999999</v>
      </c>
      <c r="DZ164" s="55">
        <f t="shared" ca="1" si="82"/>
        <v>1.274626</v>
      </c>
      <c r="EA164" s="55">
        <f t="shared" ca="1" si="83"/>
        <v>-0.88309400000000005</v>
      </c>
      <c r="EB164" s="55">
        <f t="shared" ca="1" si="84"/>
        <v>0.18010200000000001</v>
      </c>
      <c r="EC164" s="55">
        <f t="shared" ca="1" si="85"/>
        <v>-2.7584000000000001E-2</v>
      </c>
      <c r="ED164" s="55">
        <f t="shared" ca="1" si="86"/>
        <v>0.92403800000000003</v>
      </c>
      <c r="EE164" s="55">
        <f t="shared" ca="1" si="87"/>
        <v>0.16814299999999999</v>
      </c>
      <c r="EF164" s="55">
        <f t="shared" ca="1" si="88"/>
        <v>1.1293552434229999</v>
      </c>
      <c r="EG164" s="55">
        <f t="shared" ca="1" si="89"/>
        <v>0.58959762875799993</v>
      </c>
      <c r="EH164" s="55">
        <f t="shared" ca="1" si="90"/>
        <v>0.316468692075</v>
      </c>
      <c r="EI164" s="55">
        <f t="shared" ca="1" si="91"/>
        <v>-0.73873999999999995</v>
      </c>
      <c r="EJ164" s="55">
        <f t="shared" ca="1" si="92"/>
        <v>-0.97223599999999999</v>
      </c>
      <c r="EK164" s="55">
        <f t="shared" ca="1" si="93"/>
        <v>0.71340599999999998</v>
      </c>
      <c r="EL164" s="55">
        <f t="shared" ca="1" si="94"/>
        <v>0.93837599999999999</v>
      </c>
      <c r="EM164" s="55">
        <f t="shared" ca="1" si="95"/>
        <v>-0.27566000000000002</v>
      </c>
      <c r="EN164" s="55">
        <f t="shared" ca="1" si="96"/>
        <v>-0.31607000000000002</v>
      </c>
      <c r="EO164" s="55">
        <f t="shared" ca="1" si="97"/>
        <v>1.2694879999999999</v>
      </c>
      <c r="EP164" s="55">
        <f t="shared" ca="1" si="98"/>
        <v>0.28856700000000002</v>
      </c>
      <c r="EQ164" s="55">
        <f t="shared" ca="1" si="99"/>
        <v>4.6719999999999999E-3</v>
      </c>
      <c r="ER164" s="55">
        <f t="shared" ca="1" si="100"/>
        <v>-1.6549000000000001E-2</v>
      </c>
      <c r="ES164" s="55">
        <f t="shared" ca="1" si="101"/>
        <v>0.64384699999999995</v>
      </c>
      <c r="ET164" s="55">
        <f t="shared" ca="1" si="102"/>
        <v>0.36836799999999997</v>
      </c>
      <c r="EU164" s="55">
        <f t="shared" ca="1" si="103"/>
        <v>0.689689</v>
      </c>
      <c r="EV164" s="55">
        <f t="shared" ca="1" si="104"/>
        <v>0.12138500000000001</v>
      </c>
      <c r="EW164" s="55">
        <f t="shared" ca="1" si="105"/>
        <v>0.36139500000000002</v>
      </c>
      <c r="EX164" s="55">
        <f t="shared" ca="1" si="106"/>
        <v>1.077331</v>
      </c>
      <c r="EY164" s="55">
        <f t="shared" ca="1" si="107"/>
        <v>-1.804222</v>
      </c>
      <c r="EZ164" s="55">
        <f t="shared" ca="1" si="108"/>
        <v>-0.78857100000000002</v>
      </c>
      <c r="FA164" s="55">
        <f t="shared" ca="1" si="109"/>
        <v>-1.718933</v>
      </c>
      <c r="FB164" s="55">
        <f t="shared" ca="1" si="110"/>
        <v>0.42726199999999998</v>
      </c>
      <c r="FC164" s="55">
        <f t="shared" ca="1" si="111"/>
        <v>0.47566399999999998</v>
      </c>
      <c r="FD164" s="55">
        <f t="shared" ca="1" si="112"/>
        <v>0.336169</v>
      </c>
      <c r="FE164" s="55">
        <f t="shared" ca="1" si="113"/>
        <v>0.69408199999999998</v>
      </c>
      <c r="FF164" s="55">
        <f t="shared" ca="1" si="114"/>
        <v>-0.95454600000000001</v>
      </c>
      <c r="FH164" s="55">
        <f t="shared" ca="1" si="115"/>
        <v>0</v>
      </c>
      <c r="FI164" s="55">
        <f t="shared" ca="1" si="207"/>
        <v>0</v>
      </c>
      <c r="FJ164" s="55">
        <f t="shared" ca="1" si="208"/>
        <v>0</v>
      </c>
      <c r="FK164" s="55">
        <f t="shared" ca="1" si="209"/>
        <v>0</v>
      </c>
      <c r="FL164" s="55">
        <f t="shared" ca="1" si="210"/>
        <v>0</v>
      </c>
      <c r="FM164" s="55">
        <f t="shared" ca="1" si="211"/>
        <v>0</v>
      </c>
      <c r="FN164" s="55">
        <f t="shared" ca="1" si="212"/>
        <v>0</v>
      </c>
      <c r="FO164" s="55">
        <f t="shared" ca="1" si="213"/>
        <v>0</v>
      </c>
      <c r="FP164" s="55">
        <f t="shared" ca="1" si="214"/>
        <v>0</v>
      </c>
      <c r="FQ164" s="55">
        <f t="shared" ca="1" si="215"/>
        <v>0</v>
      </c>
      <c r="FR164" s="55">
        <f t="shared" ca="1" si="216"/>
        <v>0</v>
      </c>
      <c r="FS164" s="55">
        <f t="shared" ca="1" si="158"/>
        <v>0</v>
      </c>
      <c r="FT164" s="55">
        <f t="shared" ca="1" si="159"/>
        <v>0</v>
      </c>
      <c r="FU164" s="55">
        <f t="shared" ca="1" si="160"/>
        <v>0</v>
      </c>
      <c r="FV164" s="55">
        <f t="shared" ca="1" si="161"/>
        <v>0</v>
      </c>
      <c r="FW164" s="55">
        <f t="shared" ca="1" si="162"/>
        <v>0</v>
      </c>
      <c r="FX164" s="55">
        <f t="shared" ca="1" si="163"/>
        <v>0</v>
      </c>
      <c r="FY164" s="55">
        <f t="shared" ca="1" si="164"/>
        <v>0</v>
      </c>
      <c r="FZ164" s="55">
        <f t="shared" ca="1" si="165"/>
        <v>0</v>
      </c>
      <c r="GA164" s="55">
        <f t="shared" ca="1" si="166"/>
        <v>0</v>
      </c>
      <c r="GB164" s="55">
        <f t="shared" ca="1" si="167"/>
        <v>0</v>
      </c>
      <c r="GC164" s="55">
        <f t="shared" ca="1" si="168"/>
        <v>0</v>
      </c>
      <c r="GD164" s="55">
        <f t="shared" ca="1" si="169"/>
        <v>0</v>
      </c>
      <c r="GE164" s="55">
        <f t="shared" ca="1" si="170"/>
        <v>0.33275724342299984</v>
      </c>
      <c r="GF164" s="55">
        <f t="shared" ca="1" si="171"/>
        <v>1.233497628758</v>
      </c>
      <c r="GG164" s="55">
        <f t="shared" ca="1" si="172"/>
        <v>0.98029869207500009</v>
      </c>
      <c r="GH164" s="55">
        <f t="shared" ca="1" si="173"/>
        <v>0</v>
      </c>
      <c r="GI164" s="55">
        <f t="shared" ca="1" si="174"/>
        <v>0</v>
      </c>
      <c r="GJ164" s="55">
        <f t="shared" ca="1" si="175"/>
        <v>0</v>
      </c>
      <c r="GK164" s="55">
        <f t="shared" ca="1" si="176"/>
        <v>0</v>
      </c>
      <c r="GL164" s="55">
        <f t="shared" ca="1" si="177"/>
        <v>0</v>
      </c>
      <c r="GM164" s="55">
        <f t="shared" ca="1" si="178"/>
        <v>0</v>
      </c>
      <c r="GN164" s="55">
        <f t="shared" ca="1" si="179"/>
        <v>0</v>
      </c>
      <c r="GO164" s="55">
        <f t="shared" ca="1" si="180"/>
        <v>0</v>
      </c>
      <c r="GP164" s="55">
        <f t="shared" ca="1" si="181"/>
        <v>0</v>
      </c>
      <c r="GQ164" s="55">
        <f t="shared" ca="1" si="182"/>
        <v>0</v>
      </c>
      <c r="GR164" s="55">
        <f t="shared" ca="1" si="183"/>
        <v>0</v>
      </c>
      <c r="GS164" s="55">
        <f t="shared" ca="1" si="184"/>
        <v>0</v>
      </c>
      <c r="GT164" s="55">
        <f t="shared" ca="1" si="185"/>
        <v>0</v>
      </c>
      <c r="GU164" s="55">
        <f t="shared" ca="1" si="186"/>
        <v>0</v>
      </c>
      <c r="GV164" s="55">
        <f t="shared" ca="1" si="187"/>
        <v>0</v>
      </c>
      <c r="GW164" s="55">
        <f t="shared" ca="1" si="188"/>
        <v>0</v>
      </c>
      <c r="GX164" s="55">
        <f t="shared" ca="1" si="189"/>
        <v>0</v>
      </c>
      <c r="GY164" s="55">
        <f t="shared" ca="1" si="190"/>
        <v>0</v>
      </c>
      <c r="GZ164" s="55">
        <f t="shared" ca="1" si="191"/>
        <v>0</v>
      </c>
      <c r="HA164" s="55">
        <f t="shared" ca="1" si="192"/>
        <v>0</v>
      </c>
      <c r="HB164" s="55">
        <f t="shared" ca="1" si="193"/>
        <v>0</v>
      </c>
      <c r="HC164" s="55">
        <f t="shared" ca="1" si="194"/>
        <v>0</v>
      </c>
      <c r="HD164" s="55">
        <f t="shared" ca="1" si="195"/>
        <v>0</v>
      </c>
      <c r="HE164" s="55">
        <f t="shared" ca="1" si="196"/>
        <v>0</v>
      </c>
    </row>
    <row r="165" spans="1:213">
      <c r="A165" s="27">
        <v>28</v>
      </c>
      <c r="B165" s="27">
        <v>56</v>
      </c>
      <c r="C165" s="27">
        <v>0.51518900000000001</v>
      </c>
      <c r="D165" s="27">
        <v>0.281995</v>
      </c>
      <c r="E165" s="27">
        <v>44</v>
      </c>
      <c r="F165" s="27">
        <f t="shared" ca="1" si="59"/>
        <v>49</v>
      </c>
      <c r="G165" s="27">
        <f t="shared" si="54"/>
        <v>0</v>
      </c>
      <c r="H165" s="27" t="str">
        <f t="shared" si="60"/>
        <v>Sim</v>
      </c>
      <c r="I165" s="27">
        <f t="shared" si="61"/>
        <v>0</v>
      </c>
      <c r="J165" s="37">
        <f t="shared" si="62"/>
        <v>1</v>
      </c>
      <c r="K165" s="55">
        <f t="shared" si="63"/>
        <v>-0.70089999999999997</v>
      </c>
      <c r="L165" s="55">
        <f t="shared" si="197"/>
        <v>0.303508</v>
      </c>
      <c r="M165" s="55">
        <f t="shared" si="198"/>
        <v>-0.69006000000000001</v>
      </c>
      <c r="N165" s="55">
        <f t="shared" si="199"/>
        <v>-0.67655200000000004</v>
      </c>
      <c r="O165" s="55">
        <f t="shared" si="200"/>
        <v>1.534826</v>
      </c>
      <c r="P165" s="55">
        <f t="shared" si="201"/>
        <v>0.40433400000000003</v>
      </c>
      <c r="Q165" s="55">
        <f t="shared" si="202"/>
        <v>-6.9475999999999996E-2</v>
      </c>
      <c r="R165" s="55">
        <f t="shared" si="203"/>
        <v>0.61652399999999996</v>
      </c>
      <c r="S165" s="55">
        <f t="shared" si="204"/>
        <v>1.040888</v>
      </c>
      <c r="T165" s="55">
        <f t="shared" si="205"/>
        <v>1.6124039999999999</v>
      </c>
      <c r="U165" s="55">
        <f t="shared" si="206"/>
        <v>-1.017269</v>
      </c>
      <c r="V165" s="55">
        <f t="shared" si="116"/>
        <v>-1.8738999999999999E-2</v>
      </c>
      <c r="W165" s="55">
        <f t="shared" si="117"/>
        <v>1.0668500000000001</v>
      </c>
      <c r="X165" s="55">
        <f t="shared" si="118"/>
        <v>-0.71404100000000004</v>
      </c>
      <c r="Y165" s="55">
        <f t="shared" si="119"/>
        <v>-0.94616100000000003</v>
      </c>
      <c r="Z165" s="55">
        <f t="shared" si="120"/>
        <v>-0.99968599999999996</v>
      </c>
      <c r="AA165" s="55">
        <f t="shared" si="121"/>
        <v>0.31866100000000003</v>
      </c>
      <c r="AB165" s="55">
        <f t="shared" si="122"/>
        <v>0.41539799999999999</v>
      </c>
      <c r="AC165" s="55">
        <f t="shared" si="123"/>
        <v>0.74578199999999994</v>
      </c>
      <c r="AD165" s="55">
        <f t="shared" si="124"/>
        <v>-1.0294509999999999</v>
      </c>
      <c r="AE165" s="55">
        <f t="shared" si="125"/>
        <v>-1.689397</v>
      </c>
      <c r="AF165" s="55">
        <f t="shared" si="126"/>
        <v>-0.30818699999999999</v>
      </c>
      <c r="AG165" s="55">
        <f t="shared" si="127"/>
        <v>0.26141500000000001</v>
      </c>
      <c r="AH165" s="55">
        <f t="shared" si="128"/>
        <v>0.80872999999999995</v>
      </c>
      <c r="AI165" s="55">
        <f t="shared" si="129"/>
        <v>-0.64111099999999999</v>
      </c>
      <c r="AJ165" s="55">
        <f t="shared" si="130"/>
        <v>-7.5176000000000007E-2</v>
      </c>
      <c r="AK165" s="55">
        <f t="shared" si="131"/>
        <v>-0.66634099999999996</v>
      </c>
      <c r="AL165" s="55">
        <f t="shared" si="132"/>
        <v>-1.5662959999999999</v>
      </c>
      <c r="AM165" s="55">
        <f t="shared" si="133"/>
        <v>0.57636600000000004</v>
      </c>
      <c r="AN165" s="55">
        <f t="shared" si="134"/>
        <v>0.88014099999999995</v>
      </c>
      <c r="AO165" s="55">
        <f t="shared" si="135"/>
        <v>-0.23005100000000001</v>
      </c>
      <c r="AP165" s="55">
        <f t="shared" si="136"/>
        <v>-0.186805</v>
      </c>
      <c r="AQ165" s="55">
        <f t="shared" si="137"/>
        <v>9.8069000000000003E-2</v>
      </c>
      <c r="AR165" s="55">
        <f t="shared" si="138"/>
        <v>0.25537300000000002</v>
      </c>
      <c r="AS165" s="55">
        <f t="shared" si="139"/>
        <v>-7.3677999999999993E-2</v>
      </c>
      <c r="AT165" s="55">
        <f t="shared" si="140"/>
        <v>-0.18715999999999999</v>
      </c>
      <c r="AU165" s="55">
        <f t="shared" si="141"/>
        <v>0.66104200000000002</v>
      </c>
      <c r="AV165" s="55">
        <f t="shared" si="142"/>
        <v>0.64547200000000005</v>
      </c>
      <c r="AW165" s="55">
        <f t="shared" si="143"/>
        <v>-0.19440199999999999</v>
      </c>
      <c r="AX165" s="55">
        <f t="shared" si="144"/>
        <v>0.23189499999999999</v>
      </c>
      <c r="AY165" s="55">
        <f t="shared" si="145"/>
        <v>0.38777699999999998</v>
      </c>
      <c r="AZ165" s="55">
        <f t="shared" si="146"/>
        <v>0.36163299999999998</v>
      </c>
      <c r="BA165" s="55">
        <f t="shared" si="147"/>
        <v>-0.69426299999999996</v>
      </c>
      <c r="BB165" s="55">
        <f t="shared" si="148"/>
        <v>-0.72806300000000002</v>
      </c>
      <c r="BC165" s="55">
        <f t="shared" si="149"/>
        <v>0.17427500000000001</v>
      </c>
      <c r="BD165" s="55">
        <f t="shared" si="150"/>
        <v>0.54662500000000003</v>
      </c>
      <c r="BE165" s="55">
        <f t="shared" si="151"/>
        <v>0.48188700000000001</v>
      </c>
      <c r="BF165" s="55">
        <f t="shared" si="152"/>
        <v>-0.58981899999999998</v>
      </c>
      <c r="BG165" s="55">
        <f t="shared" si="153"/>
        <v>1.0072989999999999</v>
      </c>
      <c r="BH165" s="55">
        <f t="shared" si="154"/>
        <v>-0.84797800000000001</v>
      </c>
      <c r="BJ165" s="55">
        <f t="shared" si="220"/>
        <v>0.69282900000000003</v>
      </c>
      <c r="BK165" s="55">
        <f t="shared" si="220"/>
        <v>0.71467999999999998</v>
      </c>
      <c r="BL165" s="55">
        <f t="shared" si="220"/>
        <v>1.2126570000000001</v>
      </c>
      <c r="BM165" s="55">
        <f t="shared" si="220"/>
        <v>0.45126899999999998</v>
      </c>
      <c r="BN165" s="55">
        <f t="shared" si="220"/>
        <v>0.98350499999999996</v>
      </c>
      <c r="BO165" s="55">
        <f t="shared" si="220"/>
        <v>0.68548600000000004</v>
      </c>
      <c r="BP165" s="55">
        <f t="shared" si="220"/>
        <v>-0.48544799999999999</v>
      </c>
      <c r="BQ165" s="55">
        <f t="shared" si="220"/>
        <v>-0.589256</v>
      </c>
      <c r="BR165" s="55">
        <f t="shared" si="220"/>
        <v>1.5953120000000001</v>
      </c>
      <c r="BS165" s="55">
        <f t="shared" si="220"/>
        <v>0.53074600000000005</v>
      </c>
      <c r="BT165" s="55">
        <f t="shared" si="220"/>
        <v>0.60611800000000005</v>
      </c>
      <c r="BU165" s="55">
        <f t="shared" si="220"/>
        <v>-0.25597799999999998</v>
      </c>
      <c r="BV165" s="55">
        <f t="shared" si="220"/>
        <v>-0.82231299999999996</v>
      </c>
      <c r="BW165" s="55">
        <f t="shared" si="220"/>
        <v>0.101855</v>
      </c>
      <c r="BX165" s="55">
        <f t="shared" si="220"/>
        <v>-5.0455E-2</v>
      </c>
      <c r="BY165" s="55">
        <f t="shared" si="220"/>
        <v>-0.49763299999999999</v>
      </c>
      <c r="BZ165" s="55">
        <f t="shared" si="218"/>
        <v>-0.41728700000000002</v>
      </c>
      <c r="CA165" s="55">
        <f t="shared" si="218"/>
        <v>0.94844899999999999</v>
      </c>
      <c r="CB165" s="55">
        <f t="shared" si="218"/>
        <v>1.5517179999999999</v>
      </c>
      <c r="CC165" s="55">
        <f t="shared" si="218"/>
        <v>-0.74891399999999997</v>
      </c>
      <c r="CD165" s="55">
        <f t="shared" si="218"/>
        <v>-5.0248000000000001E-2</v>
      </c>
      <c r="CE165" s="55">
        <f t="shared" si="218"/>
        <v>-1.2618000000000001E-2</v>
      </c>
      <c r="CF165" s="55">
        <f t="shared" si="218"/>
        <v>0.34831000000000001</v>
      </c>
      <c r="CG165" s="55">
        <f t="shared" si="218"/>
        <v>0.63383100000000003</v>
      </c>
      <c r="CH165" s="55">
        <f t="shared" si="218"/>
        <v>0.53678700000000001</v>
      </c>
      <c r="CI165" s="55">
        <f t="shared" si="218"/>
        <v>0.40151300000000001</v>
      </c>
      <c r="CJ165" s="55">
        <f t="shared" si="155"/>
        <v>-2.4989999999999998E-2</v>
      </c>
      <c r="CK165" s="55">
        <f t="shared" si="219"/>
        <v>-0.154254</v>
      </c>
      <c r="CL165" s="55">
        <f t="shared" si="219"/>
        <v>-0.74421000000000004</v>
      </c>
      <c r="CM165" s="55">
        <f t="shared" si="219"/>
        <v>0.69545599999999996</v>
      </c>
      <c r="CN165" s="55">
        <f t="shared" si="219"/>
        <v>0.92507300000000003</v>
      </c>
      <c r="CO165" s="55">
        <f t="shared" si="219"/>
        <v>0.50984099999999999</v>
      </c>
      <c r="CP165" s="55">
        <f t="shared" si="219"/>
        <v>1.180007</v>
      </c>
      <c r="CQ165" s="55">
        <f t="shared" si="219"/>
        <v>-0.68346700000000005</v>
      </c>
      <c r="CR165" s="55">
        <f t="shared" si="219"/>
        <v>0.350964</v>
      </c>
      <c r="CS165" s="55">
        <f t="shared" si="219"/>
        <v>-0.80468099999999998</v>
      </c>
      <c r="CT165" s="55">
        <f t="shared" si="219"/>
        <v>-0.99315799999999999</v>
      </c>
      <c r="CU165" s="55">
        <f t="shared" si="219"/>
        <v>0.50609499999999996</v>
      </c>
      <c r="CV165" s="55">
        <f t="shared" si="219"/>
        <v>3.9163999999999997E-2</v>
      </c>
      <c r="CW165" s="55">
        <f t="shared" si="219"/>
        <v>0.75449200000000005</v>
      </c>
      <c r="CX165" s="55">
        <f t="shared" si="219"/>
        <v>-0.72423800000000005</v>
      </c>
      <c r="CY165" s="55">
        <f t="shared" si="219"/>
        <v>-1.437047</v>
      </c>
      <c r="CZ165" s="55">
        <f t="shared" si="219"/>
        <v>0.22187799999999999</v>
      </c>
      <c r="DA165" s="55">
        <f t="shared" si="217"/>
        <v>0.92526600000000003</v>
      </c>
      <c r="DB165" s="55">
        <f t="shared" si="217"/>
        <v>0.57592299999999996</v>
      </c>
      <c r="DC165" s="55">
        <f t="shared" si="217"/>
        <v>-0.42172900000000002</v>
      </c>
      <c r="DD165" s="55">
        <f t="shared" si="217"/>
        <v>-0.86690800000000001</v>
      </c>
      <c r="DE165" s="55">
        <f t="shared" si="217"/>
        <v>-0.44526199999999999</v>
      </c>
      <c r="DF165" s="55">
        <f t="shared" si="217"/>
        <v>-0.397623</v>
      </c>
      <c r="DG165" s="55">
        <f t="shared" si="217"/>
        <v>-0.37359500000000001</v>
      </c>
      <c r="DI165" s="55">
        <f t="shared" ca="1" si="65"/>
        <v>-0.70089999999999997</v>
      </c>
      <c r="DJ165" s="55">
        <f t="shared" ca="1" si="66"/>
        <v>0.303508</v>
      </c>
      <c r="DK165" s="55">
        <f t="shared" ca="1" si="67"/>
        <v>-0.69006000000000001</v>
      </c>
      <c r="DL165" s="55">
        <f t="shared" ca="1" si="68"/>
        <v>-0.67655200000000004</v>
      </c>
      <c r="DM165" s="55">
        <f t="shared" ca="1" si="69"/>
        <v>1.534826</v>
      </c>
      <c r="DN165" s="55">
        <f t="shared" ca="1" si="70"/>
        <v>0.40433400000000003</v>
      </c>
      <c r="DO165" s="55">
        <f t="shared" ca="1" si="71"/>
        <v>-6.9475999999999996E-2</v>
      </c>
      <c r="DP165" s="55">
        <f t="shared" ca="1" si="72"/>
        <v>0.61652399999999996</v>
      </c>
      <c r="DQ165" s="55">
        <f t="shared" ca="1" si="73"/>
        <v>1.040888</v>
      </c>
      <c r="DR165" s="55">
        <f t="shared" ca="1" si="74"/>
        <v>1.6124039999999999</v>
      </c>
      <c r="DS165" s="55">
        <f t="shared" ca="1" si="75"/>
        <v>-1.017269</v>
      </c>
      <c r="DT165" s="55">
        <f t="shared" ca="1" si="76"/>
        <v>-1.8738999999999999E-2</v>
      </c>
      <c r="DU165" s="55">
        <f t="shared" ca="1" si="77"/>
        <v>1.0668500000000001</v>
      </c>
      <c r="DV165" s="55">
        <f t="shared" ca="1" si="78"/>
        <v>-0.71404100000000004</v>
      </c>
      <c r="DW165" s="55">
        <f t="shared" ca="1" si="79"/>
        <v>-0.94616100000000003</v>
      </c>
      <c r="DX165" s="55">
        <f t="shared" ca="1" si="80"/>
        <v>-0.99968599999999996</v>
      </c>
      <c r="DY165" s="55">
        <f t="shared" ca="1" si="81"/>
        <v>0.31866100000000003</v>
      </c>
      <c r="DZ165" s="55">
        <f t="shared" ca="1" si="82"/>
        <v>0.41539799999999999</v>
      </c>
      <c r="EA165" s="55">
        <f t="shared" ca="1" si="83"/>
        <v>0.74578199999999994</v>
      </c>
      <c r="EB165" s="55">
        <f t="shared" ca="1" si="84"/>
        <v>-1.0294509999999999</v>
      </c>
      <c r="EC165" s="55">
        <f t="shared" ca="1" si="85"/>
        <v>-1.689397</v>
      </c>
      <c r="ED165" s="55">
        <f t="shared" ca="1" si="86"/>
        <v>-0.30818699999999999</v>
      </c>
      <c r="EE165" s="55">
        <f t="shared" ca="1" si="87"/>
        <v>0.26141500000000001</v>
      </c>
      <c r="EF165" s="55">
        <f t="shared" ca="1" si="88"/>
        <v>0.80872999999999995</v>
      </c>
      <c r="EG165" s="55">
        <f t="shared" ca="1" si="89"/>
        <v>-0.64111099999999999</v>
      </c>
      <c r="EH165" s="55">
        <f t="shared" ca="1" si="90"/>
        <v>-7.5176000000000007E-2</v>
      </c>
      <c r="EI165" s="55">
        <f t="shared" ca="1" si="91"/>
        <v>-0.66634099999999996</v>
      </c>
      <c r="EJ165" s="55">
        <f t="shared" ca="1" si="92"/>
        <v>-1.5662959999999999</v>
      </c>
      <c r="EK165" s="55">
        <f t="shared" ca="1" si="93"/>
        <v>0.57636600000000004</v>
      </c>
      <c r="EL165" s="55">
        <f t="shared" ca="1" si="94"/>
        <v>0.88014099999999995</v>
      </c>
      <c r="EM165" s="55">
        <f t="shared" ca="1" si="95"/>
        <v>-0.23005100000000001</v>
      </c>
      <c r="EN165" s="55">
        <f t="shared" ca="1" si="96"/>
        <v>-0.186805</v>
      </c>
      <c r="EO165" s="55">
        <f t="shared" ca="1" si="97"/>
        <v>9.8069000000000003E-2</v>
      </c>
      <c r="EP165" s="55">
        <f t="shared" ca="1" si="98"/>
        <v>0.25537300000000002</v>
      </c>
      <c r="EQ165" s="55">
        <f t="shared" ca="1" si="99"/>
        <v>-7.3677999999999993E-2</v>
      </c>
      <c r="ER165" s="55">
        <f t="shared" ca="1" si="100"/>
        <v>-0.18715999999999999</v>
      </c>
      <c r="ES165" s="55">
        <f t="shared" ca="1" si="101"/>
        <v>0.66104200000000002</v>
      </c>
      <c r="ET165" s="55">
        <f t="shared" ca="1" si="102"/>
        <v>0.64547200000000005</v>
      </c>
      <c r="EU165" s="55">
        <f t="shared" ca="1" si="103"/>
        <v>-0.19440199999999999</v>
      </c>
      <c r="EV165" s="55">
        <f t="shared" ca="1" si="104"/>
        <v>0.23189499999999999</v>
      </c>
      <c r="EW165" s="55">
        <f t="shared" ca="1" si="105"/>
        <v>0.38777699999999998</v>
      </c>
      <c r="EX165" s="55">
        <f t="shared" ca="1" si="106"/>
        <v>0.36163299999999998</v>
      </c>
      <c r="EY165" s="55">
        <f t="shared" ca="1" si="107"/>
        <v>-0.69426299999999996</v>
      </c>
      <c r="EZ165" s="55">
        <f t="shared" ca="1" si="108"/>
        <v>-0.72806300000000002</v>
      </c>
      <c r="FA165" s="55">
        <f t="shared" ca="1" si="109"/>
        <v>0.46266027223999995</v>
      </c>
      <c r="FB165" s="55">
        <f t="shared" ca="1" si="110"/>
        <v>-0.14865801377000004</v>
      </c>
      <c r="FC165" s="55">
        <f t="shared" ca="1" si="111"/>
        <v>-0.48655455397500003</v>
      </c>
      <c r="FD165" s="55">
        <f t="shared" ca="1" si="112"/>
        <v>-0.48602635121499999</v>
      </c>
      <c r="FE165" s="55">
        <f t="shared" ca="1" si="113"/>
        <v>-1.4420206100000388E-3</v>
      </c>
      <c r="FF165" s="55">
        <f t="shared" ca="1" si="114"/>
        <v>-0.84797800000000001</v>
      </c>
      <c r="FH165" s="55">
        <f t="shared" ca="1" si="115"/>
        <v>0</v>
      </c>
      <c r="FI165" s="55">
        <f t="shared" ca="1" si="207"/>
        <v>0</v>
      </c>
      <c r="FJ165" s="55">
        <f t="shared" ca="1" si="208"/>
        <v>0</v>
      </c>
      <c r="FK165" s="55">
        <f t="shared" ca="1" si="209"/>
        <v>0</v>
      </c>
      <c r="FL165" s="55">
        <f t="shared" ca="1" si="210"/>
        <v>0</v>
      </c>
      <c r="FM165" s="55">
        <f t="shared" ca="1" si="211"/>
        <v>0</v>
      </c>
      <c r="FN165" s="55">
        <f t="shared" ca="1" si="212"/>
        <v>0</v>
      </c>
      <c r="FO165" s="55">
        <f t="shared" ca="1" si="213"/>
        <v>0</v>
      </c>
      <c r="FP165" s="55">
        <f t="shared" ca="1" si="214"/>
        <v>0</v>
      </c>
      <c r="FQ165" s="55">
        <f t="shared" ca="1" si="215"/>
        <v>0</v>
      </c>
      <c r="FR165" s="55">
        <f t="shared" ca="1" si="216"/>
        <v>0</v>
      </c>
      <c r="FS165" s="55">
        <f t="shared" ca="1" si="158"/>
        <v>0</v>
      </c>
      <c r="FT165" s="55">
        <f t="shared" ca="1" si="159"/>
        <v>0</v>
      </c>
      <c r="FU165" s="55">
        <f t="shared" ca="1" si="160"/>
        <v>0</v>
      </c>
      <c r="FV165" s="55">
        <f t="shared" ca="1" si="161"/>
        <v>0</v>
      </c>
      <c r="FW165" s="55">
        <f t="shared" ca="1" si="162"/>
        <v>0</v>
      </c>
      <c r="FX165" s="55">
        <f t="shared" ca="1" si="163"/>
        <v>0</v>
      </c>
      <c r="FY165" s="55">
        <f t="shared" ca="1" si="164"/>
        <v>0</v>
      </c>
      <c r="FZ165" s="55">
        <f t="shared" ca="1" si="165"/>
        <v>0</v>
      </c>
      <c r="GA165" s="55">
        <f t="shared" ca="1" si="166"/>
        <v>0</v>
      </c>
      <c r="GB165" s="55">
        <f t="shared" ca="1" si="167"/>
        <v>0</v>
      </c>
      <c r="GC165" s="55">
        <f t="shared" ca="1" si="168"/>
        <v>0</v>
      </c>
      <c r="GD165" s="55">
        <f t="shared" ca="1" si="169"/>
        <v>0</v>
      </c>
      <c r="GE165" s="55">
        <f t="shared" ca="1" si="170"/>
        <v>0</v>
      </c>
      <c r="GF165" s="55">
        <f t="shared" ca="1" si="171"/>
        <v>0</v>
      </c>
      <c r="GG165" s="55">
        <f t="shared" ca="1" si="172"/>
        <v>0</v>
      </c>
      <c r="GH165" s="55">
        <f t="shared" ca="1" si="173"/>
        <v>0</v>
      </c>
      <c r="GI165" s="55">
        <f t="shared" ca="1" si="174"/>
        <v>0</v>
      </c>
      <c r="GJ165" s="55">
        <f t="shared" ca="1" si="175"/>
        <v>0</v>
      </c>
      <c r="GK165" s="55">
        <f t="shared" ca="1" si="176"/>
        <v>0</v>
      </c>
      <c r="GL165" s="55">
        <f t="shared" ca="1" si="177"/>
        <v>0</v>
      </c>
      <c r="GM165" s="55">
        <f t="shared" ca="1" si="178"/>
        <v>0</v>
      </c>
      <c r="GN165" s="55">
        <f t="shared" ca="1" si="179"/>
        <v>0</v>
      </c>
      <c r="GO165" s="55">
        <f t="shared" ca="1" si="180"/>
        <v>0</v>
      </c>
      <c r="GP165" s="55">
        <f t="shared" ca="1" si="181"/>
        <v>0</v>
      </c>
      <c r="GQ165" s="55">
        <f t="shared" ca="1" si="182"/>
        <v>0</v>
      </c>
      <c r="GR165" s="55">
        <f t="shared" ca="1" si="183"/>
        <v>0</v>
      </c>
      <c r="GS165" s="55">
        <f t="shared" ca="1" si="184"/>
        <v>0</v>
      </c>
      <c r="GT165" s="55">
        <f t="shared" ca="1" si="185"/>
        <v>0</v>
      </c>
      <c r="GU165" s="55">
        <f t="shared" ca="1" si="186"/>
        <v>0</v>
      </c>
      <c r="GV165" s="55">
        <f t="shared" ca="1" si="187"/>
        <v>0</v>
      </c>
      <c r="GW165" s="55">
        <f t="shared" ca="1" si="188"/>
        <v>0</v>
      </c>
      <c r="GX165" s="55">
        <f t="shared" ca="1" si="189"/>
        <v>0</v>
      </c>
      <c r="GY165" s="55">
        <f t="shared" ca="1" si="190"/>
        <v>0</v>
      </c>
      <c r="GZ165" s="55">
        <f t="shared" ca="1" si="191"/>
        <v>0.28838527223999993</v>
      </c>
      <c r="HA165" s="55">
        <f t="shared" ca="1" si="192"/>
        <v>-0.69528301377000012</v>
      </c>
      <c r="HB165" s="55">
        <f t="shared" ca="1" si="193"/>
        <v>-0.96844155397499998</v>
      </c>
      <c r="HC165" s="55">
        <f t="shared" ca="1" si="194"/>
        <v>0.103792648785</v>
      </c>
      <c r="HD165" s="55">
        <f t="shared" ca="1" si="195"/>
        <v>-1.00874102061</v>
      </c>
      <c r="HE165" s="55">
        <f t="shared" ca="1" si="196"/>
        <v>0</v>
      </c>
    </row>
    <row r="166" spans="1:213">
      <c r="A166" s="27">
        <v>29</v>
      </c>
      <c r="B166" s="27">
        <v>20</v>
      </c>
      <c r="C166" s="27">
        <v>0.21690000000000001</v>
      </c>
      <c r="D166" s="27">
        <v>0.797601</v>
      </c>
      <c r="E166" s="27">
        <v>13</v>
      </c>
      <c r="F166" s="27">
        <f t="shared" ca="1" si="59"/>
        <v>39</v>
      </c>
      <c r="G166" s="27">
        <f t="shared" si="54"/>
        <v>0</v>
      </c>
      <c r="H166" s="27" t="str">
        <f t="shared" si="60"/>
        <v>Sim</v>
      </c>
      <c r="I166" s="27">
        <f t="shared" si="61"/>
        <v>0</v>
      </c>
      <c r="J166" s="37">
        <f t="shared" si="62"/>
        <v>1</v>
      </c>
      <c r="K166" s="55">
        <f t="shared" si="63"/>
        <v>0.89759299999999997</v>
      </c>
      <c r="L166" s="55">
        <f t="shared" si="197"/>
        <v>0.96843999999999997</v>
      </c>
      <c r="M166" s="55">
        <f t="shared" si="198"/>
        <v>-0.50884700000000005</v>
      </c>
      <c r="N166" s="55">
        <f t="shared" si="199"/>
        <v>1.4576480000000001</v>
      </c>
      <c r="O166" s="55">
        <f t="shared" si="200"/>
        <v>-0.255548</v>
      </c>
      <c r="P166" s="55">
        <f t="shared" si="201"/>
        <v>0.63201200000000002</v>
      </c>
      <c r="Q166" s="55">
        <f t="shared" si="202"/>
        <v>0.926983</v>
      </c>
      <c r="R166" s="55">
        <f t="shared" si="203"/>
        <v>0.31923400000000002</v>
      </c>
      <c r="S166" s="55">
        <f t="shared" si="204"/>
        <v>-0.38211400000000001</v>
      </c>
      <c r="T166" s="55">
        <f t="shared" si="205"/>
        <v>-1.9292640000000001</v>
      </c>
      <c r="U166" s="55">
        <f t="shared" si="206"/>
        <v>1.6588039999999999</v>
      </c>
      <c r="V166" s="55">
        <f t="shared" si="116"/>
        <v>8.1928000000000001E-2</v>
      </c>
      <c r="W166" s="55">
        <f t="shared" si="117"/>
        <v>-1.0484039999999999</v>
      </c>
      <c r="X166" s="55">
        <f t="shared" si="118"/>
        <v>-0.27695799999999998</v>
      </c>
      <c r="Y166" s="55">
        <f t="shared" si="119"/>
        <v>0.139213</v>
      </c>
      <c r="Z166" s="55">
        <f t="shared" si="120"/>
        <v>0.82636900000000002</v>
      </c>
      <c r="AA166" s="55">
        <f t="shared" si="121"/>
        <v>0.78401500000000002</v>
      </c>
      <c r="AB166" s="55">
        <f t="shared" si="122"/>
        <v>-0.36284100000000002</v>
      </c>
      <c r="AC166" s="55">
        <f t="shared" si="123"/>
        <v>-0.46618500000000002</v>
      </c>
      <c r="AD166" s="55">
        <f t="shared" si="124"/>
        <v>-0.113596</v>
      </c>
      <c r="AE166" s="55">
        <f t="shared" si="125"/>
        <v>0.23835600000000001</v>
      </c>
      <c r="AF166" s="55">
        <f t="shared" si="126"/>
        <v>0.20816499999999999</v>
      </c>
      <c r="AG166" s="55">
        <f t="shared" si="127"/>
        <v>-0.57906299999999999</v>
      </c>
      <c r="AH166" s="55">
        <f t="shared" si="128"/>
        <v>-1.2771250000000001</v>
      </c>
      <c r="AI166" s="55">
        <f t="shared" si="129"/>
        <v>0.28166799999999997</v>
      </c>
      <c r="AJ166" s="55">
        <f t="shared" si="130"/>
        <v>-0.66282399999999997</v>
      </c>
      <c r="AK166" s="55">
        <f t="shared" si="131"/>
        <v>-4.0620999999999997E-2</v>
      </c>
      <c r="AL166" s="55">
        <f t="shared" si="132"/>
        <v>0.90601200000000004</v>
      </c>
      <c r="AM166" s="55">
        <f t="shared" si="133"/>
        <v>1.386987</v>
      </c>
      <c r="AN166" s="55">
        <f t="shared" si="134"/>
        <v>0.411298</v>
      </c>
      <c r="AO166" s="55">
        <f t="shared" si="135"/>
        <v>0.58528400000000003</v>
      </c>
      <c r="AP166" s="55">
        <f t="shared" si="136"/>
        <v>0.10331799999999999</v>
      </c>
      <c r="AQ166" s="55">
        <f t="shared" si="137"/>
        <v>-0.13944899999999999</v>
      </c>
      <c r="AR166" s="55">
        <f t="shared" si="138"/>
        <v>0.16022500000000001</v>
      </c>
      <c r="AS166" s="55">
        <f t="shared" si="139"/>
        <v>-0.46221400000000001</v>
      </c>
      <c r="AT166" s="55">
        <f t="shared" si="140"/>
        <v>-0.15112800000000001</v>
      </c>
      <c r="AU166" s="55">
        <f t="shared" si="141"/>
        <v>0.237843</v>
      </c>
      <c r="AV166" s="55">
        <f t="shared" si="142"/>
        <v>-0.93554800000000005</v>
      </c>
      <c r="AW166" s="55">
        <f t="shared" si="143"/>
        <v>-0.28938199999999997</v>
      </c>
      <c r="AX166" s="55">
        <f t="shared" si="144"/>
        <v>-1.641869</v>
      </c>
      <c r="AY166" s="55">
        <f t="shared" si="145"/>
        <v>0.193</v>
      </c>
      <c r="AZ166" s="55">
        <f t="shared" si="146"/>
        <v>0.26955899999999999</v>
      </c>
      <c r="BA166" s="55">
        <f t="shared" si="147"/>
        <v>1.5082E-2</v>
      </c>
      <c r="BB166" s="55">
        <f t="shared" si="148"/>
        <v>-0.187055</v>
      </c>
      <c r="BC166" s="55">
        <f t="shared" si="149"/>
        <v>0.56056499999999998</v>
      </c>
      <c r="BD166" s="55">
        <f t="shared" si="150"/>
        <v>-0.65616799999999997</v>
      </c>
      <c r="BE166" s="55">
        <f t="shared" si="151"/>
        <v>0.16697200000000001</v>
      </c>
      <c r="BF166" s="55">
        <f t="shared" si="152"/>
        <v>9.0427999999999994E-2</v>
      </c>
      <c r="BG166" s="55">
        <f t="shared" si="153"/>
        <v>0.15723200000000001</v>
      </c>
      <c r="BH166" s="55">
        <f t="shared" si="154"/>
        <v>0.29708699999999999</v>
      </c>
      <c r="BJ166" s="55">
        <f t="shared" si="220"/>
        <v>-8.9701000000000003E-2</v>
      </c>
      <c r="BK166" s="55">
        <f t="shared" si="220"/>
        <v>-1.062033</v>
      </c>
      <c r="BL166" s="55">
        <f t="shared" si="220"/>
        <v>0.99671799999999999</v>
      </c>
      <c r="BM166" s="55">
        <f t="shared" si="220"/>
        <v>-0.50319899999999995</v>
      </c>
      <c r="BN166" s="55">
        <f t="shared" si="220"/>
        <v>-1.3004290000000001</v>
      </c>
      <c r="BO166" s="55">
        <f t="shared" si="220"/>
        <v>-3.0889E-2</v>
      </c>
      <c r="BP166" s="55">
        <f t="shared" si="220"/>
        <v>0.88186699999999996</v>
      </c>
      <c r="BQ166" s="55">
        <f t="shared" si="220"/>
        <v>0.71436999999999995</v>
      </c>
      <c r="BR166" s="55">
        <f t="shared" si="220"/>
        <v>-0.26535799999999998</v>
      </c>
      <c r="BS166" s="55">
        <f t="shared" si="220"/>
        <v>-0.51729899999999995</v>
      </c>
      <c r="BT166" s="55">
        <f t="shared" si="220"/>
        <v>-1.3392459999999999</v>
      </c>
      <c r="BU166" s="55">
        <f t="shared" si="220"/>
        <v>7.4237999999999998E-2</v>
      </c>
      <c r="BV166" s="55">
        <f t="shared" si="220"/>
        <v>0.51790199999999997</v>
      </c>
      <c r="BW166" s="55">
        <f t="shared" si="220"/>
        <v>-0.42674699999999999</v>
      </c>
      <c r="BX166" s="55">
        <f t="shared" si="220"/>
        <v>0.20774899999999999</v>
      </c>
      <c r="BY166" s="55">
        <f t="shared" si="220"/>
        <v>-0.73572700000000002</v>
      </c>
      <c r="BZ166" s="55">
        <f t="shared" si="218"/>
        <v>0.70632300000000003</v>
      </c>
      <c r="CA166" s="55">
        <f t="shared" si="218"/>
        <v>0.33780100000000002</v>
      </c>
      <c r="CB166" s="55">
        <f t="shared" si="218"/>
        <v>0.563886</v>
      </c>
      <c r="CC166" s="55">
        <f t="shared" si="218"/>
        <v>-0.70856399999999997</v>
      </c>
      <c r="CD166" s="55">
        <f t="shared" si="218"/>
        <v>0.72263100000000002</v>
      </c>
      <c r="CE166" s="55">
        <f t="shared" si="218"/>
        <v>-0.23342099999999999</v>
      </c>
      <c r="CF166" s="55">
        <f t="shared" si="218"/>
        <v>-7.2009000000000004E-2</v>
      </c>
      <c r="CG166" s="55">
        <f t="shared" si="218"/>
        <v>-1.2075830000000001</v>
      </c>
      <c r="CH166" s="55">
        <f t="shared" si="218"/>
        <v>-0.440944</v>
      </c>
      <c r="CI166" s="55">
        <f t="shared" si="218"/>
        <v>1.379237</v>
      </c>
      <c r="CJ166" s="55">
        <f t="shared" si="155"/>
        <v>1.701673</v>
      </c>
      <c r="CK166" s="55">
        <f t="shared" si="219"/>
        <v>-0.17763499999999999</v>
      </c>
      <c r="CL166" s="55">
        <f t="shared" si="219"/>
        <v>-0.97233800000000004</v>
      </c>
      <c r="CM166" s="55">
        <f t="shared" si="219"/>
        <v>-0.75466800000000001</v>
      </c>
      <c r="CN166" s="55">
        <f t="shared" si="219"/>
        <v>0.47717900000000002</v>
      </c>
      <c r="CO166" s="55">
        <f t="shared" si="219"/>
        <v>-1.487E-2</v>
      </c>
      <c r="CP166" s="55">
        <f t="shared" si="219"/>
        <v>0.19036</v>
      </c>
      <c r="CQ166" s="55">
        <f t="shared" si="219"/>
        <v>-5.2224E-2</v>
      </c>
      <c r="CR166" s="55">
        <f t="shared" si="219"/>
        <v>-0.67636700000000005</v>
      </c>
      <c r="CS166" s="55">
        <f t="shared" si="219"/>
        <v>-0.44637100000000002</v>
      </c>
      <c r="CT166" s="55">
        <f t="shared" si="219"/>
        <v>0.46221600000000002</v>
      </c>
      <c r="CU166" s="55">
        <f t="shared" si="219"/>
        <v>0.33387099999999997</v>
      </c>
      <c r="CV166" s="55">
        <f t="shared" si="219"/>
        <v>1.359496</v>
      </c>
      <c r="CW166" s="55">
        <f t="shared" si="219"/>
        <v>0.58911400000000003</v>
      </c>
      <c r="CX166" s="55">
        <f t="shared" si="219"/>
        <v>-0.38329999999999997</v>
      </c>
      <c r="CY166" s="55">
        <f t="shared" si="219"/>
        <v>0.37964500000000001</v>
      </c>
      <c r="CZ166" s="55">
        <f t="shared" si="219"/>
        <v>-0.30181799999999998</v>
      </c>
      <c r="DA166" s="55">
        <f t="shared" si="217"/>
        <v>7.979E-2</v>
      </c>
      <c r="DB166" s="55">
        <f t="shared" si="217"/>
        <v>-0.33604899999999999</v>
      </c>
      <c r="DC166" s="55">
        <f t="shared" si="217"/>
        <v>0.165774</v>
      </c>
      <c r="DD166" s="55">
        <f t="shared" si="217"/>
        <v>0.53484799999999999</v>
      </c>
      <c r="DE166" s="55">
        <f t="shared" si="217"/>
        <v>0.34875499999999998</v>
      </c>
      <c r="DF166" s="55">
        <f t="shared" si="217"/>
        <v>-3.4063999999999997E-2</v>
      </c>
      <c r="DG166" s="55">
        <f t="shared" si="217"/>
        <v>0.59342600000000001</v>
      </c>
      <c r="DI166" s="55">
        <f t="shared" ca="1" si="65"/>
        <v>0.89759299999999997</v>
      </c>
      <c r="DJ166" s="55">
        <f t="shared" ca="1" si="66"/>
        <v>0.96843999999999997</v>
      </c>
      <c r="DK166" s="55">
        <f t="shared" ca="1" si="67"/>
        <v>-0.50884700000000005</v>
      </c>
      <c r="DL166" s="55">
        <f t="shared" ca="1" si="68"/>
        <v>1.4576480000000001</v>
      </c>
      <c r="DM166" s="55">
        <f t="shared" ca="1" si="69"/>
        <v>-0.255548</v>
      </c>
      <c r="DN166" s="55">
        <f t="shared" ca="1" si="70"/>
        <v>0.63201200000000002</v>
      </c>
      <c r="DO166" s="55">
        <f t="shared" ca="1" si="71"/>
        <v>0.926983</v>
      </c>
      <c r="DP166" s="55">
        <f t="shared" ca="1" si="72"/>
        <v>0.31923400000000002</v>
      </c>
      <c r="DQ166" s="55">
        <f t="shared" ca="1" si="73"/>
        <v>-0.38211400000000001</v>
      </c>
      <c r="DR166" s="55">
        <f t="shared" ca="1" si="74"/>
        <v>-1.9292640000000001</v>
      </c>
      <c r="DS166" s="55">
        <f t="shared" ca="1" si="75"/>
        <v>1.6588039999999999</v>
      </c>
      <c r="DT166" s="55">
        <f t="shared" ca="1" si="76"/>
        <v>8.1928000000000001E-2</v>
      </c>
      <c r="DU166" s="55">
        <f t="shared" ca="1" si="77"/>
        <v>-1.0484039999999999</v>
      </c>
      <c r="DV166" s="55">
        <f t="shared" ca="1" si="78"/>
        <v>-0.30727514381099996</v>
      </c>
      <c r="DW166" s="55">
        <f t="shared" ca="1" si="79"/>
        <v>0.15308461786399999</v>
      </c>
      <c r="DX166" s="55">
        <f t="shared" ca="1" si="80"/>
        <v>0.51020233169600004</v>
      </c>
      <c r="DY166" s="55">
        <f t="shared" ca="1" si="81"/>
        <v>0.76829021689200006</v>
      </c>
      <c r="DZ166" s="55">
        <f t="shared" ca="1" si="82"/>
        <v>-0.22103175984200005</v>
      </c>
      <c r="EA166" s="55">
        <f t="shared" ca="1" si="83"/>
        <v>-0.25769965967100006</v>
      </c>
      <c r="EB166" s="55">
        <f t="shared" ca="1" si="84"/>
        <v>-0.23401692823199999</v>
      </c>
      <c r="EC166" s="55">
        <f t="shared" ca="1" si="85"/>
        <v>0.33637277572500002</v>
      </c>
      <c r="ED166" s="55">
        <f t="shared" ca="1" si="86"/>
        <v>0.11878843518599999</v>
      </c>
      <c r="EE166" s="55">
        <f t="shared" ca="1" si="87"/>
        <v>-0.47643577745400001</v>
      </c>
      <c r="EF166" s="55">
        <f t="shared" ca="1" si="88"/>
        <v>-1.2630497687420001</v>
      </c>
      <c r="EG166" s="55">
        <f t="shared" ca="1" si="89"/>
        <v>0.13541205381199997</v>
      </c>
      <c r="EH166" s="55">
        <f t="shared" ca="1" si="90"/>
        <v>-0.24951289566100004</v>
      </c>
      <c r="EI166" s="55">
        <f t="shared" ca="1" si="91"/>
        <v>0.312017563306</v>
      </c>
      <c r="EJ166" s="55">
        <f t="shared" ca="1" si="92"/>
        <v>0.68668293084700005</v>
      </c>
      <c r="EK166" s="55">
        <f t="shared" ca="1" si="93"/>
        <v>0.90946197932499984</v>
      </c>
      <c r="EL166" s="55">
        <f t="shared" ca="1" si="94"/>
        <v>0.17530764756600001</v>
      </c>
      <c r="EM166" s="55">
        <f t="shared" ca="1" si="95"/>
        <v>0.56340365610499998</v>
      </c>
      <c r="EN166" s="55">
        <f t="shared" ca="1" si="96"/>
        <v>7.9396866987999998E-2</v>
      </c>
      <c r="EO166" s="55">
        <f t="shared" ca="1" si="97"/>
        <v>-7.2695988209000001E-2</v>
      </c>
      <c r="EP166" s="55">
        <f t="shared" ca="1" si="98"/>
        <v>0.11722553484900002</v>
      </c>
      <c r="EQ166" s="55">
        <f t="shared" ca="1" si="99"/>
        <v>-0.50555835304700003</v>
      </c>
      <c r="ER166" s="55">
        <f t="shared" ca="1" si="100"/>
        <v>-0.210884887957</v>
      </c>
      <c r="ES166" s="55">
        <f t="shared" ca="1" si="101"/>
        <v>0.28325587082699999</v>
      </c>
      <c r="ET166" s="55">
        <f t="shared" ca="1" si="102"/>
        <v>-0.67861886381900005</v>
      </c>
      <c r="EU166" s="55">
        <f t="shared" ca="1" si="103"/>
        <v>4.4349258322000012E-2</v>
      </c>
      <c r="EV166" s="55">
        <f t="shared" ca="1" si="104"/>
        <v>-1.641869</v>
      </c>
      <c r="EW166" s="55">
        <f t="shared" ca="1" si="105"/>
        <v>0.193</v>
      </c>
      <c r="EX166" s="55">
        <f t="shared" ca="1" si="106"/>
        <v>0.26955899999999999</v>
      </c>
      <c r="EY166" s="55">
        <f t="shared" ca="1" si="107"/>
        <v>1.5082E-2</v>
      </c>
      <c r="EZ166" s="55">
        <f t="shared" ca="1" si="108"/>
        <v>-0.187055</v>
      </c>
      <c r="FA166" s="55">
        <f t="shared" ca="1" si="109"/>
        <v>0.56056499999999998</v>
      </c>
      <c r="FB166" s="55">
        <f t="shared" ca="1" si="110"/>
        <v>-0.65616799999999997</v>
      </c>
      <c r="FC166" s="55">
        <f t="shared" ca="1" si="111"/>
        <v>0.16697200000000001</v>
      </c>
      <c r="FD166" s="55">
        <f t="shared" ca="1" si="112"/>
        <v>9.0427999999999994E-2</v>
      </c>
      <c r="FE166" s="55">
        <f t="shared" ca="1" si="113"/>
        <v>0.15723200000000001</v>
      </c>
      <c r="FF166" s="55">
        <f t="shared" ca="1" si="114"/>
        <v>0.29708699999999999</v>
      </c>
      <c r="FH166" s="55">
        <f t="shared" ca="1" si="115"/>
        <v>0</v>
      </c>
      <c r="FI166" s="55">
        <f t="shared" ca="1" si="207"/>
        <v>0</v>
      </c>
      <c r="FJ166" s="55">
        <f t="shared" ca="1" si="208"/>
        <v>0</v>
      </c>
      <c r="FK166" s="55">
        <f t="shared" ca="1" si="209"/>
        <v>0</v>
      </c>
      <c r="FL166" s="55">
        <f t="shared" ca="1" si="210"/>
        <v>0</v>
      </c>
      <c r="FM166" s="55">
        <f t="shared" ca="1" si="211"/>
        <v>0</v>
      </c>
      <c r="FN166" s="55">
        <f t="shared" ca="1" si="212"/>
        <v>0</v>
      </c>
      <c r="FO166" s="55">
        <f t="shared" ca="1" si="213"/>
        <v>0</v>
      </c>
      <c r="FP166" s="55">
        <f t="shared" ca="1" si="214"/>
        <v>0</v>
      </c>
      <c r="FQ166" s="55">
        <f t="shared" ca="1" si="215"/>
        <v>0</v>
      </c>
      <c r="FR166" s="55">
        <f t="shared" ca="1" si="216"/>
        <v>0</v>
      </c>
      <c r="FS166" s="55">
        <f t="shared" ca="1" si="158"/>
        <v>0</v>
      </c>
      <c r="FT166" s="55">
        <f t="shared" ca="1" si="159"/>
        <v>0</v>
      </c>
      <c r="FU166" s="55">
        <f t="shared" ca="1" si="160"/>
        <v>-3.031714381099998E-2</v>
      </c>
      <c r="FV166" s="55">
        <f t="shared" ca="1" si="161"/>
        <v>1.3871617863999985E-2</v>
      </c>
      <c r="FW166" s="55">
        <f t="shared" ca="1" si="162"/>
        <v>-0.31616666830399998</v>
      </c>
      <c r="FX166" s="55">
        <f t="shared" ca="1" si="163"/>
        <v>-1.5724783107999962E-2</v>
      </c>
      <c r="FY166" s="55">
        <f t="shared" ca="1" si="164"/>
        <v>0.14180924015799998</v>
      </c>
      <c r="FZ166" s="55">
        <f t="shared" ca="1" si="165"/>
        <v>0.20848534032899996</v>
      </c>
      <c r="GA166" s="55">
        <f t="shared" ca="1" si="166"/>
        <v>-0.12042092823199999</v>
      </c>
      <c r="GB166" s="55">
        <f t="shared" ca="1" si="167"/>
        <v>9.8016775725000005E-2</v>
      </c>
      <c r="GC166" s="55">
        <f t="shared" ca="1" si="168"/>
        <v>-8.9376564813999998E-2</v>
      </c>
      <c r="GD166" s="55">
        <f t="shared" ca="1" si="169"/>
        <v>0.10262722254599999</v>
      </c>
      <c r="GE166" s="55">
        <f t="shared" ca="1" si="170"/>
        <v>1.4075231257999921E-2</v>
      </c>
      <c r="GF166" s="55">
        <f t="shared" ca="1" si="171"/>
        <v>-0.146255946188</v>
      </c>
      <c r="GG166" s="55">
        <f t="shared" ca="1" si="172"/>
        <v>0.41331110433899992</v>
      </c>
      <c r="GH166" s="55">
        <f t="shared" ca="1" si="173"/>
        <v>0.35263856330600002</v>
      </c>
      <c r="GI166" s="55">
        <f t="shared" ca="1" si="174"/>
        <v>-0.21932906915299999</v>
      </c>
      <c r="GJ166" s="55">
        <f t="shared" ca="1" si="175"/>
        <v>-0.47752502067500013</v>
      </c>
      <c r="GK166" s="55">
        <f t="shared" ca="1" si="176"/>
        <v>-0.23599035243399999</v>
      </c>
      <c r="GL166" s="55">
        <f t="shared" ca="1" si="177"/>
        <v>-2.1880343895000043E-2</v>
      </c>
      <c r="GM166" s="55">
        <f t="shared" ca="1" si="178"/>
        <v>-2.3921133011999995E-2</v>
      </c>
      <c r="GN166" s="55">
        <f t="shared" ca="1" si="179"/>
        <v>6.6753011790999989E-2</v>
      </c>
      <c r="GO166" s="55">
        <f t="shared" ca="1" si="180"/>
        <v>-4.2999465150999991E-2</v>
      </c>
      <c r="GP166" s="55">
        <f t="shared" ca="1" si="181"/>
        <v>-4.3344353047000017E-2</v>
      </c>
      <c r="GQ166" s="55">
        <f t="shared" ca="1" si="182"/>
        <v>-5.9756887956999988E-2</v>
      </c>
      <c r="GR166" s="55">
        <f t="shared" ca="1" si="183"/>
        <v>4.541287082699999E-2</v>
      </c>
      <c r="GS166" s="55">
        <f t="shared" ca="1" si="184"/>
        <v>0.256929136181</v>
      </c>
      <c r="GT166" s="55">
        <f t="shared" ca="1" si="185"/>
        <v>0.33373125832200001</v>
      </c>
      <c r="GU166" s="55">
        <f t="shared" ca="1" si="186"/>
        <v>0</v>
      </c>
      <c r="GV166" s="55">
        <f t="shared" ca="1" si="187"/>
        <v>0</v>
      </c>
      <c r="GW166" s="55">
        <f t="shared" ca="1" si="188"/>
        <v>0</v>
      </c>
      <c r="GX166" s="55">
        <f t="shared" ca="1" si="189"/>
        <v>0</v>
      </c>
      <c r="GY166" s="55">
        <f t="shared" ca="1" si="190"/>
        <v>0</v>
      </c>
      <c r="GZ166" s="55">
        <f t="shared" ca="1" si="191"/>
        <v>0</v>
      </c>
      <c r="HA166" s="55">
        <f t="shared" ca="1" si="192"/>
        <v>0</v>
      </c>
      <c r="HB166" s="55">
        <f t="shared" ca="1" si="193"/>
        <v>0</v>
      </c>
      <c r="HC166" s="55">
        <f t="shared" ca="1" si="194"/>
        <v>0</v>
      </c>
      <c r="HD166" s="55">
        <f t="shared" ca="1" si="195"/>
        <v>0</v>
      </c>
      <c r="HE166" s="55">
        <f t="shared" ca="1" si="196"/>
        <v>0</v>
      </c>
    </row>
    <row r="167" spans="1:213">
      <c r="A167" s="27">
        <v>30</v>
      </c>
      <c r="B167" s="27">
        <v>6</v>
      </c>
      <c r="C167" s="27">
        <v>0.41659499999999999</v>
      </c>
      <c r="D167" s="27">
        <v>0.21554200000000001</v>
      </c>
      <c r="E167" s="27">
        <v>16</v>
      </c>
      <c r="F167" s="27">
        <f t="shared" ca="1" si="59"/>
        <v>46</v>
      </c>
      <c r="G167" s="27">
        <f t="shared" si="54"/>
        <v>0</v>
      </c>
      <c r="H167" s="27" t="str">
        <f t="shared" si="60"/>
        <v>Sim</v>
      </c>
      <c r="I167" s="27">
        <f t="shared" si="61"/>
        <v>0</v>
      </c>
      <c r="J167" s="37">
        <f t="shared" si="62"/>
        <v>1</v>
      </c>
      <c r="K167" s="55">
        <f t="shared" si="63"/>
        <v>0.70118800000000003</v>
      </c>
      <c r="L167" s="55">
        <f t="shared" si="197"/>
        <v>-0.77819899999999997</v>
      </c>
      <c r="M167" s="55">
        <f t="shared" si="198"/>
        <v>3.1711999999999997E-2</v>
      </c>
      <c r="N167" s="55">
        <f t="shared" si="199"/>
        <v>0.64301200000000003</v>
      </c>
      <c r="O167" s="55">
        <f t="shared" si="200"/>
        <v>0.37828099999999998</v>
      </c>
      <c r="P167" s="55">
        <f t="shared" si="201"/>
        <v>-0.91408699999999998</v>
      </c>
      <c r="Q167" s="55">
        <f t="shared" si="202"/>
        <v>0.68633999999999995</v>
      </c>
      <c r="R167" s="55">
        <f t="shared" si="203"/>
        <v>-1.1864509999999999</v>
      </c>
      <c r="S167" s="55">
        <f t="shared" si="204"/>
        <v>-8.1648999999999999E-2</v>
      </c>
      <c r="T167" s="55">
        <f t="shared" si="205"/>
        <v>0.24657599999999999</v>
      </c>
      <c r="U167" s="55">
        <f t="shared" si="206"/>
        <v>0.78340399999999999</v>
      </c>
      <c r="V167" s="55">
        <f t="shared" si="116"/>
        <v>-0.88504099999999997</v>
      </c>
      <c r="W167" s="55">
        <f t="shared" si="117"/>
        <v>-0.51915699999999998</v>
      </c>
      <c r="X167" s="55">
        <f t="shared" si="118"/>
        <v>1.035377</v>
      </c>
      <c r="Y167" s="55">
        <f t="shared" si="119"/>
        <v>-0.19822999999999999</v>
      </c>
      <c r="Z167" s="55">
        <f t="shared" si="120"/>
        <v>0.12973899999999999</v>
      </c>
      <c r="AA167" s="55">
        <f t="shared" si="121"/>
        <v>-0.52273099999999995</v>
      </c>
      <c r="AB167" s="55">
        <f t="shared" si="122"/>
        <v>-0.40881899999999999</v>
      </c>
      <c r="AC167" s="55">
        <f t="shared" si="123"/>
        <v>-0.65687399999999996</v>
      </c>
      <c r="AD167" s="55">
        <f t="shared" si="124"/>
        <v>0.66090300000000002</v>
      </c>
      <c r="AE167" s="55">
        <f t="shared" si="125"/>
        <v>-1.2415909999999999</v>
      </c>
      <c r="AF167" s="55">
        <f t="shared" si="126"/>
        <v>-0.96428700000000001</v>
      </c>
      <c r="AG167" s="55">
        <f t="shared" si="127"/>
        <v>-0.34388299999999999</v>
      </c>
      <c r="AH167" s="55">
        <f t="shared" si="128"/>
        <v>0.71516500000000005</v>
      </c>
      <c r="AI167" s="55">
        <f t="shared" si="129"/>
        <v>-0.61223799999999995</v>
      </c>
      <c r="AJ167" s="55">
        <f t="shared" si="130"/>
        <v>-0.310886</v>
      </c>
      <c r="AK167" s="55">
        <f t="shared" si="131"/>
        <v>-0.98727699999999996</v>
      </c>
      <c r="AL167" s="55">
        <f t="shared" si="132"/>
        <v>0.66283499999999995</v>
      </c>
      <c r="AM167" s="55">
        <f t="shared" si="133"/>
        <v>4.3470000000000002E-2</v>
      </c>
      <c r="AN167" s="55">
        <f t="shared" si="134"/>
        <v>0.44044</v>
      </c>
      <c r="AO167" s="55">
        <f t="shared" si="135"/>
        <v>0.65242</v>
      </c>
      <c r="AP167" s="55">
        <f t="shared" si="136"/>
        <v>0.223997</v>
      </c>
      <c r="AQ167" s="55">
        <f t="shared" si="137"/>
        <v>2.3810000000000001E-2</v>
      </c>
      <c r="AR167" s="55">
        <f t="shared" si="138"/>
        <v>0.49069200000000002</v>
      </c>
      <c r="AS167" s="55">
        <f t="shared" si="139"/>
        <v>-0.248358</v>
      </c>
      <c r="AT167" s="55">
        <f t="shared" si="140"/>
        <v>0.80503199999999997</v>
      </c>
      <c r="AU167" s="55">
        <f t="shared" si="141"/>
        <v>0.60842399999999996</v>
      </c>
      <c r="AV167" s="55">
        <f t="shared" si="142"/>
        <v>5.6078000000000003E-2</v>
      </c>
      <c r="AW167" s="55">
        <f t="shared" si="143"/>
        <v>-0.54683099999999996</v>
      </c>
      <c r="AX167" s="55">
        <f t="shared" si="144"/>
        <v>0.37801899999999999</v>
      </c>
      <c r="AY167" s="55">
        <f t="shared" si="145"/>
        <v>-0.169601</v>
      </c>
      <c r="AZ167" s="55">
        <f t="shared" si="146"/>
        <v>0.31381100000000001</v>
      </c>
      <c r="BA167" s="55">
        <f t="shared" si="147"/>
        <v>0.39277400000000001</v>
      </c>
      <c r="BB167" s="55">
        <f t="shared" si="148"/>
        <v>-0.75850799999999996</v>
      </c>
      <c r="BC167" s="55">
        <f t="shared" si="149"/>
        <v>0.97770299999999999</v>
      </c>
      <c r="BD167" s="55">
        <f t="shared" si="150"/>
        <v>-0.82261600000000001</v>
      </c>
      <c r="BE167" s="55">
        <f t="shared" si="151"/>
        <v>0.20293700000000001</v>
      </c>
      <c r="BF167" s="55">
        <f t="shared" si="152"/>
        <v>0.64005800000000002</v>
      </c>
      <c r="BG167" s="55">
        <f t="shared" si="153"/>
        <v>-0.60011700000000001</v>
      </c>
      <c r="BH167" s="55">
        <f t="shared" si="154"/>
        <v>1.5343000000000001E-2</v>
      </c>
      <c r="BJ167" s="55">
        <f t="shared" si="220"/>
        <v>1.220248</v>
      </c>
      <c r="BK167" s="55">
        <f t="shared" si="220"/>
        <v>-0.84979700000000002</v>
      </c>
      <c r="BL167" s="55">
        <f t="shared" si="220"/>
        <v>0.52901100000000001</v>
      </c>
      <c r="BM167" s="55">
        <f t="shared" si="220"/>
        <v>-0.44570799999999999</v>
      </c>
      <c r="BN167" s="55">
        <f t="shared" si="220"/>
        <v>0.58260699999999999</v>
      </c>
      <c r="BO167" s="55">
        <f t="shared" si="220"/>
        <v>1.0987579999999999</v>
      </c>
      <c r="BP167" s="55">
        <f t="shared" si="220"/>
        <v>-0.40750900000000001</v>
      </c>
      <c r="BQ167" s="55">
        <f t="shared" si="220"/>
        <v>-0.48164699999999999</v>
      </c>
      <c r="BR167" s="55">
        <f t="shared" si="220"/>
        <v>0.64495800000000003</v>
      </c>
      <c r="BS167" s="55">
        <f t="shared" si="220"/>
        <v>0.69749799999999995</v>
      </c>
      <c r="BT167" s="55">
        <f t="shared" si="220"/>
        <v>-1.7539340000000001</v>
      </c>
      <c r="BU167" s="55">
        <f t="shared" si="220"/>
        <v>0.200211</v>
      </c>
      <c r="BV167" s="55">
        <f t="shared" si="220"/>
        <v>-0.65269900000000003</v>
      </c>
      <c r="BW167" s="55">
        <f t="shared" si="220"/>
        <v>0.95049399999999995</v>
      </c>
      <c r="BX167" s="55">
        <f t="shared" si="220"/>
        <v>0.93861499999999998</v>
      </c>
      <c r="BY167" s="55">
        <f t="shared" si="220"/>
        <v>-1.813814</v>
      </c>
      <c r="BZ167" s="55">
        <f t="shared" si="218"/>
        <v>-0.92457199999999995</v>
      </c>
      <c r="CA167" s="55">
        <f t="shared" si="218"/>
        <v>-0.44912299999999999</v>
      </c>
      <c r="CB167" s="55">
        <f t="shared" si="218"/>
        <v>7.5886999999999996E-2</v>
      </c>
      <c r="CC167" s="55">
        <f t="shared" si="218"/>
        <v>1.51451</v>
      </c>
      <c r="CD167" s="55">
        <f t="shared" si="218"/>
        <v>0.28528999999999999</v>
      </c>
      <c r="CE167" s="55">
        <f t="shared" si="218"/>
        <v>-0.47020000000000001</v>
      </c>
      <c r="CF167" s="55">
        <f t="shared" si="218"/>
        <v>0.14186699999999999</v>
      </c>
      <c r="CG167" s="55">
        <f t="shared" si="218"/>
        <v>-1.2525729999999999</v>
      </c>
      <c r="CH167" s="55">
        <f t="shared" si="218"/>
        <v>0.35832999999999998</v>
      </c>
      <c r="CI167" s="55">
        <f t="shared" si="218"/>
        <v>6.2779000000000001E-2</v>
      </c>
      <c r="CJ167" s="55">
        <f t="shared" si="155"/>
        <v>-0.24352299999999999</v>
      </c>
      <c r="CK167" s="55">
        <f t="shared" si="219"/>
        <v>0.74968000000000001</v>
      </c>
      <c r="CL167" s="55">
        <f t="shared" si="219"/>
        <v>-5.151E-2</v>
      </c>
      <c r="CM167" s="55">
        <f t="shared" si="219"/>
        <v>-0.48818</v>
      </c>
      <c r="CN167" s="55">
        <f t="shared" si="219"/>
        <v>0.22815199999999999</v>
      </c>
      <c r="CO167" s="55">
        <f t="shared" si="219"/>
        <v>0.77343899999999999</v>
      </c>
      <c r="CP167" s="55">
        <f t="shared" si="219"/>
        <v>-1.3948130000000001</v>
      </c>
      <c r="CQ167" s="55">
        <f t="shared" si="219"/>
        <v>-2.0788000000000001E-2</v>
      </c>
      <c r="CR167" s="55">
        <f t="shared" si="219"/>
        <v>2.0740999999999999E-2</v>
      </c>
      <c r="CS167" s="55">
        <f t="shared" si="219"/>
        <v>-1.097108</v>
      </c>
      <c r="CT167" s="55">
        <f t="shared" si="219"/>
        <v>-0.131464</v>
      </c>
      <c r="CU167" s="55">
        <f t="shared" si="219"/>
        <v>-1.2767850000000001</v>
      </c>
      <c r="CV167" s="55">
        <f t="shared" si="219"/>
        <v>-0.19317300000000001</v>
      </c>
      <c r="CW167" s="55">
        <f t="shared" si="219"/>
        <v>-6.6600999999999994E-2</v>
      </c>
      <c r="CX167" s="55">
        <f t="shared" si="219"/>
        <v>-0.24581500000000001</v>
      </c>
      <c r="CY167" s="55">
        <f t="shared" si="219"/>
        <v>-0.139569</v>
      </c>
      <c r="CZ167" s="55">
        <f t="shared" si="219"/>
        <v>0.39235700000000001</v>
      </c>
      <c r="DA167" s="55">
        <f t="shared" si="217"/>
        <v>-0.46349099999999999</v>
      </c>
      <c r="DB167" s="55">
        <f t="shared" si="217"/>
        <v>-1.0285200000000001</v>
      </c>
      <c r="DC167" s="55">
        <f t="shared" si="217"/>
        <v>0.19811200000000001</v>
      </c>
      <c r="DD167" s="55">
        <f t="shared" si="217"/>
        <v>0.56956200000000001</v>
      </c>
      <c r="DE167" s="55">
        <f t="shared" si="217"/>
        <v>0.33606200000000003</v>
      </c>
      <c r="DF167" s="55">
        <f t="shared" si="217"/>
        <v>0.224187</v>
      </c>
      <c r="DG167" s="55">
        <f t="shared" si="217"/>
        <v>0.51028200000000001</v>
      </c>
      <c r="DI167" s="55">
        <f t="shared" ca="1" si="65"/>
        <v>0.70118800000000003</v>
      </c>
      <c r="DJ167" s="55">
        <f t="shared" ca="1" si="66"/>
        <v>-0.77819899999999997</v>
      </c>
      <c r="DK167" s="55">
        <f t="shared" ca="1" si="67"/>
        <v>3.1711999999999997E-2</v>
      </c>
      <c r="DL167" s="55">
        <f t="shared" ca="1" si="68"/>
        <v>0.64301200000000003</v>
      </c>
      <c r="DM167" s="55">
        <f t="shared" ca="1" si="69"/>
        <v>0.37828099999999998</v>
      </c>
      <c r="DN167" s="55">
        <f t="shared" ca="1" si="70"/>
        <v>-0.91408699999999998</v>
      </c>
      <c r="DO167" s="55">
        <f t="shared" ca="1" si="71"/>
        <v>0.68633999999999995</v>
      </c>
      <c r="DP167" s="55">
        <f t="shared" ca="1" si="72"/>
        <v>-1.1864509999999999</v>
      </c>
      <c r="DQ167" s="55">
        <f t="shared" ca="1" si="73"/>
        <v>-8.1648999999999999E-2</v>
      </c>
      <c r="DR167" s="55">
        <f t="shared" ca="1" si="74"/>
        <v>0.24657599999999999</v>
      </c>
      <c r="DS167" s="55">
        <f t="shared" ca="1" si="75"/>
        <v>0.78340399999999999</v>
      </c>
      <c r="DT167" s="55">
        <f t="shared" ca="1" si="76"/>
        <v>-0.88504099999999997</v>
      </c>
      <c r="DU167" s="55">
        <f t="shared" ca="1" si="77"/>
        <v>-0.51915699999999998</v>
      </c>
      <c r="DV167" s="55">
        <f t="shared" ca="1" si="78"/>
        <v>1.035377</v>
      </c>
      <c r="DW167" s="55">
        <f t="shared" ca="1" si="79"/>
        <v>-0.19822999999999999</v>
      </c>
      <c r="DX167" s="55">
        <f t="shared" ca="1" si="80"/>
        <v>0.12973899999999999</v>
      </c>
      <c r="DY167" s="55">
        <f t="shared" ca="1" si="81"/>
        <v>-0.83795838717799986</v>
      </c>
      <c r="DZ167" s="55">
        <f t="shared" ca="1" si="82"/>
        <v>-0.44043579523199999</v>
      </c>
      <c r="EA167" s="55">
        <f t="shared" ca="1" si="83"/>
        <v>-8.2053771461999991E-2</v>
      </c>
      <c r="EB167" s="55">
        <f t="shared" ca="1" si="84"/>
        <v>1.3305218400059999</v>
      </c>
      <c r="EC167" s="55">
        <f t="shared" ca="1" si="85"/>
        <v>-4.3816984502E-2</v>
      </c>
      <c r="ED167" s="55">
        <f t="shared" ca="1" si="86"/>
        <v>-0.57669650015400009</v>
      </c>
      <c r="EE167" s="55">
        <f t="shared" ca="1" si="87"/>
        <v>3.7167473499999978E-2</v>
      </c>
      <c r="EF167" s="55">
        <f t="shared" ca="1" si="88"/>
        <v>-0.82844281600399994</v>
      </c>
      <c r="EG167" s="55">
        <f t="shared" ca="1" si="89"/>
        <v>0.149131832144</v>
      </c>
      <c r="EH167" s="55">
        <f t="shared" ca="1" si="90"/>
        <v>-1.7761501430000007E-2</v>
      </c>
      <c r="EI167" s="55">
        <f t="shared" ca="1" si="91"/>
        <v>-0.40383322466799998</v>
      </c>
      <c r="EJ167" s="55">
        <f t="shared" ca="1" si="92"/>
        <v>0.73096125500999998</v>
      </c>
      <c r="EK167" s="55">
        <f t="shared" ca="1" si="93"/>
        <v>-3.1037820840000001E-2</v>
      </c>
      <c r="EL167" s="55">
        <f t="shared" ca="1" si="94"/>
        <v>-0.28802338796000004</v>
      </c>
      <c r="EM167" s="55">
        <f t="shared" ca="1" si="95"/>
        <v>0.31959957325599997</v>
      </c>
      <c r="EN167" s="55">
        <f t="shared" ca="1" si="96"/>
        <v>0.65501117243599993</v>
      </c>
      <c r="EO167" s="55">
        <f t="shared" ca="1" si="97"/>
        <v>-1.0890401613339999</v>
      </c>
      <c r="EP167" s="55">
        <f t="shared" ca="1" si="98"/>
        <v>8.9457422160000008E-2</v>
      </c>
      <c r="EQ167" s="55">
        <f t="shared" ca="1" si="99"/>
        <v>-3.7261136658000002E-2</v>
      </c>
      <c r="ER167" s="55">
        <f t="shared" ca="1" si="100"/>
        <v>-0.68711694011999991</v>
      </c>
      <c r="ES167" s="55">
        <f t="shared" ca="1" si="101"/>
        <v>2.8012939295999989E-2</v>
      </c>
      <c r="ET167" s="55">
        <f t="shared" ca="1" si="102"/>
        <v>-0.98949704325400012</v>
      </c>
      <c r="EU167" s="55">
        <f t="shared" ca="1" si="103"/>
        <v>-0.26940115263600001</v>
      </c>
      <c r="EV167" s="55">
        <f t="shared" ca="1" si="104"/>
        <v>2.9233284040000002E-2</v>
      </c>
      <c r="EW167" s="55">
        <f t="shared" ca="1" si="105"/>
        <v>-0.22938768201199999</v>
      </c>
      <c r="EX167" s="55">
        <f t="shared" ca="1" si="106"/>
        <v>-4.184656803999999E-2</v>
      </c>
      <c r="EY167" s="55">
        <f t="shared" ca="1" si="107"/>
        <v>0.39244688101399999</v>
      </c>
      <c r="EZ167" s="55">
        <f t="shared" ca="1" si="108"/>
        <v>-0.52707955421399999</v>
      </c>
      <c r="FA167" s="55">
        <f t="shared" ca="1" si="109"/>
        <v>-0.59609468213400008</v>
      </c>
      <c r="FB167" s="55">
        <f t="shared" ca="1" si="110"/>
        <v>-2.1897754575999989E-2</v>
      </c>
      <c r="FC167" s="55">
        <f t="shared" ca="1" si="111"/>
        <v>0.20293700000000001</v>
      </c>
      <c r="FD167" s="55">
        <f t="shared" ca="1" si="112"/>
        <v>0.64005800000000002</v>
      </c>
      <c r="FE167" s="55">
        <f t="shared" ca="1" si="113"/>
        <v>-0.60011700000000001</v>
      </c>
      <c r="FF167" s="55">
        <f t="shared" ca="1" si="114"/>
        <v>1.5343000000000001E-2</v>
      </c>
      <c r="FH167" s="55">
        <f t="shared" ca="1" si="115"/>
        <v>0</v>
      </c>
      <c r="FI167" s="55">
        <f t="shared" ca="1" si="207"/>
        <v>0</v>
      </c>
      <c r="FJ167" s="55">
        <f t="shared" ca="1" si="208"/>
        <v>0</v>
      </c>
      <c r="FK167" s="55">
        <f t="shared" ca="1" si="209"/>
        <v>0</v>
      </c>
      <c r="FL167" s="55">
        <f t="shared" ca="1" si="210"/>
        <v>0</v>
      </c>
      <c r="FM167" s="55">
        <f t="shared" ca="1" si="211"/>
        <v>0</v>
      </c>
      <c r="FN167" s="55">
        <f t="shared" ca="1" si="212"/>
        <v>0</v>
      </c>
      <c r="FO167" s="55">
        <f t="shared" ca="1" si="213"/>
        <v>0</v>
      </c>
      <c r="FP167" s="55">
        <f t="shared" ca="1" si="214"/>
        <v>0</v>
      </c>
      <c r="FQ167" s="55">
        <f t="shared" ca="1" si="215"/>
        <v>0</v>
      </c>
      <c r="FR167" s="55">
        <f t="shared" ca="1" si="216"/>
        <v>0</v>
      </c>
      <c r="FS167" s="55">
        <f t="shared" ca="1" si="158"/>
        <v>0</v>
      </c>
      <c r="FT167" s="55">
        <f t="shared" ca="1" si="159"/>
        <v>0</v>
      </c>
      <c r="FU167" s="55">
        <f t="shared" ca="1" si="160"/>
        <v>0</v>
      </c>
      <c r="FV167" s="55">
        <f t="shared" ca="1" si="161"/>
        <v>0</v>
      </c>
      <c r="FW167" s="55">
        <f t="shared" ca="1" si="162"/>
        <v>0</v>
      </c>
      <c r="FX167" s="55">
        <f t="shared" ca="1" si="163"/>
        <v>-0.31522738717799992</v>
      </c>
      <c r="FY167" s="55">
        <f t="shared" ca="1" si="164"/>
        <v>-3.1616795232000006E-2</v>
      </c>
      <c r="FZ167" s="55">
        <f t="shared" ca="1" si="165"/>
        <v>0.57482022853799997</v>
      </c>
      <c r="GA167" s="55">
        <f t="shared" ca="1" si="166"/>
        <v>0.66961884000599992</v>
      </c>
      <c r="GB167" s="55">
        <f t="shared" ca="1" si="167"/>
        <v>1.1977740154979999</v>
      </c>
      <c r="GC167" s="55">
        <f t="shared" ca="1" si="168"/>
        <v>0.38759049984599991</v>
      </c>
      <c r="GD167" s="55">
        <f t="shared" ca="1" si="169"/>
        <v>0.38105047349999999</v>
      </c>
      <c r="GE167" s="55">
        <f t="shared" ca="1" si="170"/>
        <v>-1.5436078160040001</v>
      </c>
      <c r="GF167" s="55">
        <f t="shared" ca="1" si="171"/>
        <v>0.76136983214399989</v>
      </c>
      <c r="GG167" s="55">
        <f t="shared" ca="1" si="172"/>
        <v>0.29312449857</v>
      </c>
      <c r="GH167" s="55">
        <f t="shared" ca="1" si="173"/>
        <v>0.58344377533199998</v>
      </c>
      <c r="GI167" s="55">
        <f t="shared" ca="1" si="174"/>
        <v>6.8126255010000025E-2</v>
      </c>
      <c r="GJ167" s="55">
        <f t="shared" ca="1" si="175"/>
        <v>-7.4507820840000002E-2</v>
      </c>
      <c r="GK167" s="55">
        <f t="shared" ca="1" si="176"/>
        <v>-0.72846338795999999</v>
      </c>
      <c r="GL167" s="55">
        <f t="shared" ca="1" si="177"/>
        <v>-0.33282042674400003</v>
      </c>
      <c r="GM167" s="55">
        <f t="shared" ca="1" si="178"/>
        <v>0.43101417243599993</v>
      </c>
      <c r="GN167" s="55">
        <f t="shared" ca="1" si="179"/>
        <v>-1.1128501613340001</v>
      </c>
      <c r="GO167" s="55">
        <f t="shared" ca="1" si="180"/>
        <v>-0.40123457784</v>
      </c>
      <c r="GP167" s="55">
        <f t="shared" ca="1" si="181"/>
        <v>0.21109686334200001</v>
      </c>
      <c r="GQ167" s="55">
        <f t="shared" ca="1" si="182"/>
        <v>-1.4921489401199999</v>
      </c>
      <c r="GR167" s="55">
        <f t="shared" ca="1" si="183"/>
        <v>-0.58041106070399995</v>
      </c>
      <c r="GS167" s="55">
        <f t="shared" ca="1" si="184"/>
        <v>-1.0455750432540001</v>
      </c>
      <c r="GT167" s="55">
        <f t="shared" ca="1" si="185"/>
        <v>0.27742984736399995</v>
      </c>
      <c r="GU167" s="55">
        <f t="shared" ca="1" si="186"/>
        <v>-0.34878571595999996</v>
      </c>
      <c r="GV167" s="55">
        <f t="shared" ca="1" si="187"/>
        <v>-5.9786682011999992E-2</v>
      </c>
      <c r="GW167" s="55">
        <f t="shared" ca="1" si="188"/>
        <v>-0.35565756803999998</v>
      </c>
      <c r="GX167" s="55">
        <f t="shared" ca="1" si="189"/>
        <v>-3.2711898600001899E-4</v>
      </c>
      <c r="GY167" s="55">
        <f t="shared" ca="1" si="190"/>
        <v>0.23142844578599997</v>
      </c>
      <c r="GZ167" s="55">
        <f t="shared" ca="1" si="191"/>
        <v>-1.5737976821340001</v>
      </c>
      <c r="HA167" s="55">
        <f t="shared" ca="1" si="192"/>
        <v>0.80071824542400005</v>
      </c>
      <c r="HB167" s="55">
        <f t="shared" ca="1" si="193"/>
        <v>0</v>
      </c>
      <c r="HC167" s="55">
        <f t="shared" ca="1" si="194"/>
        <v>0</v>
      </c>
      <c r="HD167" s="55">
        <f t="shared" ca="1" si="195"/>
        <v>0</v>
      </c>
      <c r="HE167" s="55">
        <f t="shared" ca="1" si="196"/>
        <v>0</v>
      </c>
    </row>
    <row r="168" spans="1:213">
      <c r="A168" s="27">
        <v>31</v>
      </c>
      <c r="B168" s="27">
        <v>37</v>
      </c>
      <c r="C168" s="27">
        <v>6.6736000000000004E-2</v>
      </c>
      <c r="D168" s="27">
        <v>0.90310599999999996</v>
      </c>
      <c r="E168" s="27">
        <v>15</v>
      </c>
      <c r="F168" s="27">
        <f t="shared" ca="1" si="59"/>
        <v>45</v>
      </c>
      <c r="G168" s="27">
        <f t="shared" si="54"/>
        <v>0</v>
      </c>
      <c r="H168" s="27" t="str">
        <f t="shared" si="60"/>
        <v>Sim</v>
      </c>
      <c r="I168" s="27">
        <f t="shared" si="61"/>
        <v>0</v>
      </c>
      <c r="J168" s="37">
        <f t="shared" si="62"/>
        <v>1</v>
      </c>
      <c r="K168" s="55">
        <f t="shared" si="63"/>
        <v>1.440941</v>
      </c>
      <c r="L168" s="55">
        <f t="shared" si="197"/>
        <v>1.299329</v>
      </c>
      <c r="M168" s="55">
        <f t="shared" si="198"/>
        <v>0.281916</v>
      </c>
      <c r="N168" s="55">
        <f t="shared" si="199"/>
        <v>-0.62502599999999997</v>
      </c>
      <c r="O168" s="55">
        <f t="shared" si="200"/>
        <v>0.87468100000000004</v>
      </c>
      <c r="P168" s="55">
        <f t="shared" si="201"/>
        <v>0.97413799999999995</v>
      </c>
      <c r="Q168" s="55">
        <f t="shared" si="202"/>
        <v>0.825268</v>
      </c>
      <c r="R168" s="55">
        <f t="shared" si="203"/>
        <v>0.43290200000000001</v>
      </c>
      <c r="S168" s="55">
        <f t="shared" si="204"/>
        <v>0.28018700000000002</v>
      </c>
      <c r="T168" s="55">
        <f t="shared" si="205"/>
        <v>0.259573</v>
      </c>
      <c r="U168" s="55">
        <f t="shared" si="206"/>
        <v>1.138341</v>
      </c>
      <c r="V168" s="55">
        <f t="shared" si="116"/>
        <v>-9.8521999999999998E-2</v>
      </c>
      <c r="W168" s="55">
        <f t="shared" si="117"/>
        <v>0.94133299999999998</v>
      </c>
      <c r="X168" s="55">
        <f t="shared" si="118"/>
        <v>-0.896123</v>
      </c>
      <c r="Y168" s="55">
        <f t="shared" si="119"/>
        <v>1.4025479999999999</v>
      </c>
      <c r="Z168" s="55">
        <f t="shared" si="120"/>
        <v>8.7759000000000004E-2</v>
      </c>
      <c r="AA168" s="55">
        <f t="shared" si="121"/>
        <v>-1.012005</v>
      </c>
      <c r="AB168" s="55">
        <f t="shared" si="122"/>
        <v>0.766428</v>
      </c>
      <c r="AC168" s="55">
        <f t="shared" si="123"/>
        <v>-0.20749899999999999</v>
      </c>
      <c r="AD168" s="55">
        <f t="shared" si="124"/>
        <v>-6.4310000000000001E-3</v>
      </c>
      <c r="AE168" s="55">
        <f t="shared" si="125"/>
        <v>0.56614100000000001</v>
      </c>
      <c r="AF168" s="55">
        <f t="shared" si="126"/>
        <v>-0.225073</v>
      </c>
      <c r="AG168" s="55">
        <f t="shared" si="127"/>
        <v>0.74898699999999996</v>
      </c>
      <c r="AH168" s="55">
        <f t="shared" si="128"/>
        <v>-0.57152199999999997</v>
      </c>
      <c r="AI168" s="55">
        <f t="shared" si="129"/>
        <v>-0.55666499999999997</v>
      </c>
      <c r="AJ168" s="55">
        <f t="shared" si="130"/>
        <v>0.74126899999999996</v>
      </c>
      <c r="AK168" s="55">
        <f t="shared" si="131"/>
        <v>-0.82163900000000001</v>
      </c>
      <c r="AL168" s="55">
        <f t="shared" si="132"/>
        <v>1.5381590000000001</v>
      </c>
      <c r="AM168" s="55">
        <f t="shared" si="133"/>
        <v>9.2231999999999995E-2</v>
      </c>
      <c r="AN168" s="55">
        <f t="shared" si="134"/>
        <v>0.19169600000000001</v>
      </c>
      <c r="AO168" s="55">
        <f t="shared" si="135"/>
        <v>-0.69573300000000005</v>
      </c>
      <c r="AP168" s="55">
        <f t="shared" si="136"/>
        <v>0.218058</v>
      </c>
      <c r="AQ168" s="55">
        <f t="shared" si="137"/>
        <v>-2.3509999999999998E-3</v>
      </c>
      <c r="AR168" s="55">
        <f t="shared" si="138"/>
        <v>0.63448000000000004</v>
      </c>
      <c r="AS168" s="55">
        <f t="shared" si="139"/>
        <v>-0.47769400000000001</v>
      </c>
      <c r="AT168" s="55">
        <f t="shared" si="140"/>
        <v>0.57117300000000004</v>
      </c>
      <c r="AU168" s="55">
        <f t="shared" si="141"/>
        <v>-0.908304</v>
      </c>
      <c r="AV168" s="55">
        <f t="shared" si="142"/>
        <v>-1.360957</v>
      </c>
      <c r="AW168" s="55">
        <f t="shared" si="143"/>
        <v>-8.5694000000000006E-2</v>
      </c>
      <c r="AX168" s="55">
        <f t="shared" si="144"/>
        <v>0.87209899999999996</v>
      </c>
      <c r="AY168" s="55">
        <f t="shared" si="145"/>
        <v>-0.53004499999999999</v>
      </c>
      <c r="AZ168" s="55">
        <f t="shared" si="146"/>
        <v>-0.35658200000000001</v>
      </c>
      <c r="BA168" s="55">
        <f t="shared" si="147"/>
        <v>0.675705</v>
      </c>
      <c r="BB168" s="55">
        <f t="shared" si="148"/>
        <v>-0.60852499999999998</v>
      </c>
      <c r="BC168" s="55">
        <f t="shared" si="149"/>
        <v>0.52091600000000005</v>
      </c>
      <c r="BD168" s="55">
        <f t="shared" si="150"/>
        <v>0.99195999999999995</v>
      </c>
      <c r="BE168" s="55">
        <f t="shared" si="151"/>
        <v>-0.19673099999999999</v>
      </c>
      <c r="BF168" s="55">
        <f t="shared" si="152"/>
        <v>-0.50486299999999995</v>
      </c>
      <c r="BG168" s="55">
        <f t="shared" si="153"/>
        <v>-0.63707100000000005</v>
      </c>
      <c r="BH168" s="55">
        <f t="shared" si="154"/>
        <v>0.184058</v>
      </c>
      <c r="BJ168" s="55">
        <f t="shared" si="220"/>
        <v>0.977024</v>
      </c>
      <c r="BK168" s="55">
        <f t="shared" si="220"/>
        <v>-0.77819899999999997</v>
      </c>
      <c r="BL168" s="55">
        <f t="shared" si="220"/>
        <v>0.28137000000000001</v>
      </c>
      <c r="BM168" s="55">
        <f t="shared" si="220"/>
        <v>0.210147</v>
      </c>
      <c r="BN168" s="55">
        <f t="shared" si="220"/>
        <v>0.75479200000000002</v>
      </c>
      <c r="BO168" s="55">
        <f t="shared" si="220"/>
        <v>-1.792562</v>
      </c>
      <c r="BP168" s="55">
        <f t="shared" si="220"/>
        <v>0.68064400000000003</v>
      </c>
      <c r="BQ168" s="55">
        <f t="shared" si="220"/>
        <v>-0.47226499999999999</v>
      </c>
      <c r="BR168" s="55">
        <f t="shared" si="220"/>
        <v>-0.21042</v>
      </c>
      <c r="BS168" s="55">
        <f t="shared" si="220"/>
        <v>-0.56348200000000004</v>
      </c>
      <c r="BT168" s="55">
        <f t="shared" si="220"/>
        <v>0.35940800000000001</v>
      </c>
      <c r="BU168" s="55">
        <f t="shared" si="220"/>
        <v>-0.662134</v>
      </c>
      <c r="BV168" s="55">
        <f t="shared" si="220"/>
        <v>-1.333936</v>
      </c>
      <c r="BW168" s="55">
        <f t="shared" si="220"/>
        <v>1.1656359999999999</v>
      </c>
      <c r="BX168" s="55">
        <f t="shared" si="220"/>
        <v>0.39030100000000001</v>
      </c>
      <c r="BY168" s="55">
        <f t="shared" si="220"/>
        <v>0.12973899999999999</v>
      </c>
      <c r="BZ168" s="55">
        <f t="shared" si="218"/>
        <v>-0.52273099999999995</v>
      </c>
      <c r="CA168" s="55">
        <f t="shared" si="218"/>
        <v>1.156361</v>
      </c>
      <c r="CB168" s="55">
        <f t="shared" si="218"/>
        <v>-0.85358699999999998</v>
      </c>
      <c r="CC168" s="55">
        <f t="shared" si="218"/>
        <v>4.7983999999999999E-2</v>
      </c>
      <c r="CD168" s="55">
        <f t="shared" si="218"/>
        <v>-0.40818500000000002</v>
      </c>
      <c r="CE168" s="55">
        <f t="shared" si="218"/>
        <v>-0.96428700000000001</v>
      </c>
      <c r="CF168" s="55">
        <f t="shared" si="218"/>
        <v>-0.70098700000000003</v>
      </c>
      <c r="CG168" s="55">
        <f t="shared" si="218"/>
        <v>5.7111000000000002E-2</v>
      </c>
      <c r="CH168" s="55">
        <f t="shared" si="218"/>
        <v>-0.157724</v>
      </c>
      <c r="CI168" s="55">
        <f t="shared" si="218"/>
        <v>-0.310886</v>
      </c>
      <c r="CJ168" s="55">
        <f t="shared" si="155"/>
        <v>-0.24035500000000001</v>
      </c>
      <c r="CK168" s="55">
        <f t="shared" si="219"/>
        <v>1.41211</v>
      </c>
      <c r="CL168" s="55">
        <f t="shared" si="219"/>
        <v>0.32704899999999998</v>
      </c>
      <c r="CM168" s="55">
        <f t="shared" si="219"/>
        <v>0.42012899999999997</v>
      </c>
      <c r="CN168" s="55">
        <f t="shared" si="219"/>
        <v>0.648756</v>
      </c>
      <c r="CO168" s="55">
        <f t="shared" si="219"/>
        <v>0.87153599999999998</v>
      </c>
      <c r="CP168" s="55">
        <f t="shared" si="219"/>
        <v>0.26472000000000001</v>
      </c>
      <c r="CQ168" s="55">
        <f t="shared" si="219"/>
        <v>3.2361000000000001E-2</v>
      </c>
      <c r="CR168" s="55">
        <f t="shared" si="219"/>
        <v>4.2389000000000003E-2</v>
      </c>
      <c r="CS168" s="55">
        <f t="shared" si="219"/>
        <v>0.51620500000000002</v>
      </c>
      <c r="CT168" s="55">
        <f t="shared" si="219"/>
        <v>6.7905999999999994E-2</v>
      </c>
      <c r="CU168" s="55">
        <f t="shared" si="219"/>
        <v>-0.15556400000000001</v>
      </c>
      <c r="CV168" s="55">
        <f t="shared" si="219"/>
        <v>-0.36950100000000002</v>
      </c>
      <c r="CW168" s="55">
        <f t="shared" si="219"/>
        <v>0.35318699999999997</v>
      </c>
      <c r="CX168" s="55">
        <f t="shared" si="219"/>
        <v>-0.182979</v>
      </c>
      <c r="CY168" s="55">
        <f t="shared" si="219"/>
        <v>1.2469730000000001</v>
      </c>
      <c r="CZ168" s="55">
        <f t="shared" si="219"/>
        <v>0.56035299999999999</v>
      </c>
      <c r="DA168" s="55">
        <f t="shared" si="217"/>
        <v>-9.7970000000000002E-3</v>
      </c>
      <c r="DB168" s="55">
        <f t="shared" si="217"/>
        <v>0.322075</v>
      </c>
      <c r="DC168" s="55">
        <f t="shared" si="217"/>
        <v>-1.2087969999999999</v>
      </c>
      <c r="DD168" s="55">
        <f t="shared" si="217"/>
        <v>-0.42161300000000002</v>
      </c>
      <c r="DE168" s="55">
        <f t="shared" si="217"/>
        <v>0.54421399999999998</v>
      </c>
      <c r="DF168" s="55">
        <f t="shared" si="217"/>
        <v>-0.45694699999999999</v>
      </c>
      <c r="DG168" s="55">
        <f t="shared" si="217"/>
        <v>0.80196400000000001</v>
      </c>
      <c r="DI168" s="55">
        <f t="shared" ca="1" si="65"/>
        <v>1.440941</v>
      </c>
      <c r="DJ168" s="55">
        <f t="shared" ca="1" si="66"/>
        <v>1.299329</v>
      </c>
      <c r="DK168" s="55">
        <f t="shared" ca="1" si="67"/>
        <v>0.281916</v>
      </c>
      <c r="DL168" s="55">
        <f t="shared" ca="1" si="68"/>
        <v>-0.62502599999999997</v>
      </c>
      <c r="DM168" s="55">
        <f t="shared" ca="1" si="69"/>
        <v>0.87468100000000004</v>
      </c>
      <c r="DN168" s="55">
        <f t="shared" ca="1" si="70"/>
        <v>0.97413799999999995</v>
      </c>
      <c r="DO168" s="55">
        <f t="shared" ca="1" si="71"/>
        <v>0.825268</v>
      </c>
      <c r="DP168" s="55">
        <f t="shared" ca="1" si="72"/>
        <v>0.43290200000000001</v>
      </c>
      <c r="DQ168" s="55">
        <f t="shared" ca="1" si="73"/>
        <v>0.28018700000000002</v>
      </c>
      <c r="DR168" s="55">
        <f t="shared" ca="1" si="74"/>
        <v>0.259573</v>
      </c>
      <c r="DS168" s="55">
        <f t="shared" ca="1" si="75"/>
        <v>1.138341</v>
      </c>
      <c r="DT168" s="55">
        <f t="shared" ca="1" si="76"/>
        <v>-9.8521999999999998E-2</v>
      </c>
      <c r="DU168" s="55">
        <f t="shared" ca="1" si="77"/>
        <v>0.94133299999999998</v>
      </c>
      <c r="DV168" s="55">
        <f t="shared" ca="1" si="78"/>
        <v>-0.896123</v>
      </c>
      <c r="DW168" s="55">
        <f t="shared" ca="1" si="79"/>
        <v>1.4025479999999999</v>
      </c>
      <c r="DX168" s="55">
        <f t="shared" ca="1" si="80"/>
        <v>9.1826610119999999E-2</v>
      </c>
      <c r="DY168" s="55">
        <f t="shared" ca="1" si="81"/>
        <v>-0.96459728504400011</v>
      </c>
      <c r="DZ168" s="55">
        <f t="shared" ca="1" si="82"/>
        <v>0.80421016810199997</v>
      </c>
      <c r="EA168" s="55">
        <f t="shared" ca="1" si="83"/>
        <v>-0.27010105067200002</v>
      </c>
      <c r="EB168" s="55">
        <f t="shared" ca="1" si="84"/>
        <v>-1.1585129899999982E-3</v>
      </c>
      <c r="EC168" s="55">
        <f t="shared" ca="1" si="85"/>
        <v>0.47173465655599994</v>
      </c>
      <c r="ED168" s="55">
        <f t="shared" ca="1" si="86"/>
        <v>-0.296698401316</v>
      </c>
      <c r="EE168" s="55">
        <f t="shared" ca="1" si="87"/>
        <v>0.60849321924399991</v>
      </c>
      <c r="EF168" s="55">
        <f t="shared" ca="1" si="88"/>
        <v>-0.51061123409800002</v>
      </c>
      <c r="EG168" s="55">
        <f t="shared" ca="1" si="89"/>
        <v>-0.51801001074599995</v>
      </c>
      <c r="EH168" s="55">
        <f t="shared" ca="1" si="90"/>
        <v>0.63932149342999989</v>
      </c>
      <c r="EI168" s="55">
        <f t="shared" ca="1" si="91"/>
        <v>-0.76531606810399999</v>
      </c>
      <c r="EJ168" s="55">
        <f t="shared" ca="1" si="92"/>
        <v>1.5259456081939999</v>
      </c>
      <c r="EK168" s="55">
        <f t="shared" ca="1" si="93"/>
        <v>0.114984358398</v>
      </c>
      <c r="EL168" s="55">
        <f t="shared" ca="1" si="94"/>
        <v>0.21382978710200001</v>
      </c>
      <c r="EM168" s="55">
        <f t="shared" ca="1" si="95"/>
        <v>-0.56546008283399996</v>
      </c>
      <c r="EN168" s="55">
        <f t="shared" ca="1" si="96"/>
        <v>0.28137609733200003</v>
      </c>
      <c r="EO168" s="55">
        <f t="shared" ca="1" si="97"/>
        <v>2.3526577474000013E-2</v>
      </c>
      <c r="EP168" s="55">
        <f t="shared" ca="1" si="98"/>
        <v>0.57613828161400005</v>
      </c>
      <c r="EQ168" s="55">
        <f t="shared" ca="1" si="99"/>
        <v>-0.42730107779799997</v>
      </c>
      <c r="ER168" s="55">
        <f t="shared" ca="1" si="100"/>
        <v>0.56584693060800006</v>
      </c>
      <c r="ES168" s="55">
        <f t="shared" ca="1" si="101"/>
        <v>-0.81371510825999993</v>
      </c>
      <c r="ET168" s="55">
        <f t="shared" ca="1" si="102"/>
        <v>-1.244161650658</v>
      </c>
      <c r="EU168" s="55">
        <f t="shared" ca="1" si="103"/>
        <v>-0.11319319545800002</v>
      </c>
      <c r="EV168" s="55">
        <f t="shared" ca="1" si="104"/>
        <v>0.82181954067200003</v>
      </c>
      <c r="EW168" s="55">
        <f t="shared" ca="1" si="105"/>
        <v>-0.49641638699599999</v>
      </c>
      <c r="EX168" s="55">
        <f t="shared" ca="1" si="106"/>
        <v>-0.20120714182999994</v>
      </c>
      <c r="EY168" s="55">
        <f t="shared" ca="1" si="107"/>
        <v>0.66452808331199997</v>
      </c>
      <c r="EZ168" s="55">
        <f t="shared" ca="1" si="108"/>
        <v>-0.55051184916799989</v>
      </c>
      <c r="FA168" s="55">
        <f t="shared" ca="1" si="109"/>
        <v>0.50164950014600007</v>
      </c>
      <c r="FB168" s="55">
        <f t="shared" ca="1" si="110"/>
        <v>0.99195999999999995</v>
      </c>
      <c r="FC168" s="55">
        <f t="shared" ca="1" si="111"/>
        <v>-0.19673099999999999</v>
      </c>
      <c r="FD168" s="55">
        <f t="shared" ca="1" si="112"/>
        <v>-0.50486299999999995</v>
      </c>
      <c r="FE168" s="55">
        <f t="shared" ca="1" si="113"/>
        <v>-0.63707100000000005</v>
      </c>
      <c r="FF168" s="55">
        <f t="shared" ca="1" si="114"/>
        <v>0.184058</v>
      </c>
      <c r="FH168" s="55">
        <f t="shared" ca="1" si="115"/>
        <v>0</v>
      </c>
      <c r="FI168" s="55">
        <f t="shared" ca="1" si="207"/>
        <v>0</v>
      </c>
      <c r="FJ168" s="55">
        <f t="shared" ca="1" si="208"/>
        <v>0</v>
      </c>
      <c r="FK168" s="55">
        <f t="shared" ca="1" si="209"/>
        <v>0</v>
      </c>
      <c r="FL168" s="55">
        <f t="shared" ca="1" si="210"/>
        <v>0</v>
      </c>
      <c r="FM168" s="55">
        <f t="shared" ca="1" si="211"/>
        <v>0</v>
      </c>
      <c r="FN168" s="55">
        <f t="shared" ca="1" si="212"/>
        <v>0</v>
      </c>
      <c r="FO168" s="55">
        <f t="shared" ca="1" si="213"/>
        <v>0</v>
      </c>
      <c r="FP168" s="55">
        <f t="shared" ca="1" si="214"/>
        <v>0</v>
      </c>
      <c r="FQ168" s="55">
        <f t="shared" ca="1" si="215"/>
        <v>0</v>
      </c>
      <c r="FR168" s="55">
        <f t="shared" ca="1" si="216"/>
        <v>0</v>
      </c>
      <c r="FS168" s="55">
        <f t="shared" ca="1" si="158"/>
        <v>0</v>
      </c>
      <c r="FT168" s="55">
        <f t="shared" ca="1" si="159"/>
        <v>0</v>
      </c>
      <c r="FU168" s="55">
        <f t="shared" ca="1" si="160"/>
        <v>0</v>
      </c>
      <c r="FV168" s="55">
        <f t="shared" ca="1" si="161"/>
        <v>0</v>
      </c>
      <c r="FW168" s="55">
        <f t="shared" ca="1" si="162"/>
        <v>4.0676101199999953E-3</v>
      </c>
      <c r="FX168" s="55">
        <f t="shared" ca="1" si="163"/>
        <v>4.7407714955999936E-2</v>
      </c>
      <c r="FY168" s="55">
        <f t="shared" ca="1" si="164"/>
        <v>3.7782168101999969E-2</v>
      </c>
      <c r="FZ168" s="55">
        <f t="shared" ca="1" si="165"/>
        <v>-6.2602050672000031E-2</v>
      </c>
      <c r="GA168" s="55">
        <f t="shared" ca="1" si="166"/>
        <v>5.2724870100000019E-3</v>
      </c>
      <c r="GB168" s="55">
        <f t="shared" ca="1" si="167"/>
        <v>-9.4406343444000063E-2</v>
      </c>
      <c r="GC168" s="55">
        <f t="shared" ca="1" si="168"/>
        <v>-7.1625401316000009E-2</v>
      </c>
      <c r="GD168" s="55">
        <f t="shared" ca="1" si="169"/>
        <v>-0.14049378075600005</v>
      </c>
      <c r="GE168" s="55">
        <f t="shared" ca="1" si="170"/>
        <v>6.0910765901999953E-2</v>
      </c>
      <c r="GF168" s="55">
        <f t="shared" ca="1" si="171"/>
        <v>3.8654989254000016E-2</v>
      </c>
      <c r="GG168" s="55">
        <f t="shared" ca="1" si="172"/>
        <v>-0.10194750657000007</v>
      </c>
      <c r="GH168" s="55">
        <f t="shared" ca="1" si="173"/>
        <v>5.6322931896000017E-2</v>
      </c>
      <c r="GI168" s="55">
        <f t="shared" ca="1" si="174"/>
        <v>-1.2213391806000118E-2</v>
      </c>
      <c r="GJ168" s="55">
        <f t="shared" ca="1" si="175"/>
        <v>2.2752358398000008E-2</v>
      </c>
      <c r="GK168" s="55">
        <f t="shared" ca="1" si="176"/>
        <v>2.2133787102000008E-2</v>
      </c>
      <c r="GL168" s="55">
        <f t="shared" ca="1" si="177"/>
        <v>0.13027291716600009</v>
      </c>
      <c r="GM168" s="55">
        <f t="shared" ca="1" si="178"/>
        <v>6.3318097332000028E-2</v>
      </c>
      <c r="GN168" s="55">
        <f t="shared" ca="1" si="179"/>
        <v>2.5877577474000012E-2</v>
      </c>
      <c r="GO168" s="55">
        <f t="shared" ca="1" si="180"/>
        <v>-5.8341718385999997E-2</v>
      </c>
      <c r="GP168" s="55">
        <f t="shared" ca="1" si="181"/>
        <v>5.0392922202000034E-2</v>
      </c>
      <c r="GQ168" s="55">
        <f t="shared" ca="1" si="182"/>
        <v>-5.3260693919999769E-3</v>
      </c>
      <c r="GR168" s="55">
        <f t="shared" ca="1" si="183"/>
        <v>9.4588891740000069E-2</v>
      </c>
      <c r="GS168" s="55">
        <f t="shared" ca="1" si="184"/>
        <v>0.11679534934199998</v>
      </c>
      <c r="GT168" s="55">
        <f t="shared" ca="1" si="185"/>
        <v>-2.7499195458000017E-2</v>
      </c>
      <c r="GU168" s="55">
        <f t="shared" ca="1" si="186"/>
        <v>-5.0279459327999931E-2</v>
      </c>
      <c r="GV168" s="55">
        <f t="shared" ca="1" si="187"/>
        <v>3.3628613003999996E-2</v>
      </c>
      <c r="GW168" s="55">
        <f t="shared" ca="1" si="188"/>
        <v>0.15537485817000007</v>
      </c>
      <c r="GX168" s="55">
        <f t="shared" ca="1" si="189"/>
        <v>-1.1176916688000027E-2</v>
      </c>
      <c r="GY168" s="55">
        <f t="shared" ca="1" si="190"/>
        <v>5.8013150832000093E-2</v>
      </c>
      <c r="GZ168" s="55">
        <f t="shared" ca="1" si="191"/>
        <v>-1.9266499853999974E-2</v>
      </c>
      <c r="HA168" s="55">
        <f t="shared" ca="1" si="192"/>
        <v>0</v>
      </c>
      <c r="HB168" s="55">
        <f t="shared" ca="1" si="193"/>
        <v>0</v>
      </c>
      <c r="HC168" s="55">
        <f t="shared" ca="1" si="194"/>
        <v>0</v>
      </c>
      <c r="HD168" s="55">
        <f t="shared" ca="1" si="195"/>
        <v>0</v>
      </c>
      <c r="HE168" s="55">
        <f t="shared" ca="1" si="196"/>
        <v>0</v>
      </c>
    </row>
    <row r="169" spans="1:213">
      <c r="A169" s="27">
        <v>32</v>
      </c>
      <c r="B169" s="27">
        <v>23</v>
      </c>
      <c r="C169" s="27">
        <v>0.93714299999999995</v>
      </c>
      <c r="D169" s="27">
        <v>0.22120600000000001</v>
      </c>
      <c r="E169" s="27">
        <v>3</v>
      </c>
      <c r="F169" s="27">
        <f t="shared" ca="1" si="59"/>
        <v>28</v>
      </c>
      <c r="G169" s="27">
        <f t="shared" ref="G169:G200" si="221">VLOOKUP(B169,$A$33:$BG$340,4,FALSE)</f>
        <v>0</v>
      </c>
      <c r="H169" s="27" t="str">
        <f t="shared" si="60"/>
        <v>Não</v>
      </c>
      <c r="I169" s="27">
        <f t="shared" si="61"/>
        <v>0</v>
      </c>
      <c r="J169" s="37">
        <f t="shared" si="62"/>
        <v>0</v>
      </c>
      <c r="K169" s="55">
        <f t="shared" si="63"/>
        <v>-1.0969869999999999</v>
      </c>
      <c r="L169" s="55">
        <f t="shared" si="197"/>
        <v>0.38115300000000002</v>
      </c>
      <c r="M169" s="55">
        <f t="shared" si="198"/>
        <v>0.52356899999999995</v>
      </c>
      <c r="N169" s="55">
        <f t="shared" si="199"/>
        <v>-1.714448</v>
      </c>
      <c r="O169" s="55">
        <f t="shared" si="200"/>
        <v>0.639714</v>
      </c>
      <c r="P169" s="55">
        <f t="shared" si="201"/>
        <v>-0.27751399999999998</v>
      </c>
      <c r="Q169" s="55">
        <f t="shared" si="202"/>
        <v>0.22517899999999999</v>
      </c>
      <c r="R169" s="55">
        <f t="shared" si="203"/>
        <v>-6.7871000000000001E-2</v>
      </c>
      <c r="S169" s="55">
        <f t="shared" si="204"/>
        <v>-0.26596500000000001</v>
      </c>
      <c r="T169" s="55">
        <f t="shared" si="205"/>
        <v>-3.7038000000000001E-2</v>
      </c>
      <c r="U169" s="55">
        <f t="shared" si="206"/>
        <v>0.96115200000000001</v>
      </c>
      <c r="V169" s="55">
        <f t="shared" si="116"/>
        <v>0.51594700000000004</v>
      </c>
      <c r="W169" s="55">
        <f t="shared" si="117"/>
        <v>0.59214999999999995</v>
      </c>
      <c r="X169" s="55">
        <f t="shared" si="118"/>
        <v>-0.90259299999999998</v>
      </c>
      <c r="Y169" s="55">
        <f t="shared" si="119"/>
        <v>0.98840300000000003</v>
      </c>
      <c r="Z169" s="55">
        <f t="shared" si="120"/>
        <v>-0.674983</v>
      </c>
      <c r="AA169" s="55">
        <f t="shared" si="121"/>
        <v>0.97841800000000001</v>
      </c>
      <c r="AB169" s="55">
        <f t="shared" si="122"/>
        <v>0.82400099999999998</v>
      </c>
      <c r="AC169" s="55">
        <f t="shared" si="123"/>
        <v>1.396997</v>
      </c>
      <c r="AD169" s="55">
        <f t="shared" si="124"/>
        <v>-0.45306800000000003</v>
      </c>
      <c r="AE169" s="55">
        <f t="shared" si="125"/>
        <v>0.68356899999999998</v>
      </c>
      <c r="AF169" s="55">
        <f t="shared" si="126"/>
        <v>0.73449600000000004</v>
      </c>
      <c r="AG169" s="55">
        <f t="shared" si="127"/>
        <v>0.567998</v>
      </c>
      <c r="AH169" s="55">
        <f t="shared" si="128"/>
        <v>-0.45733400000000002</v>
      </c>
      <c r="AI169" s="55">
        <f t="shared" si="129"/>
        <v>-1.048338</v>
      </c>
      <c r="AJ169" s="55">
        <f t="shared" si="130"/>
        <v>-1.1257E-2</v>
      </c>
      <c r="AK169" s="55">
        <f t="shared" si="131"/>
        <v>0.294599</v>
      </c>
      <c r="AL169" s="55">
        <f t="shared" si="132"/>
        <v>1.0457559999999999</v>
      </c>
      <c r="AM169" s="55">
        <f t="shared" si="133"/>
        <v>-0.35778199999999999</v>
      </c>
      <c r="AN169" s="55">
        <f t="shared" si="134"/>
        <v>-0.12554699999999999</v>
      </c>
      <c r="AO169" s="55">
        <f t="shared" si="135"/>
        <v>-0.62191700000000005</v>
      </c>
      <c r="AP169" s="55">
        <f t="shared" si="136"/>
        <v>0.52560499999999999</v>
      </c>
      <c r="AQ169" s="55">
        <f t="shared" si="137"/>
        <v>2.4389000000000001E-2</v>
      </c>
      <c r="AR169" s="55">
        <f t="shared" si="138"/>
        <v>-1.1259049999999999</v>
      </c>
      <c r="AS169" s="55">
        <f t="shared" si="139"/>
        <v>0.78310400000000002</v>
      </c>
      <c r="AT169" s="55">
        <f t="shared" si="140"/>
        <v>-0.625803</v>
      </c>
      <c r="AU169" s="55">
        <f t="shared" si="141"/>
        <v>0.32439000000000001</v>
      </c>
      <c r="AV169" s="55">
        <f t="shared" si="142"/>
        <v>-0.28769800000000001</v>
      </c>
      <c r="AW169" s="55">
        <f t="shared" si="143"/>
        <v>-0.81347199999999997</v>
      </c>
      <c r="AX169" s="55">
        <f t="shared" si="144"/>
        <v>0.20236699999999999</v>
      </c>
      <c r="AY169" s="55">
        <f t="shared" si="145"/>
        <v>0.71817299999999995</v>
      </c>
      <c r="AZ169" s="55">
        <f t="shared" si="146"/>
        <v>-1.6559000000000001E-2</v>
      </c>
      <c r="BA169" s="55">
        <f t="shared" si="147"/>
        <v>-0.30865999999999999</v>
      </c>
      <c r="BB169" s="55">
        <f t="shared" si="148"/>
        <v>-0.412381</v>
      </c>
      <c r="BC169" s="55">
        <f t="shared" si="149"/>
        <v>-0.70930300000000002</v>
      </c>
      <c r="BD169" s="55">
        <f t="shared" si="150"/>
        <v>-7.7965000000000007E-2</v>
      </c>
      <c r="BE169" s="55">
        <f t="shared" si="151"/>
        <v>0.49343900000000002</v>
      </c>
      <c r="BF169" s="55">
        <f t="shared" si="152"/>
        <v>-0.40752500000000003</v>
      </c>
      <c r="BG169" s="55">
        <f t="shared" si="153"/>
        <v>0.80309900000000001</v>
      </c>
      <c r="BH169" s="55">
        <f t="shared" si="154"/>
        <v>-0.17697399999999999</v>
      </c>
      <c r="BJ169" s="55">
        <f t="shared" si="220"/>
        <v>0.62340799999999996</v>
      </c>
      <c r="BK169" s="55">
        <f t="shared" si="220"/>
        <v>-0.388465</v>
      </c>
      <c r="BL169" s="55">
        <f t="shared" si="220"/>
        <v>5.6070000000000002E-2</v>
      </c>
      <c r="BM169" s="55">
        <f t="shared" si="220"/>
        <v>7.9558000000000004E-2</v>
      </c>
      <c r="BN169" s="55">
        <f t="shared" si="220"/>
        <v>0.96263500000000002</v>
      </c>
      <c r="BO169" s="55">
        <f t="shared" si="220"/>
        <v>0.15728300000000001</v>
      </c>
      <c r="BP169" s="55">
        <f t="shared" si="220"/>
        <v>-0.16175100000000001</v>
      </c>
      <c r="BQ169" s="55">
        <f t="shared" si="220"/>
        <v>0.80041499999999999</v>
      </c>
      <c r="BR169" s="55">
        <f t="shared" si="220"/>
        <v>-0.85971399999999998</v>
      </c>
      <c r="BS169" s="55">
        <f t="shared" si="220"/>
        <v>0.67834000000000005</v>
      </c>
      <c r="BT169" s="55">
        <f t="shared" si="220"/>
        <v>5.4384000000000002E-2</v>
      </c>
      <c r="BU169" s="55">
        <f t="shared" si="220"/>
        <v>-0.63309899999999997</v>
      </c>
      <c r="BV169" s="55">
        <f t="shared" si="220"/>
        <v>-1.530619</v>
      </c>
      <c r="BW169" s="55">
        <f t="shared" si="220"/>
        <v>-1.4579279999999999</v>
      </c>
      <c r="BX169" s="55">
        <f t="shared" si="220"/>
        <v>0.20503399999999999</v>
      </c>
      <c r="BY169" s="55">
        <f t="shared" si="220"/>
        <v>0.92105700000000001</v>
      </c>
      <c r="BZ169" s="55">
        <f t="shared" si="218"/>
        <v>0.62899000000000005</v>
      </c>
      <c r="CA169" s="55">
        <f t="shared" si="218"/>
        <v>-4.3908000000000003E-2</v>
      </c>
      <c r="CB169" s="55">
        <f t="shared" si="218"/>
        <v>0.28092299999999998</v>
      </c>
      <c r="CC169" s="55">
        <f t="shared" si="218"/>
        <v>-0.456926</v>
      </c>
      <c r="CD169" s="55">
        <f t="shared" si="218"/>
        <v>0.85801099999999997</v>
      </c>
      <c r="CE169" s="55">
        <f t="shared" si="218"/>
        <v>-0.24601700000000001</v>
      </c>
      <c r="CF169" s="55">
        <f t="shared" si="218"/>
        <v>-0.61331400000000003</v>
      </c>
      <c r="CG169" s="55">
        <f t="shared" si="218"/>
        <v>-0.403613</v>
      </c>
      <c r="CH169" s="55">
        <f t="shared" si="218"/>
        <v>-0.86787400000000003</v>
      </c>
      <c r="CI169" s="55">
        <f t="shared" si="218"/>
        <v>-8.0771999999999997E-2</v>
      </c>
      <c r="CJ169" s="55">
        <f t="shared" si="155"/>
        <v>-0.50662700000000005</v>
      </c>
      <c r="CK169" s="55">
        <f t="shared" si="219"/>
        <v>-5.1968E-2</v>
      </c>
      <c r="CL169" s="55">
        <f t="shared" si="219"/>
        <v>1.2316450000000001</v>
      </c>
      <c r="CM169" s="55">
        <f t="shared" si="219"/>
        <v>-0.17550399999999999</v>
      </c>
      <c r="CN169" s="55">
        <f t="shared" si="219"/>
        <v>0.39920099999999997</v>
      </c>
      <c r="CO169" s="55">
        <f t="shared" si="219"/>
        <v>-0.81987600000000005</v>
      </c>
      <c r="CP169" s="55">
        <f t="shared" si="219"/>
        <v>0.87561999999999995</v>
      </c>
      <c r="CQ169" s="55">
        <f t="shared" si="219"/>
        <v>0.68350100000000003</v>
      </c>
      <c r="CR169" s="55">
        <f t="shared" si="219"/>
        <v>-1.003925</v>
      </c>
      <c r="CS169" s="55">
        <f t="shared" si="219"/>
        <v>-0.71970599999999996</v>
      </c>
      <c r="CT169" s="55">
        <f t="shared" si="219"/>
        <v>0.49610500000000002</v>
      </c>
      <c r="CU169" s="55">
        <f t="shared" si="219"/>
        <v>0.11883100000000001</v>
      </c>
      <c r="CV169" s="55">
        <f t="shared" si="219"/>
        <v>0.90245799999999998</v>
      </c>
      <c r="CW169" s="55">
        <f t="shared" si="219"/>
        <v>0.146954</v>
      </c>
      <c r="CX169" s="55">
        <f t="shared" si="219"/>
        <v>3.9683000000000003E-2</v>
      </c>
      <c r="CY169" s="55">
        <f t="shared" si="219"/>
        <v>-1.390312</v>
      </c>
      <c r="CZ169" s="55">
        <f t="shared" si="219"/>
        <v>0.51397999999999999</v>
      </c>
      <c r="DA169" s="55">
        <f t="shared" si="217"/>
        <v>-0.69938699999999998</v>
      </c>
      <c r="DB169" s="55">
        <f t="shared" si="217"/>
        <v>-0.61740399999999995</v>
      </c>
      <c r="DC169" s="55">
        <f t="shared" si="217"/>
        <v>-0.36079800000000001</v>
      </c>
      <c r="DD169" s="55">
        <f t="shared" si="217"/>
        <v>-0.52576500000000004</v>
      </c>
      <c r="DE169" s="55">
        <f t="shared" si="217"/>
        <v>0.21933800000000001</v>
      </c>
      <c r="DF169" s="55">
        <f t="shared" si="217"/>
        <v>-0.73863699999999999</v>
      </c>
      <c r="DG169" s="55">
        <f t="shared" si="217"/>
        <v>0.98329599999999995</v>
      </c>
      <c r="DI169" s="55">
        <f t="shared" ca="1" si="65"/>
        <v>-1.0969869999999999</v>
      </c>
      <c r="DJ169" s="55">
        <f t="shared" ca="1" si="66"/>
        <v>0.38115300000000002</v>
      </c>
      <c r="DK169" s="55">
        <f t="shared" ca="1" si="67"/>
        <v>0.52356899999999995</v>
      </c>
      <c r="DL169" s="55">
        <f t="shared" ca="1" si="68"/>
        <v>-1.714448</v>
      </c>
      <c r="DM169" s="55">
        <f t="shared" ca="1" si="69"/>
        <v>0.639714</v>
      </c>
      <c r="DN169" s="55">
        <f t="shared" ca="1" si="70"/>
        <v>-0.27751399999999998</v>
      </c>
      <c r="DO169" s="55">
        <f t="shared" ca="1" si="71"/>
        <v>0.22517899999999999</v>
      </c>
      <c r="DP169" s="55">
        <f t="shared" ca="1" si="72"/>
        <v>-6.7871000000000001E-2</v>
      </c>
      <c r="DQ169" s="55">
        <f t="shared" ca="1" si="73"/>
        <v>-0.26596500000000001</v>
      </c>
      <c r="DR169" s="55">
        <f t="shared" ca="1" si="74"/>
        <v>-3.7038000000000001E-2</v>
      </c>
      <c r="DS169" s="55">
        <f t="shared" ca="1" si="75"/>
        <v>0.96115200000000001</v>
      </c>
      <c r="DT169" s="55">
        <f t="shared" ca="1" si="76"/>
        <v>0.51594700000000004</v>
      </c>
      <c r="DU169" s="55">
        <f t="shared" ca="1" si="77"/>
        <v>0.59214999999999995</v>
      </c>
      <c r="DV169" s="55">
        <f t="shared" ca="1" si="78"/>
        <v>-0.90259299999999998</v>
      </c>
      <c r="DW169" s="55">
        <f t="shared" ca="1" si="79"/>
        <v>0.98840300000000003</v>
      </c>
      <c r="DX169" s="55">
        <f t="shared" ca="1" si="80"/>
        <v>-0.674983</v>
      </c>
      <c r="DY169" s="55">
        <f t="shared" ca="1" si="81"/>
        <v>0.97841800000000001</v>
      </c>
      <c r="DZ169" s="55">
        <f t="shared" ca="1" si="82"/>
        <v>0.82400099999999998</v>
      </c>
      <c r="EA169" s="55">
        <f t="shared" ca="1" si="83"/>
        <v>1.396997</v>
      </c>
      <c r="EB169" s="55">
        <f t="shared" ca="1" si="84"/>
        <v>-0.45306800000000003</v>
      </c>
      <c r="EC169" s="55">
        <f t="shared" ca="1" si="85"/>
        <v>0.68356899999999998</v>
      </c>
      <c r="ED169" s="55">
        <f t="shared" ca="1" si="86"/>
        <v>0.73449600000000004</v>
      </c>
      <c r="EE169" s="55">
        <f t="shared" ca="1" si="87"/>
        <v>0.567998</v>
      </c>
      <c r="EF169" s="55">
        <f t="shared" ca="1" si="88"/>
        <v>-0.45733400000000002</v>
      </c>
      <c r="EG169" s="55">
        <f t="shared" ca="1" si="89"/>
        <v>-1.048338</v>
      </c>
      <c r="EH169" s="55">
        <f t="shared" ca="1" si="90"/>
        <v>-1.1257E-2</v>
      </c>
      <c r="EI169" s="55">
        <f t="shared" ca="1" si="91"/>
        <v>0.294599</v>
      </c>
      <c r="EJ169" s="55">
        <f t="shared" ca="1" si="92"/>
        <v>1.0457559999999999</v>
      </c>
      <c r="EK169" s="55">
        <f t="shared" ca="1" si="93"/>
        <v>-0.35778199999999999</v>
      </c>
      <c r="EL169" s="55">
        <f t="shared" ca="1" si="94"/>
        <v>-0.12554699999999999</v>
      </c>
      <c r="EM169" s="55">
        <f t="shared" ca="1" si="95"/>
        <v>-0.62191700000000005</v>
      </c>
      <c r="EN169" s="55">
        <f t="shared" ca="1" si="96"/>
        <v>0.52560499999999999</v>
      </c>
      <c r="EO169" s="55">
        <f t="shared" ca="1" si="97"/>
        <v>2.4389000000000001E-2</v>
      </c>
      <c r="EP169" s="55">
        <f t="shared" ca="1" si="98"/>
        <v>-1.1259049999999999</v>
      </c>
      <c r="EQ169" s="55">
        <f t="shared" ca="1" si="99"/>
        <v>0.78310400000000002</v>
      </c>
      <c r="ER169" s="55">
        <f t="shared" ca="1" si="100"/>
        <v>-0.625803</v>
      </c>
      <c r="ES169" s="55">
        <f t="shared" ca="1" si="101"/>
        <v>0.32439000000000001</v>
      </c>
      <c r="ET169" s="55">
        <f t="shared" ca="1" si="102"/>
        <v>-0.28769800000000001</v>
      </c>
      <c r="EU169" s="55">
        <f t="shared" ca="1" si="103"/>
        <v>-0.81347199999999997</v>
      </c>
      <c r="EV169" s="55">
        <f t="shared" ca="1" si="104"/>
        <v>0.20236699999999999</v>
      </c>
      <c r="EW169" s="55">
        <f t="shared" ca="1" si="105"/>
        <v>0.71817299999999995</v>
      </c>
      <c r="EX169" s="55">
        <f t="shared" ca="1" si="106"/>
        <v>-1.6559000000000001E-2</v>
      </c>
      <c r="EY169" s="55">
        <f t="shared" ca="1" si="107"/>
        <v>-0.30865999999999999</v>
      </c>
      <c r="EZ169" s="55">
        <f t="shared" ca="1" si="108"/>
        <v>-0.412381</v>
      </c>
      <c r="FA169" s="55">
        <f t="shared" ca="1" si="109"/>
        <v>-0.70930300000000002</v>
      </c>
      <c r="FB169" s="55">
        <f t="shared" ca="1" si="110"/>
        <v>-7.7965000000000007E-2</v>
      </c>
      <c r="FC169" s="55">
        <f t="shared" ca="1" si="111"/>
        <v>0.49343900000000002</v>
      </c>
      <c r="FD169" s="55">
        <f t="shared" ca="1" si="112"/>
        <v>-0.40752500000000003</v>
      </c>
      <c r="FE169" s="55">
        <f t="shared" ca="1" si="113"/>
        <v>0.80309900000000001</v>
      </c>
      <c r="FF169" s="55">
        <f t="shared" ca="1" si="114"/>
        <v>-0.17697399999999999</v>
      </c>
      <c r="FH169" s="55">
        <f t="shared" ca="1" si="115"/>
        <v>0</v>
      </c>
      <c r="FI169" s="55">
        <f t="shared" ca="1" si="207"/>
        <v>0</v>
      </c>
      <c r="FJ169" s="55">
        <f t="shared" ca="1" si="208"/>
        <v>0</v>
      </c>
      <c r="FK169" s="55">
        <f t="shared" ca="1" si="209"/>
        <v>0</v>
      </c>
      <c r="FL169" s="55">
        <f t="shared" ca="1" si="210"/>
        <v>0</v>
      </c>
      <c r="FM169" s="55">
        <f t="shared" ca="1" si="211"/>
        <v>0</v>
      </c>
      <c r="FN169" s="55">
        <f t="shared" ca="1" si="212"/>
        <v>0</v>
      </c>
      <c r="FO169" s="55">
        <f t="shared" ca="1" si="213"/>
        <v>0</v>
      </c>
      <c r="FP169" s="55">
        <f t="shared" ca="1" si="214"/>
        <v>0</v>
      </c>
      <c r="FQ169" s="55">
        <f t="shared" ca="1" si="215"/>
        <v>0</v>
      </c>
      <c r="FR169" s="55">
        <f t="shared" ca="1" si="216"/>
        <v>0</v>
      </c>
      <c r="FS169" s="55">
        <f t="shared" ca="1" si="158"/>
        <v>0</v>
      </c>
      <c r="FT169" s="55">
        <f t="shared" ca="1" si="159"/>
        <v>0</v>
      </c>
      <c r="FU169" s="55">
        <f t="shared" ca="1" si="160"/>
        <v>0</v>
      </c>
      <c r="FV169" s="55">
        <f t="shared" ca="1" si="161"/>
        <v>0</v>
      </c>
      <c r="FW169" s="55">
        <f t="shared" ca="1" si="162"/>
        <v>0</v>
      </c>
      <c r="FX169" s="55">
        <f t="shared" ca="1" si="163"/>
        <v>0</v>
      </c>
      <c r="FY169" s="55">
        <f t="shared" ca="1" si="164"/>
        <v>0</v>
      </c>
      <c r="FZ169" s="55">
        <f t="shared" ca="1" si="165"/>
        <v>0</v>
      </c>
      <c r="GA169" s="55">
        <f t="shared" ca="1" si="166"/>
        <v>0</v>
      </c>
      <c r="GB169" s="55">
        <f t="shared" ca="1" si="167"/>
        <v>0</v>
      </c>
      <c r="GC169" s="55">
        <f t="shared" ca="1" si="168"/>
        <v>0</v>
      </c>
      <c r="GD169" s="55">
        <f t="shared" ca="1" si="169"/>
        <v>0</v>
      </c>
      <c r="GE169" s="55">
        <f t="shared" ca="1" si="170"/>
        <v>0</v>
      </c>
      <c r="GF169" s="55">
        <f t="shared" ca="1" si="171"/>
        <v>0</v>
      </c>
      <c r="GG169" s="55">
        <f t="shared" ca="1" si="172"/>
        <v>0</v>
      </c>
      <c r="GH169" s="55">
        <f t="shared" ca="1" si="173"/>
        <v>0</v>
      </c>
      <c r="GI169" s="55">
        <f t="shared" ca="1" si="174"/>
        <v>0</v>
      </c>
      <c r="GJ169" s="55">
        <f t="shared" ca="1" si="175"/>
        <v>0</v>
      </c>
      <c r="GK169" s="55">
        <f t="shared" ca="1" si="176"/>
        <v>0</v>
      </c>
      <c r="GL169" s="55">
        <f t="shared" ca="1" si="177"/>
        <v>0</v>
      </c>
      <c r="GM169" s="55">
        <f t="shared" ca="1" si="178"/>
        <v>0</v>
      </c>
      <c r="GN169" s="55">
        <f t="shared" ca="1" si="179"/>
        <v>0</v>
      </c>
      <c r="GO169" s="55">
        <f t="shared" ca="1" si="180"/>
        <v>0</v>
      </c>
      <c r="GP169" s="55">
        <f t="shared" ca="1" si="181"/>
        <v>0</v>
      </c>
      <c r="GQ169" s="55">
        <f t="shared" ca="1" si="182"/>
        <v>0</v>
      </c>
      <c r="GR169" s="55">
        <f t="shared" ca="1" si="183"/>
        <v>0</v>
      </c>
      <c r="GS169" s="55">
        <f t="shared" ca="1" si="184"/>
        <v>0</v>
      </c>
      <c r="GT169" s="55">
        <f t="shared" ca="1" si="185"/>
        <v>0</v>
      </c>
      <c r="GU169" s="55">
        <f t="shared" ca="1" si="186"/>
        <v>0</v>
      </c>
      <c r="GV169" s="55">
        <f t="shared" ca="1" si="187"/>
        <v>0</v>
      </c>
      <c r="GW169" s="55">
        <f t="shared" ca="1" si="188"/>
        <v>0</v>
      </c>
      <c r="GX169" s="55">
        <f t="shared" ca="1" si="189"/>
        <v>0</v>
      </c>
      <c r="GY169" s="55">
        <f t="shared" ca="1" si="190"/>
        <v>0</v>
      </c>
      <c r="GZ169" s="55">
        <f t="shared" ca="1" si="191"/>
        <v>0</v>
      </c>
      <c r="HA169" s="55">
        <f t="shared" ca="1" si="192"/>
        <v>0</v>
      </c>
      <c r="HB169" s="55">
        <f t="shared" ca="1" si="193"/>
        <v>0</v>
      </c>
      <c r="HC169" s="55">
        <f t="shared" ca="1" si="194"/>
        <v>0</v>
      </c>
      <c r="HD169" s="55">
        <f t="shared" ca="1" si="195"/>
        <v>0</v>
      </c>
      <c r="HE169" s="55">
        <f t="shared" ca="1" si="196"/>
        <v>0</v>
      </c>
    </row>
    <row r="170" spans="1:213">
      <c r="A170" s="27">
        <v>33</v>
      </c>
      <c r="B170" s="27">
        <v>78</v>
      </c>
      <c r="C170" s="27">
        <v>0.60494099999999995</v>
      </c>
      <c r="D170" s="27">
        <v>0.449743</v>
      </c>
      <c r="E170" s="27">
        <v>16</v>
      </c>
      <c r="F170" s="27">
        <f t="shared" ca="1" si="59"/>
        <v>26</v>
      </c>
      <c r="G170" s="27">
        <f t="shared" si="221"/>
        <v>0</v>
      </c>
      <c r="H170" s="27" t="str">
        <f t="shared" si="60"/>
        <v>Sim</v>
      </c>
      <c r="I170" s="27">
        <f t="shared" si="61"/>
        <v>0</v>
      </c>
      <c r="J170" s="37">
        <f t="shared" si="62"/>
        <v>1</v>
      </c>
      <c r="K170" s="55">
        <f t="shared" si="63"/>
        <v>-0.39273999999999998</v>
      </c>
      <c r="L170" s="55">
        <f t="shared" si="197"/>
        <v>0.69454800000000005</v>
      </c>
      <c r="M170" s="55">
        <f t="shared" si="198"/>
        <v>4.0208000000000001E-2</v>
      </c>
      <c r="N170" s="55">
        <f t="shared" si="199"/>
        <v>0.54447299999999998</v>
      </c>
      <c r="O170" s="55">
        <f t="shared" si="200"/>
        <v>-0.45896700000000001</v>
      </c>
      <c r="P170" s="55">
        <f t="shared" si="201"/>
        <v>0.48727199999999998</v>
      </c>
      <c r="Q170" s="55">
        <f t="shared" si="202"/>
        <v>0.351439</v>
      </c>
      <c r="R170" s="55">
        <f t="shared" si="203"/>
        <v>-0.191992</v>
      </c>
      <c r="S170" s="55">
        <f t="shared" si="204"/>
        <v>-0.91768499999999997</v>
      </c>
      <c r="T170" s="55">
        <f t="shared" si="205"/>
        <v>-1.2897940000000001</v>
      </c>
      <c r="U170" s="55">
        <f t="shared" si="206"/>
        <v>8.7781999999999999E-2</v>
      </c>
      <c r="V170" s="55">
        <f t="shared" si="116"/>
        <v>-0.10591399999999999</v>
      </c>
      <c r="W170" s="55">
        <f t="shared" si="117"/>
        <v>-0.44226599999999999</v>
      </c>
      <c r="X170" s="55">
        <f t="shared" si="118"/>
        <v>0.35954999999999998</v>
      </c>
      <c r="Y170" s="55">
        <f t="shared" si="119"/>
        <v>0.43825799999999998</v>
      </c>
      <c r="Z170" s="55">
        <f t="shared" si="120"/>
        <v>-0.80034700000000003</v>
      </c>
      <c r="AA170" s="55">
        <f t="shared" si="121"/>
        <v>-0.54747699999999999</v>
      </c>
      <c r="AB170" s="55">
        <f t="shared" si="122"/>
        <v>-0.32855600000000001</v>
      </c>
      <c r="AC170" s="55">
        <f t="shared" si="123"/>
        <v>1.560214</v>
      </c>
      <c r="AD170" s="55">
        <f t="shared" si="124"/>
        <v>-0.30081000000000002</v>
      </c>
      <c r="AE170" s="55">
        <f t="shared" si="125"/>
        <v>-1.457616</v>
      </c>
      <c r="AF170" s="55">
        <f t="shared" si="126"/>
        <v>0.84435099999999996</v>
      </c>
      <c r="AG170" s="55">
        <f t="shared" si="127"/>
        <v>6.3188999999999995E-2</v>
      </c>
      <c r="AH170" s="55">
        <f t="shared" si="128"/>
        <v>0.83720799999999995</v>
      </c>
      <c r="AI170" s="55">
        <f t="shared" si="129"/>
        <v>0.11751399999999999</v>
      </c>
      <c r="AJ170" s="55">
        <f t="shared" si="130"/>
        <v>-0.122228</v>
      </c>
      <c r="AK170" s="55">
        <f t="shared" si="131"/>
        <v>0.275868</v>
      </c>
      <c r="AL170" s="55">
        <f t="shared" si="132"/>
        <v>0.94771300000000003</v>
      </c>
      <c r="AM170" s="55">
        <f t="shared" si="133"/>
        <v>0.39544499999999999</v>
      </c>
      <c r="AN170" s="55">
        <f t="shared" si="134"/>
        <v>0.48274499999999998</v>
      </c>
      <c r="AO170" s="55">
        <f t="shared" si="135"/>
        <v>0.54835100000000003</v>
      </c>
      <c r="AP170" s="55">
        <f t="shared" si="136"/>
        <v>-1.5755570000000001</v>
      </c>
      <c r="AQ170" s="55">
        <f t="shared" si="137"/>
        <v>0.320656</v>
      </c>
      <c r="AR170" s="55">
        <f t="shared" si="138"/>
        <v>-1.3234319999999999</v>
      </c>
      <c r="AS170" s="55">
        <f t="shared" si="139"/>
        <v>-1.224877</v>
      </c>
      <c r="AT170" s="55">
        <f t="shared" si="140"/>
        <v>-0.186582</v>
      </c>
      <c r="AU170" s="55">
        <f t="shared" si="141"/>
        <v>0.33895799999999998</v>
      </c>
      <c r="AV170" s="55">
        <f t="shared" si="142"/>
        <v>9.2895000000000005E-2</v>
      </c>
      <c r="AW170" s="55">
        <f t="shared" si="143"/>
        <v>0.99318200000000001</v>
      </c>
      <c r="AX170" s="55">
        <f t="shared" si="144"/>
        <v>0.50696799999999997</v>
      </c>
      <c r="AY170" s="55">
        <f t="shared" si="145"/>
        <v>0.240587</v>
      </c>
      <c r="AZ170" s="55">
        <f t="shared" si="146"/>
        <v>0.16120300000000001</v>
      </c>
      <c r="BA170" s="55">
        <f t="shared" si="147"/>
        <v>-0.61085699999999998</v>
      </c>
      <c r="BB170" s="55">
        <f t="shared" si="148"/>
        <v>-0.13264599999999999</v>
      </c>
      <c r="BC170" s="55">
        <f t="shared" si="149"/>
        <v>-0.26988699999999999</v>
      </c>
      <c r="BD170" s="55">
        <f t="shared" si="150"/>
        <v>0.17993799999999999</v>
      </c>
      <c r="BE170" s="55">
        <f t="shared" si="151"/>
        <v>0.35216399999999998</v>
      </c>
      <c r="BF170" s="55">
        <f t="shared" si="152"/>
        <v>-0.67868200000000001</v>
      </c>
      <c r="BG170" s="55">
        <f t="shared" si="153"/>
        <v>-5.6218999999999998E-2</v>
      </c>
      <c r="BH170" s="55">
        <f t="shared" si="154"/>
        <v>-1.2801910000000001</v>
      </c>
      <c r="BJ170" s="55">
        <f t="shared" si="220"/>
        <v>0.74165199999999998</v>
      </c>
      <c r="BK170" s="55">
        <f t="shared" si="220"/>
        <v>0.26011600000000001</v>
      </c>
      <c r="BL170" s="55">
        <f t="shared" si="220"/>
        <v>-0.19200700000000001</v>
      </c>
      <c r="BM170" s="55">
        <f t="shared" si="220"/>
        <v>0.39093</v>
      </c>
      <c r="BN170" s="55">
        <f t="shared" si="220"/>
        <v>0.431419</v>
      </c>
      <c r="BO170" s="55">
        <f t="shared" si="220"/>
        <v>-0.22012899999999999</v>
      </c>
      <c r="BP170" s="55">
        <f t="shared" si="220"/>
        <v>1.2590239999999999</v>
      </c>
      <c r="BQ170" s="55">
        <f t="shared" si="220"/>
        <v>0.14258000000000001</v>
      </c>
      <c r="BR170" s="55">
        <f t="shared" si="220"/>
        <v>0.77181</v>
      </c>
      <c r="BS170" s="55">
        <f t="shared" si="220"/>
        <v>-0.21779200000000001</v>
      </c>
      <c r="BT170" s="55">
        <f t="shared" si="220"/>
        <v>0.87763599999999997</v>
      </c>
      <c r="BU170" s="55">
        <f t="shared" si="220"/>
        <v>0.84106300000000001</v>
      </c>
      <c r="BV170" s="55">
        <f t="shared" si="220"/>
        <v>1.0041530000000001</v>
      </c>
      <c r="BW170" s="55">
        <f t="shared" si="220"/>
        <v>-0.97346200000000005</v>
      </c>
      <c r="BX170" s="55">
        <f t="shared" si="220"/>
        <v>0.962086</v>
      </c>
      <c r="BY170" s="55">
        <f t="shared" si="220"/>
        <v>-0.36222100000000002</v>
      </c>
      <c r="BZ170" s="55">
        <f t="shared" si="218"/>
        <v>-0.85171399999999997</v>
      </c>
      <c r="CA170" s="55">
        <f t="shared" si="218"/>
        <v>-1.2297830000000001</v>
      </c>
      <c r="CB170" s="55">
        <f t="shared" si="218"/>
        <v>-1.113645</v>
      </c>
      <c r="CC170" s="55">
        <f t="shared" si="218"/>
        <v>-0.57122700000000004</v>
      </c>
      <c r="CD170" s="55">
        <f t="shared" si="218"/>
        <v>-1.261752</v>
      </c>
      <c r="CE170" s="55">
        <f t="shared" si="218"/>
        <v>-0.39733400000000002</v>
      </c>
      <c r="CF170" s="55">
        <f t="shared" si="218"/>
        <v>-1.5360799999999999</v>
      </c>
      <c r="CG170" s="55">
        <f t="shared" si="218"/>
        <v>0.38037500000000002</v>
      </c>
      <c r="CH170" s="55">
        <f t="shared" si="218"/>
        <v>-1.6188039999999999</v>
      </c>
      <c r="CI170" s="55">
        <f t="shared" si="218"/>
        <v>-7.8633999999999996E-2</v>
      </c>
      <c r="CJ170" s="55">
        <f t="shared" si="155"/>
        <v>-3.1660000000000001E-2</v>
      </c>
      <c r="CK170" s="55">
        <f t="shared" si="219"/>
        <v>-0.88983500000000004</v>
      </c>
      <c r="CL170" s="55">
        <f t="shared" si="219"/>
        <v>0.41203499999999998</v>
      </c>
      <c r="CM170" s="55">
        <f t="shared" si="219"/>
        <v>0.777084</v>
      </c>
      <c r="CN170" s="55">
        <f t="shared" si="219"/>
        <v>-0.33110000000000001</v>
      </c>
      <c r="CO170" s="55">
        <f t="shared" si="219"/>
        <v>-0.287018</v>
      </c>
      <c r="CP170" s="55">
        <f t="shared" si="219"/>
        <v>1.363599</v>
      </c>
      <c r="CQ170" s="55">
        <f t="shared" si="219"/>
        <v>1.2083809999999999</v>
      </c>
      <c r="CR170" s="55">
        <f t="shared" si="219"/>
        <v>0.41487400000000002</v>
      </c>
      <c r="CS170" s="55">
        <f t="shared" si="219"/>
        <v>0.25899</v>
      </c>
      <c r="CT170" s="55">
        <f t="shared" si="219"/>
        <v>0.58913000000000004</v>
      </c>
      <c r="CU170" s="55">
        <f t="shared" si="219"/>
        <v>-0.20588100000000001</v>
      </c>
      <c r="CV170" s="55">
        <f t="shared" si="219"/>
        <v>-5.2186000000000003E-2</v>
      </c>
      <c r="CW170" s="55">
        <f t="shared" si="219"/>
        <v>0.15509400000000001</v>
      </c>
      <c r="CX170" s="55">
        <f t="shared" si="219"/>
        <v>0.41556300000000002</v>
      </c>
      <c r="CY170" s="55">
        <f t="shared" si="219"/>
        <v>0.458899</v>
      </c>
      <c r="CZ170" s="55">
        <f t="shared" si="219"/>
        <v>0.20200000000000001</v>
      </c>
      <c r="DA170" s="55">
        <f t="shared" si="217"/>
        <v>-0.41248099999999999</v>
      </c>
      <c r="DB170" s="55">
        <f t="shared" si="217"/>
        <v>-1.231236</v>
      </c>
      <c r="DC170" s="55">
        <f t="shared" si="217"/>
        <v>0.31484200000000001</v>
      </c>
      <c r="DD170" s="55">
        <f t="shared" si="217"/>
        <v>0.376859</v>
      </c>
      <c r="DE170" s="55">
        <f t="shared" si="217"/>
        <v>-0.29426000000000002</v>
      </c>
      <c r="DF170" s="55">
        <f t="shared" si="217"/>
        <v>0.62272400000000006</v>
      </c>
      <c r="DG170" s="55">
        <f t="shared" si="217"/>
        <v>-3.891E-2</v>
      </c>
      <c r="DI170" s="55">
        <f t="shared" ca="1" si="65"/>
        <v>-0.39273999999999998</v>
      </c>
      <c r="DJ170" s="55">
        <f t="shared" ca="1" si="66"/>
        <v>0.69454800000000005</v>
      </c>
      <c r="DK170" s="55">
        <f t="shared" ca="1" si="67"/>
        <v>4.0208000000000001E-2</v>
      </c>
      <c r="DL170" s="55">
        <f t="shared" ca="1" si="68"/>
        <v>0.54447299999999998</v>
      </c>
      <c r="DM170" s="55">
        <f t="shared" ca="1" si="69"/>
        <v>-0.45896700000000001</v>
      </c>
      <c r="DN170" s="55">
        <f t="shared" ca="1" si="70"/>
        <v>0.48727199999999998</v>
      </c>
      <c r="DO170" s="55">
        <f t="shared" ca="1" si="71"/>
        <v>0.351439</v>
      </c>
      <c r="DP170" s="55">
        <f t="shared" ca="1" si="72"/>
        <v>-0.191992</v>
      </c>
      <c r="DQ170" s="55">
        <f t="shared" ca="1" si="73"/>
        <v>-0.91768499999999997</v>
      </c>
      <c r="DR170" s="55">
        <f t="shared" ca="1" si="74"/>
        <v>-1.2897940000000001</v>
      </c>
      <c r="DS170" s="55">
        <f t="shared" ca="1" si="75"/>
        <v>8.7781999999999999E-2</v>
      </c>
      <c r="DT170" s="55">
        <f t="shared" ca="1" si="76"/>
        <v>-0.10591399999999999</v>
      </c>
      <c r="DU170" s="55">
        <f t="shared" ca="1" si="77"/>
        <v>-0.44226599999999999</v>
      </c>
      <c r="DV170" s="55">
        <f t="shared" ca="1" si="78"/>
        <v>0.35954999999999998</v>
      </c>
      <c r="DW170" s="55">
        <f t="shared" ca="1" si="79"/>
        <v>0.43825799999999998</v>
      </c>
      <c r="DX170" s="55">
        <f t="shared" ca="1" si="80"/>
        <v>-0.80034700000000003</v>
      </c>
      <c r="DY170" s="55">
        <f t="shared" ca="1" si="81"/>
        <v>-0.71488553890899997</v>
      </c>
      <c r="DZ170" s="55">
        <f t="shared" ca="1" si="82"/>
        <v>-0.82446246533900003</v>
      </c>
      <c r="EA170" s="55">
        <f t="shared" ca="1" si="83"/>
        <v>8.8904368237000098E-2</v>
      </c>
      <c r="EB170" s="55">
        <f t="shared" ca="1" si="84"/>
        <v>-0.44960884716900007</v>
      </c>
      <c r="EC170" s="55">
        <f t="shared" ca="1" si="85"/>
        <v>-1.349840462952</v>
      </c>
      <c r="ED170" s="55">
        <f t="shared" ca="1" si="86"/>
        <v>0.16110513695499998</v>
      </c>
      <c r="EE170" s="55">
        <f t="shared" ca="1" si="87"/>
        <v>-0.8168199621329999</v>
      </c>
      <c r="EF170" s="55">
        <f t="shared" ca="1" si="88"/>
        <v>0.58583244391900002</v>
      </c>
      <c r="EG170" s="55">
        <f t="shared" ca="1" si="89"/>
        <v>-0.8379071337259999</v>
      </c>
      <c r="EH170" s="55">
        <f t="shared" ca="1" si="90"/>
        <v>-9.8240096342000011E-2</v>
      </c>
      <c r="EI170" s="55">
        <f t="shared" ca="1" si="91"/>
        <v>0.275868</v>
      </c>
      <c r="EJ170" s="55">
        <f t="shared" ca="1" si="92"/>
        <v>0.94771300000000003</v>
      </c>
      <c r="EK170" s="55">
        <f t="shared" ca="1" si="93"/>
        <v>0.39544499999999999</v>
      </c>
      <c r="EL170" s="55">
        <f t="shared" ca="1" si="94"/>
        <v>0.48274499999999998</v>
      </c>
      <c r="EM170" s="55">
        <f t="shared" ca="1" si="95"/>
        <v>0.54835100000000003</v>
      </c>
      <c r="EN170" s="55">
        <f t="shared" ca="1" si="96"/>
        <v>-1.5755570000000001</v>
      </c>
      <c r="EO170" s="55">
        <f t="shared" ca="1" si="97"/>
        <v>0.320656</v>
      </c>
      <c r="EP170" s="55">
        <f t="shared" ca="1" si="98"/>
        <v>-1.3234319999999999</v>
      </c>
      <c r="EQ170" s="55">
        <f t="shared" ca="1" si="99"/>
        <v>-1.224877</v>
      </c>
      <c r="ER170" s="55">
        <f t="shared" ca="1" si="100"/>
        <v>-0.186582</v>
      </c>
      <c r="ES170" s="55">
        <f t="shared" ca="1" si="101"/>
        <v>0.33895799999999998</v>
      </c>
      <c r="ET170" s="55">
        <f t="shared" ca="1" si="102"/>
        <v>9.2895000000000005E-2</v>
      </c>
      <c r="EU170" s="55">
        <f t="shared" ca="1" si="103"/>
        <v>0.99318200000000001</v>
      </c>
      <c r="EV170" s="55">
        <f t="shared" ca="1" si="104"/>
        <v>0.50696799999999997</v>
      </c>
      <c r="EW170" s="55">
        <f t="shared" ca="1" si="105"/>
        <v>0.240587</v>
      </c>
      <c r="EX170" s="55">
        <f t="shared" ca="1" si="106"/>
        <v>0.16120300000000001</v>
      </c>
      <c r="EY170" s="55">
        <f t="shared" ca="1" si="107"/>
        <v>-0.61085699999999998</v>
      </c>
      <c r="EZ170" s="55">
        <f t="shared" ca="1" si="108"/>
        <v>-0.13264599999999999</v>
      </c>
      <c r="FA170" s="55">
        <f t="shared" ca="1" si="109"/>
        <v>-0.26988699999999999</v>
      </c>
      <c r="FB170" s="55">
        <f t="shared" ca="1" si="110"/>
        <v>0.17993799999999999</v>
      </c>
      <c r="FC170" s="55">
        <f t="shared" ca="1" si="111"/>
        <v>0.35216399999999998</v>
      </c>
      <c r="FD170" s="55">
        <f t="shared" ca="1" si="112"/>
        <v>-0.67868200000000001</v>
      </c>
      <c r="FE170" s="55">
        <f t="shared" ca="1" si="113"/>
        <v>-5.6218999999999998E-2</v>
      </c>
      <c r="FF170" s="55">
        <f t="shared" ca="1" si="114"/>
        <v>-1.2801910000000001</v>
      </c>
      <c r="FH170" s="55">
        <f t="shared" ca="1" si="115"/>
        <v>0</v>
      </c>
      <c r="FI170" s="55">
        <f t="shared" ca="1" si="207"/>
        <v>0</v>
      </c>
      <c r="FJ170" s="55">
        <f t="shared" ca="1" si="208"/>
        <v>0</v>
      </c>
      <c r="FK170" s="55">
        <f t="shared" ca="1" si="209"/>
        <v>0</v>
      </c>
      <c r="FL170" s="55">
        <f t="shared" ca="1" si="210"/>
        <v>0</v>
      </c>
      <c r="FM170" s="55">
        <f t="shared" ca="1" si="211"/>
        <v>0</v>
      </c>
      <c r="FN170" s="55">
        <f t="shared" ca="1" si="212"/>
        <v>0</v>
      </c>
      <c r="FO170" s="55">
        <f t="shared" ca="1" si="213"/>
        <v>0</v>
      </c>
      <c r="FP170" s="55">
        <f t="shared" ca="1" si="214"/>
        <v>0</v>
      </c>
      <c r="FQ170" s="55">
        <f t="shared" ca="1" si="215"/>
        <v>0</v>
      </c>
      <c r="FR170" s="55">
        <f t="shared" ca="1" si="216"/>
        <v>0</v>
      </c>
      <c r="FS170" s="55">
        <f t="shared" ca="1" si="158"/>
        <v>0</v>
      </c>
      <c r="FT170" s="55">
        <f t="shared" ca="1" si="159"/>
        <v>0</v>
      </c>
      <c r="FU170" s="55">
        <f t="shared" ca="1" si="160"/>
        <v>0</v>
      </c>
      <c r="FV170" s="55">
        <f t="shared" ca="1" si="161"/>
        <v>0</v>
      </c>
      <c r="FW170" s="55">
        <f t="shared" ca="1" si="162"/>
        <v>0</v>
      </c>
      <c r="FX170" s="55">
        <f t="shared" ca="1" si="163"/>
        <v>-0.16740853890899998</v>
      </c>
      <c r="FY170" s="55">
        <f t="shared" ca="1" si="164"/>
        <v>-0.49590646533900001</v>
      </c>
      <c r="FZ170" s="55">
        <f t="shared" ca="1" si="165"/>
        <v>-1.4713096317629999</v>
      </c>
      <c r="GA170" s="55">
        <f t="shared" ca="1" si="166"/>
        <v>-0.14879884716900005</v>
      </c>
      <c r="GB170" s="55">
        <f t="shared" ca="1" si="167"/>
        <v>0.10777553704800003</v>
      </c>
      <c r="GC170" s="55">
        <f t="shared" ca="1" si="168"/>
        <v>-0.68324586304500001</v>
      </c>
      <c r="GD170" s="55">
        <f t="shared" ca="1" si="169"/>
        <v>-0.88000896213299984</v>
      </c>
      <c r="GE170" s="55">
        <f t="shared" ca="1" si="170"/>
        <v>-0.25137555608099993</v>
      </c>
      <c r="GF170" s="55">
        <f t="shared" ca="1" si="171"/>
        <v>-0.9554211337259999</v>
      </c>
      <c r="GG170" s="55">
        <f t="shared" ca="1" si="172"/>
        <v>2.3987903657999993E-2</v>
      </c>
      <c r="GH170" s="55">
        <f t="shared" ca="1" si="173"/>
        <v>0</v>
      </c>
      <c r="GI170" s="55">
        <f t="shared" ca="1" si="174"/>
        <v>0</v>
      </c>
      <c r="GJ170" s="55">
        <f t="shared" ca="1" si="175"/>
        <v>0</v>
      </c>
      <c r="GK170" s="55">
        <f t="shared" ca="1" si="176"/>
        <v>0</v>
      </c>
      <c r="GL170" s="55">
        <f t="shared" ca="1" si="177"/>
        <v>0</v>
      </c>
      <c r="GM170" s="55">
        <f t="shared" ca="1" si="178"/>
        <v>0</v>
      </c>
      <c r="GN170" s="55">
        <f t="shared" ca="1" si="179"/>
        <v>0</v>
      </c>
      <c r="GO170" s="55">
        <f t="shared" ca="1" si="180"/>
        <v>0</v>
      </c>
      <c r="GP170" s="55">
        <f t="shared" ca="1" si="181"/>
        <v>0</v>
      </c>
      <c r="GQ170" s="55">
        <f t="shared" ca="1" si="182"/>
        <v>0</v>
      </c>
      <c r="GR170" s="55">
        <f t="shared" ca="1" si="183"/>
        <v>0</v>
      </c>
      <c r="GS170" s="55">
        <f t="shared" ca="1" si="184"/>
        <v>0</v>
      </c>
      <c r="GT170" s="55">
        <f t="shared" ca="1" si="185"/>
        <v>0</v>
      </c>
      <c r="GU170" s="55">
        <f t="shared" ca="1" si="186"/>
        <v>0</v>
      </c>
      <c r="GV170" s="55">
        <f t="shared" ca="1" si="187"/>
        <v>0</v>
      </c>
      <c r="GW170" s="55">
        <f t="shared" ca="1" si="188"/>
        <v>0</v>
      </c>
      <c r="GX170" s="55">
        <f t="shared" ca="1" si="189"/>
        <v>0</v>
      </c>
      <c r="GY170" s="55">
        <f t="shared" ca="1" si="190"/>
        <v>0</v>
      </c>
      <c r="GZ170" s="55">
        <f t="shared" ca="1" si="191"/>
        <v>0</v>
      </c>
      <c r="HA170" s="55">
        <f t="shared" ca="1" si="192"/>
        <v>0</v>
      </c>
      <c r="HB170" s="55">
        <f t="shared" ca="1" si="193"/>
        <v>0</v>
      </c>
      <c r="HC170" s="55">
        <f t="shared" ca="1" si="194"/>
        <v>0</v>
      </c>
      <c r="HD170" s="55">
        <f t="shared" ca="1" si="195"/>
        <v>0</v>
      </c>
      <c r="HE170" s="55">
        <f t="shared" ca="1" si="196"/>
        <v>0</v>
      </c>
    </row>
    <row r="171" spans="1:213">
      <c r="A171" s="27">
        <v>34</v>
      </c>
      <c r="B171" s="27">
        <v>82</v>
      </c>
      <c r="C171" s="27">
        <v>0.24340999999999999</v>
      </c>
      <c r="D171" s="27">
        <v>0.121652</v>
      </c>
      <c r="E171" s="27">
        <v>23</v>
      </c>
      <c r="F171" s="27">
        <f t="shared" ca="1" si="59"/>
        <v>43</v>
      </c>
      <c r="G171" s="27">
        <f t="shared" si="221"/>
        <v>0</v>
      </c>
      <c r="H171" s="27" t="str">
        <f t="shared" si="60"/>
        <v>Sim</v>
      </c>
      <c r="I171" s="27">
        <f t="shared" si="61"/>
        <v>0</v>
      </c>
      <c r="J171" s="37">
        <f t="shared" si="62"/>
        <v>1</v>
      </c>
      <c r="K171" s="55">
        <f t="shared" si="63"/>
        <v>-0.66622000000000003</v>
      </c>
      <c r="L171" s="55">
        <f t="shared" si="197"/>
        <v>-0.53908500000000004</v>
      </c>
      <c r="M171" s="55">
        <f t="shared" si="198"/>
        <v>1.3139609999999999</v>
      </c>
      <c r="N171" s="55">
        <f t="shared" si="199"/>
        <v>0.37419999999999998</v>
      </c>
      <c r="O171" s="55">
        <f t="shared" si="200"/>
        <v>0.31695899999999999</v>
      </c>
      <c r="P171" s="55">
        <f t="shared" si="201"/>
        <v>0.31533600000000001</v>
      </c>
      <c r="Q171" s="55">
        <f t="shared" si="202"/>
        <v>0.65815500000000005</v>
      </c>
      <c r="R171" s="55">
        <f t="shared" si="203"/>
        <v>0.12439</v>
      </c>
      <c r="S171" s="55">
        <f t="shared" si="204"/>
        <v>-0.24601200000000001</v>
      </c>
      <c r="T171" s="55">
        <f t="shared" si="205"/>
        <v>0.685338</v>
      </c>
      <c r="U171" s="55">
        <f t="shared" si="206"/>
        <v>-1.6915340000000001</v>
      </c>
      <c r="V171" s="55">
        <f t="shared" si="116"/>
        <v>1.7136009999999999</v>
      </c>
      <c r="W171" s="55">
        <f t="shared" si="117"/>
        <v>-0.175285</v>
      </c>
      <c r="X171" s="55">
        <f t="shared" si="118"/>
        <v>-0.88014700000000001</v>
      </c>
      <c r="Y171" s="55">
        <f t="shared" si="119"/>
        <v>0.24867</v>
      </c>
      <c r="Z171" s="55">
        <f t="shared" si="120"/>
        <v>-0.24318600000000001</v>
      </c>
      <c r="AA171" s="55">
        <f t="shared" si="121"/>
        <v>1.020362</v>
      </c>
      <c r="AB171" s="55">
        <f t="shared" si="122"/>
        <v>-0.47453499999999998</v>
      </c>
      <c r="AC171" s="55">
        <f t="shared" si="123"/>
        <v>0.40415600000000002</v>
      </c>
      <c r="AD171" s="55">
        <f t="shared" si="124"/>
        <v>0.108114</v>
      </c>
      <c r="AE171" s="55">
        <f t="shared" si="125"/>
        <v>-0.73552499999999998</v>
      </c>
      <c r="AF171" s="55">
        <f t="shared" si="126"/>
        <v>0.56257599999999996</v>
      </c>
      <c r="AG171" s="55">
        <f t="shared" si="127"/>
        <v>0.539435</v>
      </c>
      <c r="AH171" s="55">
        <f t="shared" si="128"/>
        <v>0.74824500000000005</v>
      </c>
      <c r="AI171" s="55">
        <f t="shared" si="129"/>
        <v>-0.71911400000000003</v>
      </c>
      <c r="AJ171" s="55">
        <f t="shared" si="130"/>
        <v>0.592117</v>
      </c>
      <c r="AK171" s="55">
        <f t="shared" si="131"/>
        <v>-0.68152699999999999</v>
      </c>
      <c r="AL171" s="55">
        <f t="shared" si="132"/>
        <v>-3.1071999999999999E-2</v>
      </c>
      <c r="AM171" s="55">
        <f t="shared" si="133"/>
        <v>0.574847</v>
      </c>
      <c r="AN171" s="55">
        <f t="shared" si="134"/>
        <v>4.0721E-2</v>
      </c>
      <c r="AO171" s="55">
        <f t="shared" si="135"/>
        <v>-0.31113400000000002</v>
      </c>
      <c r="AP171" s="55">
        <f t="shared" si="136"/>
        <v>0.128106</v>
      </c>
      <c r="AQ171" s="55">
        <f t="shared" si="137"/>
        <v>0.75648499999999996</v>
      </c>
      <c r="AR171" s="55">
        <f t="shared" si="138"/>
        <v>0.64789099999999999</v>
      </c>
      <c r="AS171" s="55">
        <f t="shared" si="139"/>
        <v>0.62507000000000001</v>
      </c>
      <c r="AT171" s="55">
        <f t="shared" si="140"/>
        <v>0.26489299999999999</v>
      </c>
      <c r="AU171" s="55">
        <f t="shared" si="141"/>
        <v>-0.50260000000000005</v>
      </c>
      <c r="AV171" s="55">
        <f t="shared" si="142"/>
        <v>-0.37491999999999998</v>
      </c>
      <c r="AW171" s="55">
        <f t="shared" si="143"/>
        <v>0.42408800000000002</v>
      </c>
      <c r="AX171" s="55">
        <f t="shared" si="144"/>
        <v>0.13993700000000001</v>
      </c>
      <c r="AY171" s="55">
        <f t="shared" si="145"/>
        <v>-0.25101899999999999</v>
      </c>
      <c r="AZ171" s="55">
        <f t="shared" si="146"/>
        <v>0.60972800000000005</v>
      </c>
      <c r="BA171" s="55">
        <f t="shared" si="147"/>
        <v>-0.87458400000000003</v>
      </c>
      <c r="BB171" s="55">
        <f t="shared" si="148"/>
        <v>0.52196799999999999</v>
      </c>
      <c r="BC171" s="55">
        <f t="shared" si="149"/>
        <v>-0.47540500000000002</v>
      </c>
      <c r="BD171" s="55">
        <f t="shared" si="150"/>
        <v>0.41020699999999999</v>
      </c>
      <c r="BE171" s="55">
        <f t="shared" si="151"/>
        <v>0.496174</v>
      </c>
      <c r="BF171" s="55">
        <f t="shared" si="152"/>
        <v>0.10736800000000001</v>
      </c>
      <c r="BG171" s="55">
        <f t="shared" si="153"/>
        <v>0.55427300000000002</v>
      </c>
      <c r="BH171" s="55">
        <f t="shared" si="154"/>
        <v>-1.0216069999999999</v>
      </c>
      <c r="BJ171" s="55">
        <f t="shared" si="220"/>
        <v>1.0107900000000001</v>
      </c>
      <c r="BK171" s="55">
        <f t="shared" si="220"/>
        <v>-0.88376999999999994</v>
      </c>
      <c r="BL171" s="55">
        <f t="shared" si="220"/>
        <v>-0.74157600000000001</v>
      </c>
      <c r="BM171" s="55">
        <f t="shared" si="220"/>
        <v>-0.76297199999999998</v>
      </c>
      <c r="BN171" s="55">
        <f t="shared" si="220"/>
        <v>-0.84866399999999997</v>
      </c>
      <c r="BO171" s="55">
        <f t="shared" si="220"/>
        <v>0.29241699999999998</v>
      </c>
      <c r="BP171" s="55">
        <f t="shared" si="220"/>
        <v>-0.57423900000000005</v>
      </c>
      <c r="BQ171" s="55">
        <f t="shared" si="220"/>
        <v>0.78362399999999999</v>
      </c>
      <c r="BR171" s="55">
        <f t="shared" si="220"/>
        <v>0.84691899999999998</v>
      </c>
      <c r="BS171" s="55">
        <f t="shared" si="220"/>
        <v>0.54095300000000002</v>
      </c>
      <c r="BT171" s="55">
        <f t="shared" si="220"/>
        <v>-1.2010559999999999</v>
      </c>
      <c r="BU171" s="55">
        <f t="shared" si="220"/>
        <v>0.90051000000000003</v>
      </c>
      <c r="BV171" s="55">
        <f t="shared" si="220"/>
        <v>0.25661400000000001</v>
      </c>
      <c r="BW171" s="55">
        <f t="shared" si="220"/>
        <v>-7.8424999999999995E-2</v>
      </c>
      <c r="BX171" s="55">
        <f t="shared" si="220"/>
        <v>0.83231200000000005</v>
      </c>
      <c r="BY171" s="55">
        <f t="shared" si="220"/>
        <v>-0.28163100000000002</v>
      </c>
      <c r="BZ171" s="55">
        <f t="shared" si="218"/>
        <v>-0.18229799999999999</v>
      </c>
      <c r="CA171" s="55">
        <f t="shared" si="218"/>
        <v>0.49211300000000002</v>
      </c>
      <c r="CB171" s="55">
        <f t="shared" si="218"/>
        <v>1.135105</v>
      </c>
      <c r="CC171" s="55">
        <f t="shared" si="218"/>
        <v>-0.13441500000000001</v>
      </c>
      <c r="CD171" s="55">
        <f t="shared" si="218"/>
        <v>0.28303899999999999</v>
      </c>
      <c r="CE171" s="55">
        <f t="shared" si="218"/>
        <v>4.4645999999999998E-2</v>
      </c>
      <c r="CF171" s="55">
        <f t="shared" si="218"/>
        <v>0.783196</v>
      </c>
      <c r="CG171" s="55">
        <f t="shared" si="218"/>
        <v>-0.25130000000000002</v>
      </c>
      <c r="CH171" s="55">
        <f t="shared" si="218"/>
        <v>1.254807</v>
      </c>
      <c r="CI171" s="55">
        <f t="shared" si="218"/>
        <v>0.24223800000000001</v>
      </c>
      <c r="CJ171" s="55">
        <f t="shared" si="155"/>
        <v>-0.66971400000000003</v>
      </c>
      <c r="CK171" s="55">
        <f t="shared" si="219"/>
        <v>-0.63559399999999999</v>
      </c>
      <c r="CL171" s="55">
        <f t="shared" si="219"/>
        <v>0.83333999999999997</v>
      </c>
      <c r="CM171" s="55">
        <f t="shared" si="219"/>
        <v>-0.51413600000000004</v>
      </c>
      <c r="CN171" s="55">
        <f t="shared" si="219"/>
        <v>0.59201899999999996</v>
      </c>
      <c r="CO171" s="55">
        <f t="shared" si="219"/>
        <v>-0.88652399999999998</v>
      </c>
      <c r="CP171" s="55">
        <f t="shared" si="219"/>
        <v>0.37301200000000001</v>
      </c>
      <c r="CQ171" s="55">
        <f t="shared" si="219"/>
        <v>-0.210336</v>
      </c>
      <c r="CR171" s="55">
        <f t="shared" si="219"/>
        <v>0.299093</v>
      </c>
      <c r="CS171" s="55">
        <f t="shared" si="219"/>
        <v>1.491269</v>
      </c>
      <c r="CT171" s="55">
        <f t="shared" si="219"/>
        <v>0.41825699999999999</v>
      </c>
      <c r="CU171" s="55">
        <f t="shared" si="219"/>
        <v>0.101591</v>
      </c>
      <c r="CV171" s="55">
        <f t="shared" si="219"/>
        <v>-0.26250099999999998</v>
      </c>
      <c r="CW171" s="55">
        <f t="shared" si="219"/>
        <v>0.44266100000000003</v>
      </c>
      <c r="CX171" s="55">
        <f t="shared" si="219"/>
        <v>0.94009100000000001</v>
      </c>
      <c r="CY171" s="55">
        <f t="shared" si="219"/>
        <v>0.54240699999999997</v>
      </c>
      <c r="CZ171" s="55">
        <f t="shared" si="219"/>
        <v>0.25891700000000001</v>
      </c>
      <c r="DA171" s="55">
        <f t="shared" si="217"/>
        <v>-0.27995100000000001</v>
      </c>
      <c r="DB171" s="55">
        <f t="shared" si="217"/>
        <v>-0.27900700000000001</v>
      </c>
      <c r="DC171" s="55">
        <f t="shared" si="217"/>
        <v>-0.518536</v>
      </c>
      <c r="DD171" s="55">
        <f t="shared" si="217"/>
        <v>-1.1963159999999999</v>
      </c>
      <c r="DE171" s="55">
        <f t="shared" si="217"/>
        <v>-0.195964</v>
      </c>
      <c r="DF171" s="55">
        <f t="shared" si="217"/>
        <v>1.0676159999999999</v>
      </c>
      <c r="DG171" s="55">
        <f t="shared" si="217"/>
        <v>-0.19059999999999999</v>
      </c>
      <c r="DI171" s="55">
        <f t="shared" ca="1" si="65"/>
        <v>-0.66622000000000003</v>
      </c>
      <c r="DJ171" s="55">
        <f t="shared" ca="1" si="66"/>
        <v>-0.53908500000000004</v>
      </c>
      <c r="DK171" s="55">
        <f t="shared" ca="1" si="67"/>
        <v>1.3139609999999999</v>
      </c>
      <c r="DL171" s="55">
        <f t="shared" ca="1" si="68"/>
        <v>0.37419999999999998</v>
      </c>
      <c r="DM171" s="55">
        <f t="shared" ca="1" si="69"/>
        <v>0.31695899999999999</v>
      </c>
      <c r="DN171" s="55">
        <f t="shared" ca="1" si="70"/>
        <v>0.31533600000000001</v>
      </c>
      <c r="DO171" s="55">
        <f t="shared" ca="1" si="71"/>
        <v>0.65815500000000005</v>
      </c>
      <c r="DP171" s="55">
        <f t="shared" ca="1" si="72"/>
        <v>0.12439</v>
      </c>
      <c r="DQ171" s="55">
        <f t="shared" ca="1" si="73"/>
        <v>-0.24601200000000001</v>
      </c>
      <c r="DR171" s="55">
        <f t="shared" ca="1" si="74"/>
        <v>0.685338</v>
      </c>
      <c r="DS171" s="55">
        <f t="shared" ca="1" si="75"/>
        <v>-1.6915340000000001</v>
      </c>
      <c r="DT171" s="55">
        <f t="shared" ca="1" si="76"/>
        <v>1.7136009999999999</v>
      </c>
      <c r="DU171" s="55">
        <f t="shared" ca="1" si="77"/>
        <v>-0.175285</v>
      </c>
      <c r="DV171" s="55">
        <f t="shared" ca="1" si="78"/>
        <v>-0.88014700000000001</v>
      </c>
      <c r="DW171" s="55">
        <f t="shared" ca="1" si="79"/>
        <v>0.24867</v>
      </c>
      <c r="DX171" s="55">
        <f t="shared" ca="1" si="80"/>
        <v>-0.24318600000000001</v>
      </c>
      <c r="DY171" s="55">
        <f t="shared" ca="1" si="81"/>
        <v>1.020362</v>
      </c>
      <c r="DZ171" s="55">
        <f t="shared" ca="1" si="82"/>
        <v>-0.47453499999999998</v>
      </c>
      <c r="EA171" s="55">
        <f t="shared" ca="1" si="83"/>
        <v>0.40415600000000002</v>
      </c>
      <c r="EB171" s="55">
        <f t="shared" ca="1" si="84"/>
        <v>0.108114</v>
      </c>
      <c r="EC171" s="55">
        <f t="shared" ca="1" si="85"/>
        <v>-0.73552499999999998</v>
      </c>
      <c r="ED171" s="55">
        <f t="shared" ca="1" si="86"/>
        <v>0.56257599999999996</v>
      </c>
      <c r="EE171" s="55">
        <f t="shared" ca="1" si="87"/>
        <v>0.539435</v>
      </c>
      <c r="EF171" s="55">
        <f t="shared" ca="1" si="88"/>
        <v>-0.12970335166000002</v>
      </c>
      <c r="EG171" s="55">
        <f t="shared" ca="1" si="89"/>
        <v>1.014675562508</v>
      </c>
      <c r="EH171" s="55">
        <f t="shared" ca="1" si="90"/>
        <v>0.28480148010799999</v>
      </c>
      <c r="EI171" s="55">
        <f t="shared" ca="1" si="91"/>
        <v>-0.67115107507600003</v>
      </c>
      <c r="EJ171" s="55">
        <f t="shared" ca="1" si="92"/>
        <v>-0.56205268965599997</v>
      </c>
      <c r="EK171" s="55">
        <f t="shared" ca="1" si="93"/>
        <v>0.80189380956400003</v>
      </c>
      <c r="EL171" s="55">
        <f t="shared" ca="1" si="94"/>
        <v>-0.44663653623600003</v>
      </c>
      <c r="EM171" s="55">
        <f t="shared" ca="1" si="95"/>
        <v>0.48214863124399993</v>
      </c>
      <c r="EN171" s="55">
        <f t="shared" ca="1" si="96"/>
        <v>-0.76309223124000003</v>
      </c>
      <c r="EO171" s="55">
        <f t="shared" ca="1" si="97"/>
        <v>0.41966225739599999</v>
      </c>
      <c r="EP171" s="55">
        <f t="shared" ca="1" si="98"/>
        <v>-0.10593096899600002</v>
      </c>
      <c r="EQ171" s="55">
        <f t="shared" ca="1" si="99"/>
        <v>0.33874875400400001</v>
      </c>
      <c r="ER171" s="55">
        <f t="shared" ca="1" si="100"/>
        <v>1.342077906848</v>
      </c>
      <c r="ES171" s="55">
        <f t="shared" ca="1" si="101"/>
        <v>0.30623290423600003</v>
      </c>
      <c r="ET171" s="55">
        <f t="shared" ca="1" si="102"/>
        <v>4.3622483828000005E-2</v>
      </c>
      <c r="EU171" s="55">
        <f t="shared" ca="1" si="103"/>
        <v>-0.17897607497199999</v>
      </c>
      <c r="EV171" s="55">
        <f t="shared" ca="1" si="104"/>
        <v>0.40583401995200002</v>
      </c>
      <c r="EW171" s="55">
        <f t="shared" ca="1" si="105"/>
        <v>0.79519008627999999</v>
      </c>
      <c r="EX171" s="55">
        <f t="shared" ca="1" si="106"/>
        <v>0.55059673429199996</v>
      </c>
      <c r="EY171" s="55">
        <f t="shared" ca="1" si="107"/>
        <v>0.12102433634800001</v>
      </c>
      <c r="EZ171" s="55">
        <f t="shared" ca="1" si="108"/>
        <v>0.52196799999999999</v>
      </c>
      <c r="FA171" s="55">
        <f t="shared" ca="1" si="109"/>
        <v>-0.47540500000000002</v>
      </c>
      <c r="FB171" s="55">
        <f t="shared" ca="1" si="110"/>
        <v>0.41020699999999999</v>
      </c>
      <c r="FC171" s="55">
        <f t="shared" ca="1" si="111"/>
        <v>0.496174</v>
      </c>
      <c r="FD171" s="55">
        <f t="shared" ca="1" si="112"/>
        <v>0.10736800000000001</v>
      </c>
      <c r="FE171" s="55">
        <f t="shared" ca="1" si="113"/>
        <v>0.55427300000000002</v>
      </c>
      <c r="FF171" s="55">
        <f t="shared" ca="1" si="114"/>
        <v>-1.0216069999999999</v>
      </c>
      <c r="FH171" s="55">
        <f t="shared" ca="1" si="115"/>
        <v>0</v>
      </c>
      <c r="FI171" s="55">
        <f t="shared" ca="1" si="207"/>
        <v>0</v>
      </c>
      <c r="FJ171" s="55">
        <f t="shared" ca="1" si="208"/>
        <v>0</v>
      </c>
      <c r="FK171" s="55">
        <f t="shared" ca="1" si="209"/>
        <v>0</v>
      </c>
      <c r="FL171" s="55">
        <f t="shared" ca="1" si="210"/>
        <v>0</v>
      </c>
      <c r="FM171" s="55">
        <f t="shared" ca="1" si="211"/>
        <v>0</v>
      </c>
      <c r="FN171" s="55">
        <f t="shared" ca="1" si="212"/>
        <v>0</v>
      </c>
      <c r="FO171" s="55">
        <f t="shared" ca="1" si="213"/>
        <v>0</v>
      </c>
      <c r="FP171" s="55">
        <f t="shared" ca="1" si="214"/>
        <v>0</v>
      </c>
      <c r="FQ171" s="55">
        <f t="shared" ca="1" si="215"/>
        <v>0</v>
      </c>
      <c r="FR171" s="55">
        <f t="shared" ca="1" si="216"/>
        <v>0</v>
      </c>
      <c r="FS171" s="55">
        <f t="shared" ca="1" si="158"/>
        <v>0</v>
      </c>
      <c r="FT171" s="55">
        <f t="shared" ca="1" si="159"/>
        <v>0</v>
      </c>
      <c r="FU171" s="55">
        <f t="shared" ca="1" si="160"/>
        <v>0</v>
      </c>
      <c r="FV171" s="55">
        <f t="shared" ca="1" si="161"/>
        <v>0</v>
      </c>
      <c r="FW171" s="55">
        <f t="shared" ca="1" si="162"/>
        <v>0</v>
      </c>
      <c r="FX171" s="55">
        <f t="shared" ca="1" si="163"/>
        <v>0</v>
      </c>
      <c r="FY171" s="55">
        <f t="shared" ca="1" si="164"/>
        <v>0</v>
      </c>
      <c r="FZ171" s="55">
        <f t="shared" ca="1" si="165"/>
        <v>0</v>
      </c>
      <c r="GA171" s="55">
        <f t="shared" ca="1" si="166"/>
        <v>0</v>
      </c>
      <c r="GB171" s="55">
        <f t="shared" ca="1" si="167"/>
        <v>0</v>
      </c>
      <c r="GC171" s="55">
        <f t="shared" ca="1" si="168"/>
        <v>0</v>
      </c>
      <c r="GD171" s="55">
        <f t="shared" ca="1" si="169"/>
        <v>0</v>
      </c>
      <c r="GE171" s="55">
        <f t="shared" ca="1" si="170"/>
        <v>-0.87794835166000007</v>
      </c>
      <c r="GF171" s="55">
        <f t="shared" ca="1" si="171"/>
        <v>1.733789562508</v>
      </c>
      <c r="GG171" s="55">
        <f t="shared" ca="1" si="172"/>
        <v>-0.30731551989200001</v>
      </c>
      <c r="GH171" s="55">
        <f t="shared" ca="1" si="173"/>
        <v>1.0375924923999968E-2</v>
      </c>
      <c r="GI171" s="55">
        <f t="shared" ca="1" si="174"/>
        <v>-0.53098068965599998</v>
      </c>
      <c r="GJ171" s="55">
        <f t="shared" ca="1" si="175"/>
        <v>0.22704680956400003</v>
      </c>
      <c r="GK171" s="55">
        <f t="shared" ca="1" si="176"/>
        <v>-0.48735753623600003</v>
      </c>
      <c r="GL171" s="55">
        <f t="shared" ca="1" si="177"/>
        <v>0.793282631244</v>
      </c>
      <c r="GM171" s="55">
        <f t="shared" ca="1" si="178"/>
        <v>-0.89119823123999997</v>
      </c>
      <c r="GN171" s="55">
        <f t="shared" ca="1" si="179"/>
        <v>-0.33682274260399997</v>
      </c>
      <c r="GO171" s="55">
        <f t="shared" ca="1" si="180"/>
        <v>-0.75382196899599996</v>
      </c>
      <c r="GP171" s="55">
        <f t="shared" ca="1" si="181"/>
        <v>-0.28632124599600001</v>
      </c>
      <c r="GQ171" s="55">
        <f t="shared" ca="1" si="182"/>
        <v>1.0771849068479999</v>
      </c>
      <c r="GR171" s="55">
        <f t="shared" ca="1" si="183"/>
        <v>0.80883290423600007</v>
      </c>
      <c r="GS171" s="55">
        <f t="shared" ca="1" si="184"/>
        <v>0.41854248382799997</v>
      </c>
      <c r="GT171" s="55">
        <f t="shared" ca="1" si="185"/>
        <v>-0.60306407497199999</v>
      </c>
      <c r="GU171" s="55">
        <f t="shared" ca="1" si="186"/>
        <v>0.26589701995199999</v>
      </c>
      <c r="GV171" s="55">
        <f t="shared" ca="1" si="187"/>
        <v>1.04620908628</v>
      </c>
      <c r="GW171" s="55">
        <f t="shared" ca="1" si="188"/>
        <v>-5.9131265708000091E-2</v>
      </c>
      <c r="GX171" s="55">
        <f t="shared" ca="1" si="189"/>
        <v>0.99560833634800006</v>
      </c>
      <c r="GY171" s="55">
        <f t="shared" ca="1" si="190"/>
        <v>0</v>
      </c>
      <c r="GZ171" s="55">
        <f t="shared" ca="1" si="191"/>
        <v>0</v>
      </c>
      <c r="HA171" s="55">
        <f t="shared" ca="1" si="192"/>
        <v>0</v>
      </c>
      <c r="HB171" s="55">
        <f t="shared" ca="1" si="193"/>
        <v>0</v>
      </c>
      <c r="HC171" s="55">
        <f t="shared" ca="1" si="194"/>
        <v>0</v>
      </c>
      <c r="HD171" s="55">
        <f t="shared" ca="1" si="195"/>
        <v>0</v>
      </c>
      <c r="HE171" s="55">
        <f t="shared" ca="1" si="196"/>
        <v>0</v>
      </c>
    </row>
    <row r="172" spans="1:213">
      <c r="A172" s="27">
        <v>35</v>
      </c>
      <c r="B172" s="27">
        <v>55</v>
      </c>
      <c r="C172" s="27">
        <v>4.8502999999999998E-2</v>
      </c>
      <c r="D172" s="27">
        <v>0.33959</v>
      </c>
      <c r="E172" s="27">
        <v>48</v>
      </c>
      <c r="F172" s="27">
        <f t="shared" ca="1" si="59"/>
        <v>48</v>
      </c>
      <c r="G172" s="27">
        <f t="shared" si="221"/>
        <v>0</v>
      </c>
      <c r="H172" s="27" t="str">
        <f t="shared" si="60"/>
        <v>Sim</v>
      </c>
      <c r="I172" s="27">
        <f t="shared" si="61"/>
        <v>0</v>
      </c>
      <c r="J172" s="37">
        <f t="shared" si="62"/>
        <v>1</v>
      </c>
      <c r="K172" s="55">
        <f t="shared" si="63"/>
        <v>0.70118800000000003</v>
      </c>
      <c r="L172" s="55">
        <f t="shared" si="197"/>
        <v>-0.77819899999999997</v>
      </c>
      <c r="M172" s="55">
        <f t="shared" si="198"/>
        <v>3.1711999999999997E-2</v>
      </c>
      <c r="N172" s="55">
        <f t="shared" si="199"/>
        <v>0.64301200000000003</v>
      </c>
      <c r="O172" s="55">
        <f t="shared" si="200"/>
        <v>0.37828099999999998</v>
      </c>
      <c r="P172" s="55">
        <f t="shared" si="201"/>
        <v>-0.91408699999999998</v>
      </c>
      <c r="Q172" s="55">
        <f t="shared" si="202"/>
        <v>0.68633999999999995</v>
      </c>
      <c r="R172" s="55">
        <f t="shared" si="203"/>
        <v>-1.1864509999999999</v>
      </c>
      <c r="S172" s="55">
        <f t="shared" si="204"/>
        <v>-8.1648999999999999E-2</v>
      </c>
      <c r="T172" s="55">
        <f t="shared" si="205"/>
        <v>0.24657599999999999</v>
      </c>
      <c r="U172" s="55">
        <f t="shared" si="206"/>
        <v>0.78340399999999999</v>
      </c>
      <c r="V172" s="55">
        <f t="shared" si="116"/>
        <v>-0.88504099999999997</v>
      </c>
      <c r="W172" s="55">
        <f t="shared" si="117"/>
        <v>-0.51915699999999998</v>
      </c>
      <c r="X172" s="55">
        <f t="shared" si="118"/>
        <v>1.035377</v>
      </c>
      <c r="Y172" s="55">
        <f t="shared" si="119"/>
        <v>-0.19822999999999999</v>
      </c>
      <c r="Z172" s="55">
        <f t="shared" si="120"/>
        <v>0.12973899999999999</v>
      </c>
      <c r="AA172" s="55">
        <f t="shared" si="121"/>
        <v>-0.52273099999999995</v>
      </c>
      <c r="AB172" s="55">
        <f t="shared" si="122"/>
        <v>-0.40881899999999999</v>
      </c>
      <c r="AC172" s="55">
        <f t="shared" si="123"/>
        <v>-0.65687399999999996</v>
      </c>
      <c r="AD172" s="55">
        <f t="shared" si="124"/>
        <v>0.66090300000000002</v>
      </c>
      <c r="AE172" s="55">
        <f t="shared" si="125"/>
        <v>-1.2415909999999999</v>
      </c>
      <c r="AF172" s="55">
        <f t="shared" si="126"/>
        <v>-0.96428700000000001</v>
      </c>
      <c r="AG172" s="55">
        <f t="shared" si="127"/>
        <v>-0.34388299999999999</v>
      </c>
      <c r="AH172" s="55">
        <f t="shared" si="128"/>
        <v>0.71516500000000005</v>
      </c>
      <c r="AI172" s="55">
        <f t="shared" si="129"/>
        <v>-0.61223799999999995</v>
      </c>
      <c r="AJ172" s="55">
        <f t="shared" si="130"/>
        <v>-0.310886</v>
      </c>
      <c r="AK172" s="55">
        <f t="shared" si="131"/>
        <v>-0.98727699999999996</v>
      </c>
      <c r="AL172" s="55">
        <f t="shared" si="132"/>
        <v>0.66283499999999995</v>
      </c>
      <c r="AM172" s="55">
        <f t="shared" si="133"/>
        <v>4.3470000000000002E-2</v>
      </c>
      <c r="AN172" s="55">
        <f t="shared" si="134"/>
        <v>0.44044</v>
      </c>
      <c r="AO172" s="55">
        <f t="shared" si="135"/>
        <v>0.65242</v>
      </c>
      <c r="AP172" s="55">
        <f t="shared" si="136"/>
        <v>0.223997</v>
      </c>
      <c r="AQ172" s="55">
        <f t="shared" si="137"/>
        <v>2.3810000000000001E-2</v>
      </c>
      <c r="AR172" s="55">
        <f t="shared" si="138"/>
        <v>0.49069200000000002</v>
      </c>
      <c r="AS172" s="55">
        <f t="shared" si="139"/>
        <v>-0.248358</v>
      </c>
      <c r="AT172" s="55">
        <f t="shared" si="140"/>
        <v>0.80503199999999997</v>
      </c>
      <c r="AU172" s="55">
        <f t="shared" si="141"/>
        <v>0.60842399999999996</v>
      </c>
      <c r="AV172" s="55">
        <f t="shared" si="142"/>
        <v>5.6078000000000003E-2</v>
      </c>
      <c r="AW172" s="55">
        <f t="shared" si="143"/>
        <v>-0.54683099999999996</v>
      </c>
      <c r="AX172" s="55">
        <f t="shared" si="144"/>
        <v>0.37801899999999999</v>
      </c>
      <c r="AY172" s="55">
        <f t="shared" si="145"/>
        <v>-0.169601</v>
      </c>
      <c r="AZ172" s="55">
        <f t="shared" si="146"/>
        <v>0.31381100000000001</v>
      </c>
      <c r="BA172" s="55">
        <f t="shared" si="147"/>
        <v>0.39277400000000001</v>
      </c>
      <c r="BB172" s="55">
        <f t="shared" si="148"/>
        <v>-0.75850799999999996</v>
      </c>
      <c r="BC172" s="55">
        <f t="shared" si="149"/>
        <v>0.97770299999999999</v>
      </c>
      <c r="BD172" s="55">
        <f t="shared" si="150"/>
        <v>-0.82261600000000001</v>
      </c>
      <c r="BE172" s="55">
        <f t="shared" si="151"/>
        <v>0.20293700000000001</v>
      </c>
      <c r="BF172" s="55">
        <f t="shared" si="152"/>
        <v>0.64005800000000002</v>
      </c>
      <c r="BG172" s="55">
        <f t="shared" si="153"/>
        <v>-0.60011700000000001</v>
      </c>
      <c r="BH172" s="55">
        <f t="shared" si="154"/>
        <v>1.5343000000000001E-2</v>
      </c>
      <c r="BJ172" s="55">
        <f t="shared" si="220"/>
        <v>1.201147</v>
      </c>
      <c r="BK172" s="55">
        <f t="shared" si="220"/>
        <v>0.79544800000000004</v>
      </c>
      <c r="BL172" s="55">
        <f t="shared" si="220"/>
        <v>-0.347964</v>
      </c>
      <c r="BM172" s="55">
        <f t="shared" si="220"/>
        <v>0.64128600000000002</v>
      </c>
      <c r="BN172" s="55">
        <f t="shared" si="220"/>
        <v>-1.14191</v>
      </c>
      <c r="BO172" s="55">
        <f t="shared" si="220"/>
        <v>-0.75992899999999997</v>
      </c>
      <c r="BP172" s="55">
        <f t="shared" si="220"/>
        <v>-1.604358</v>
      </c>
      <c r="BQ172" s="55">
        <f t="shared" si="220"/>
        <v>0.857491</v>
      </c>
      <c r="BR172" s="55">
        <f t="shared" si="220"/>
        <v>-0.38516099999999998</v>
      </c>
      <c r="BS172" s="55">
        <f t="shared" si="220"/>
        <v>-0.71442099999999997</v>
      </c>
      <c r="BT172" s="55">
        <f t="shared" si="220"/>
        <v>0.24291399999999999</v>
      </c>
      <c r="BU172" s="55">
        <f t="shared" si="220"/>
        <v>0.67096800000000001</v>
      </c>
      <c r="BV172" s="55">
        <f t="shared" si="220"/>
        <v>-0.96941600000000006</v>
      </c>
      <c r="BW172" s="55">
        <f t="shared" si="220"/>
        <v>0.99116300000000002</v>
      </c>
      <c r="BX172" s="55">
        <f t="shared" si="220"/>
        <v>-0.74195800000000001</v>
      </c>
      <c r="BY172" s="55">
        <f t="shared" si="220"/>
        <v>-0.86413799999999996</v>
      </c>
      <c r="BZ172" s="55">
        <f t="shared" si="218"/>
        <v>0.40667399999999998</v>
      </c>
      <c r="CA172" s="55">
        <f t="shared" si="218"/>
        <v>-0.128631</v>
      </c>
      <c r="CB172" s="55">
        <f t="shared" si="218"/>
        <v>0.52541599999999999</v>
      </c>
      <c r="CC172" s="55">
        <f t="shared" si="218"/>
        <v>-0.70207799999999998</v>
      </c>
      <c r="CD172" s="55">
        <f t="shared" si="218"/>
        <v>0.44840099999999999</v>
      </c>
      <c r="CE172" s="55">
        <f t="shared" si="218"/>
        <v>0.16995399999999999</v>
      </c>
      <c r="CF172" s="55">
        <f t="shared" si="218"/>
        <v>-0.86248899999999995</v>
      </c>
      <c r="CG172" s="55">
        <f t="shared" si="218"/>
        <v>-0.22888700000000001</v>
      </c>
      <c r="CH172" s="55">
        <f t="shared" si="218"/>
        <v>0.45491999999999999</v>
      </c>
      <c r="CI172" s="55">
        <f t="shared" si="218"/>
        <v>-0.72645800000000005</v>
      </c>
      <c r="CJ172" s="55">
        <f t="shared" si="155"/>
        <v>1.391367</v>
      </c>
      <c r="CK172" s="55">
        <f t="shared" si="219"/>
        <v>9.3720000000000001E-3</v>
      </c>
      <c r="CL172" s="55">
        <f t="shared" si="219"/>
        <v>0.78249100000000005</v>
      </c>
      <c r="CM172" s="55">
        <f t="shared" si="219"/>
        <v>0.10928599999999999</v>
      </c>
      <c r="CN172" s="55">
        <f t="shared" si="219"/>
        <v>0.149314</v>
      </c>
      <c r="CO172" s="55">
        <f t="shared" si="219"/>
        <v>-0.14735699999999999</v>
      </c>
      <c r="CP172" s="55">
        <f t="shared" si="219"/>
        <v>-0.37022500000000003</v>
      </c>
      <c r="CQ172" s="55">
        <f t="shared" si="219"/>
        <v>0.68862100000000004</v>
      </c>
      <c r="CR172" s="55">
        <f t="shared" si="219"/>
        <v>0.116507</v>
      </c>
      <c r="CS172" s="55">
        <f t="shared" si="219"/>
        <v>0.70454499999999998</v>
      </c>
      <c r="CT172" s="55">
        <f t="shared" si="219"/>
        <v>0.25917099999999998</v>
      </c>
      <c r="CU172" s="55">
        <f t="shared" si="219"/>
        <v>0.58424699999999996</v>
      </c>
      <c r="CV172" s="55">
        <f t="shared" si="219"/>
        <v>0.43226199999999998</v>
      </c>
      <c r="CW172" s="55">
        <f t="shared" si="219"/>
        <v>0.38578699999999999</v>
      </c>
      <c r="CX172" s="55">
        <f t="shared" si="219"/>
        <v>1.4157839999999999</v>
      </c>
      <c r="CY172" s="55">
        <f t="shared" si="219"/>
        <v>0.87623600000000001</v>
      </c>
      <c r="CZ172" s="55">
        <f t="shared" si="219"/>
        <v>-3.2625000000000001E-2</v>
      </c>
      <c r="DA172" s="55">
        <f t="shared" si="217"/>
        <v>0.20579900000000001</v>
      </c>
      <c r="DB172" s="55">
        <f t="shared" si="217"/>
        <v>0.16142899999999999</v>
      </c>
      <c r="DC172" s="55">
        <f t="shared" si="217"/>
        <v>0.53557699999999997</v>
      </c>
      <c r="DD172" s="55">
        <f t="shared" si="217"/>
        <v>2.696E-3</v>
      </c>
      <c r="DE172" s="55">
        <f t="shared" si="217"/>
        <v>0.41212700000000002</v>
      </c>
      <c r="DF172" s="55">
        <f t="shared" si="217"/>
        <v>-9.1273000000000007E-2</v>
      </c>
      <c r="DG172" s="55">
        <f t="shared" si="217"/>
        <v>-9.8309999999999995E-2</v>
      </c>
      <c r="DI172" s="55">
        <f t="shared" ca="1" si="65"/>
        <v>0.70118800000000003</v>
      </c>
      <c r="DJ172" s="55">
        <f t="shared" ca="1" si="66"/>
        <v>-0.77819899999999997</v>
      </c>
      <c r="DK172" s="55">
        <f t="shared" ca="1" si="67"/>
        <v>3.1711999999999997E-2</v>
      </c>
      <c r="DL172" s="55">
        <f t="shared" ca="1" si="68"/>
        <v>0.64301200000000003</v>
      </c>
      <c r="DM172" s="55">
        <f t="shared" ca="1" si="69"/>
        <v>0.37828099999999998</v>
      </c>
      <c r="DN172" s="55">
        <f t="shared" ca="1" si="70"/>
        <v>-0.91408699999999998</v>
      </c>
      <c r="DO172" s="55">
        <f t="shared" ca="1" si="71"/>
        <v>0.68633999999999995</v>
      </c>
      <c r="DP172" s="55">
        <f t="shared" ca="1" si="72"/>
        <v>-1.1864509999999999</v>
      </c>
      <c r="DQ172" s="55">
        <f t="shared" ca="1" si="73"/>
        <v>-8.1648999999999999E-2</v>
      </c>
      <c r="DR172" s="55">
        <f t="shared" ca="1" si="74"/>
        <v>0.24657599999999999</v>
      </c>
      <c r="DS172" s="55">
        <f t="shared" ca="1" si="75"/>
        <v>0.78340399999999999</v>
      </c>
      <c r="DT172" s="55">
        <f t="shared" ca="1" si="76"/>
        <v>-0.88504099999999997</v>
      </c>
      <c r="DU172" s="55">
        <f t="shared" ca="1" si="77"/>
        <v>-0.51915699999999998</v>
      </c>
      <c r="DV172" s="55">
        <f t="shared" ca="1" si="78"/>
        <v>1.035377</v>
      </c>
      <c r="DW172" s="55">
        <f t="shared" ca="1" si="79"/>
        <v>-0.19822999999999999</v>
      </c>
      <c r="DX172" s="55">
        <f t="shared" ca="1" si="80"/>
        <v>0.12973899999999999</v>
      </c>
      <c r="DY172" s="55">
        <f t="shared" ca="1" si="81"/>
        <v>-0.52273099999999995</v>
      </c>
      <c r="DZ172" s="55">
        <f t="shared" ca="1" si="82"/>
        <v>-0.40881899999999999</v>
      </c>
      <c r="EA172" s="55">
        <f t="shared" ca="1" si="83"/>
        <v>-0.65687399999999996</v>
      </c>
      <c r="EB172" s="55">
        <f t="shared" ca="1" si="84"/>
        <v>0.66090300000000002</v>
      </c>
      <c r="EC172" s="55">
        <f t="shared" ca="1" si="85"/>
        <v>-1.2415909999999999</v>
      </c>
      <c r="ED172" s="55">
        <f t="shared" ca="1" si="86"/>
        <v>-0.96428700000000001</v>
      </c>
      <c r="EE172" s="55">
        <f t="shared" ca="1" si="87"/>
        <v>-0.34388299999999999</v>
      </c>
      <c r="EF172" s="55">
        <f t="shared" ca="1" si="88"/>
        <v>0.71516500000000005</v>
      </c>
      <c r="EG172" s="55">
        <f t="shared" ca="1" si="89"/>
        <v>-0.61223799999999995</v>
      </c>
      <c r="EH172" s="55">
        <f t="shared" ca="1" si="90"/>
        <v>-0.310886</v>
      </c>
      <c r="EI172" s="55">
        <f t="shared" ca="1" si="91"/>
        <v>-0.98727699999999996</v>
      </c>
      <c r="EJ172" s="55">
        <f t="shared" ca="1" si="92"/>
        <v>0.66283499999999995</v>
      </c>
      <c r="EK172" s="55">
        <f t="shared" ca="1" si="93"/>
        <v>4.3470000000000002E-2</v>
      </c>
      <c r="EL172" s="55">
        <f t="shared" ca="1" si="94"/>
        <v>0.44044</v>
      </c>
      <c r="EM172" s="55">
        <f t="shared" ca="1" si="95"/>
        <v>0.65242</v>
      </c>
      <c r="EN172" s="55">
        <f t="shared" ca="1" si="96"/>
        <v>0.223997</v>
      </c>
      <c r="EO172" s="55">
        <f t="shared" ca="1" si="97"/>
        <v>2.3810000000000001E-2</v>
      </c>
      <c r="EP172" s="55">
        <f t="shared" ca="1" si="98"/>
        <v>0.49069200000000002</v>
      </c>
      <c r="EQ172" s="55">
        <f t="shared" ca="1" si="99"/>
        <v>-0.248358</v>
      </c>
      <c r="ER172" s="55">
        <f t="shared" ca="1" si="100"/>
        <v>0.80503199999999997</v>
      </c>
      <c r="ES172" s="55">
        <f t="shared" ca="1" si="101"/>
        <v>0.60842399999999996</v>
      </c>
      <c r="ET172" s="55">
        <f t="shared" ca="1" si="102"/>
        <v>5.6078000000000003E-2</v>
      </c>
      <c r="EU172" s="55">
        <f t="shared" ca="1" si="103"/>
        <v>-0.54683099999999996</v>
      </c>
      <c r="EV172" s="55">
        <f t="shared" ca="1" si="104"/>
        <v>0.37801899999999999</v>
      </c>
      <c r="EW172" s="55">
        <f t="shared" ca="1" si="105"/>
        <v>-0.169601</v>
      </c>
      <c r="EX172" s="55">
        <f t="shared" ca="1" si="106"/>
        <v>0.31381100000000001</v>
      </c>
      <c r="EY172" s="55">
        <f t="shared" ca="1" si="107"/>
        <v>0.39277400000000001</v>
      </c>
      <c r="EZ172" s="55">
        <f t="shared" ca="1" si="108"/>
        <v>-0.75850799999999996</v>
      </c>
      <c r="FA172" s="55">
        <f t="shared" ca="1" si="109"/>
        <v>0.97770299999999999</v>
      </c>
      <c r="FB172" s="55">
        <f t="shared" ca="1" si="110"/>
        <v>-0.82261600000000001</v>
      </c>
      <c r="FC172" s="55">
        <f t="shared" ca="1" si="111"/>
        <v>0.20293700000000001</v>
      </c>
      <c r="FD172" s="55">
        <f t="shared" ca="1" si="112"/>
        <v>0.64005800000000002</v>
      </c>
      <c r="FE172" s="55">
        <f t="shared" ca="1" si="113"/>
        <v>-0.60011700000000001</v>
      </c>
      <c r="FF172" s="55">
        <f t="shared" ca="1" si="114"/>
        <v>1.5343000000000001E-2</v>
      </c>
      <c r="FH172" s="55">
        <f t="shared" ca="1" si="115"/>
        <v>0</v>
      </c>
      <c r="FI172" s="55">
        <f t="shared" ca="1" si="207"/>
        <v>0</v>
      </c>
      <c r="FJ172" s="55">
        <f t="shared" ca="1" si="208"/>
        <v>0</v>
      </c>
      <c r="FK172" s="55">
        <f t="shared" ca="1" si="209"/>
        <v>0</v>
      </c>
      <c r="FL172" s="55">
        <f t="shared" ca="1" si="210"/>
        <v>0</v>
      </c>
      <c r="FM172" s="55">
        <f t="shared" ca="1" si="211"/>
        <v>0</v>
      </c>
      <c r="FN172" s="55">
        <f t="shared" ca="1" si="212"/>
        <v>0</v>
      </c>
      <c r="FO172" s="55">
        <f t="shared" ca="1" si="213"/>
        <v>0</v>
      </c>
      <c r="FP172" s="55">
        <f t="shared" ca="1" si="214"/>
        <v>0</v>
      </c>
      <c r="FQ172" s="55">
        <f t="shared" ca="1" si="215"/>
        <v>0</v>
      </c>
      <c r="FR172" s="55">
        <f t="shared" ca="1" si="216"/>
        <v>0</v>
      </c>
      <c r="FS172" s="55">
        <f t="shared" ca="1" si="158"/>
        <v>0</v>
      </c>
      <c r="FT172" s="55">
        <f t="shared" ca="1" si="159"/>
        <v>0</v>
      </c>
      <c r="FU172" s="55">
        <f t="shared" ca="1" si="160"/>
        <v>0</v>
      </c>
      <c r="FV172" s="55">
        <f t="shared" ca="1" si="161"/>
        <v>0</v>
      </c>
      <c r="FW172" s="55">
        <f t="shared" ca="1" si="162"/>
        <v>0</v>
      </c>
      <c r="FX172" s="55">
        <f t="shared" ca="1" si="163"/>
        <v>0</v>
      </c>
      <c r="FY172" s="55">
        <f t="shared" ca="1" si="164"/>
        <v>0</v>
      </c>
      <c r="FZ172" s="55">
        <f t="shared" ca="1" si="165"/>
        <v>0</v>
      </c>
      <c r="GA172" s="55">
        <f t="shared" ca="1" si="166"/>
        <v>0</v>
      </c>
      <c r="GB172" s="55">
        <f t="shared" ca="1" si="167"/>
        <v>0</v>
      </c>
      <c r="GC172" s="55">
        <f t="shared" ca="1" si="168"/>
        <v>0</v>
      </c>
      <c r="GD172" s="55">
        <f t="shared" ca="1" si="169"/>
        <v>0</v>
      </c>
      <c r="GE172" s="55">
        <f t="shared" ca="1" si="170"/>
        <v>0</v>
      </c>
      <c r="GF172" s="55">
        <f t="shared" ca="1" si="171"/>
        <v>0</v>
      </c>
      <c r="GG172" s="55">
        <f t="shared" ca="1" si="172"/>
        <v>0</v>
      </c>
      <c r="GH172" s="55">
        <f t="shared" ca="1" si="173"/>
        <v>0</v>
      </c>
      <c r="GI172" s="55">
        <f t="shared" ca="1" si="174"/>
        <v>0</v>
      </c>
      <c r="GJ172" s="55">
        <f t="shared" ca="1" si="175"/>
        <v>0</v>
      </c>
      <c r="GK172" s="55">
        <f t="shared" ca="1" si="176"/>
        <v>0</v>
      </c>
      <c r="GL172" s="55">
        <f t="shared" ca="1" si="177"/>
        <v>0</v>
      </c>
      <c r="GM172" s="55">
        <f t="shared" ca="1" si="178"/>
        <v>0</v>
      </c>
      <c r="GN172" s="55">
        <f t="shared" ca="1" si="179"/>
        <v>0</v>
      </c>
      <c r="GO172" s="55">
        <f t="shared" ca="1" si="180"/>
        <v>0</v>
      </c>
      <c r="GP172" s="55">
        <f t="shared" ca="1" si="181"/>
        <v>0</v>
      </c>
      <c r="GQ172" s="55">
        <f t="shared" ca="1" si="182"/>
        <v>0</v>
      </c>
      <c r="GR172" s="55">
        <f t="shared" ca="1" si="183"/>
        <v>0</v>
      </c>
      <c r="GS172" s="55">
        <f t="shared" ca="1" si="184"/>
        <v>0</v>
      </c>
      <c r="GT172" s="55">
        <f t="shared" ca="1" si="185"/>
        <v>0</v>
      </c>
      <c r="GU172" s="55">
        <f t="shared" ca="1" si="186"/>
        <v>0</v>
      </c>
      <c r="GV172" s="55">
        <f t="shared" ca="1" si="187"/>
        <v>0</v>
      </c>
      <c r="GW172" s="55">
        <f t="shared" ca="1" si="188"/>
        <v>0</v>
      </c>
      <c r="GX172" s="55">
        <f t="shared" ca="1" si="189"/>
        <v>0</v>
      </c>
      <c r="GY172" s="55">
        <f t="shared" ca="1" si="190"/>
        <v>0</v>
      </c>
      <c r="GZ172" s="55">
        <f t="shared" ca="1" si="191"/>
        <v>0</v>
      </c>
      <c r="HA172" s="55">
        <f t="shared" ca="1" si="192"/>
        <v>0</v>
      </c>
      <c r="HB172" s="55">
        <f t="shared" ca="1" si="193"/>
        <v>0</v>
      </c>
      <c r="HC172" s="55">
        <f t="shared" ca="1" si="194"/>
        <v>0</v>
      </c>
      <c r="HD172" s="55">
        <f t="shared" ca="1" si="195"/>
        <v>0</v>
      </c>
      <c r="HE172" s="55">
        <f t="shared" ca="1" si="196"/>
        <v>0</v>
      </c>
    </row>
    <row r="173" spans="1:213">
      <c r="A173" s="27">
        <v>36</v>
      </c>
      <c r="B173" s="27">
        <v>15</v>
      </c>
      <c r="C173" s="27">
        <v>0.95126299999999997</v>
      </c>
      <c r="D173" s="27">
        <v>0.59382900000000005</v>
      </c>
      <c r="E173" s="27">
        <v>3</v>
      </c>
      <c r="F173" s="27">
        <f t="shared" ca="1" si="59"/>
        <v>8</v>
      </c>
      <c r="G173" s="27">
        <f t="shared" si="221"/>
        <v>0</v>
      </c>
      <c r="H173" s="27" t="str">
        <f t="shared" si="60"/>
        <v>Não</v>
      </c>
      <c r="I173" s="27">
        <f t="shared" si="61"/>
        <v>0</v>
      </c>
      <c r="J173" s="37">
        <f t="shared" si="62"/>
        <v>0</v>
      </c>
      <c r="K173" s="55">
        <f t="shared" si="63"/>
        <v>0.14194000000000001</v>
      </c>
      <c r="L173" s="55">
        <f t="shared" si="197"/>
        <v>1.2506390000000001</v>
      </c>
      <c r="M173" s="55">
        <f t="shared" si="198"/>
        <v>-0.81791199999999997</v>
      </c>
      <c r="N173" s="55">
        <f t="shared" si="199"/>
        <v>0.54447299999999998</v>
      </c>
      <c r="O173" s="55">
        <f t="shared" si="200"/>
        <v>-0.45896700000000001</v>
      </c>
      <c r="P173" s="55">
        <f t="shared" si="201"/>
        <v>0.69933100000000004</v>
      </c>
      <c r="Q173" s="55">
        <f t="shared" si="202"/>
        <v>0.81448100000000001</v>
      </c>
      <c r="R173" s="55">
        <f t="shared" si="203"/>
        <v>-0.191992</v>
      </c>
      <c r="S173" s="55">
        <f t="shared" si="204"/>
        <v>-0.18806999999999999</v>
      </c>
      <c r="T173" s="55">
        <f t="shared" si="205"/>
        <v>0.104064</v>
      </c>
      <c r="U173" s="55">
        <f t="shared" si="206"/>
        <v>-0.58274999999999999</v>
      </c>
      <c r="V173" s="55">
        <f t="shared" si="116"/>
        <v>0.21702199999999999</v>
      </c>
      <c r="W173" s="55">
        <f t="shared" si="117"/>
        <v>-0.42371900000000001</v>
      </c>
      <c r="X173" s="55">
        <f t="shared" si="118"/>
        <v>0.85927600000000004</v>
      </c>
      <c r="Y173" s="55">
        <f t="shared" si="119"/>
        <v>0.43825799999999998</v>
      </c>
      <c r="Z173" s="55">
        <f t="shared" si="120"/>
        <v>-0.80034700000000003</v>
      </c>
      <c r="AA173" s="55">
        <f t="shared" si="121"/>
        <v>-0.74512299999999998</v>
      </c>
      <c r="AB173" s="55">
        <f t="shared" si="122"/>
        <v>-0.32855600000000001</v>
      </c>
      <c r="AC173" s="55">
        <f t="shared" si="123"/>
        <v>1.5563480000000001</v>
      </c>
      <c r="AD173" s="55">
        <f t="shared" si="124"/>
        <v>-1.0259309999999999</v>
      </c>
      <c r="AE173" s="55">
        <f t="shared" si="125"/>
        <v>-0.40920400000000001</v>
      </c>
      <c r="AF173" s="55">
        <f t="shared" si="126"/>
        <v>9.3523999999999996E-2</v>
      </c>
      <c r="AG173" s="55">
        <f t="shared" si="127"/>
        <v>6.3188999999999995E-2</v>
      </c>
      <c r="AH173" s="55">
        <f t="shared" si="128"/>
        <v>0.15293499999999999</v>
      </c>
      <c r="AI173" s="55">
        <f t="shared" si="129"/>
        <v>-0.72272800000000004</v>
      </c>
      <c r="AJ173" s="55">
        <f t="shared" si="130"/>
        <v>-0.51946199999999998</v>
      </c>
      <c r="AK173" s="55">
        <f t="shared" si="131"/>
        <v>0.13444999999999999</v>
      </c>
      <c r="AL173" s="55">
        <f t="shared" si="132"/>
        <v>0.94771300000000003</v>
      </c>
      <c r="AM173" s="55">
        <f t="shared" si="133"/>
        <v>0.21096799999999999</v>
      </c>
      <c r="AN173" s="55">
        <f t="shared" si="134"/>
        <v>0.60152000000000005</v>
      </c>
      <c r="AO173" s="55">
        <f t="shared" si="135"/>
        <v>0.15823899999999999</v>
      </c>
      <c r="AP173" s="55">
        <f t="shared" si="136"/>
        <v>-0.80809200000000003</v>
      </c>
      <c r="AQ173" s="55">
        <f t="shared" si="137"/>
        <v>0.320656</v>
      </c>
      <c r="AR173" s="55">
        <f t="shared" si="138"/>
        <v>-0.56914699999999996</v>
      </c>
      <c r="AS173" s="55">
        <f t="shared" si="139"/>
        <v>0.104336</v>
      </c>
      <c r="AT173" s="55">
        <f t="shared" si="140"/>
        <v>-0.14121300000000001</v>
      </c>
      <c r="AU173" s="55">
        <f t="shared" si="141"/>
        <v>3.6859000000000003E-2</v>
      </c>
      <c r="AV173" s="55">
        <f t="shared" si="142"/>
        <v>-0.66616200000000003</v>
      </c>
      <c r="AW173" s="55">
        <f t="shared" si="143"/>
        <v>0.64614499999999997</v>
      </c>
      <c r="AX173" s="55">
        <f t="shared" si="144"/>
        <v>0.16065399999999999</v>
      </c>
      <c r="AY173" s="55">
        <f t="shared" si="145"/>
        <v>1.140854</v>
      </c>
      <c r="AZ173" s="55">
        <f t="shared" si="146"/>
        <v>0.75732500000000003</v>
      </c>
      <c r="BA173" s="55">
        <f t="shared" si="147"/>
        <v>0.56845500000000004</v>
      </c>
      <c r="BB173" s="55">
        <f t="shared" si="148"/>
        <v>-1.2027939999999999</v>
      </c>
      <c r="BC173" s="55">
        <f t="shared" si="149"/>
        <v>-6.7622000000000002E-2</v>
      </c>
      <c r="BD173" s="55">
        <f t="shared" si="150"/>
        <v>-0.34335500000000002</v>
      </c>
      <c r="BE173" s="55">
        <f t="shared" si="151"/>
        <v>0.84750599999999998</v>
      </c>
      <c r="BF173" s="55">
        <f t="shared" si="152"/>
        <v>-0.29188599999999998</v>
      </c>
      <c r="BG173" s="55">
        <f t="shared" si="153"/>
        <v>-0.28097</v>
      </c>
      <c r="BH173" s="55">
        <f t="shared" si="154"/>
        <v>-0.70093300000000003</v>
      </c>
      <c r="BJ173" s="55">
        <f t="shared" si="220"/>
        <v>0.74165199999999998</v>
      </c>
      <c r="BK173" s="55">
        <f t="shared" si="220"/>
        <v>0.26011600000000001</v>
      </c>
      <c r="BL173" s="55">
        <f t="shared" si="220"/>
        <v>-0.19200700000000001</v>
      </c>
      <c r="BM173" s="55">
        <f t="shared" si="220"/>
        <v>0.39093</v>
      </c>
      <c r="BN173" s="55">
        <f t="shared" si="220"/>
        <v>0.431419</v>
      </c>
      <c r="BO173" s="55">
        <f t="shared" si="220"/>
        <v>-0.22012899999999999</v>
      </c>
      <c r="BP173" s="55">
        <f t="shared" si="220"/>
        <v>1.2590239999999999</v>
      </c>
      <c r="BQ173" s="55">
        <f t="shared" si="220"/>
        <v>0.14258000000000001</v>
      </c>
      <c r="BR173" s="55">
        <f t="shared" si="220"/>
        <v>0.77181</v>
      </c>
      <c r="BS173" s="55">
        <f t="shared" si="220"/>
        <v>-0.21779200000000001</v>
      </c>
      <c r="BT173" s="55">
        <f t="shared" si="220"/>
        <v>0.87763599999999997</v>
      </c>
      <c r="BU173" s="55">
        <f t="shared" si="220"/>
        <v>0.84106300000000001</v>
      </c>
      <c r="BV173" s="55">
        <f t="shared" si="220"/>
        <v>1.0041530000000001</v>
      </c>
      <c r="BW173" s="55">
        <f t="shared" si="220"/>
        <v>-0.97346200000000005</v>
      </c>
      <c r="BX173" s="55">
        <f t="shared" si="220"/>
        <v>0.962086</v>
      </c>
      <c r="BY173" s="55">
        <f t="shared" si="220"/>
        <v>-0.36222100000000002</v>
      </c>
      <c r="BZ173" s="55">
        <f t="shared" si="218"/>
        <v>-0.85171399999999997</v>
      </c>
      <c r="CA173" s="55">
        <f t="shared" si="218"/>
        <v>-1.2297830000000001</v>
      </c>
      <c r="CB173" s="55">
        <f t="shared" si="218"/>
        <v>-1.113645</v>
      </c>
      <c r="CC173" s="55">
        <f t="shared" si="218"/>
        <v>-0.57122700000000004</v>
      </c>
      <c r="CD173" s="55">
        <f t="shared" si="218"/>
        <v>-1.261752</v>
      </c>
      <c r="CE173" s="55">
        <f t="shared" si="218"/>
        <v>-0.39733400000000002</v>
      </c>
      <c r="CF173" s="55">
        <f t="shared" si="218"/>
        <v>-1.5360799999999999</v>
      </c>
      <c r="CG173" s="55">
        <f t="shared" si="218"/>
        <v>0.38037500000000002</v>
      </c>
      <c r="CH173" s="55">
        <f t="shared" si="218"/>
        <v>-1.6188039999999999</v>
      </c>
      <c r="CI173" s="55">
        <f t="shared" si="218"/>
        <v>-7.8633999999999996E-2</v>
      </c>
      <c r="CJ173" s="55">
        <f t="shared" si="155"/>
        <v>-3.1660000000000001E-2</v>
      </c>
      <c r="CK173" s="55">
        <f t="shared" si="219"/>
        <v>-0.88983500000000004</v>
      </c>
      <c r="CL173" s="55">
        <f t="shared" si="219"/>
        <v>0.41203499999999998</v>
      </c>
      <c r="CM173" s="55">
        <f t="shared" si="219"/>
        <v>0.777084</v>
      </c>
      <c r="CN173" s="55">
        <f t="shared" si="219"/>
        <v>-0.33110000000000001</v>
      </c>
      <c r="CO173" s="55">
        <f t="shared" si="219"/>
        <v>-0.287018</v>
      </c>
      <c r="CP173" s="55">
        <f t="shared" si="219"/>
        <v>1.363599</v>
      </c>
      <c r="CQ173" s="55">
        <f t="shared" si="219"/>
        <v>1.2083809999999999</v>
      </c>
      <c r="CR173" s="55">
        <f t="shared" si="219"/>
        <v>0.41487400000000002</v>
      </c>
      <c r="CS173" s="55">
        <f t="shared" si="219"/>
        <v>0.25899</v>
      </c>
      <c r="CT173" s="55">
        <f t="shared" si="219"/>
        <v>0.58913000000000004</v>
      </c>
      <c r="CU173" s="55">
        <f t="shared" si="219"/>
        <v>-0.20588100000000001</v>
      </c>
      <c r="CV173" s="55">
        <f t="shared" si="219"/>
        <v>-5.2186000000000003E-2</v>
      </c>
      <c r="CW173" s="55">
        <f t="shared" si="219"/>
        <v>0.15509400000000001</v>
      </c>
      <c r="CX173" s="55">
        <f t="shared" si="219"/>
        <v>0.41556300000000002</v>
      </c>
      <c r="CY173" s="55">
        <f t="shared" si="219"/>
        <v>0.458899</v>
      </c>
      <c r="CZ173" s="55">
        <f t="shared" ref="CZ173:DG188" si="222">VLOOKUP($B173,$A$33:$BG$132,CZ$134,FALSE)</f>
        <v>0.20200000000000001</v>
      </c>
      <c r="DA173" s="55">
        <f t="shared" si="222"/>
        <v>-0.41248099999999999</v>
      </c>
      <c r="DB173" s="55">
        <f t="shared" si="222"/>
        <v>-1.231236</v>
      </c>
      <c r="DC173" s="55">
        <f t="shared" si="222"/>
        <v>0.31484200000000001</v>
      </c>
      <c r="DD173" s="55">
        <f t="shared" si="222"/>
        <v>0.376859</v>
      </c>
      <c r="DE173" s="55">
        <f t="shared" si="222"/>
        <v>-0.29426000000000002</v>
      </c>
      <c r="DF173" s="55">
        <f t="shared" si="222"/>
        <v>0.62272400000000006</v>
      </c>
      <c r="DG173" s="55">
        <f t="shared" si="222"/>
        <v>-3.891E-2</v>
      </c>
      <c r="DI173" s="55">
        <f t="shared" ca="1" si="65"/>
        <v>0.14194000000000001</v>
      </c>
      <c r="DJ173" s="55">
        <f t="shared" ca="1" si="66"/>
        <v>1.2506390000000001</v>
      </c>
      <c r="DK173" s="55">
        <f t="shared" ca="1" si="67"/>
        <v>-0.81791199999999997</v>
      </c>
      <c r="DL173" s="55">
        <f t="shared" ca="1" si="68"/>
        <v>0.54447299999999998</v>
      </c>
      <c r="DM173" s="55">
        <f t="shared" ca="1" si="69"/>
        <v>-0.45896700000000001</v>
      </c>
      <c r="DN173" s="55">
        <f t="shared" ca="1" si="70"/>
        <v>0.69933100000000004</v>
      </c>
      <c r="DO173" s="55">
        <f t="shared" ca="1" si="71"/>
        <v>0.81448100000000001</v>
      </c>
      <c r="DP173" s="55">
        <f t="shared" ca="1" si="72"/>
        <v>-0.191992</v>
      </c>
      <c r="DQ173" s="55">
        <f t="shared" ca="1" si="73"/>
        <v>-0.18806999999999999</v>
      </c>
      <c r="DR173" s="55">
        <f t="shared" ca="1" si="74"/>
        <v>0.104064</v>
      </c>
      <c r="DS173" s="55">
        <f t="shared" ca="1" si="75"/>
        <v>-0.58274999999999999</v>
      </c>
      <c r="DT173" s="55">
        <f t="shared" ca="1" si="76"/>
        <v>0.21702199999999999</v>
      </c>
      <c r="DU173" s="55">
        <f t="shared" ca="1" si="77"/>
        <v>-0.42371900000000001</v>
      </c>
      <c r="DV173" s="55">
        <f t="shared" ca="1" si="78"/>
        <v>0.85927600000000004</v>
      </c>
      <c r="DW173" s="55">
        <f t="shared" ca="1" si="79"/>
        <v>0.43825799999999998</v>
      </c>
      <c r="DX173" s="55">
        <f t="shared" ca="1" si="80"/>
        <v>-0.80034700000000003</v>
      </c>
      <c r="DY173" s="55">
        <f t="shared" ca="1" si="81"/>
        <v>-0.74512299999999998</v>
      </c>
      <c r="DZ173" s="55">
        <f t="shared" ca="1" si="82"/>
        <v>-0.32855600000000001</v>
      </c>
      <c r="EA173" s="55">
        <f t="shared" ca="1" si="83"/>
        <v>1.5563480000000001</v>
      </c>
      <c r="EB173" s="55">
        <f t="shared" ca="1" si="84"/>
        <v>-1.0259309999999999</v>
      </c>
      <c r="EC173" s="55">
        <f t="shared" ca="1" si="85"/>
        <v>-0.40920400000000001</v>
      </c>
      <c r="ED173" s="55">
        <f t="shared" ca="1" si="86"/>
        <v>9.3523999999999996E-2</v>
      </c>
      <c r="EE173" s="55">
        <f t="shared" ca="1" si="87"/>
        <v>6.3188999999999995E-2</v>
      </c>
      <c r="EF173" s="55">
        <f t="shared" ca="1" si="88"/>
        <v>0.15293499999999999</v>
      </c>
      <c r="EG173" s="55">
        <f t="shared" ca="1" si="89"/>
        <v>-0.72272800000000004</v>
      </c>
      <c r="EH173" s="55">
        <f t="shared" ca="1" si="90"/>
        <v>-0.51946199999999998</v>
      </c>
      <c r="EI173" s="55">
        <f t="shared" ca="1" si="91"/>
        <v>0.13444999999999999</v>
      </c>
      <c r="EJ173" s="55">
        <f t="shared" ca="1" si="92"/>
        <v>0.94771300000000003</v>
      </c>
      <c r="EK173" s="55">
        <f t="shared" ca="1" si="93"/>
        <v>0.21096799999999999</v>
      </c>
      <c r="EL173" s="55">
        <f t="shared" ca="1" si="94"/>
        <v>0.60152000000000005</v>
      </c>
      <c r="EM173" s="55">
        <f t="shared" ca="1" si="95"/>
        <v>0.15823899999999999</v>
      </c>
      <c r="EN173" s="55">
        <f t="shared" ca="1" si="96"/>
        <v>-0.80809200000000003</v>
      </c>
      <c r="EO173" s="55">
        <f t="shared" ca="1" si="97"/>
        <v>0.320656</v>
      </c>
      <c r="EP173" s="55">
        <f t="shared" ca="1" si="98"/>
        <v>-0.56914699999999996</v>
      </c>
      <c r="EQ173" s="55">
        <f t="shared" ca="1" si="99"/>
        <v>0.104336</v>
      </c>
      <c r="ER173" s="55">
        <f t="shared" ca="1" si="100"/>
        <v>-0.14121300000000001</v>
      </c>
      <c r="ES173" s="55">
        <f t="shared" ca="1" si="101"/>
        <v>3.6859000000000003E-2</v>
      </c>
      <c r="ET173" s="55">
        <f t="shared" ca="1" si="102"/>
        <v>-0.66616200000000003</v>
      </c>
      <c r="EU173" s="55">
        <f t="shared" ca="1" si="103"/>
        <v>0.64614499999999997</v>
      </c>
      <c r="EV173" s="55">
        <f t="shared" ca="1" si="104"/>
        <v>0.16065399999999999</v>
      </c>
      <c r="EW173" s="55">
        <f t="shared" ca="1" si="105"/>
        <v>1.140854</v>
      </c>
      <c r="EX173" s="55">
        <f t="shared" ca="1" si="106"/>
        <v>0.75732500000000003</v>
      </c>
      <c r="EY173" s="55">
        <f t="shared" ca="1" si="107"/>
        <v>0.56845500000000004</v>
      </c>
      <c r="EZ173" s="55">
        <f t="shared" ca="1" si="108"/>
        <v>-1.2027939999999999</v>
      </c>
      <c r="FA173" s="55">
        <f t="shared" ca="1" si="109"/>
        <v>-6.7622000000000002E-2</v>
      </c>
      <c r="FB173" s="55">
        <f t="shared" ca="1" si="110"/>
        <v>-0.34335500000000002</v>
      </c>
      <c r="FC173" s="55">
        <f t="shared" ca="1" si="111"/>
        <v>0.84750599999999998</v>
      </c>
      <c r="FD173" s="55">
        <f t="shared" ca="1" si="112"/>
        <v>-0.29188599999999998</v>
      </c>
      <c r="FE173" s="55">
        <f t="shared" ca="1" si="113"/>
        <v>-0.28097</v>
      </c>
      <c r="FF173" s="55">
        <f t="shared" ca="1" si="114"/>
        <v>-0.70093300000000003</v>
      </c>
      <c r="FH173" s="55">
        <f t="shared" ca="1" si="115"/>
        <v>0</v>
      </c>
      <c r="FI173" s="55">
        <f t="shared" ca="1" si="207"/>
        <v>0</v>
      </c>
      <c r="FJ173" s="55">
        <f t="shared" ca="1" si="208"/>
        <v>0</v>
      </c>
      <c r="FK173" s="55">
        <f t="shared" ca="1" si="209"/>
        <v>0</v>
      </c>
      <c r="FL173" s="55">
        <f t="shared" ca="1" si="210"/>
        <v>0</v>
      </c>
      <c r="FM173" s="55">
        <f t="shared" ca="1" si="211"/>
        <v>0</v>
      </c>
      <c r="FN173" s="55">
        <f t="shared" ca="1" si="212"/>
        <v>0</v>
      </c>
      <c r="FO173" s="55">
        <f t="shared" ca="1" si="213"/>
        <v>0</v>
      </c>
      <c r="FP173" s="55">
        <f t="shared" ca="1" si="214"/>
        <v>0</v>
      </c>
      <c r="FQ173" s="55">
        <f t="shared" ca="1" si="215"/>
        <v>0</v>
      </c>
      <c r="FR173" s="55">
        <f t="shared" ca="1" si="216"/>
        <v>0</v>
      </c>
      <c r="FS173" s="55">
        <f t="shared" ca="1" si="158"/>
        <v>0</v>
      </c>
      <c r="FT173" s="55">
        <f t="shared" ca="1" si="159"/>
        <v>0</v>
      </c>
      <c r="FU173" s="55">
        <f t="shared" ca="1" si="160"/>
        <v>0</v>
      </c>
      <c r="FV173" s="55">
        <f t="shared" ca="1" si="161"/>
        <v>0</v>
      </c>
      <c r="FW173" s="55">
        <f t="shared" ca="1" si="162"/>
        <v>0</v>
      </c>
      <c r="FX173" s="55">
        <f t="shared" ca="1" si="163"/>
        <v>0</v>
      </c>
      <c r="FY173" s="55">
        <f t="shared" ca="1" si="164"/>
        <v>0</v>
      </c>
      <c r="FZ173" s="55">
        <f t="shared" ca="1" si="165"/>
        <v>0</v>
      </c>
      <c r="GA173" s="55">
        <f t="shared" ca="1" si="166"/>
        <v>0</v>
      </c>
      <c r="GB173" s="55">
        <f t="shared" ca="1" si="167"/>
        <v>0</v>
      </c>
      <c r="GC173" s="55">
        <f t="shared" ca="1" si="168"/>
        <v>0</v>
      </c>
      <c r="GD173" s="55">
        <f t="shared" ca="1" si="169"/>
        <v>0</v>
      </c>
      <c r="GE173" s="55">
        <f t="shared" ca="1" si="170"/>
        <v>0</v>
      </c>
      <c r="GF173" s="55">
        <f t="shared" ca="1" si="171"/>
        <v>0</v>
      </c>
      <c r="GG173" s="55">
        <f t="shared" ca="1" si="172"/>
        <v>0</v>
      </c>
      <c r="GH173" s="55">
        <f t="shared" ca="1" si="173"/>
        <v>0</v>
      </c>
      <c r="GI173" s="55">
        <f t="shared" ca="1" si="174"/>
        <v>0</v>
      </c>
      <c r="GJ173" s="55">
        <f t="shared" ca="1" si="175"/>
        <v>0</v>
      </c>
      <c r="GK173" s="55">
        <f t="shared" ca="1" si="176"/>
        <v>0</v>
      </c>
      <c r="GL173" s="55">
        <f t="shared" ca="1" si="177"/>
        <v>0</v>
      </c>
      <c r="GM173" s="55">
        <f t="shared" ca="1" si="178"/>
        <v>0</v>
      </c>
      <c r="GN173" s="55">
        <f t="shared" ca="1" si="179"/>
        <v>0</v>
      </c>
      <c r="GO173" s="55">
        <f t="shared" ca="1" si="180"/>
        <v>0</v>
      </c>
      <c r="GP173" s="55">
        <f t="shared" ca="1" si="181"/>
        <v>0</v>
      </c>
      <c r="GQ173" s="55">
        <f t="shared" ca="1" si="182"/>
        <v>0</v>
      </c>
      <c r="GR173" s="55">
        <f t="shared" ca="1" si="183"/>
        <v>0</v>
      </c>
      <c r="GS173" s="55">
        <f t="shared" ca="1" si="184"/>
        <v>0</v>
      </c>
      <c r="GT173" s="55">
        <f t="shared" ca="1" si="185"/>
        <v>0</v>
      </c>
      <c r="GU173" s="55">
        <f t="shared" ca="1" si="186"/>
        <v>0</v>
      </c>
      <c r="GV173" s="55">
        <f t="shared" ca="1" si="187"/>
        <v>0</v>
      </c>
      <c r="GW173" s="55">
        <f t="shared" ca="1" si="188"/>
        <v>0</v>
      </c>
      <c r="GX173" s="55">
        <f t="shared" ca="1" si="189"/>
        <v>0</v>
      </c>
      <c r="GY173" s="55">
        <f t="shared" ca="1" si="190"/>
        <v>0</v>
      </c>
      <c r="GZ173" s="55">
        <f t="shared" ca="1" si="191"/>
        <v>0</v>
      </c>
      <c r="HA173" s="55">
        <f t="shared" ca="1" si="192"/>
        <v>0</v>
      </c>
      <c r="HB173" s="55">
        <f t="shared" ca="1" si="193"/>
        <v>0</v>
      </c>
      <c r="HC173" s="55">
        <f t="shared" ca="1" si="194"/>
        <v>0</v>
      </c>
      <c r="HD173" s="55">
        <f t="shared" ca="1" si="195"/>
        <v>0</v>
      </c>
      <c r="HE173" s="55">
        <f t="shared" ca="1" si="196"/>
        <v>0</v>
      </c>
    </row>
    <row r="174" spans="1:213">
      <c r="A174" s="27">
        <v>37</v>
      </c>
      <c r="B174" s="27">
        <v>74</v>
      </c>
      <c r="C174" s="27">
        <v>0.90431700000000004</v>
      </c>
      <c r="D174" s="27">
        <v>0.36906800000000001</v>
      </c>
      <c r="E174" s="27">
        <v>13</v>
      </c>
      <c r="F174" s="27">
        <f t="shared" ca="1" si="59"/>
        <v>37</v>
      </c>
      <c r="G174" s="27">
        <f t="shared" si="221"/>
        <v>0</v>
      </c>
      <c r="H174" s="27" t="str">
        <f t="shared" si="60"/>
        <v>Não</v>
      </c>
      <c r="I174" s="27">
        <f t="shared" si="61"/>
        <v>0</v>
      </c>
      <c r="J174" s="37">
        <f t="shared" si="62"/>
        <v>0</v>
      </c>
      <c r="K174" s="55">
        <f t="shared" si="63"/>
        <v>0.977024</v>
      </c>
      <c r="L174" s="55">
        <f t="shared" si="197"/>
        <v>-0.77819899999999997</v>
      </c>
      <c r="M174" s="55">
        <f t="shared" si="198"/>
        <v>0.28137000000000001</v>
      </c>
      <c r="N174" s="55">
        <f t="shared" si="199"/>
        <v>0.210147</v>
      </c>
      <c r="O174" s="55">
        <f t="shared" si="200"/>
        <v>0.75479200000000002</v>
      </c>
      <c r="P174" s="55">
        <f t="shared" si="201"/>
        <v>-1.792562</v>
      </c>
      <c r="Q174" s="55">
        <f t="shared" si="202"/>
        <v>0.68064400000000003</v>
      </c>
      <c r="R174" s="55">
        <f t="shared" si="203"/>
        <v>-0.47226499999999999</v>
      </c>
      <c r="S174" s="55">
        <f t="shared" si="204"/>
        <v>-0.21042</v>
      </c>
      <c r="T174" s="55">
        <f t="shared" si="205"/>
        <v>-0.56348200000000004</v>
      </c>
      <c r="U174" s="55">
        <f t="shared" si="206"/>
        <v>0.35940800000000001</v>
      </c>
      <c r="V174" s="55">
        <f t="shared" si="116"/>
        <v>-0.662134</v>
      </c>
      <c r="W174" s="55">
        <f t="shared" si="117"/>
        <v>-1.333936</v>
      </c>
      <c r="X174" s="55">
        <f t="shared" si="118"/>
        <v>1.1656359999999999</v>
      </c>
      <c r="Y174" s="55">
        <f t="shared" si="119"/>
        <v>0.39030100000000001</v>
      </c>
      <c r="Z174" s="55">
        <f t="shared" si="120"/>
        <v>0.12973899999999999</v>
      </c>
      <c r="AA174" s="55">
        <f t="shared" si="121"/>
        <v>-0.52273099999999995</v>
      </c>
      <c r="AB174" s="55">
        <f t="shared" si="122"/>
        <v>1.156361</v>
      </c>
      <c r="AC174" s="55">
        <f t="shared" si="123"/>
        <v>-0.85358699999999998</v>
      </c>
      <c r="AD174" s="55">
        <f t="shared" si="124"/>
        <v>4.7983999999999999E-2</v>
      </c>
      <c r="AE174" s="55">
        <f t="shared" si="125"/>
        <v>-0.40818500000000002</v>
      </c>
      <c r="AF174" s="55">
        <f t="shared" si="126"/>
        <v>-0.96428700000000001</v>
      </c>
      <c r="AG174" s="55">
        <f t="shared" si="127"/>
        <v>-0.70098700000000003</v>
      </c>
      <c r="AH174" s="55">
        <f t="shared" si="128"/>
        <v>5.7111000000000002E-2</v>
      </c>
      <c r="AI174" s="55">
        <f t="shared" si="129"/>
        <v>-0.157724</v>
      </c>
      <c r="AJ174" s="55">
        <f t="shared" si="130"/>
        <v>-0.310886</v>
      </c>
      <c r="AK174" s="55">
        <f t="shared" si="131"/>
        <v>-0.24035500000000001</v>
      </c>
      <c r="AL174" s="55">
        <f t="shared" si="132"/>
        <v>1.41211</v>
      </c>
      <c r="AM174" s="55">
        <f t="shared" si="133"/>
        <v>0.32704899999999998</v>
      </c>
      <c r="AN174" s="55">
        <f t="shared" si="134"/>
        <v>0.42012899999999997</v>
      </c>
      <c r="AO174" s="55">
        <f t="shared" si="135"/>
        <v>0.648756</v>
      </c>
      <c r="AP174" s="55">
        <f t="shared" si="136"/>
        <v>0.87153599999999998</v>
      </c>
      <c r="AQ174" s="55">
        <f t="shared" si="137"/>
        <v>0.26472000000000001</v>
      </c>
      <c r="AR174" s="55">
        <f t="shared" si="138"/>
        <v>3.2361000000000001E-2</v>
      </c>
      <c r="AS174" s="55">
        <f t="shared" si="139"/>
        <v>4.2389000000000003E-2</v>
      </c>
      <c r="AT174" s="55">
        <f t="shared" si="140"/>
        <v>0.51620500000000002</v>
      </c>
      <c r="AU174" s="55">
        <f t="shared" si="141"/>
        <v>6.7905999999999994E-2</v>
      </c>
      <c r="AV174" s="55">
        <f t="shared" si="142"/>
        <v>-0.15556400000000001</v>
      </c>
      <c r="AW174" s="55">
        <f t="shared" si="143"/>
        <v>-0.36950100000000002</v>
      </c>
      <c r="AX174" s="55">
        <f t="shared" si="144"/>
        <v>0.35318699999999997</v>
      </c>
      <c r="AY174" s="55">
        <f t="shared" si="145"/>
        <v>-0.182979</v>
      </c>
      <c r="AZ174" s="55">
        <f t="shared" si="146"/>
        <v>1.2469730000000001</v>
      </c>
      <c r="BA174" s="55">
        <f t="shared" si="147"/>
        <v>0.56035299999999999</v>
      </c>
      <c r="BB174" s="55">
        <f t="shared" si="148"/>
        <v>-9.7970000000000002E-3</v>
      </c>
      <c r="BC174" s="55">
        <f t="shared" si="149"/>
        <v>0.322075</v>
      </c>
      <c r="BD174" s="55">
        <f t="shared" si="150"/>
        <v>-1.2087969999999999</v>
      </c>
      <c r="BE174" s="55">
        <f t="shared" si="151"/>
        <v>-0.42161300000000002</v>
      </c>
      <c r="BF174" s="55">
        <f t="shared" si="152"/>
        <v>0.54421399999999998</v>
      </c>
      <c r="BG174" s="55">
        <f t="shared" si="153"/>
        <v>-0.45694699999999999</v>
      </c>
      <c r="BH174" s="55">
        <f t="shared" si="154"/>
        <v>0.80196400000000001</v>
      </c>
      <c r="BJ174" s="55">
        <f t="shared" si="220"/>
        <v>-1.0345310000000001</v>
      </c>
      <c r="BK174" s="55">
        <f t="shared" si="220"/>
        <v>1.1446890000000001</v>
      </c>
      <c r="BL174" s="55">
        <f t="shared" si="220"/>
        <v>0.27109</v>
      </c>
      <c r="BM174" s="55">
        <f t="shared" si="220"/>
        <v>0.61382199999999998</v>
      </c>
      <c r="BN174" s="55">
        <f t="shared" si="220"/>
        <v>-0.62524100000000005</v>
      </c>
      <c r="BO174" s="55">
        <f t="shared" si="220"/>
        <v>0.57052199999999997</v>
      </c>
      <c r="BP174" s="55">
        <f t="shared" si="220"/>
        <v>-0.77776800000000001</v>
      </c>
      <c r="BQ174" s="55">
        <f t="shared" si="220"/>
        <v>0.75486200000000003</v>
      </c>
      <c r="BR174" s="55">
        <f t="shared" si="220"/>
        <v>-0.90419799999999995</v>
      </c>
      <c r="BS174" s="55">
        <f t="shared" si="220"/>
        <v>-0.95964000000000005</v>
      </c>
      <c r="BT174" s="55">
        <f t="shared" si="220"/>
        <v>1.5676810000000001</v>
      </c>
      <c r="BU174" s="55">
        <f t="shared" si="220"/>
        <v>-0.53586599999999995</v>
      </c>
      <c r="BV174" s="55">
        <f t="shared" si="220"/>
        <v>-0.13311999999999999</v>
      </c>
      <c r="BW174" s="55">
        <f t="shared" si="220"/>
        <v>-0.63129900000000005</v>
      </c>
      <c r="BX174" s="55">
        <f t="shared" si="220"/>
        <v>-0.530088</v>
      </c>
      <c r="BY174" s="55">
        <f t="shared" ref="BY174:CN189" si="223">VLOOKUP($B174,$A$33:$BG$132,BY$134,FALSE)</f>
        <v>-0.336281</v>
      </c>
      <c r="BZ174" s="55">
        <f t="shared" si="223"/>
        <v>1.0221979999999999</v>
      </c>
      <c r="CA174" s="55">
        <f t="shared" si="223"/>
        <v>1.086654</v>
      </c>
      <c r="CB174" s="55">
        <f t="shared" si="223"/>
        <v>-0.88309400000000005</v>
      </c>
      <c r="CC174" s="55">
        <f t="shared" si="223"/>
        <v>-0.158607</v>
      </c>
      <c r="CD174" s="55">
        <f t="shared" si="223"/>
        <v>0.15149299999999999</v>
      </c>
      <c r="CE174" s="55">
        <f t="shared" si="223"/>
        <v>1.380085</v>
      </c>
      <c r="CF174" s="55">
        <f t="shared" si="223"/>
        <v>0.85262700000000002</v>
      </c>
      <c r="CG174" s="55">
        <f t="shared" si="223"/>
        <v>0.79659800000000003</v>
      </c>
      <c r="CH174" s="55">
        <f t="shared" si="223"/>
        <v>-8.4574999999999997E-2</v>
      </c>
      <c r="CI174" s="55">
        <f t="shared" si="223"/>
        <v>0.15743399999999999</v>
      </c>
      <c r="CJ174" s="55">
        <f t="shared" si="223"/>
        <v>-0.73873999999999995</v>
      </c>
      <c r="CK174" s="55">
        <f t="shared" si="223"/>
        <v>-0.97223599999999999</v>
      </c>
      <c r="CL174" s="55">
        <f t="shared" si="223"/>
        <v>1.427076</v>
      </c>
      <c r="CM174" s="55">
        <f t="shared" si="223"/>
        <v>0.204545</v>
      </c>
      <c r="CN174" s="55">
        <f t="shared" si="223"/>
        <v>-6.4873E-2</v>
      </c>
      <c r="CO174" s="55">
        <f t="shared" ref="CO174:DD189" si="224">VLOOKUP($B174,$A$33:$BG$132,CO$134,FALSE)</f>
        <v>-0.55223900000000004</v>
      </c>
      <c r="CP174" s="55">
        <f t="shared" si="224"/>
        <v>-0.19831699999999999</v>
      </c>
      <c r="CQ174" s="55">
        <f t="shared" si="224"/>
        <v>0.52182799999999996</v>
      </c>
      <c r="CR174" s="55">
        <f t="shared" si="224"/>
        <v>-0.60875699999999999</v>
      </c>
      <c r="CS174" s="55">
        <f t="shared" si="224"/>
        <v>-0.28527799999999998</v>
      </c>
      <c r="CT174" s="55">
        <f t="shared" si="224"/>
        <v>0.29369400000000001</v>
      </c>
      <c r="CU174" s="55">
        <f t="shared" si="224"/>
        <v>0.73476699999999995</v>
      </c>
      <c r="CV174" s="55">
        <f t="shared" si="224"/>
        <v>0.84933599999999998</v>
      </c>
      <c r="CW174" s="55">
        <f t="shared" si="224"/>
        <v>0.40474900000000003</v>
      </c>
      <c r="CX174" s="55">
        <f t="shared" si="224"/>
        <v>0.18462899999999999</v>
      </c>
      <c r="CY174" s="55">
        <f t="shared" si="224"/>
        <v>-0.52167699999999995</v>
      </c>
      <c r="CZ174" s="55">
        <f t="shared" si="224"/>
        <v>-0.74660899999999997</v>
      </c>
      <c r="DA174" s="55">
        <f t="shared" si="224"/>
        <v>-0.69701199999999996</v>
      </c>
      <c r="DB174" s="55">
        <f t="shared" si="224"/>
        <v>3.0133E-2</v>
      </c>
      <c r="DC174" s="55">
        <f t="shared" si="224"/>
        <v>1.8644999999999998E-2</v>
      </c>
      <c r="DD174" s="55">
        <f t="shared" si="224"/>
        <v>-0.68263099999999999</v>
      </c>
      <c r="DE174" s="55">
        <f t="shared" si="222"/>
        <v>-0.20174300000000001</v>
      </c>
      <c r="DF174" s="55">
        <f t="shared" si="222"/>
        <v>0.47851300000000002</v>
      </c>
      <c r="DG174" s="55">
        <f t="shared" si="222"/>
        <v>-1.1940109999999999</v>
      </c>
      <c r="DI174" s="55">
        <f t="shared" ca="1" si="65"/>
        <v>0.977024</v>
      </c>
      <c r="DJ174" s="55">
        <f t="shared" ca="1" si="66"/>
        <v>-0.77819899999999997</v>
      </c>
      <c r="DK174" s="55">
        <f t="shared" ca="1" si="67"/>
        <v>0.28137000000000001</v>
      </c>
      <c r="DL174" s="55">
        <f t="shared" ca="1" si="68"/>
        <v>0.210147</v>
      </c>
      <c r="DM174" s="55">
        <f t="shared" ca="1" si="69"/>
        <v>0.75479200000000002</v>
      </c>
      <c r="DN174" s="55">
        <f t="shared" ca="1" si="70"/>
        <v>-1.792562</v>
      </c>
      <c r="DO174" s="55">
        <f t="shared" ca="1" si="71"/>
        <v>0.68064400000000003</v>
      </c>
      <c r="DP174" s="55">
        <f t="shared" ca="1" si="72"/>
        <v>-0.47226499999999999</v>
      </c>
      <c r="DQ174" s="55">
        <f t="shared" ca="1" si="73"/>
        <v>-0.21042</v>
      </c>
      <c r="DR174" s="55">
        <f t="shared" ca="1" si="74"/>
        <v>-0.56348200000000004</v>
      </c>
      <c r="DS174" s="55">
        <f t="shared" ca="1" si="75"/>
        <v>0.35940800000000001</v>
      </c>
      <c r="DT174" s="55">
        <f t="shared" ca="1" si="76"/>
        <v>-0.662134</v>
      </c>
      <c r="DU174" s="55">
        <f t="shared" ca="1" si="77"/>
        <v>-1.333936</v>
      </c>
      <c r="DV174" s="55">
        <f t="shared" ca="1" si="78"/>
        <v>1.1656359999999999</v>
      </c>
      <c r="DW174" s="55">
        <f t="shared" ca="1" si="79"/>
        <v>0.39030100000000001</v>
      </c>
      <c r="DX174" s="55">
        <f t="shared" ca="1" si="80"/>
        <v>0.12973899999999999</v>
      </c>
      <c r="DY174" s="55">
        <f t="shared" ca="1" si="81"/>
        <v>-0.52273099999999995</v>
      </c>
      <c r="DZ174" s="55">
        <f t="shared" ca="1" si="82"/>
        <v>1.156361</v>
      </c>
      <c r="EA174" s="55">
        <f t="shared" ca="1" si="83"/>
        <v>-0.85358699999999998</v>
      </c>
      <c r="EB174" s="55">
        <f t="shared" ca="1" si="84"/>
        <v>4.7983999999999999E-2</v>
      </c>
      <c r="EC174" s="55">
        <f t="shared" ca="1" si="85"/>
        <v>-0.40818500000000002</v>
      </c>
      <c r="ED174" s="55">
        <f t="shared" ca="1" si="86"/>
        <v>-0.96428700000000001</v>
      </c>
      <c r="EE174" s="55">
        <f t="shared" ca="1" si="87"/>
        <v>-0.70098700000000003</v>
      </c>
      <c r="EF174" s="55">
        <f t="shared" ca="1" si="88"/>
        <v>5.7111000000000002E-2</v>
      </c>
      <c r="EG174" s="55">
        <f t="shared" ca="1" si="89"/>
        <v>-0.157724</v>
      </c>
      <c r="EH174" s="55">
        <f t="shared" ca="1" si="90"/>
        <v>-0.310886</v>
      </c>
      <c r="EI174" s="55">
        <f t="shared" ca="1" si="91"/>
        <v>-0.24035500000000001</v>
      </c>
      <c r="EJ174" s="55">
        <f t="shared" ca="1" si="92"/>
        <v>1.41211</v>
      </c>
      <c r="EK174" s="55">
        <f t="shared" ca="1" si="93"/>
        <v>0.32704899999999998</v>
      </c>
      <c r="EL174" s="55">
        <f t="shared" ca="1" si="94"/>
        <v>0.42012899999999997</v>
      </c>
      <c r="EM174" s="55">
        <f t="shared" ca="1" si="95"/>
        <v>0.648756</v>
      </c>
      <c r="EN174" s="55">
        <f t="shared" ca="1" si="96"/>
        <v>0.87153599999999998</v>
      </c>
      <c r="EO174" s="55">
        <f t="shared" ca="1" si="97"/>
        <v>0.26472000000000001</v>
      </c>
      <c r="EP174" s="55">
        <f t="shared" ca="1" si="98"/>
        <v>3.2361000000000001E-2</v>
      </c>
      <c r="EQ174" s="55">
        <f t="shared" ca="1" si="99"/>
        <v>4.2389000000000003E-2</v>
      </c>
      <c r="ER174" s="55">
        <f t="shared" ca="1" si="100"/>
        <v>0.51620500000000002</v>
      </c>
      <c r="ES174" s="55">
        <f t="shared" ca="1" si="101"/>
        <v>6.7905999999999994E-2</v>
      </c>
      <c r="ET174" s="55">
        <f t="shared" ca="1" si="102"/>
        <v>-0.15556400000000001</v>
      </c>
      <c r="EU174" s="55">
        <f t="shared" ca="1" si="103"/>
        <v>-0.36950100000000002</v>
      </c>
      <c r="EV174" s="55">
        <f t="shared" ca="1" si="104"/>
        <v>0.35318699999999997</v>
      </c>
      <c r="EW174" s="55">
        <f t="shared" ca="1" si="105"/>
        <v>-0.182979</v>
      </c>
      <c r="EX174" s="55">
        <f t="shared" ca="1" si="106"/>
        <v>1.2469730000000001</v>
      </c>
      <c r="EY174" s="55">
        <f t="shared" ca="1" si="107"/>
        <v>0.56035299999999999</v>
      </c>
      <c r="EZ174" s="55">
        <f t="shared" ca="1" si="108"/>
        <v>-9.7970000000000002E-3</v>
      </c>
      <c r="FA174" s="55">
        <f t="shared" ca="1" si="109"/>
        <v>0.322075</v>
      </c>
      <c r="FB174" s="55">
        <f t="shared" ca="1" si="110"/>
        <v>-1.2087969999999999</v>
      </c>
      <c r="FC174" s="55">
        <f t="shared" ca="1" si="111"/>
        <v>-0.42161300000000002</v>
      </c>
      <c r="FD174" s="55">
        <f t="shared" ca="1" si="112"/>
        <v>0.54421399999999998</v>
      </c>
      <c r="FE174" s="55">
        <f t="shared" ca="1" si="113"/>
        <v>-0.45694699999999999</v>
      </c>
      <c r="FF174" s="55">
        <f t="shared" ca="1" si="114"/>
        <v>0.80196400000000001</v>
      </c>
      <c r="FH174" s="55">
        <f t="shared" ca="1" si="115"/>
        <v>0</v>
      </c>
      <c r="FI174" s="55">
        <f t="shared" ca="1" si="207"/>
        <v>0</v>
      </c>
      <c r="FJ174" s="55">
        <f t="shared" ca="1" si="208"/>
        <v>0</v>
      </c>
      <c r="FK174" s="55">
        <f t="shared" ca="1" si="209"/>
        <v>0</v>
      </c>
      <c r="FL174" s="55">
        <f t="shared" ca="1" si="210"/>
        <v>0</v>
      </c>
      <c r="FM174" s="55">
        <f t="shared" ca="1" si="211"/>
        <v>0</v>
      </c>
      <c r="FN174" s="55">
        <f t="shared" ca="1" si="212"/>
        <v>0</v>
      </c>
      <c r="FO174" s="55">
        <f t="shared" ca="1" si="213"/>
        <v>0</v>
      </c>
      <c r="FP174" s="55">
        <f t="shared" ca="1" si="214"/>
        <v>0</v>
      </c>
      <c r="FQ174" s="55">
        <f t="shared" ca="1" si="215"/>
        <v>0</v>
      </c>
      <c r="FR174" s="55">
        <f t="shared" ca="1" si="216"/>
        <v>0</v>
      </c>
      <c r="FS174" s="55">
        <f t="shared" ca="1" si="158"/>
        <v>0</v>
      </c>
      <c r="FT174" s="55">
        <f t="shared" ca="1" si="159"/>
        <v>0</v>
      </c>
      <c r="FU174" s="55">
        <f t="shared" ca="1" si="160"/>
        <v>0</v>
      </c>
      <c r="FV174" s="55">
        <f t="shared" ca="1" si="161"/>
        <v>0</v>
      </c>
      <c r="FW174" s="55">
        <f t="shared" ca="1" si="162"/>
        <v>0</v>
      </c>
      <c r="FX174" s="55">
        <f t="shared" ca="1" si="163"/>
        <v>0</v>
      </c>
      <c r="FY174" s="55">
        <f t="shared" ca="1" si="164"/>
        <v>0</v>
      </c>
      <c r="FZ174" s="55">
        <f t="shared" ca="1" si="165"/>
        <v>0</v>
      </c>
      <c r="GA174" s="55">
        <f t="shared" ca="1" si="166"/>
        <v>0</v>
      </c>
      <c r="GB174" s="55">
        <f t="shared" ca="1" si="167"/>
        <v>0</v>
      </c>
      <c r="GC174" s="55">
        <f t="shared" ca="1" si="168"/>
        <v>0</v>
      </c>
      <c r="GD174" s="55">
        <f t="shared" ca="1" si="169"/>
        <v>0</v>
      </c>
      <c r="GE174" s="55">
        <f t="shared" ca="1" si="170"/>
        <v>0</v>
      </c>
      <c r="GF174" s="55">
        <f t="shared" ca="1" si="171"/>
        <v>0</v>
      </c>
      <c r="GG174" s="55">
        <f t="shared" ca="1" si="172"/>
        <v>0</v>
      </c>
      <c r="GH174" s="55">
        <f t="shared" ca="1" si="173"/>
        <v>0</v>
      </c>
      <c r="GI174" s="55">
        <f t="shared" ca="1" si="174"/>
        <v>0</v>
      </c>
      <c r="GJ174" s="55">
        <f t="shared" ca="1" si="175"/>
        <v>0</v>
      </c>
      <c r="GK174" s="55">
        <f t="shared" ca="1" si="176"/>
        <v>0</v>
      </c>
      <c r="GL174" s="55">
        <f t="shared" ca="1" si="177"/>
        <v>0</v>
      </c>
      <c r="GM174" s="55">
        <f t="shared" ca="1" si="178"/>
        <v>0</v>
      </c>
      <c r="GN174" s="55">
        <f t="shared" ca="1" si="179"/>
        <v>0</v>
      </c>
      <c r="GO174" s="55">
        <f t="shared" ca="1" si="180"/>
        <v>0</v>
      </c>
      <c r="GP174" s="55">
        <f t="shared" ca="1" si="181"/>
        <v>0</v>
      </c>
      <c r="GQ174" s="55">
        <f t="shared" ca="1" si="182"/>
        <v>0</v>
      </c>
      <c r="GR174" s="55">
        <f t="shared" ca="1" si="183"/>
        <v>0</v>
      </c>
      <c r="GS174" s="55">
        <f t="shared" ca="1" si="184"/>
        <v>0</v>
      </c>
      <c r="GT174" s="55">
        <f t="shared" ca="1" si="185"/>
        <v>0</v>
      </c>
      <c r="GU174" s="55">
        <f t="shared" ca="1" si="186"/>
        <v>0</v>
      </c>
      <c r="GV174" s="55">
        <f t="shared" ca="1" si="187"/>
        <v>0</v>
      </c>
      <c r="GW174" s="55">
        <f t="shared" ca="1" si="188"/>
        <v>0</v>
      </c>
      <c r="GX174" s="55">
        <f t="shared" ca="1" si="189"/>
        <v>0</v>
      </c>
      <c r="GY174" s="55">
        <f t="shared" ca="1" si="190"/>
        <v>0</v>
      </c>
      <c r="GZ174" s="55">
        <f t="shared" ca="1" si="191"/>
        <v>0</v>
      </c>
      <c r="HA174" s="55">
        <f t="shared" ca="1" si="192"/>
        <v>0</v>
      </c>
      <c r="HB174" s="55">
        <f t="shared" ca="1" si="193"/>
        <v>0</v>
      </c>
      <c r="HC174" s="55">
        <f t="shared" ca="1" si="194"/>
        <v>0</v>
      </c>
      <c r="HD174" s="55">
        <f t="shared" ca="1" si="195"/>
        <v>0</v>
      </c>
      <c r="HE174" s="55">
        <f t="shared" ca="1" si="196"/>
        <v>0</v>
      </c>
    </row>
    <row r="175" spans="1:213">
      <c r="A175" s="27">
        <v>38</v>
      </c>
      <c r="B175" s="27">
        <v>45</v>
      </c>
      <c r="C175" s="27">
        <v>0.87828799999999996</v>
      </c>
      <c r="D175" s="27">
        <v>6.9887000000000005E-2</v>
      </c>
      <c r="E175" s="27">
        <v>25</v>
      </c>
      <c r="F175" s="27">
        <f t="shared" ca="1" si="59"/>
        <v>31</v>
      </c>
      <c r="G175" s="27">
        <f t="shared" si="221"/>
        <v>0</v>
      </c>
      <c r="H175" s="27" t="str">
        <f t="shared" si="60"/>
        <v>Não</v>
      </c>
      <c r="I175" s="27">
        <f t="shared" si="61"/>
        <v>0</v>
      </c>
      <c r="J175" s="37">
        <f t="shared" si="62"/>
        <v>0</v>
      </c>
      <c r="K175" s="55">
        <f t="shared" si="63"/>
        <v>-0.48004000000000002</v>
      </c>
      <c r="L175" s="55">
        <f t="shared" si="197"/>
        <v>-0.29918</v>
      </c>
      <c r="M175" s="55">
        <f t="shared" si="198"/>
        <v>-8.6808999999999997E-2</v>
      </c>
      <c r="N175" s="55">
        <f t="shared" si="199"/>
        <v>-0.69194999999999995</v>
      </c>
      <c r="O175" s="55">
        <f t="shared" si="200"/>
        <v>-0.40525699999999998</v>
      </c>
      <c r="P175" s="55">
        <f t="shared" si="201"/>
        <v>-0.51694200000000001</v>
      </c>
      <c r="Q175" s="55">
        <f t="shared" si="202"/>
        <v>-0.72670100000000004</v>
      </c>
      <c r="R175" s="55">
        <f t="shared" si="203"/>
        <v>-3.5962000000000001E-2</v>
      </c>
      <c r="S175" s="55">
        <f t="shared" si="204"/>
        <v>1.1259E-2</v>
      </c>
      <c r="T175" s="55">
        <f t="shared" si="205"/>
        <v>-1.295855</v>
      </c>
      <c r="U175" s="55">
        <f t="shared" si="206"/>
        <v>0.30219099999999999</v>
      </c>
      <c r="V175" s="55">
        <f t="shared" si="116"/>
        <v>0.20626800000000001</v>
      </c>
      <c r="W175" s="55">
        <f t="shared" si="117"/>
        <v>-0.99504499999999996</v>
      </c>
      <c r="X175" s="55">
        <f t="shared" si="118"/>
        <v>-0.74937399999999998</v>
      </c>
      <c r="Y175" s="55">
        <f t="shared" si="119"/>
        <v>0.92351799999999995</v>
      </c>
      <c r="Z175" s="55">
        <f t="shared" si="120"/>
        <v>-1.7750000000000001E-3</v>
      </c>
      <c r="AA175" s="55">
        <f t="shared" si="121"/>
        <v>0.22767699999999999</v>
      </c>
      <c r="AB175" s="55">
        <f t="shared" si="122"/>
        <v>1.220369</v>
      </c>
      <c r="AC175" s="55">
        <f t="shared" si="123"/>
        <v>-1.7805999999999999E-2</v>
      </c>
      <c r="AD175" s="55">
        <f t="shared" si="124"/>
        <v>0.156726</v>
      </c>
      <c r="AE175" s="55">
        <f t="shared" si="125"/>
        <v>0.29119299999999998</v>
      </c>
      <c r="AF175" s="55">
        <f t="shared" si="126"/>
        <v>-7.0399999999999998E-4</v>
      </c>
      <c r="AG175" s="55">
        <f t="shared" si="127"/>
        <v>1.1243050000000001</v>
      </c>
      <c r="AH175" s="55">
        <f t="shared" si="128"/>
        <v>1.16414</v>
      </c>
      <c r="AI175" s="55">
        <f t="shared" si="129"/>
        <v>-0.66853499999999999</v>
      </c>
      <c r="AJ175" s="55">
        <f t="shared" si="130"/>
        <v>-0.58297600000000005</v>
      </c>
      <c r="AK175" s="55">
        <f t="shared" si="131"/>
        <v>-0.49433300000000002</v>
      </c>
      <c r="AL175" s="55">
        <f t="shared" si="132"/>
        <v>-0.29913600000000001</v>
      </c>
      <c r="AM175" s="55">
        <f t="shared" si="133"/>
        <v>0.11497400000000001</v>
      </c>
      <c r="AN175" s="55">
        <f t="shared" si="134"/>
        <v>-0.58873399999999998</v>
      </c>
      <c r="AO175" s="55">
        <f t="shared" si="135"/>
        <v>0.15962999999999999</v>
      </c>
      <c r="AP175" s="55">
        <f t="shared" si="136"/>
        <v>-1.332638</v>
      </c>
      <c r="AQ175" s="55">
        <f t="shared" si="137"/>
        <v>-0.57228599999999996</v>
      </c>
      <c r="AR175" s="55">
        <f t="shared" si="138"/>
        <v>0.42866799999999999</v>
      </c>
      <c r="AS175" s="55">
        <f t="shared" si="139"/>
        <v>-0.416159</v>
      </c>
      <c r="AT175" s="55">
        <f t="shared" si="140"/>
        <v>-0.18428600000000001</v>
      </c>
      <c r="AU175" s="55">
        <f t="shared" si="141"/>
        <v>-0.119572</v>
      </c>
      <c r="AV175" s="55">
        <f t="shared" si="142"/>
        <v>0.54732899999999995</v>
      </c>
      <c r="AW175" s="55">
        <f t="shared" si="143"/>
        <v>1.4184840000000001</v>
      </c>
      <c r="AX175" s="55">
        <f t="shared" si="144"/>
        <v>0.75049500000000002</v>
      </c>
      <c r="AY175" s="55">
        <f t="shared" si="145"/>
        <v>-3.1882000000000001E-2</v>
      </c>
      <c r="AZ175" s="55">
        <f t="shared" si="146"/>
        <v>-0.35848099999999999</v>
      </c>
      <c r="BA175" s="55">
        <f t="shared" si="147"/>
        <v>-0.38985799999999998</v>
      </c>
      <c r="BB175" s="55">
        <f t="shared" si="148"/>
        <v>0.44205</v>
      </c>
      <c r="BC175" s="55">
        <f t="shared" si="149"/>
        <v>-8.0337000000000006E-2</v>
      </c>
      <c r="BD175" s="55">
        <f t="shared" si="150"/>
        <v>-0.148808</v>
      </c>
      <c r="BE175" s="55">
        <f t="shared" si="151"/>
        <v>-0.64418399999999998</v>
      </c>
      <c r="BF175" s="55">
        <f t="shared" si="152"/>
        <v>-0.26361800000000002</v>
      </c>
      <c r="BG175" s="55">
        <f t="shared" si="153"/>
        <v>-0.81189100000000003</v>
      </c>
      <c r="BH175" s="55">
        <f t="shared" si="154"/>
        <v>-0.15987699999999999</v>
      </c>
      <c r="BJ175" s="55">
        <f t="shared" ref="BJ175:BY190" si="225">VLOOKUP($B175,$A$33:$BG$132,BJ$134,FALSE)</f>
        <v>-0.31709100000000001</v>
      </c>
      <c r="BK175" s="55">
        <f t="shared" si="225"/>
        <v>-0.89203399999999999</v>
      </c>
      <c r="BL175" s="55">
        <f t="shared" si="225"/>
        <v>-0.50178699999999998</v>
      </c>
      <c r="BM175" s="55">
        <f t="shared" si="225"/>
        <v>1.341126</v>
      </c>
      <c r="BN175" s="55">
        <f t="shared" si="225"/>
        <v>-0.35331899999999999</v>
      </c>
      <c r="BO175" s="55">
        <f t="shared" si="225"/>
        <v>-0.81649300000000002</v>
      </c>
      <c r="BP175" s="55">
        <f t="shared" si="225"/>
        <v>0.76869500000000002</v>
      </c>
      <c r="BQ175" s="55">
        <f t="shared" si="225"/>
        <v>0.78559599999999996</v>
      </c>
      <c r="BR175" s="55">
        <f t="shared" si="225"/>
        <v>-0.50029299999999999</v>
      </c>
      <c r="BS175" s="55">
        <f t="shared" si="225"/>
        <v>5.3810999999999998E-2</v>
      </c>
      <c r="BT175" s="55">
        <f t="shared" si="225"/>
        <v>-1.401068</v>
      </c>
      <c r="BU175" s="55">
        <f t="shared" si="225"/>
        <v>-0.34910000000000002</v>
      </c>
      <c r="BV175" s="55">
        <f t="shared" si="225"/>
        <v>1.39639</v>
      </c>
      <c r="BW175" s="55">
        <f t="shared" si="225"/>
        <v>0.16563800000000001</v>
      </c>
      <c r="BX175" s="55">
        <f t="shared" si="225"/>
        <v>-0.78129099999999996</v>
      </c>
      <c r="BY175" s="55">
        <f t="shared" si="225"/>
        <v>0.19028100000000001</v>
      </c>
      <c r="BZ175" s="55">
        <f t="shared" si="223"/>
        <v>-1.158496</v>
      </c>
      <c r="CA175" s="55">
        <f t="shared" si="223"/>
        <v>-8.0203999999999998E-2</v>
      </c>
      <c r="CB175" s="55">
        <f t="shared" si="223"/>
        <v>-5.5931000000000002E-2</v>
      </c>
      <c r="CC175" s="55">
        <f t="shared" si="223"/>
        <v>0.14855699999999999</v>
      </c>
      <c r="CD175" s="55">
        <f t="shared" si="223"/>
        <v>-0.54910300000000001</v>
      </c>
      <c r="CE175" s="55">
        <f t="shared" si="223"/>
        <v>-1.646245</v>
      </c>
      <c r="CF175" s="55">
        <f t="shared" si="223"/>
        <v>0.36466599999999999</v>
      </c>
      <c r="CG175" s="55">
        <f t="shared" si="223"/>
        <v>1.0881E-2</v>
      </c>
      <c r="CH175" s="55">
        <f t="shared" si="223"/>
        <v>0.95167999999999997</v>
      </c>
      <c r="CI175" s="55">
        <f t="shared" si="223"/>
        <v>0.35824299999999998</v>
      </c>
      <c r="CJ175" s="55">
        <f t="shared" si="223"/>
        <v>-0.28089999999999998</v>
      </c>
      <c r="CK175" s="55">
        <f t="shared" si="223"/>
        <v>-0.410466</v>
      </c>
      <c r="CL175" s="55">
        <f t="shared" si="223"/>
        <v>0.50322500000000003</v>
      </c>
      <c r="CM175" s="55">
        <f t="shared" si="223"/>
        <v>0.31360100000000002</v>
      </c>
      <c r="CN175" s="55">
        <f t="shared" si="223"/>
        <v>-1.7582420000000001</v>
      </c>
      <c r="CO175" s="55">
        <f t="shared" si="224"/>
        <v>1.1691739999999999</v>
      </c>
      <c r="CP175" s="55">
        <f t="shared" si="224"/>
        <v>2.2877999999999999E-2</v>
      </c>
      <c r="CQ175" s="55">
        <f t="shared" si="224"/>
        <v>1.1598599999999999</v>
      </c>
      <c r="CR175" s="55">
        <f t="shared" si="224"/>
        <v>-8.8025999999999993E-2</v>
      </c>
      <c r="CS175" s="55">
        <f t="shared" si="224"/>
        <v>1.3394E-2</v>
      </c>
      <c r="CT175" s="55">
        <f t="shared" si="224"/>
        <v>0.43396099999999999</v>
      </c>
      <c r="CU175" s="55">
        <f t="shared" si="224"/>
        <v>-0.96805399999999997</v>
      </c>
      <c r="CV175" s="55">
        <f t="shared" si="224"/>
        <v>0.22781000000000001</v>
      </c>
      <c r="CW175" s="55">
        <f t="shared" si="224"/>
        <v>4.8700000000000002E-4</v>
      </c>
      <c r="CX175" s="55">
        <f t="shared" si="224"/>
        <v>-0.89963199999999999</v>
      </c>
      <c r="CY175" s="55">
        <f t="shared" si="224"/>
        <v>0.18885199999999999</v>
      </c>
      <c r="CZ175" s="55">
        <f t="shared" si="224"/>
        <v>0.40491199999999999</v>
      </c>
      <c r="DA175" s="55">
        <f t="shared" si="224"/>
        <v>0.131018</v>
      </c>
      <c r="DB175" s="55">
        <f t="shared" si="224"/>
        <v>-0.14644599999999999</v>
      </c>
      <c r="DC175" s="55">
        <f t="shared" si="224"/>
        <v>-0.53958099999999998</v>
      </c>
      <c r="DD175" s="55">
        <f t="shared" si="224"/>
        <v>-0.81196599999999997</v>
      </c>
      <c r="DE175" s="55">
        <f t="shared" si="222"/>
        <v>7.3072999999999999E-2</v>
      </c>
      <c r="DF175" s="55">
        <f t="shared" si="222"/>
        <v>0.273009</v>
      </c>
      <c r="DG175" s="55">
        <f t="shared" si="222"/>
        <v>0.25028899999999998</v>
      </c>
      <c r="DI175" s="55">
        <f t="shared" ca="1" si="65"/>
        <v>-0.48004000000000002</v>
      </c>
      <c r="DJ175" s="55">
        <f t="shared" ca="1" si="66"/>
        <v>-0.29918</v>
      </c>
      <c r="DK175" s="55">
        <f t="shared" ca="1" si="67"/>
        <v>-8.6808999999999997E-2</v>
      </c>
      <c r="DL175" s="55">
        <f t="shared" ca="1" si="68"/>
        <v>-0.69194999999999995</v>
      </c>
      <c r="DM175" s="55">
        <f t="shared" ca="1" si="69"/>
        <v>-0.40525699999999998</v>
      </c>
      <c r="DN175" s="55">
        <f t="shared" ca="1" si="70"/>
        <v>-0.51694200000000001</v>
      </c>
      <c r="DO175" s="55">
        <f t="shared" ca="1" si="71"/>
        <v>-0.72670100000000004</v>
      </c>
      <c r="DP175" s="55">
        <f t="shared" ca="1" si="72"/>
        <v>-3.5962000000000001E-2</v>
      </c>
      <c r="DQ175" s="55">
        <f t="shared" ca="1" si="73"/>
        <v>1.1259E-2</v>
      </c>
      <c r="DR175" s="55">
        <f t="shared" ca="1" si="74"/>
        <v>-1.295855</v>
      </c>
      <c r="DS175" s="55">
        <f t="shared" ca="1" si="75"/>
        <v>0.30219099999999999</v>
      </c>
      <c r="DT175" s="55">
        <f t="shared" ca="1" si="76"/>
        <v>0.20626800000000001</v>
      </c>
      <c r="DU175" s="55">
        <f t="shared" ca="1" si="77"/>
        <v>-0.99504499999999996</v>
      </c>
      <c r="DV175" s="55">
        <f t="shared" ca="1" si="78"/>
        <v>-0.74937399999999998</v>
      </c>
      <c r="DW175" s="55">
        <f t="shared" ca="1" si="79"/>
        <v>0.92351799999999995</v>
      </c>
      <c r="DX175" s="55">
        <f t="shared" ca="1" si="80"/>
        <v>-1.7750000000000001E-3</v>
      </c>
      <c r="DY175" s="55">
        <f t="shared" ca="1" si="81"/>
        <v>0.22767699999999999</v>
      </c>
      <c r="DZ175" s="55">
        <f t="shared" ca="1" si="82"/>
        <v>1.220369</v>
      </c>
      <c r="EA175" s="55">
        <f t="shared" ca="1" si="83"/>
        <v>-1.7805999999999999E-2</v>
      </c>
      <c r="EB175" s="55">
        <f t="shared" ca="1" si="84"/>
        <v>0.156726</v>
      </c>
      <c r="EC175" s="55">
        <f t="shared" ca="1" si="85"/>
        <v>0.29119299999999998</v>
      </c>
      <c r="ED175" s="55">
        <f t="shared" ca="1" si="86"/>
        <v>-7.0399999999999998E-4</v>
      </c>
      <c r="EE175" s="55">
        <f t="shared" ca="1" si="87"/>
        <v>1.1243050000000001</v>
      </c>
      <c r="EF175" s="55">
        <f t="shared" ca="1" si="88"/>
        <v>1.16414</v>
      </c>
      <c r="EG175" s="55">
        <f t="shared" ca="1" si="89"/>
        <v>-0.66853499999999999</v>
      </c>
      <c r="EH175" s="55">
        <f t="shared" ca="1" si="90"/>
        <v>-0.58297600000000005</v>
      </c>
      <c r="EI175" s="55">
        <f t="shared" ca="1" si="91"/>
        <v>-0.49433300000000002</v>
      </c>
      <c r="EJ175" s="55">
        <f t="shared" ca="1" si="92"/>
        <v>-0.29913600000000001</v>
      </c>
      <c r="EK175" s="55">
        <f t="shared" ca="1" si="93"/>
        <v>0.11497400000000001</v>
      </c>
      <c r="EL175" s="55">
        <f t="shared" ca="1" si="94"/>
        <v>-0.58873399999999998</v>
      </c>
      <c r="EM175" s="55">
        <f t="shared" ca="1" si="95"/>
        <v>0.15962999999999999</v>
      </c>
      <c r="EN175" s="55">
        <f t="shared" ca="1" si="96"/>
        <v>-1.332638</v>
      </c>
      <c r="EO175" s="55">
        <f t="shared" ca="1" si="97"/>
        <v>-0.57228599999999996</v>
      </c>
      <c r="EP175" s="55">
        <f t="shared" ca="1" si="98"/>
        <v>0.42866799999999999</v>
      </c>
      <c r="EQ175" s="55">
        <f t="shared" ca="1" si="99"/>
        <v>-0.416159</v>
      </c>
      <c r="ER175" s="55">
        <f t="shared" ca="1" si="100"/>
        <v>-0.18428600000000001</v>
      </c>
      <c r="ES175" s="55">
        <f t="shared" ca="1" si="101"/>
        <v>-0.119572</v>
      </c>
      <c r="ET175" s="55">
        <f t="shared" ca="1" si="102"/>
        <v>0.54732899999999995</v>
      </c>
      <c r="EU175" s="55">
        <f t="shared" ca="1" si="103"/>
        <v>1.4184840000000001</v>
      </c>
      <c r="EV175" s="55">
        <f t="shared" ca="1" si="104"/>
        <v>0.75049500000000002</v>
      </c>
      <c r="EW175" s="55">
        <f t="shared" ca="1" si="105"/>
        <v>-3.1882000000000001E-2</v>
      </c>
      <c r="EX175" s="55">
        <f t="shared" ca="1" si="106"/>
        <v>-0.35848099999999999</v>
      </c>
      <c r="EY175" s="55">
        <f t="shared" ca="1" si="107"/>
        <v>-0.38985799999999998</v>
      </c>
      <c r="EZ175" s="55">
        <f t="shared" ca="1" si="108"/>
        <v>0.44205</v>
      </c>
      <c r="FA175" s="55">
        <f t="shared" ca="1" si="109"/>
        <v>-8.0337000000000006E-2</v>
      </c>
      <c r="FB175" s="55">
        <f t="shared" ca="1" si="110"/>
        <v>-0.148808</v>
      </c>
      <c r="FC175" s="55">
        <f t="shared" ca="1" si="111"/>
        <v>-0.64418399999999998</v>
      </c>
      <c r="FD175" s="55">
        <f t="shared" ca="1" si="112"/>
        <v>-0.26361800000000002</v>
      </c>
      <c r="FE175" s="55">
        <f t="shared" ca="1" si="113"/>
        <v>-0.81189100000000003</v>
      </c>
      <c r="FF175" s="55">
        <f t="shared" ca="1" si="114"/>
        <v>-0.15987699999999999</v>
      </c>
      <c r="FH175" s="55">
        <f t="shared" ca="1" si="115"/>
        <v>0</v>
      </c>
      <c r="FI175" s="55">
        <f t="shared" ca="1" si="207"/>
        <v>0</v>
      </c>
      <c r="FJ175" s="55">
        <f t="shared" ca="1" si="208"/>
        <v>0</v>
      </c>
      <c r="FK175" s="55">
        <f t="shared" ca="1" si="209"/>
        <v>0</v>
      </c>
      <c r="FL175" s="55">
        <f t="shared" ca="1" si="210"/>
        <v>0</v>
      </c>
      <c r="FM175" s="55">
        <f t="shared" ca="1" si="211"/>
        <v>0</v>
      </c>
      <c r="FN175" s="55">
        <f t="shared" ca="1" si="212"/>
        <v>0</v>
      </c>
      <c r="FO175" s="55">
        <f t="shared" ca="1" si="213"/>
        <v>0</v>
      </c>
      <c r="FP175" s="55">
        <f t="shared" ca="1" si="214"/>
        <v>0</v>
      </c>
      <c r="FQ175" s="55">
        <f t="shared" ca="1" si="215"/>
        <v>0</v>
      </c>
      <c r="FR175" s="55">
        <f t="shared" ca="1" si="216"/>
        <v>0</v>
      </c>
      <c r="FS175" s="55">
        <f t="shared" ca="1" si="158"/>
        <v>0</v>
      </c>
      <c r="FT175" s="55">
        <f t="shared" ca="1" si="159"/>
        <v>0</v>
      </c>
      <c r="FU175" s="55">
        <f t="shared" ca="1" si="160"/>
        <v>0</v>
      </c>
      <c r="FV175" s="55">
        <f t="shared" ca="1" si="161"/>
        <v>0</v>
      </c>
      <c r="FW175" s="55">
        <f t="shared" ca="1" si="162"/>
        <v>0</v>
      </c>
      <c r="FX175" s="55">
        <f t="shared" ca="1" si="163"/>
        <v>0</v>
      </c>
      <c r="FY175" s="55">
        <f t="shared" ca="1" si="164"/>
        <v>0</v>
      </c>
      <c r="FZ175" s="55">
        <f t="shared" ca="1" si="165"/>
        <v>0</v>
      </c>
      <c r="GA175" s="55">
        <f t="shared" ca="1" si="166"/>
        <v>0</v>
      </c>
      <c r="GB175" s="55">
        <f t="shared" ca="1" si="167"/>
        <v>0</v>
      </c>
      <c r="GC175" s="55">
        <f t="shared" ca="1" si="168"/>
        <v>0</v>
      </c>
      <c r="GD175" s="55">
        <f t="shared" ca="1" si="169"/>
        <v>0</v>
      </c>
      <c r="GE175" s="55">
        <f t="shared" ca="1" si="170"/>
        <v>0</v>
      </c>
      <c r="GF175" s="55">
        <f t="shared" ca="1" si="171"/>
        <v>0</v>
      </c>
      <c r="GG175" s="55">
        <f t="shared" ca="1" si="172"/>
        <v>0</v>
      </c>
      <c r="GH175" s="55">
        <f t="shared" ca="1" si="173"/>
        <v>0</v>
      </c>
      <c r="GI175" s="55">
        <f t="shared" ca="1" si="174"/>
        <v>0</v>
      </c>
      <c r="GJ175" s="55">
        <f t="shared" ca="1" si="175"/>
        <v>0</v>
      </c>
      <c r="GK175" s="55">
        <f t="shared" ca="1" si="176"/>
        <v>0</v>
      </c>
      <c r="GL175" s="55">
        <f t="shared" ca="1" si="177"/>
        <v>0</v>
      </c>
      <c r="GM175" s="55">
        <f t="shared" ca="1" si="178"/>
        <v>0</v>
      </c>
      <c r="GN175" s="55">
        <f t="shared" ca="1" si="179"/>
        <v>0</v>
      </c>
      <c r="GO175" s="55">
        <f t="shared" ca="1" si="180"/>
        <v>0</v>
      </c>
      <c r="GP175" s="55">
        <f t="shared" ca="1" si="181"/>
        <v>0</v>
      </c>
      <c r="GQ175" s="55">
        <f t="shared" ca="1" si="182"/>
        <v>0</v>
      </c>
      <c r="GR175" s="55">
        <f t="shared" ca="1" si="183"/>
        <v>0</v>
      </c>
      <c r="GS175" s="55">
        <f t="shared" ca="1" si="184"/>
        <v>0</v>
      </c>
      <c r="GT175" s="55">
        <f t="shared" ca="1" si="185"/>
        <v>0</v>
      </c>
      <c r="GU175" s="55">
        <f t="shared" ca="1" si="186"/>
        <v>0</v>
      </c>
      <c r="GV175" s="55">
        <f t="shared" ca="1" si="187"/>
        <v>0</v>
      </c>
      <c r="GW175" s="55">
        <f t="shared" ca="1" si="188"/>
        <v>0</v>
      </c>
      <c r="GX175" s="55">
        <f t="shared" ca="1" si="189"/>
        <v>0</v>
      </c>
      <c r="GY175" s="55">
        <f t="shared" ca="1" si="190"/>
        <v>0</v>
      </c>
      <c r="GZ175" s="55">
        <f t="shared" ca="1" si="191"/>
        <v>0</v>
      </c>
      <c r="HA175" s="55">
        <f t="shared" ca="1" si="192"/>
        <v>0</v>
      </c>
      <c r="HB175" s="55">
        <f t="shared" ca="1" si="193"/>
        <v>0</v>
      </c>
      <c r="HC175" s="55">
        <f t="shared" ca="1" si="194"/>
        <v>0</v>
      </c>
      <c r="HD175" s="55">
        <f t="shared" ca="1" si="195"/>
        <v>0</v>
      </c>
      <c r="HE175" s="55">
        <f t="shared" ca="1" si="196"/>
        <v>0</v>
      </c>
    </row>
    <row r="176" spans="1:213">
      <c r="A176" s="27">
        <v>39</v>
      </c>
      <c r="B176" s="27">
        <v>25</v>
      </c>
      <c r="C176" s="27">
        <v>0.52390899999999996</v>
      </c>
      <c r="D176" s="27">
        <v>0.95591000000000004</v>
      </c>
      <c r="E176" s="27">
        <v>28</v>
      </c>
      <c r="F176" s="27">
        <f t="shared" ca="1" si="59"/>
        <v>37</v>
      </c>
      <c r="G176" s="27">
        <f t="shared" si="221"/>
        <v>0</v>
      </c>
      <c r="H176" s="27" t="str">
        <f t="shared" si="60"/>
        <v>Sim</v>
      </c>
      <c r="I176" s="27">
        <f t="shared" si="61"/>
        <v>0</v>
      </c>
      <c r="J176" s="37">
        <f t="shared" si="62"/>
        <v>1</v>
      </c>
      <c r="K176" s="55">
        <f t="shared" si="63"/>
        <v>-0.133548</v>
      </c>
      <c r="L176" s="55">
        <f t="shared" si="197"/>
        <v>-0.29202899999999998</v>
      </c>
      <c r="M176" s="55">
        <f t="shared" si="198"/>
        <v>0.33238299999999998</v>
      </c>
      <c r="N176" s="55">
        <f t="shared" si="199"/>
        <v>0.565195</v>
      </c>
      <c r="O176" s="55">
        <f t="shared" si="200"/>
        <v>6.4107999999999998E-2</v>
      </c>
      <c r="P176" s="55">
        <f t="shared" si="201"/>
        <v>0.75477300000000003</v>
      </c>
      <c r="Q176" s="55">
        <f t="shared" si="202"/>
        <v>-0.57425400000000004</v>
      </c>
      <c r="R176" s="55">
        <f t="shared" si="203"/>
        <v>-0.91447599999999996</v>
      </c>
      <c r="S176" s="55">
        <f t="shared" si="204"/>
        <v>-0.63048499999999996</v>
      </c>
      <c r="T176" s="55">
        <f t="shared" si="205"/>
        <v>-0.54204799999999997</v>
      </c>
      <c r="U176" s="55">
        <f t="shared" si="206"/>
        <v>-1.757128</v>
      </c>
      <c r="V176" s="55">
        <f t="shared" si="116"/>
        <v>-0.26580500000000001</v>
      </c>
      <c r="W176" s="55">
        <f t="shared" si="117"/>
        <v>-8.7710999999999997E-2</v>
      </c>
      <c r="X176" s="55">
        <f t="shared" si="118"/>
        <v>0.31640699999999999</v>
      </c>
      <c r="Y176" s="55">
        <f t="shared" si="119"/>
        <v>0.87713600000000003</v>
      </c>
      <c r="Z176" s="55">
        <f t="shared" si="120"/>
        <v>-0.48749700000000001</v>
      </c>
      <c r="AA176" s="55">
        <f t="shared" si="121"/>
        <v>-0.67758099999999999</v>
      </c>
      <c r="AB176" s="55">
        <f t="shared" si="122"/>
        <v>0.84513199999999999</v>
      </c>
      <c r="AC176" s="55">
        <f t="shared" si="123"/>
        <v>0.84059499999999998</v>
      </c>
      <c r="AD176" s="55">
        <f t="shared" si="124"/>
        <v>1.5749770000000001</v>
      </c>
      <c r="AE176" s="55">
        <f t="shared" si="125"/>
        <v>-8.1018999999999994E-2</v>
      </c>
      <c r="AF176" s="55">
        <f t="shared" si="126"/>
        <v>0.78932500000000005</v>
      </c>
      <c r="AG176" s="55">
        <f t="shared" si="127"/>
        <v>-0.72892100000000004</v>
      </c>
      <c r="AH176" s="55">
        <f t="shared" si="128"/>
        <v>-6.9540000000000005E-2</v>
      </c>
      <c r="AI176" s="55">
        <f t="shared" si="129"/>
        <v>1.542127</v>
      </c>
      <c r="AJ176" s="55">
        <f t="shared" si="130"/>
        <v>-0.104186</v>
      </c>
      <c r="AK176" s="55">
        <f t="shared" si="131"/>
        <v>1.1705099999999999</v>
      </c>
      <c r="AL176" s="55">
        <f t="shared" si="132"/>
        <v>-0.59820099999999998</v>
      </c>
      <c r="AM176" s="55">
        <f t="shared" si="133"/>
        <v>0.73749100000000001</v>
      </c>
      <c r="AN176" s="55">
        <f t="shared" si="134"/>
        <v>-0.61648000000000003</v>
      </c>
      <c r="AO176" s="55">
        <f t="shared" si="135"/>
        <v>0.71963299999999997</v>
      </c>
      <c r="AP176" s="55">
        <f t="shared" si="136"/>
        <v>-0.31334099999999998</v>
      </c>
      <c r="AQ176" s="55">
        <f t="shared" si="137"/>
        <v>-1.313091</v>
      </c>
      <c r="AR176" s="55">
        <f t="shared" si="138"/>
        <v>0.65403699999999998</v>
      </c>
      <c r="AS176" s="55">
        <f t="shared" si="139"/>
        <v>0.96404999999999996</v>
      </c>
      <c r="AT176" s="55">
        <f t="shared" si="140"/>
        <v>-0.62397000000000002</v>
      </c>
      <c r="AU176" s="55">
        <f t="shared" si="141"/>
        <v>-6.8447999999999995E-2</v>
      </c>
      <c r="AV176" s="55">
        <f t="shared" si="142"/>
        <v>0.47805199999999998</v>
      </c>
      <c r="AW176" s="55">
        <f t="shared" si="143"/>
        <v>0.11666</v>
      </c>
      <c r="AX176" s="55">
        <f t="shared" si="144"/>
        <v>-0.71418199999999998</v>
      </c>
      <c r="AY176" s="55">
        <f t="shared" si="145"/>
        <v>0.81735800000000003</v>
      </c>
      <c r="AZ176" s="55">
        <f t="shared" si="146"/>
        <v>0.36291200000000001</v>
      </c>
      <c r="BA176" s="55">
        <f t="shared" si="147"/>
        <v>0.179867</v>
      </c>
      <c r="BB176" s="55">
        <f t="shared" si="148"/>
        <v>-1.4990380000000001</v>
      </c>
      <c r="BC176" s="55">
        <f t="shared" si="149"/>
        <v>0.539632</v>
      </c>
      <c r="BD176" s="55">
        <f t="shared" si="150"/>
        <v>0.16949900000000001</v>
      </c>
      <c r="BE176" s="55">
        <f t="shared" si="151"/>
        <v>-0.14688100000000001</v>
      </c>
      <c r="BF176" s="55">
        <f t="shared" si="152"/>
        <v>0.21618299999999999</v>
      </c>
      <c r="BG176" s="55">
        <f t="shared" si="153"/>
        <v>0.13854900000000001</v>
      </c>
      <c r="BH176" s="55">
        <f t="shared" si="154"/>
        <v>-0.102879</v>
      </c>
      <c r="BJ176" s="55">
        <f t="shared" si="225"/>
        <v>0.74165199999999998</v>
      </c>
      <c r="BK176" s="55">
        <f t="shared" si="225"/>
        <v>0.26011600000000001</v>
      </c>
      <c r="BL176" s="55">
        <f t="shared" si="225"/>
        <v>-0.19200700000000001</v>
      </c>
      <c r="BM176" s="55">
        <f t="shared" si="225"/>
        <v>0.39093</v>
      </c>
      <c r="BN176" s="55">
        <f t="shared" si="225"/>
        <v>0.431419</v>
      </c>
      <c r="BO176" s="55">
        <f t="shared" si="225"/>
        <v>-0.22012899999999999</v>
      </c>
      <c r="BP176" s="55">
        <f t="shared" si="225"/>
        <v>1.2590239999999999</v>
      </c>
      <c r="BQ176" s="55">
        <f t="shared" si="225"/>
        <v>0.14258000000000001</v>
      </c>
      <c r="BR176" s="55">
        <f t="shared" si="225"/>
        <v>0.77181</v>
      </c>
      <c r="BS176" s="55">
        <f t="shared" si="225"/>
        <v>-0.21779200000000001</v>
      </c>
      <c r="BT176" s="55">
        <f t="shared" si="225"/>
        <v>0.87763599999999997</v>
      </c>
      <c r="BU176" s="55">
        <f t="shared" si="225"/>
        <v>0.84106300000000001</v>
      </c>
      <c r="BV176" s="55">
        <f t="shared" si="225"/>
        <v>1.0041530000000001</v>
      </c>
      <c r="BW176" s="55">
        <f t="shared" si="225"/>
        <v>-0.97346200000000005</v>
      </c>
      <c r="BX176" s="55">
        <f t="shared" si="225"/>
        <v>0.962086</v>
      </c>
      <c r="BY176" s="55">
        <f t="shared" si="225"/>
        <v>-0.36222100000000002</v>
      </c>
      <c r="BZ176" s="55">
        <f t="shared" si="223"/>
        <v>-0.85171399999999997</v>
      </c>
      <c r="CA176" s="55">
        <f t="shared" si="223"/>
        <v>-1.2297830000000001</v>
      </c>
      <c r="CB176" s="55">
        <f t="shared" si="223"/>
        <v>-1.113645</v>
      </c>
      <c r="CC176" s="55">
        <f t="shared" si="223"/>
        <v>-0.57122700000000004</v>
      </c>
      <c r="CD176" s="55">
        <f t="shared" si="223"/>
        <v>-1.261752</v>
      </c>
      <c r="CE176" s="55">
        <f t="shared" si="223"/>
        <v>-0.39733400000000002</v>
      </c>
      <c r="CF176" s="55">
        <f t="shared" si="223"/>
        <v>-1.5360799999999999</v>
      </c>
      <c r="CG176" s="55">
        <f t="shared" si="223"/>
        <v>0.38037500000000002</v>
      </c>
      <c r="CH176" s="55">
        <f t="shared" si="223"/>
        <v>-1.6188039999999999</v>
      </c>
      <c r="CI176" s="55">
        <f t="shared" si="223"/>
        <v>-7.8633999999999996E-2</v>
      </c>
      <c r="CJ176" s="55">
        <f t="shared" si="223"/>
        <v>-3.1660000000000001E-2</v>
      </c>
      <c r="CK176" s="55">
        <f t="shared" si="223"/>
        <v>-0.88983500000000004</v>
      </c>
      <c r="CL176" s="55">
        <f t="shared" si="223"/>
        <v>0.41203499999999998</v>
      </c>
      <c r="CM176" s="55">
        <f t="shared" si="223"/>
        <v>0.777084</v>
      </c>
      <c r="CN176" s="55">
        <f t="shared" si="223"/>
        <v>-0.33110000000000001</v>
      </c>
      <c r="CO176" s="55">
        <f t="shared" si="224"/>
        <v>-0.287018</v>
      </c>
      <c r="CP176" s="55">
        <f t="shared" si="224"/>
        <v>1.363599</v>
      </c>
      <c r="CQ176" s="55">
        <f t="shared" si="224"/>
        <v>1.2083809999999999</v>
      </c>
      <c r="CR176" s="55">
        <f t="shared" si="224"/>
        <v>0.41487400000000002</v>
      </c>
      <c r="CS176" s="55">
        <f t="shared" si="224"/>
        <v>0.25899</v>
      </c>
      <c r="CT176" s="55">
        <f t="shared" si="224"/>
        <v>0.58913000000000004</v>
      </c>
      <c r="CU176" s="55">
        <f t="shared" si="224"/>
        <v>-0.20588100000000001</v>
      </c>
      <c r="CV176" s="55">
        <f t="shared" si="224"/>
        <v>-5.2186000000000003E-2</v>
      </c>
      <c r="CW176" s="55">
        <f t="shared" si="224"/>
        <v>0.15509400000000001</v>
      </c>
      <c r="CX176" s="55">
        <f t="shared" si="224"/>
        <v>0.41556300000000002</v>
      </c>
      <c r="CY176" s="55">
        <f t="shared" si="224"/>
        <v>0.458899</v>
      </c>
      <c r="CZ176" s="55">
        <f t="shared" si="224"/>
        <v>0.20200000000000001</v>
      </c>
      <c r="DA176" s="55">
        <f t="shared" si="224"/>
        <v>-0.41248099999999999</v>
      </c>
      <c r="DB176" s="55">
        <f t="shared" si="224"/>
        <v>-1.231236</v>
      </c>
      <c r="DC176" s="55">
        <f t="shared" si="224"/>
        <v>0.31484200000000001</v>
      </c>
      <c r="DD176" s="55">
        <f t="shared" si="224"/>
        <v>0.376859</v>
      </c>
      <c r="DE176" s="55">
        <f t="shared" si="222"/>
        <v>-0.29426000000000002</v>
      </c>
      <c r="DF176" s="55">
        <f t="shared" si="222"/>
        <v>0.62272400000000006</v>
      </c>
      <c r="DG176" s="55">
        <f t="shared" si="222"/>
        <v>-3.891E-2</v>
      </c>
      <c r="DI176" s="55">
        <f t="shared" ca="1" si="65"/>
        <v>-0.133548</v>
      </c>
      <c r="DJ176" s="55">
        <f t="shared" ca="1" si="66"/>
        <v>-0.29202899999999998</v>
      </c>
      <c r="DK176" s="55">
        <f t="shared" ca="1" si="67"/>
        <v>0.33238299999999998</v>
      </c>
      <c r="DL176" s="55">
        <f t="shared" ca="1" si="68"/>
        <v>0.565195</v>
      </c>
      <c r="DM176" s="55">
        <f t="shared" ca="1" si="69"/>
        <v>6.4107999999999998E-2</v>
      </c>
      <c r="DN176" s="55">
        <f t="shared" ca="1" si="70"/>
        <v>0.75477300000000003</v>
      </c>
      <c r="DO176" s="55">
        <f t="shared" ca="1" si="71"/>
        <v>-0.57425400000000004</v>
      </c>
      <c r="DP176" s="55">
        <f t="shared" ca="1" si="72"/>
        <v>-0.91447599999999996</v>
      </c>
      <c r="DQ176" s="55">
        <f t="shared" ca="1" si="73"/>
        <v>-0.63048499999999996</v>
      </c>
      <c r="DR176" s="55">
        <f t="shared" ca="1" si="74"/>
        <v>-0.54204799999999997</v>
      </c>
      <c r="DS176" s="55">
        <f t="shared" ca="1" si="75"/>
        <v>-1.757128</v>
      </c>
      <c r="DT176" s="55">
        <f t="shared" ca="1" si="76"/>
        <v>-0.26580500000000001</v>
      </c>
      <c r="DU176" s="55">
        <f t="shared" ca="1" si="77"/>
        <v>-8.7710999999999997E-2</v>
      </c>
      <c r="DV176" s="55">
        <f t="shared" ca="1" si="78"/>
        <v>0.31640699999999999</v>
      </c>
      <c r="DW176" s="55">
        <f t="shared" ca="1" si="79"/>
        <v>0.87713600000000003</v>
      </c>
      <c r="DX176" s="55">
        <f t="shared" ca="1" si="80"/>
        <v>-0.48749700000000001</v>
      </c>
      <c r="DY176" s="55">
        <f t="shared" ca="1" si="81"/>
        <v>-0.67758099999999999</v>
      </c>
      <c r="DZ176" s="55">
        <f t="shared" ca="1" si="82"/>
        <v>0.84513199999999999</v>
      </c>
      <c r="EA176" s="55">
        <f t="shared" ca="1" si="83"/>
        <v>0.84059499999999998</v>
      </c>
      <c r="EB176" s="55">
        <f t="shared" ca="1" si="84"/>
        <v>1.5749770000000001</v>
      </c>
      <c r="EC176" s="55">
        <f t="shared" ca="1" si="85"/>
        <v>-8.1018999999999994E-2</v>
      </c>
      <c r="ED176" s="55">
        <f t="shared" ca="1" si="86"/>
        <v>0.78932500000000005</v>
      </c>
      <c r="EE176" s="55">
        <f t="shared" ca="1" si="87"/>
        <v>-0.72892100000000004</v>
      </c>
      <c r="EF176" s="55">
        <f t="shared" ca="1" si="88"/>
        <v>-6.9540000000000005E-2</v>
      </c>
      <c r="EG176" s="55">
        <f t="shared" ca="1" si="89"/>
        <v>1.542127</v>
      </c>
      <c r="EH176" s="55">
        <f t="shared" ca="1" si="90"/>
        <v>-0.104186</v>
      </c>
      <c r="EI176" s="55">
        <f t="shared" ca="1" si="91"/>
        <v>1.1705099999999999</v>
      </c>
      <c r="EJ176" s="55">
        <f t="shared" ca="1" si="92"/>
        <v>-0.59820099999999998</v>
      </c>
      <c r="EK176" s="55">
        <f t="shared" ca="1" si="93"/>
        <v>0.72314164496</v>
      </c>
      <c r="EL176" s="55">
        <f t="shared" ca="1" si="94"/>
        <v>-0.55503776324000009</v>
      </c>
      <c r="EM176" s="55">
        <f t="shared" ca="1" si="95"/>
        <v>0.67330618202999992</v>
      </c>
      <c r="EN176" s="55">
        <f t="shared" ca="1" si="96"/>
        <v>-0.31218041892999998</v>
      </c>
      <c r="EO176" s="55">
        <f t="shared" ca="1" si="97"/>
        <v>-1.1950757379000001</v>
      </c>
      <c r="EP176" s="55">
        <f t="shared" ca="1" si="98"/>
        <v>0.67847802695999992</v>
      </c>
      <c r="EQ176" s="55">
        <f t="shared" ca="1" si="99"/>
        <v>0.93983683015999997</v>
      </c>
      <c r="ER176" s="55">
        <f t="shared" ca="1" si="100"/>
        <v>-0.58504029360000009</v>
      </c>
      <c r="ES176" s="55">
        <f t="shared" ca="1" si="101"/>
        <v>-3.9455385980000007E-2</v>
      </c>
      <c r="ET176" s="55">
        <f t="shared" ca="1" si="102"/>
        <v>0.47805199999999998</v>
      </c>
      <c r="EU176" s="55">
        <f t="shared" ca="1" si="103"/>
        <v>0.11666</v>
      </c>
      <c r="EV176" s="55">
        <f t="shared" ca="1" si="104"/>
        <v>-0.71418199999999998</v>
      </c>
      <c r="EW176" s="55">
        <f t="shared" ca="1" si="105"/>
        <v>0.81735800000000003</v>
      </c>
      <c r="EX176" s="55">
        <f t="shared" ca="1" si="106"/>
        <v>0.36291200000000001</v>
      </c>
      <c r="EY176" s="55">
        <f t="shared" ca="1" si="107"/>
        <v>0.179867</v>
      </c>
      <c r="EZ176" s="55">
        <f t="shared" ca="1" si="108"/>
        <v>-1.4990380000000001</v>
      </c>
      <c r="FA176" s="55">
        <f t="shared" ca="1" si="109"/>
        <v>0.539632</v>
      </c>
      <c r="FB176" s="55">
        <f t="shared" ca="1" si="110"/>
        <v>0.16949900000000001</v>
      </c>
      <c r="FC176" s="55">
        <f t="shared" ca="1" si="111"/>
        <v>-0.14688100000000001</v>
      </c>
      <c r="FD176" s="55">
        <f t="shared" ca="1" si="112"/>
        <v>0.21618299999999999</v>
      </c>
      <c r="FE176" s="55">
        <f t="shared" ca="1" si="113"/>
        <v>0.13854900000000001</v>
      </c>
      <c r="FF176" s="55">
        <f t="shared" ca="1" si="114"/>
        <v>-0.102879</v>
      </c>
      <c r="FH176" s="55">
        <f t="shared" ca="1" si="115"/>
        <v>0</v>
      </c>
      <c r="FI176" s="55">
        <f t="shared" ca="1" si="207"/>
        <v>0</v>
      </c>
      <c r="FJ176" s="55">
        <f t="shared" ca="1" si="208"/>
        <v>0</v>
      </c>
      <c r="FK176" s="55">
        <f t="shared" ca="1" si="209"/>
        <v>0</v>
      </c>
      <c r="FL176" s="55">
        <f t="shared" ca="1" si="210"/>
        <v>0</v>
      </c>
      <c r="FM176" s="55">
        <f t="shared" ca="1" si="211"/>
        <v>0</v>
      </c>
      <c r="FN176" s="55">
        <f t="shared" ca="1" si="212"/>
        <v>0</v>
      </c>
      <c r="FO176" s="55">
        <f t="shared" ca="1" si="213"/>
        <v>0</v>
      </c>
      <c r="FP176" s="55">
        <f t="shared" ca="1" si="214"/>
        <v>0</v>
      </c>
      <c r="FQ176" s="55">
        <f t="shared" ca="1" si="215"/>
        <v>0</v>
      </c>
      <c r="FR176" s="55">
        <f t="shared" ca="1" si="216"/>
        <v>0</v>
      </c>
      <c r="FS176" s="55">
        <f t="shared" ca="1" si="158"/>
        <v>0</v>
      </c>
      <c r="FT176" s="55">
        <f t="shared" ca="1" si="159"/>
        <v>0</v>
      </c>
      <c r="FU176" s="55">
        <f t="shared" ca="1" si="160"/>
        <v>0</v>
      </c>
      <c r="FV176" s="55">
        <f t="shared" ca="1" si="161"/>
        <v>0</v>
      </c>
      <c r="FW176" s="55">
        <f t="shared" ca="1" si="162"/>
        <v>0</v>
      </c>
      <c r="FX176" s="55">
        <f t="shared" ca="1" si="163"/>
        <v>0</v>
      </c>
      <c r="FY176" s="55">
        <f t="shared" ca="1" si="164"/>
        <v>0</v>
      </c>
      <c r="FZ176" s="55">
        <f t="shared" ca="1" si="165"/>
        <v>0</v>
      </c>
      <c r="GA176" s="55">
        <f t="shared" ca="1" si="166"/>
        <v>0</v>
      </c>
      <c r="GB176" s="55">
        <f t="shared" ca="1" si="167"/>
        <v>0</v>
      </c>
      <c r="GC176" s="55">
        <f t="shared" ca="1" si="168"/>
        <v>0</v>
      </c>
      <c r="GD176" s="55">
        <f t="shared" ca="1" si="169"/>
        <v>0</v>
      </c>
      <c r="GE176" s="55">
        <f t="shared" ca="1" si="170"/>
        <v>0</v>
      </c>
      <c r="GF176" s="55">
        <f t="shared" ca="1" si="171"/>
        <v>0</v>
      </c>
      <c r="GG176" s="55">
        <f t="shared" ca="1" si="172"/>
        <v>0</v>
      </c>
      <c r="GH176" s="55">
        <f t="shared" ca="1" si="173"/>
        <v>0</v>
      </c>
      <c r="GI176" s="55">
        <f t="shared" ca="1" si="174"/>
        <v>0</v>
      </c>
      <c r="GJ176" s="55">
        <f t="shared" ca="1" si="175"/>
        <v>-1.4349355040000011E-2</v>
      </c>
      <c r="GK176" s="55">
        <f t="shared" ca="1" si="176"/>
        <v>6.1442236759999935E-2</v>
      </c>
      <c r="GL176" s="55">
        <f t="shared" ca="1" si="177"/>
        <v>-4.6326817970000045E-2</v>
      </c>
      <c r="GM176" s="55">
        <f t="shared" ca="1" si="178"/>
        <v>1.1605810699999997E-3</v>
      </c>
      <c r="GN176" s="55">
        <f t="shared" ca="1" si="179"/>
        <v>0.11801526209999991</v>
      </c>
      <c r="GO176" s="55">
        <f t="shared" ca="1" si="180"/>
        <v>2.4441026959999945E-2</v>
      </c>
      <c r="GP176" s="55">
        <f t="shared" ca="1" si="181"/>
        <v>-2.4213169839999993E-2</v>
      </c>
      <c r="GQ176" s="55">
        <f t="shared" ca="1" si="182"/>
        <v>3.892970639999993E-2</v>
      </c>
      <c r="GR176" s="55">
        <f t="shared" ca="1" si="183"/>
        <v>2.8992614019999988E-2</v>
      </c>
      <c r="GS176" s="55">
        <f t="shared" ca="1" si="184"/>
        <v>0</v>
      </c>
      <c r="GT176" s="55">
        <f t="shared" ca="1" si="185"/>
        <v>0</v>
      </c>
      <c r="GU176" s="55">
        <f t="shared" ca="1" si="186"/>
        <v>0</v>
      </c>
      <c r="GV176" s="55">
        <f t="shared" ca="1" si="187"/>
        <v>0</v>
      </c>
      <c r="GW176" s="55">
        <f t="shared" ca="1" si="188"/>
        <v>0</v>
      </c>
      <c r="GX176" s="55">
        <f t="shared" ca="1" si="189"/>
        <v>0</v>
      </c>
      <c r="GY176" s="55">
        <f t="shared" ca="1" si="190"/>
        <v>0</v>
      </c>
      <c r="GZ176" s="55">
        <f t="shared" ca="1" si="191"/>
        <v>0</v>
      </c>
      <c r="HA176" s="55">
        <f t="shared" ca="1" si="192"/>
        <v>0</v>
      </c>
      <c r="HB176" s="55">
        <f t="shared" ca="1" si="193"/>
        <v>0</v>
      </c>
      <c r="HC176" s="55">
        <f t="shared" ca="1" si="194"/>
        <v>0</v>
      </c>
      <c r="HD176" s="55">
        <f t="shared" ca="1" si="195"/>
        <v>0</v>
      </c>
      <c r="HE176" s="55">
        <f t="shared" ca="1" si="196"/>
        <v>0</v>
      </c>
    </row>
    <row r="177" spans="1:213">
      <c r="A177" s="27">
        <v>40</v>
      </c>
      <c r="B177" s="27">
        <v>35</v>
      </c>
      <c r="C177" s="27">
        <v>0.59233199999999997</v>
      </c>
      <c r="D177" s="27">
        <v>0.71884999999999999</v>
      </c>
      <c r="E177" s="27">
        <v>6</v>
      </c>
      <c r="F177" s="27">
        <f t="shared" ca="1" si="59"/>
        <v>39</v>
      </c>
      <c r="G177" s="27">
        <f t="shared" si="221"/>
        <v>0</v>
      </c>
      <c r="H177" s="27" t="str">
        <f t="shared" si="60"/>
        <v>Sim</v>
      </c>
      <c r="I177" s="27">
        <f t="shared" si="61"/>
        <v>0</v>
      </c>
      <c r="J177" s="37">
        <f t="shared" si="62"/>
        <v>1</v>
      </c>
      <c r="K177" s="55">
        <f t="shared" si="63"/>
        <v>0.86573100000000003</v>
      </c>
      <c r="L177" s="55">
        <f t="shared" si="197"/>
        <v>0.26011600000000001</v>
      </c>
      <c r="M177" s="55">
        <f t="shared" si="198"/>
        <v>-0.19200700000000001</v>
      </c>
      <c r="N177" s="55">
        <f t="shared" si="199"/>
        <v>-0.44339400000000001</v>
      </c>
      <c r="O177" s="55">
        <f t="shared" si="200"/>
        <v>0.431925</v>
      </c>
      <c r="P177" s="55">
        <f t="shared" si="201"/>
        <v>7.9322000000000004E-2</v>
      </c>
      <c r="Q177" s="55">
        <f t="shared" si="202"/>
        <v>0.51962200000000003</v>
      </c>
      <c r="R177" s="55">
        <f t="shared" si="203"/>
        <v>-0.51019000000000003</v>
      </c>
      <c r="S177" s="55">
        <f t="shared" si="204"/>
        <v>-0.20116000000000001</v>
      </c>
      <c r="T177" s="55">
        <f t="shared" si="205"/>
        <v>-0.21779200000000001</v>
      </c>
      <c r="U177" s="55">
        <f t="shared" si="206"/>
        <v>0.87763599999999997</v>
      </c>
      <c r="V177" s="55">
        <f t="shared" si="116"/>
        <v>1.3365689999999999</v>
      </c>
      <c r="W177" s="55">
        <f t="shared" si="117"/>
        <v>0.80072900000000002</v>
      </c>
      <c r="X177" s="55">
        <f t="shared" si="118"/>
        <v>-0.15603400000000001</v>
      </c>
      <c r="Y177" s="55">
        <f t="shared" si="119"/>
        <v>-0.19306799999999999</v>
      </c>
      <c r="Z177" s="55">
        <f t="shared" si="120"/>
        <v>-1.3053049999999999</v>
      </c>
      <c r="AA177" s="55">
        <f t="shared" si="121"/>
        <v>-0.85171399999999997</v>
      </c>
      <c r="AB177" s="55">
        <f t="shared" si="122"/>
        <v>-0.50067700000000004</v>
      </c>
      <c r="AC177" s="55">
        <f t="shared" si="123"/>
        <v>-0.79435599999999995</v>
      </c>
      <c r="AD177" s="55">
        <f t="shared" si="124"/>
        <v>-1.2058519999999999</v>
      </c>
      <c r="AE177" s="55">
        <f t="shared" si="125"/>
        <v>-1.1045689999999999</v>
      </c>
      <c r="AF177" s="55">
        <f t="shared" si="126"/>
        <v>-0.39733400000000002</v>
      </c>
      <c r="AG177" s="55">
        <f t="shared" si="127"/>
        <v>-0.728078</v>
      </c>
      <c r="AH177" s="55">
        <f t="shared" si="128"/>
        <v>0.93000499999999997</v>
      </c>
      <c r="AI177" s="55">
        <f t="shared" si="129"/>
        <v>-1.10981</v>
      </c>
      <c r="AJ177" s="55">
        <f t="shared" si="130"/>
        <v>0.49109999999999998</v>
      </c>
      <c r="AK177" s="55">
        <f t="shared" si="131"/>
        <v>0.45009300000000002</v>
      </c>
      <c r="AL177" s="55">
        <f t="shared" si="132"/>
        <v>-0.49880099999999999</v>
      </c>
      <c r="AM177" s="55">
        <f t="shared" si="133"/>
        <v>-1.379103</v>
      </c>
      <c r="AN177" s="55">
        <f t="shared" si="134"/>
        <v>8.8372999999999993E-2</v>
      </c>
      <c r="AO177" s="55">
        <f t="shared" si="135"/>
        <v>-0.87578100000000003</v>
      </c>
      <c r="AP177" s="55">
        <f t="shared" si="136"/>
        <v>-1.5870000000000001E-3</v>
      </c>
      <c r="AQ177" s="55">
        <f t="shared" si="137"/>
        <v>0.24960499999999999</v>
      </c>
      <c r="AR177" s="55">
        <f t="shared" si="138"/>
        <v>0.51665499999999998</v>
      </c>
      <c r="AS177" s="55">
        <f t="shared" si="139"/>
        <v>0.89010100000000003</v>
      </c>
      <c r="AT177" s="55">
        <f t="shared" si="140"/>
        <v>0.14461299999999999</v>
      </c>
      <c r="AU177" s="55">
        <f t="shared" si="141"/>
        <v>-0.121977</v>
      </c>
      <c r="AV177" s="55">
        <f t="shared" si="142"/>
        <v>-1.275976</v>
      </c>
      <c r="AW177" s="55">
        <f t="shared" si="143"/>
        <v>0.71731</v>
      </c>
      <c r="AX177" s="55">
        <f t="shared" si="144"/>
        <v>0.48627700000000001</v>
      </c>
      <c r="AY177" s="55">
        <f t="shared" si="145"/>
        <v>0.94775399999999999</v>
      </c>
      <c r="AZ177" s="55">
        <f t="shared" si="146"/>
        <v>0.92302799999999996</v>
      </c>
      <c r="BA177" s="55">
        <f t="shared" si="147"/>
        <v>-0.50062700000000004</v>
      </c>
      <c r="BB177" s="55">
        <f t="shared" si="148"/>
        <v>0.52948799999999996</v>
      </c>
      <c r="BC177" s="55">
        <f t="shared" si="149"/>
        <v>0.97743400000000003</v>
      </c>
      <c r="BD177" s="55">
        <f t="shared" si="150"/>
        <v>-0.78965600000000002</v>
      </c>
      <c r="BE177" s="55">
        <f t="shared" si="151"/>
        <v>-0.59387999999999996</v>
      </c>
      <c r="BF177" s="55">
        <f t="shared" si="152"/>
        <v>0.99133800000000005</v>
      </c>
      <c r="BG177" s="55">
        <f t="shared" si="153"/>
        <v>0.22816400000000001</v>
      </c>
      <c r="BH177" s="55">
        <f t="shared" si="154"/>
        <v>-0.48311799999999999</v>
      </c>
      <c r="BJ177" s="55">
        <f t="shared" si="225"/>
        <v>0.70118800000000003</v>
      </c>
      <c r="BK177" s="55">
        <f t="shared" si="225"/>
        <v>-0.77819899999999997</v>
      </c>
      <c r="BL177" s="55">
        <f t="shared" si="225"/>
        <v>3.1711999999999997E-2</v>
      </c>
      <c r="BM177" s="55">
        <f t="shared" si="225"/>
        <v>0.64301200000000003</v>
      </c>
      <c r="BN177" s="55">
        <f t="shared" si="225"/>
        <v>0.37828099999999998</v>
      </c>
      <c r="BO177" s="55">
        <f t="shared" si="225"/>
        <v>-0.91408699999999998</v>
      </c>
      <c r="BP177" s="55">
        <f t="shared" si="225"/>
        <v>0.68633999999999995</v>
      </c>
      <c r="BQ177" s="55">
        <f t="shared" si="225"/>
        <v>-1.1864509999999999</v>
      </c>
      <c r="BR177" s="55">
        <f t="shared" si="225"/>
        <v>-8.1648999999999999E-2</v>
      </c>
      <c r="BS177" s="55">
        <f t="shared" si="225"/>
        <v>0.24657599999999999</v>
      </c>
      <c r="BT177" s="55">
        <f t="shared" si="225"/>
        <v>0.78340399999999999</v>
      </c>
      <c r="BU177" s="55">
        <f t="shared" si="225"/>
        <v>-0.88504099999999997</v>
      </c>
      <c r="BV177" s="55">
        <f t="shared" si="225"/>
        <v>-0.51915699999999998</v>
      </c>
      <c r="BW177" s="55">
        <f t="shared" si="225"/>
        <v>1.035377</v>
      </c>
      <c r="BX177" s="55">
        <f t="shared" si="225"/>
        <v>-0.19822999999999999</v>
      </c>
      <c r="BY177" s="55">
        <f t="shared" si="225"/>
        <v>0.12973899999999999</v>
      </c>
      <c r="BZ177" s="55">
        <f t="shared" si="223"/>
        <v>-0.52273099999999995</v>
      </c>
      <c r="CA177" s="55">
        <f t="shared" si="223"/>
        <v>-0.40881899999999999</v>
      </c>
      <c r="CB177" s="55">
        <f t="shared" si="223"/>
        <v>-0.65687399999999996</v>
      </c>
      <c r="CC177" s="55">
        <f t="shared" si="223"/>
        <v>0.66090300000000002</v>
      </c>
      <c r="CD177" s="55">
        <f t="shared" si="223"/>
        <v>-1.2415909999999999</v>
      </c>
      <c r="CE177" s="55">
        <f t="shared" si="223"/>
        <v>-0.96428700000000001</v>
      </c>
      <c r="CF177" s="55">
        <f t="shared" si="223"/>
        <v>-0.34388299999999999</v>
      </c>
      <c r="CG177" s="55">
        <f t="shared" si="223"/>
        <v>0.71516500000000005</v>
      </c>
      <c r="CH177" s="55">
        <f t="shared" si="223"/>
        <v>-0.61223799999999995</v>
      </c>
      <c r="CI177" s="55">
        <f t="shared" si="223"/>
        <v>-0.310886</v>
      </c>
      <c r="CJ177" s="55">
        <f t="shared" si="223"/>
        <v>-0.98727699999999996</v>
      </c>
      <c r="CK177" s="55">
        <f t="shared" si="223"/>
        <v>0.66283499999999995</v>
      </c>
      <c r="CL177" s="55">
        <f t="shared" si="223"/>
        <v>4.3470000000000002E-2</v>
      </c>
      <c r="CM177" s="55">
        <f t="shared" si="223"/>
        <v>0.44044</v>
      </c>
      <c r="CN177" s="55">
        <f t="shared" si="223"/>
        <v>0.65242</v>
      </c>
      <c r="CO177" s="55">
        <f t="shared" si="224"/>
        <v>0.223997</v>
      </c>
      <c r="CP177" s="55">
        <f t="shared" si="224"/>
        <v>2.3810000000000001E-2</v>
      </c>
      <c r="CQ177" s="55">
        <f t="shared" si="224"/>
        <v>0.49069200000000002</v>
      </c>
      <c r="CR177" s="55">
        <f t="shared" si="224"/>
        <v>-0.248358</v>
      </c>
      <c r="CS177" s="55">
        <f t="shared" si="224"/>
        <v>0.80503199999999997</v>
      </c>
      <c r="CT177" s="55">
        <f t="shared" si="224"/>
        <v>0.60842399999999996</v>
      </c>
      <c r="CU177" s="55">
        <f t="shared" si="224"/>
        <v>5.6078000000000003E-2</v>
      </c>
      <c r="CV177" s="55">
        <f t="shared" si="224"/>
        <v>-0.54683099999999996</v>
      </c>
      <c r="CW177" s="55">
        <f t="shared" si="224"/>
        <v>0.37801899999999999</v>
      </c>
      <c r="CX177" s="55">
        <f t="shared" si="224"/>
        <v>-0.169601</v>
      </c>
      <c r="CY177" s="55">
        <f t="shared" si="224"/>
        <v>0.31381100000000001</v>
      </c>
      <c r="CZ177" s="55">
        <f t="shared" si="224"/>
        <v>0.39277400000000001</v>
      </c>
      <c r="DA177" s="55">
        <f t="shared" si="224"/>
        <v>-0.75850799999999996</v>
      </c>
      <c r="DB177" s="55">
        <f t="shared" si="224"/>
        <v>0.97770299999999999</v>
      </c>
      <c r="DC177" s="55">
        <f t="shared" si="224"/>
        <v>-0.82261600000000001</v>
      </c>
      <c r="DD177" s="55">
        <f t="shared" si="224"/>
        <v>0.20293700000000001</v>
      </c>
      <c r="DE177" s="55">
        <f t="shared" si="222"/>
        <v>0.64005800000000002</v>
      </c>
      <c r="DF177" s="55">
        <f t="shared" si="222"/>
        <v>-0.60011700000000001</v>
      </c>
      <c r="DG177" s="55">
        <f t="shared" si="222"/>
        <v>1.5343000000000001E-2</v>
      </c>
      <c r="DI177" s="55">
        <f t="shared" ca="1" si="65"/>
        <v>0.86573100000000003</v>
      </c>
      <c r="DJ177" s="55">
        <f t="shared" ca="1" si="66"/>
        <v>0.26011600000000001</v>
      </c>
      <c r="DK177" s="55">
        <f t="shared" ca="1" si="67"/>
        <v>-0.19200700000000001</v>
      </c>
      <c r="DL177" s="55">
        <f t="shared" ca="1" si="68"/>
        <v>-0.44339400000000001</v>
      </c>
      <c r="DM177" s="55">
        <f t="shared" ca="1" si="69"/>
        <v>0.431925</v>
      </c>
      <c r="DN177" s="55">
        <f t="shared" ca="1" si="70"/>
        <v>7.9322000000000004E-2</v>
      </c>
      <c r="DO177" s="55">
        <f t="shared" ca="1" si="71"/>
        <v>0.56649476570000001</v>
      </c>
      <c r="DP177" s="55">
        <f t="shared" ca="1" si="72"/>
        <v>-0.70032078014999999</v>
      </c>
      <c r="DQ177" s="55">
        <f t="shared" ca="1" si="73"/>
        <v>-0.16755948235000001</v>
      </c>
      <c r="DR177" s="55">
        <f t="shared" ca="1" si="74"/>
        <v>-8.7234936799999996E-2</v>
      </c>
      <c r="DS177" s="55">
        <f t="shared" ca="1" si="75"/>
        <v>0.85114267320000003</v>
      </c>
      <c r="DT177" s="55">
        <f t="shared" ca="1" si="76"/>
        <v>0.71196334849999987</v>
      </c>
      <c r="DU177" s="55">
        <f t="shared" ca="1" si="77"/>
        <v>0.42964305110000001</v>
      </c>
      <c r="DV177" s="55">
        <f t="shared" ca="1" si="78"/>
        <v>0.17893120265000001</v>
      </c>
      <c r="DW177" s="55">
        <f t="shared" ca="1" si="79"/>
        <v>-0.19451929629999998</v>
      </c>
      <c r="DX177" s="55">
        <f t="shared" ca="1" si="80"/>
        <v>-0.9018423794</v>
      </c>
      <c r="DY177" s="55">
        <f t="shared" ca="1" si="81"/>
        <v>-0.75922042954999991</v>
      </c>
      <c r="DZ177" s="55">
        <f t="shared" ca="1" si="82"/>
        <v>-0.47485112330000001</v>
      </c>
      <c r="EA177" s="55">
        <f t="shared" ca="1" si="83"/>
        <v>-0.75570293569999991</v>
      </c>
      <c r="EB177" s="55">
        <f t="shared" ca="1" si="84"/>
        <v>-0.68101383174999985</v>
      </c>
      <c r="EC177" s="55">
        <f t="shared" ca="1" si="85"/>
        <v>-1.1430927353</v>
      </c>
      <c r="ED177" s="55">
        <f t="shared" ca="1" si="86"/>
        <v>-0.55673283595</v>
      </c>
      <c r="EE177" s="55">
        <f t="shared" ca="1" si="87"/>
        <v>-0.62006157574999998</v>
      </c>
      <c r="EF177" s="55">
        <f t="shared" ca="1" si="88"/>
        <v>0.86960273399999999</v>
      </c>
      <c r="EG177" s="55">
        <f t="shared" ca="1" si="89"/>
        <v>-0.96991763219999994</v>
      </c>
      <c r="EH177" s="55">
        <f t="shared" ca="1" si="90"/>
        <v>0.2656216361</v>
      </c>
      <c r="EI177" s="55">
        <f t="shared" ca="1" si="91"/>
        <v>4.5976424500000002E-2</v>
      </c>
      <c r="EJ177" s="55">
        <f t="shared" ca="1" si="92"/>
        <v>-0.1722070386</v>
      </c>
      <c r="EK177" s="55">
        <f t="shared" ca="1" si="93"/>
        <v>-0.97914660104999995</v>
      </c>
      <c r="EL177" s="55">
        <f t="shared" ca="1" si="94"/>
        <v>0.18735663705</v>
      </c>
      <c r="EM177" s="55">
        <f t="shared" ca="1" si="95"/>
        <v>-0.44612728884999997</v>
      </c>
      <c r="EN177" s="55">
        <f t="shared" ca="1" si="96"/>
        <v>6.18359416E-2</v>
      </c>
      <c r="EO177" s="55">
        <f t="shared" ca="1" si="97"/>
        <v>0.18612273574999999</v>
      </c>
      <c r="EP177" s="55">
        <f t="shared" ca="1" si="98"/>
        <v>0.50935550254999995</v>
      </c>
      <c r="EQ177" s="55">
        <f t="shared" ca="1" si="99"/>
        <v>0.57002325215000005</v>
      </c>
      <c r="ER177" s="55">
        <f t="shared" ca="1" si="100"/>
        <v>0.33028980185000001</v>
      </c>
      <c r="ES177" s="55">
        <f t="shared" ca="1" si="101"/>
        <v>8.3375241149999987E-2</v>
      </c>
      <c r="ET177" s="55">
        <f t="shared" ca="1" si="102"/>
        <v>-0.9014690179</v>
      </c>
      <c r="EU177" s="55">
        <f t="shared" ca="1" si="103"/>
        <v>0.36189675785000003</v>
      </c>
      <c r="EV177" s="55">
        <f t="shared" ca="1" si="104"/>
        <v>0.48627700000000001</v>
      </c>
      <c r="EW177" s="55">
        <f t="shared" ca="1" si="105"/>
        <v>0.94775399999999999</v>
      </c>
      <c r="EX177" s="55">
        <f t="shared" ca="1" si="106"/>
        <v>0.92302799999999996</v>
      </c>
      <c r="EY177" s="55">
        <f t="shared" ca="1" si="107"/>
        <v>-0.50062700000000004</v>
      </c>
      <c r="EZ177" s="55">
        <f t="shared" ca="1" si="108"/>
        <v>0.52948799999999996</v>
      </c>
      <c r="FA177" s="55">
        <f t="shared" ca="1" si="109"/>
        <v>0.97743400000000003</v>
      </c>
      <c r="FB177" s="55">
        <f t="shared" ca="1" si="110"/>
        <v>-0.78965600000000002</v>
      </c>
      <c r="FC177" s="55">
        <f t="shared" ca="1" si="111"/>
        <v>-0.59387999999999996</v>
      </c>
      <c r="FD177" s="55">
        <f t="shared" ca="1" si="112"/>
        <v>0.99133800000000005</v>
      </c>
      <c r="FE177" s="55">
        <f t="shared" ca="1" si="113"/>
        <v>0.22816400000000001</v>
      </c>
      <c r="FF177" s="55">
        <f t="shared" ca="1" si="114"/>
        <v>-0.48311799999999999</v>
      </c>
      <c r="FH177" s="55">
        <f t="shared" ca="1" si="115"/>
        <v>0</v>
      </c>
      <c r="FI177" s="55">
        <f t="shared" ca="1" si="207"/>
        <v>0</v>
      </c>
      <c r="FJ177" s="55">
        <f t="shared" ca="1" si="208"/>
        <v>0</v>
      </c>
      <c r="FK177" s="55">
        <f t="shared" ca="1" si="209"/>
        <v>0</v>
      </c>
      <c r="FL177" s="55">
        <f t="shared" ca="1" si="210"/>
        <v>0</v>
      </c>
      <c r="FM177" s="55">
        <f t="shared" ca="1" si="211"/>
        <v>0</v>
      </c>
      <c r="FN177" s="55">
        <f t="shared" ca="1" si="212"/>
        <v>4.6872765699999985E-2</v>
      </c>
      <c r="FO177" s="55">
        <f t="shared" ca="1" si="213"/>
        <v>-0.19013078014999996</v>
      </c>
      <c r="FP177" s="55">
        <f t="shared" ca="1" si="214"/>
        <v>3.3600517649999995E-2</v>
      </c>
      <c r="FQ177" s="55">
        <f t="shared" ca="1" si="215"/>
        <v>0.13055706320000002</v>
      </c>
      <c r="FR177" s="55">
        <f t="shared" ca="1" si="216"/>
        <v>-2.6493326799999939E-2</v>
      </c>
      <c r="FS177" s="55">
        <f t="shared" ca="1" si="158"/>
        <v>-0.62460565150000003</v>
      </c>
      <c r="FT177" s="55">
        <f t="shared" ca="1" si="159"/>
        <v>-0.37108594890000002</v>
      </c>
      <c r="FU177" s="55">
        <f t="shared" ca="1" si="160"/>
        <v>0.33496520265000002</v>
      </c>
      <c r="FV177" s="55">
        <f t="shared" ca="1" si="161"/>
        <v>-1.4512962999999879E-3</v>
      </c>
      <c r="FW177" s="55">
        <f t="shared" ca="1" si="162"/>
        <v>0.40346262059999993</v>
      </c>
      <c r="FX177" s="55">
        <f t="shared" ca="1" si="163"/>
        <v>9.2493570450000062E-2</v>
      </c>
      <c r="FY177" s="55">
        <f t="shared" ca="1" si="164"/>
        <v>2.5825876700000028E-2</v>
      </c>
      <c r="FZ177" s="55">
        <f t="shared" ca="1" si="165"/>
        <v>3.865306430000004E-2</v>
      </c>
      <c r="GA177" s="55">
        <f t="shared" ca="1" si="166"/>
        <v>0.52483816825000007</v>
      </c>
      <c r="GB177" s="55">
        <f t="shared" ca="1" si="167"/>
        <v>-3.8523735300000084E-2</v>
      </c>
      <c r="GC177" s="55">
        <f t="shared" ca="1" si="168"/>
        <v>-0.15939883594999998</v>
      </c>
      <c r="GD177" s="55">
        <f t="shared" ca="1" si="169"/>
        <v>0.10801642425000002</v>
      </c>
      <c r="GE177" s="55">
        <f t="shared" ca="1" si="170"/>
        <v>-6.0402265999999982E-2</v>
      </c>
      <c r="GF177" s="55">
        <f t="shared" ca="1" si="171"/>
        <v>0.13989236780000003</v>
      </c>
      <c r="GG177" s="55">
        <f t="shared" ca="1" si="172"/>
        <v>-0.22547836389999998</v>
      </c>
      <c r="GH177" s="55">
        <f t="shared" ca="1" si="173"/>
        <v>-0.40411657550000002</v>
      </c>
      <c r="GI177" s="55">
        <f t="shared" ca="1" si="174"/>
        <v>0.32659396139999997</v>
      </c>
      <c r="GJ177" s="55">
        <f t="shared" ca="1" si="175"/>
        <v>0.39995639895000001</v>
      </c>
      <c r="GK177" s="55">
        <f t="shared" ca="1" si="176"/>
        <v>9.8983637050000003E-2</v>
      </c>
      <c r="GL177" s="55">
        <f t="shared" ca="1" si="177"/>
        <v>0.42965371115000006</v>
      </c>
      <c r="GM177" s="55">
        <f t="shared" ca="1" si="178"/>
        <v>6.3422941600000005E-2</v>
      </c>
      <c r="GN177" s="55">
        <f t="shared" ca="1" si="179"/>
        <v>-6.3482264250000003E-2</v>
      </c>
      <c r="GO177" s="55">
        <f t="shared" ca="1" si="180"/>
        <v>-7.2994974500000254E-3</v>
      </c>
      <c r="GP177" s="55">
        <f t="shared" ca="1" si="181"/>
        <v>-0.32007774784999998</v>
      </c>
      <c r="GQ177" s="55">
        <f t="shared" ca="1" si="182"/>
        <v>0.18567680185000002</v>
      </c>
      <c r="GR177" s="55">
        <f t="shared" ca="1" si="183"/>
        <v>0.20535224115</v>
      </c>
      <c r="GS177" s="55">
        <f t="shared" ca="1" si="184"/>
        <v>0.3745069821</v>
      </c>
      <c r="GT177" s="55">
        <f t="shared" ca="1" si="185"/>
        <v>-0.35541324214999997</v>
      </c>
      <c r="GU177" s="55">
        <f t="shared" ca="1" si="186"/>
        <v>0</v>
      </c>
      <c r="GV177" s="55">
        <f t="shared" ca="1" si="187"/>
        <v>0</v>
      </c>
      <c r="GW177" s="55">
        <f t="shared" ca="1" si="188"/>
        <v>0</v>
      </c>
      <c r="GX177" s="55">
        <f t="shared" ca="1" si="189"/>
        <v>0</v>
      </c>
      <c r="GY177" s="55">
        <f t="shared" ca="1" si="190"/>
        <v>0</v>
      </c>
      <c r="GZ177" s="55">
        <f t="shared" ca="1" si="191"/>
        <v>0</v>
      </c>
      <c r="HA177" s="55">
        <f t="shared" ca="1" si="192"/>
        <v>0</v>
      </c>
      <c r="HB177" s="55">
        <f t="shared" ca="1" si="193"/>
        <v>0</v>
      </c>
      <c r="HC177" s="55">
        <f t="shared" ca="1" si="194"/>
        <v>0</v>
      </c>
      <c r="HD177" s="55">
        <f t="shared" ca="1" si="195"/>
        <v>0</v>
      </c>
      <c r="HE177" s="55">
        <f t="shared" ca="1" si="196"/>
        <v>0</v>
      </c>
    </row>
    <row r="178" spans="1:213">
      <c r="A178" s="27">
        <v>41</v>
      </c>
      <c r="B178" s="27">
        <v>0</v>
      </c>
      <c r="C178" s="27">
        <v>0.696376</v>
      </c>
      <c r="D178" s="27">
        <v>0.44314100000000001</v>
      </c>
      <c r="E178" s="27">
        <v>1</v>
      </c>
      <c r="F178" s="27">
        <f t="shared" ca="1" si="59"/>
        <v>47</v>
      </c>
      <c r="G178" s="27">
        <f t="shared" si="221"/>
        <v>0</v>
      </c>
      <c r="H178" s="27" t="str">
        <f t="shared" si="60"/>
        <v>Sim</v>
      </c>
      <c r="I178" s="27">
        <f t="shared" si="61"/>
        <v>0</v>
      </c>
      <c r="J178" s="37">
        <f t="shared" si="62"/>
        <v>1</v>
      </c>
      <c r="K178" s="55">
        <f t="shared" si="63"/>
        <v>0.94180900000000001</v>
      </c>
      <c r="L178" s="55">
        <f t="shared" si="197"/>
        <v>-0.96661600000000003</v>
      </c>
      <c r="M178" s="55">
        <f t="shared" si="198"/>
        <v>-0.14559800000000001</v>
      </c>
      <c r="N178" s="55">
        <f t="shared" si="199"/>
        <v>-1.106069</v>
      </c>
      <c r="O178" s="55">
        <f t="shared" si="200"/>
        <v>-0.74907900000000005</v>
      </c>
      <c r="P178" s="55">
        <f t="shared" si="201"/>
        <v>-0.919377</v>
      </c>
      <c r="Q178" s="55">
        <f t="shared" si="202"/>
        <v>0.66791500000000004</v>
      </c>
      <c r="R178" s="55">
        <f t="shared" si="203"/>
        <v>-0.78257600000000005</v>
      </c>
      <c r="S178" s="55">
        <f t="shared" si="204"/>
        <v>0.45502300000000001</v>
      </c>
      <c r="T178" s="55">
        <f t="shared" si="205"/>
        <v>0.18059900000000001</v>
      </c>
      <c r="U178" s="55">
        <f t="shared" si="206"/>
        <v>-0.311589</v>
      </c>
      <c r="V178" s="55">
        <f t="shared" si="116"/>
        <v>-1.3452040000000001</v>
      </c>
      <c r="W178" s="55">
        <f t="shared" si="117"/>
        <v>0.650173</v>
      </c>
      <c r="X178" s="55">
        <f t="shared" si="118"/>
        <v>-0.66533900000000001</v>
      </c>
      <c r="Y178" s="55">
        <f t="shared" si="119"/>
        <v>0.103848</v>
      </c>
      <c r="Z178" s="55">
        <f t="shared" si="120"/>
        <v>7.9430000000000004E-3</v>
      </c>
      <c r="AA178" s="55">
        <f t="shared" si="121"/>
        <v>-0.96284999999999998</v>
      </c>
      <c r="AB178" s="55">
        <f t="shared" si="122"/>
        <v>0.97151299999999996</v>
      </c>
      <c r="AC178" s="55">
        <f t="shared" si="123"/>
        <v>0.37457000000000001</v>
      </c>
      <c r="AD178" s="55">
        <f t="shared" si="124"/>
        <v>-0.78102400000000005</v>
      </c>
      <c r="AE178" s="55">
        <f t="shared" si="125"/>
        <v>0.64737999999999996</v>
      </c>
      <c r="AF178" s="55">
        <f t="shared" si="126"/>
        <v>0.61243499999999995</v>
      </c>
      <c r="AG178" s="55">
        <f t="shared" si="127"/>
        <v>0.67593400000000003</v>
      </c>
      <c r="AH178" s="55">
        <f t="shared" si="128"/>
        <v>0.32172499999999998</v>
      </c>
      <c r="AI178" s="55">
        <f t="shared" si="129"/>
        <v>-0.48714099999999999</v>
      </c>
      <c r="AJ178" s="55">
        <f t="shared" si="130"/>
        <v>-0.543597</v>
      </c>
      <c r="AK178" s="55">
        <f t="shared" si="131"/>
        <v>-0.48388300000000001</v>
      </c>
      <c r="AL178" s="55">
        <f t="shared" si="132"/>
        <v>0.19483600000000001</v>
      </c>
      <c r="AM178" s="55">
        <f t="shared" si="133"/>
        <v>-0.32439400000000002</v>
      </c>
      <c r="AN178" s="55">
        <f t="shared" si="134"/>
        <v>-0.83658999999999994</v>
      </c>
      <c r="AO178" s="55">
        <f t="shared" si="135"/>
        <v>0.55989</v>
      </c>
      <c r="AP178" s="55">
        <f t="shared" si="136"/>
        <v>-0.69436900000000001</v>
      </c>
      <c r="AQ178" s="55">
        <f t="shared" si="137"/>
        <v>-0.33810499999999999</v>
      </c>
      <c r="AR178" s="55">
        <f t="shared" si="138"/>
        <v>-0.29006900000000002</v>
      </c>
      <c r="AS178" s="55">
        <f t="shared" si="139"/>
        <v>0.123238</v>
      </c>
      <c r="AT178" s="55">
        <f t="shared" si="140"/>
        <v>-0.55665600000000004</v>
      </c>
      <c r="AU178" s="55">
        <f t="shared" si="141"/>
        <v>-0.51344100000000004</v>
      </c>
      <c r="AV178" s="55">
        <f t="shared" si="142"/>
        <v>0.89888999999999997</v>
      </c>
      <c r="AW178" s="55">
        <f t="shared" si="143"/>
        <v>0.18227299999999999</v>
      </c>
      <c r="AX178" s="55">
        <f t="shared" si="144"/>
        <v>0.11677999999999999</v>
      </c>
      <c r="AY178" s="55">
        <f t="shared" si="145"/>
        <v>-0.99398900000000001</v>
      </c>
      <c r="AZ178" s="55">
        <f t="shared" si="146"/>
        <v>0.56497900000000001</v>
      </c>
      <c r="BA178" s="55">
        <f t="shared" si="147"/>
        <v>3.3732999999999999E-2</v>
      </c>
      <c r="BB178" s="55">
        <f t="shared" si="148"/>
        <v>-0.67093899999999995</v>
      </c>
      <c r="BC178" s="55">
        <f t="shared" si="149"/>
        <v>-0.15335799999999999</v>
      </c>
      <c r="BD178" s="55">
        <f t="shared" si="150"/>
        <v>1.2475999999999999E-2</v>
      </c>
      <c r="BE178" s="55">
        <f t="shared" si="151"/>
        <v>0.35095900000000002</v>
      </c>
      <c r="BF178" s="55">
        <f t="shared" si="152"/>
        <v>1.855777</v>
      </c>
      <c r="BG178" s="55">
        <f t="shared" si="153"/>
        <v>0.22327900000000001</v>
      </c>
      <c r="BH178" s="55">
        <f t="shared" si="154"/>
        <v>-0.75554200000000005</v>
      </c>
      <c r="BJ178" s="55">
        <f t="shared" si="225"/>
        <v>-0.70089999999999997</v>
      </c>
      <c r="BK178" s="55">
        <f t="shared" si="225"/>
        <v>0.303508</v>
      </c>
      <c r="BL178" s="55">
        <f t="shared" si="225"/>
        <v>-0.69006000000000001</v>
      </c>
      <c r="BM178" s="55">
        <f t="shared" si="225"/>
        <v>-0.67655200000000004</v>
      </c>
      <c r="BN178" s="55">
        <f t="shared" si="225"/>
        <v>1.534826</v>
      </c>
      <c r="BO178" s="55">
        <f t="shared" si="225"/>
        <v>0.40433400000000003</v>
      </c>
      <c r="BP178" s="55">
        <f t="shared" si="225"/>
        <v>-6.9475999999999996E-2</v>
      </c>
      <c r="BQ178" s="55">
        <f t="shared" si="225"/>
        <v>0.61652399999999996</v>
      </c>
      <c r="BR178" s="55">
        <f t="shared" si="225"/>
        <v>1.040888</v>
      </c>
      <c r="BS178" s="55">
        <f t="shared" si="225"/>
        <v>1.6124039999999999</v>
      </c>
      <c r="BT178" s="55">
        <f t="shared" si="225"/>
        <v>-1.017269</v>
      </c>
      <c r="BU178" s="55">
        <f t="shared" si="225"/>
        <v>-1.8738999999999999E-2</v>
      </c>
      <c r="BV178" s="55">
        <f t="shared" si="225"/>
        <v>1.0668500000000001</v>
      </c>
      <c r="BW178" s="55">
        <f t="shared" si="225"/>
        <v>-0.71404100000000004</v>
      </c>
      <c r="BX178" s="55">
        <f t="shared" si="225"/>
        <v>-0.94616100000000003</v>
      </c>
      <c r="BY178" s="55">
        <f t="shared" si="225"/>
        <v>-0.99968599999999996</v>
      </c>
      <c r="BZ178" s="55">
        <f t="shared" si="223"/>
        <v>0.31866100000000003</v>
      </c>
      <c r="CA178" s="55">
        <f t="shared" si="223"/>
        <v>0.41539799999999999</v>
      </c>
      <c r="CB178" s="55">
        <f t="shared" si="223"/>
        <v>0.74578199999999994</v>
      </c>
      <c r="CC178" s="55">
        <f t="shared" si="223"/>
        <v>-1.0294509999999999</v>
      </c>
      <c r="CD178" s="55">
        <f t="shared" si="223"/>
        <v>-1.689397</v>
      </c>
      <c r="CE178" s="55">
        <f t="shared" si="223"/>
        <v>-0.30818699999999999</v>
      </c>
      <c r="CF178" s="55">
        <f t="shared" si="223"/>
        <v>0.26141500000000001</v>
      </c>
      <c r="CG178" s="55">
        <f t="shared" si="223"/>
        <v>0.80872999999999995</v>
      </c>
      <c r="CH178" s="55">
        <f t="shared" si="223"/>
        <v>-0.64111099999999999</v>
      </c>
      <c r="CI178" s="55">
        <f t="shared" si="223"/>
        <v>-7.5176000000000007E-2</v>
      </c>
      <c r="CJ178" s="55">
        <f t="shared" si="223"/>
        <v>-0.66634099999999996</v>
      </c>
      <c r="CK178" s="55">
        <f t="shared" si="223"/>
        <v>-1.5662959999999999</v>
      </c>
      <c r="CL178" s="55">
        <f t="shared" si="223"/>
        <v>0.57636600000000004</v>
      </c>
      <c r="CM178" s="55">
        <f t="shared" si="223"/>
        <v>0.88014099999999995</v>
      </c>
      <c r="CN178" s="55">
        <f t="shared" si="223"/>
        <v>-0.23005100000000001</v>
      </c>
      <c r="CO178" s="55">
        <f t="shared" si="224"/>
        <v>-0.186805</v>
      </c>
      <c r="CP178" s="55">
        <f t="shared" si="224"/>
        <v>9.8069000000000003E-2</v>
      </c>
      <c r="CQ178" s="55">
        <f t="shared" si="224"/>
        <v>0.25537300000000002</v>
      </c>
      <c r="CR178" s="55">
        <f t="shared" si="224"/>
        <v>-7.3677999999999993E-2</v>
      </c>
      <c r="CS178" s="55">
        <f t="shared" si="224"/>
        <v>-0.18715999999999999</v>
      </c>
      <c r="CT178" s="55">
        <f t="shared" si="224"/>
        <v>0.66104200000000002</v>
      </c>
      <c r="CU178" s="55">
        <f t="shared" si="224"/>
        <v>0.64547200000000005</v>
      </c>
      <c r="CV178" s="55">
        <f t="shared" si="224"/>
        <v>-0.19440199999999999</v>
      </c>
      <c r="CW178" s="55">
        <f t="shared" si="224"/>
        <v>0.23189499999999999</v>
      </c>
      <c r="CX178" s="55">
        <f t="shared" si="224"/>
        <v>0.38777699999999998</v>
      </c>
      <c r="CY178" s="55">
        <f t="shared" si="224"/>
        <v>0.36163299999999998</v>
      </c>
      <c r="CZ178" s="55">
        <f t="shared" si="224"/>
        <v>-0.69426299999999996</v>
      </c>
      <c r="DA178" s="55">
        <f t="shared" si="224"/>
        <v>-0.72806300000000002</v>
      </c>
      <c r="DB178" s="55">
        <f t="shared" si="224"/>
        <v>0.17427500000000001</v>
      </c>
      <c r="DC178" s="55">
        <f t="shared" si="224"/>
        <v>0.54662500000000003</v>
      </c>
      <c r="DD178" s="55">
        <f t="shared" si="224"/>
        <v>0.48188700000000001</v>
      </c>
      <c r="DE178" s="55">
        <f t="shared" si="222"/>
        <v>-0.58981899999999998</v>
      </c>
      <c r="DF178" s="55">
        <f t="shared" si="222"/>
        <v>1.0072989999999999</v>
      </c>
      <c r="DG178" s="55">
        <f t="shared" si="222"/>
        <v>-0.84797800000000001</v>
      </c>
      <c r="DI178" s="55">
        <f t="shared" ca="1" si="65"/>
        <v>0.94180900000000001</v>
      </c>
      <c r="DJ178" s="55">
        <f t="shared" ca="1" si="66"/>
        <v>-0.25933601948400004</v>
      </c>
      <c r="DK178" s="55">
        <f t="shared" ca="1" si="67"/>
        <v>-0.448786564858</v>
      </c>
      <c r="DL178" s="55">
        <f t="shared" ca="1" si="68"/>
        <v>-0.86688859289700004</v>
      </c>
      <c r="DM178" s="55">
        <f t="shared" ca="1" si="69"/>
        <v>0.52273405439499998</v>
      </c>
      <c r="DN178" s="55">
        <f t="shared" ca="1" si="70"/>
        <v>-0.18225661625100001</v>
      </c>
      <c r="DO178" s="55">
        <f t="shared" ca="1" si="71"/>
        <v>0.257292185131</v>
      </c>
      <c r="DP178" s="55">
        <f t="shared" ca="1" si="72"/>
        <v>-3.4745731000001001E-3</v>
      </c>
      <c r="DQ178" s="55">
        <f t="shared" ca="1" si="73"/>
        <v>0.781267198035</v>
      </c>
      <c r="DR178" s="55">
        <f t="shared" ca="1" si="74"/>
        <v>0.97791250049499989</v>
      </c>
      <c r="DS178" s="55">
        <f t="shared" ca="1" si="75"/>
        <v>-0.70455325912</v>
      </c>
      <c r="DT178" s="55">
        <f t="shared" ca="1" si="76"/>
        <v>-0.60655002656500001</v>
      </c>
      <c r="DU178" s="55">
        <f t="shared" ca="1" si="77"/>
        <v>0.88220333754300007</v>
      </c>
      <c r="DV178" s="55">
        <f t="shared" ca="1" si="78"/>
        <v>-0.69245914701800004</v>
      </c>
      <c r="DW178" s="55">
        <f t="shared" ca="1" si="79"/>
        <v>-0.48085896173099996</v>
      </c>
      <c r="DX178" s="55">
        <f t="shared" ca="1" si="80"/>
        <v>-0.55316427731099993</v>
      </c>
      <c r="DY178" s="55">
        <f t="shared" ca="1" si="81"/>
        <v>-0.24922906605099998</v>
      </c>
      <c r="DZ178" s="55">
        <f t="shared" ca="1" si="82"/>
        <v>0.66183535721499998</v>
      </c>
      <c r="EA178" s="55">
        <f t="shared" ca="1" si="83"/>
        <v>0.58128274310799999</v>
      </c>
      <c r="EB178" s="55">
        <f t="shared" ca="1" si="84"/>
        <v>-0.91936281079299997</v>
      </c>
      <c r="EC178" s="55">
        <f t="shared" ca="1" si="85"/>
        <v>-0.65387530344300004</v>
      </c>
      <c r="ED178" s="55">
        <f t="shared" ca="1" si="86"/>
        <v>9.9778353702E-2</v>
      </c>
      <c r="EE178" s="55">
        <f t="shared" ca="1" si="87"/>
        <v>0.44510536417900004</v>
      </c>
      <c r="EF178" s="55">
        <f t="shared" ca="1" si="88"/>
        <v>0.59291811729499999</v>
      </c>
      <c r="EG178" s="55">
        <f t="shared" ca="1" si="89"/>
        <v>-0.57288058022999999</v>
      </c>
      <c r="EH178" s="55">
        <f t="shared" ca="1" si="90"/>
        <v>-0.282752550361</v>
      </c>
      <c r="EI178" s="55">
        <f t="shared" ca="1" si="91"/>
        <v>-0.58548637942199999</v>
      </c>
      <c r="EJ178" s="55">
        <f t="shared" ca="1" si="92"/>
        <v>-0.78586620438799992</v>
      </c>
      <c r="EK178" s="55">
        <f t="shared" ca="1" si="93"/>
        <v>0.17720231284000001</v>
      </c>
      <c r="EL178" s="55">
        <f t="shared" ca="1" si="94"/>
        <v>0.11938710792900004</v>
      </c>
      <c r="EM178" s="55">
        <f t="shared" ca="1" si="95"/>
        <v>0.12000424468100002</v>
      </c>
      <c r="EN178" s="55">
        <f t="shared" ca="1" si="96"/>
        <v>-0.41172741852400002</v>
      </c>
      <c r="EO178" s="55">
        <f t="shared" ca="1" si="97"/>
        <v>-9.5217582533999978E-2</v>
      </c>
      <c r="EP178" s="55">
        <f t="shared" ca="1" si="98"/>
        <v>1.3665286677999988E-2</v>
      </c>
      <c r="EQ178" s="55">
        <f t="shared" ca="1" si="99"/>
        <v>1.358355315600001E-2</v>
      </c>
      <c r="ER178" s="55">
        <f t="shared" ca="1" si="100"/>
        <v>-0.35089882693600005</v>
      </c>
      <c r="ES178" s="55">
        <f t="shared" ca="1" si="101"/>
        <v>0.14058042889699998</v>
      </c>
      <c r="ET178" s="55">
        <f t="shared" ca="1" si="102"/>
        <v>0.75777190593800003</v>
      </c>
      <c r="EU178" s="55">
        <f t="shared" ca="1" si="103"/>
        <v>-2.7481863824999994E-2</v>
      </c>
      <c r="EV178" s="55">
        <f t="shared" ca="1" si="104"/>
        <v>0.18088282378499998</v>
      </c>
      <c r="EW178" s="55">
        <f t="shared" ca="1" si="105"/>
        <v>-0.22454016700600002</v>
      </c>
      <c r="EX178" s="55">
        <f t="shared" ca="1" si="106"/>
        <v>0.45174394978600002</v>
      </c>
      <c r="EY178" s="55">
        <f t="shared" ca="1" si="107"/>
        <v>-0.37165812456399999</v>
      </c>
      <c r="EZ178" s="55">
        <f t="shared" ca="1" si="108"/>
        <v>-0.70274901351599994</v>
      </c>
      <c r="FA178" s="55">
        <f t="shared" ca="1" si="109"/>
        <v>2.9087384746999997E-2</v>
      </c>
      <c r="FB178" s="55">
        <f t="shared" ca="1" si="110"/>
        <v>0.30992167799100001</v>
      </c>
      <c r="FC178" s="55">
        <f t="shared" ca="1" si="111"/>
        <v>0.42386743515199998</v>
      </c>
      <c r="FD178" s="55">
        <f t="shared" ca="1" si="112"/>
        <v>1.855777</v>
      </c>
      <c r="FE178" s="55">
        <f t="shared" ca="1" si="113"/>
        <v>0.22327900000000001</v>
      </c>
      <c r="FF178" s="55">
        <f t="shared" ca="1" si="114"/>
        <v>-0.75554200000000005</v>
      </c>
      <c r="FH178" s="55">
        <f t="shared" ca="1" si="115"/>
        <v>0</v>
      </c>
      <c r="FI178" s="55">
        <f t="shared" ca="1" si="207"/>
        <v>0.70727998051599994</v>
      </c>
      <c r="FJ178" s="55">
        <f t="shared" ca="1" si="208"/>
        <v>-0.303188564858</v>
      </c>
      <c r="FK178" s="55">
        <f t="shared" ca="1" si="209"/>
        <v>0.23918040710299993</v>
      </c>
      <c r="FL178" s="55">
        <f t="shared" ca="1" si="210"/>
        <v>1.2718130543949999</v>
      </c>
      <c r="FM178" s="55">
        <f t="shared" ca="1" si="211"/>
        <v>0.73712038374900002</v>
      </c>
      <c r="FN178" s="55">
        <f t="shared" ca="1" si="212"/>
        <v>-0.41062281486900004</v>
      </c>
      <c r="FO178" s="55">
        <f t="shared" ca="1" si="213"/>
        <v>0.77910142689999995</v>
      </c>
      <c r="FP178" s="55">
        <f t="shared" ca="1" si="214"/>
        <v>0.32624419803499999</v>
      </c>
      <c r="FQ178" s="55">
        <f t="shared" ca="1" si="215"/>
        <v>0.79731350049499983</v>
      </c>
      <c r="FR178" s="55">
        <f t="shared" ca="1" si="216"/>
        <v>-0.39296425911999999</v>
      </c>
      <c r="FS178" s="55">
        <f t="shared" ca="1" si="158"/>
        <v>0.73865397343500006</v>
      </c>
      <c r="FT178" s="55">
        <f t="shared" ca="1" si="159"/>
        <v>0.23203033754300006</v>
      </c>
      <c r="FU178" s="55">
        <f t="shared" ca="1" si="160"/>
        <v>-2.7120147018000029E-2</v>
      </c>
      <c r="FV178" s="55">
        <f t="shared" ca="1" si="161"/>
        <v>-0.5847069617309999</v>
      </c>
      <c r="FW178" s="55">
        <f t="shared" ca="1" si="162"/>
        <v>-0.56110727731099996</v>
      </c>
      <c r="FX178" s="55">
        <f t="shared" ca="1" si="163"/>
        <v>0.71362093394900006</v>
      </c>
      <c r="FY178" s="55">
        <f t="shared" ca="1" si="164"/>
        <v>-0.30967764278499998</v>
      </c>
      <c r="FZ178" s="55">
        <f t="shared" ca="1" si="165"/>
        <v>0.20671274310799997</v>
      </c>
      <c r="GA178" s="55">
        <f t="shared" ca="1" si="166"/>
        <v>-0.13833881079299992</v>
      </c>
      <c r="GB178" s="55">
        <f t="shared" ca="1" si="167"/>
        <v>-1.3012553034429999</v>
      </c>
      <c r="GC178" s="55">
        <f t="shared" ca="1" si="168"/>
        <v>-0.51265664629800001</v>
      </c>
      <c r="GD178" s="55">
        <f t="shared" ca="1" si="169"/>
        <v>-0.23082863582099999</v>
      </c>
      <c r="GE178" s="55">
        <f t="shared" ca="1" si="170"/>
        <v>0.27119311729500001</v>
      </c>
      <c r="GF178" s="55">
        <f t="shared" ca="1" si="171"/>
        <v>-8.5739580230000001E-2</v>
      </c>
      <c r="GG178" s="55">
        <f t="shared" ca="1" si="172"/>
        <v>0.260844449639</v>
      </c>
      <c r="GH178" s="55">
        <f t="shared" ca="1" si="173"/>
        <v>-0.10160337942199998</v>
      </c>
      <c r="GI178" s="55">
        <f t="shared" ca="1" si="174"/>
        <v>-0.98070220438799993</v>
      </c>
      <c r="GJ178" s="55">
        <f t="shared" ca="1" si="175"/>
        <v>0.50159631284000006</v>
      </c>
      <c r="GK178" s="55">
        <f t="shared" ca="1" si="176"/>
        <v>0.95597710792900004</v>
      </c>
      <c r="GL178" s="55">
        <f t="shared" ca="1" si="177"/>
        <v>-0.43988575531899998</v>
      </c>
      <c r="GM178" s="55">
        <f t="shared" ca="1" si="178"/>
        <v>0.28264158147599999</v>
      </c>
      <c r="GN178" s="55">
        <f t="shared" ca="1" si="179"/>
        <v>0.24288741746600001</v>
      </c>
      <c r="GO178" s="55">
        <f t="shared" ca="1" si="180"/>
        <v>0.30373428667800001</v>
      </c>
      <c r="GP178" s="55">
        <f t="shared" ca="1" si="181"/>
        <v>-0.109654446844</v>
      </c>
      <c r="GQ178" s="55">
        <f t="shared" ca="1" si="182"/>
        <v>0.20575717306399999</v>
      </c>
      <c r="GR178" s="55">
        <f t="shared" ca="1" si="183"/>
        <v>0.65402142889699999</v>
      </c>
      <c r="GS178" s="55">
        <f t="shared" ca="1" si="184"/>
        <v>-0.14111809406199993</v>
      </c>
      <c r="GT178" s="55">
        <f t="shared" ca="1" si="185"/>
        <v>-0.20975486382499997</v>
      </c>
      <c r="GU178" s="55">
        <f t="shared" ca="1" si="186"/>
        <v>6.4102823784999985E-2</v>
      </c>
      <c r="GV178" s="55">
        <f t="shared" ca="1" si="187"/>
        <v>0.76944883299400002</v>
      </c>
      <c r="GW178" s="55">
        <f t="shared" ca="1" si="188"/>
        <v>-0.11323505021399999</v>
      </c>
      <c r="GX178" s="55">
        <f t="shared" ca="1" si="189"/>
        <v>-0.405391124564</v>
      </c>
      <c r="GY178" s="55">
        <f t="shared" ca="1" si="190"/>
        <v>-3.1810013515999991E-2</v>
      </c>
      <c r="GZ178" s="55">
        <f t="shared" ca="1" si="191"/>
        <v>0.18244538474700001</v>
      </c>
      <c r="HA178" s="55">
        <f t="shared" ca="1" si="192"/>
        <v>0.29744567799100002</v>
      </c>
      <c r="HB178" s="55">
        <f t="shared" ca="1" si="193"/>
        <v>7.2908435151999962E-2</v>
      </c>
      <c r="HC178" s="55">
        <f t="shared" ca="1" si="194"/>
        <v>0</v>
      </c>
      <c r="HD178" s="55">
        <f t="shared" ca="1" si="195"/>
        <v>0</v>
      </c>
      <c r="HE178" s="55">
        <f t="shared" ca="1" si="196"/>
        <v>0</v>
      </c>
    </row>
    <row r="179" spans="1:213">
      <c r="A179" s="27">
        <v>42</v>
      </c>
      <c r="B179" s="27">
        <v>54</v>
      </c>
      <c r="C179" s="27">
        <v>0.40779900000000002</v>
      </c>
      <c r="D179" s="27">
        <v>0.43171700000000002</v>
      </c>
      <c r="E179" s="27">
        <v>35</v>
      </c>
      <c r="F179" s="27">
        <f t="shared" ca="1" si="59"/>
        <v>46</v>
      </c>
      <c r="G179" s="27">
        <f t="shared" si="221"/>
        <v>0</v>
      </c>
      <c r="H179" s="27" t="str">
        <f t="shared" si="60"/>
        <v>Sim</v>
      </c>
      <c r="I179" s="27">
        <f t="shared" si="61"/>
        <v>0</v>
      </c>
      <c r="J179" s="37">
        <f t="shared" si="62"/>
        <v>1</v>
      </c>
      <c r="K179" s="55">
        <f t="shared" si="63"/>
        <v>-0.86982300000000001</v>
      </c>
      <c r="L179" s="55">
        <f t="shared" si="197"/>
        <v>1.889802</v>
      </c>
      <c r="M179" s="55">
        <f t="shared" si="198"/>
        <v>-1.1225270000000001</v>
      </c>
      <c r="N179" s="55">
        <f t="shared" si="199"/>
        <v>-0.34977599999999998</v>
      </c>
      <c r="O179" s="55">
        <f t="shared" si="200"/>
        <v>-0.80473399999999995</v>
      </c>
      <c r="P179" s="55">
        <f t="shared" si="201"/>
        <v>0.29142800000000002</v>
      </c>
      <c r="Q179" s="55">
        <f t="shared" si="202"/>
        <v>0.75990800000000003</v>
      </c>
      <c r="R179" s="55">
        <f t="shared" si="203"/>
        <v>1.163189</v>
      </c>
      <c r="S179" s="55">
        <f t="shared" si="204"/>
        <v>-0.66398000000000001</v>
      </c>
      <c r="T179" s="55">
        <f t="shared" si="205"/>
        <v>0.487176</v>
      </c>
      <c r="U179" s="55">
        <f t="shared" si="206"/>
        <v>-0.19075700000000001</v>
      </c>
      <c r="V179" s="55">
        <f t="shared" si="116"/>
        <v>0.50197999999999998</v>
      </c>
      <c r="W179" s="55">
        <f t="shared" si="117"/>
        <v>0.157609</v>
      </c>
      <c r="X179" s="55">
        <f t="shared" si="118"/>
        <v>-1.1838409999999999</v>
      </c>
      <c r="Y179" s="55">
        <f t="shared" si="119"/>
        <v>1.0614680000000001</v>
      </c>
      <c r="Z179" s="55">
        <f t="shared" si="120"/>
        <v>0.30559799999999998</v>
      </c>
      <c r="AA179" s="55">
        <f t="shared" si="121"/>
        <v>-0.13653499999999999</v>
      </c>
      <c r="AB179" s="55">
        <f t="shared" si="122"/>
        <v>0.31205899999999998</v>
      </c>
      <c r="AC179" s="55">
        <f t="shared" si="123"/>
        <v>0.46628199999999997</v>
      </c>
      <c r="AD179" s="55">
        <f t="shared" si="124"/>
        <v>0.21223500000000001</v>
      </c>
      <c r="AE179" s="55">
        <f t="shared" si="125"/>
        <v>9.8764000000000005E-2</v>
      </c>
      <c r="AF179" s="55">
        <f t="shared" si="126"/>
        <v>0.25675900000000001</v>
      </c>
      <c r="AG179" s="55">
        <f t="shared" si="127"/>
        <v>0.34425899999999998</v>
      </c>
      <c r="AH179" s="55">
        <f t="shared" si="128"/>
        <v>1.039768</v>
      </c>
      <c r="AI179" s="55">
        <f t="shared" si="129"/>
        <v>-1.5011E-2</v>
      </c>
      <c r="AJ179" s="55">
        <f t="shared" si="130"/>
        <v>-7.1163000000000004E-2</v>
      </c>
      <c r="AK179" s="55">
        <f t="shared" si="131"/>
        <v>-0.35044500000000001</v>
      </c>
      <c r="AL179" s="55">
        <f t="shared" si="132"/>
        <v>-0.37630000000000002</v>
      </c>
      <c r="AM179" s="55">
        <f t="shared" si="133"/>
        <v>0.85758000000000001</v>
      </c>
      <c r="AN179" s="55">
        <f t="shared" si="134"/>
        <v>-0.37266700000000003</v>
      </c>
      <c r="AO179" s="55">
        <f t="shared" si="135"/>
        <v>9.6590999999999996E-2</v>
      </c>
      <c r="AP179" s="55">
        <f t="shared" si="136"/>
        <v>-0.49626199999999998</v>
      </c>
      <c r="AQ179" s="55">
        <f t="shared" si="137"/>
        <v>-0.49263200000000001</v>
      </c>
      <c r="AR179" s="55">
        <f t="shared" si="138"/>
        <v>0.76931700000000003</v>
      </c>
      <c r="AS179" s="55">
        <f t="shared" si="139"/>
        <v>0.28421000000000002</v>
      </c>
      <c r="AT179" s="55">
        <f t="shared" si="140"/>
        <v>-0.15013099999999999</v>
      </c>
      <c r="AU179" s="55">
        <f t="shared" si="141"/>
        <v>-0.69565399999999999</v>
      </c>
      <c r="AV179" s="55">
        <f t="shared" si="142"/>
        <v>-0.11658499999999999</v>
      </c>
      <c r="AW179" s="55">
        <f t="shared" si="143"/>
        <v>-0.35742600000000002</v>
      </c>
      <c r="AX179" s="55">
        <f t="shared" si="144"/>
        <v>0.65850399999999998</v>
      </c>
      <c r="AY179" s="55">
        <f t="shared" si="145"/>
        <v>0.43789099999999997</v>
      </c>
      <c r="AZ179" s="55">
        <f t="shared" si="146"/>
        <v>-6.4140000000000003E-2</v>
      </c>
      <c r="BA179" s="55">
        <f t="shared" si="147"/>
        <v>0.29995500000000003</v>
      </c>
      <c r="BB179" s="55">
        <f t="shared" si="148"/>
        <v>-4.8040000000000001E-3</v>
      </c>
      <c r="BC179" s="55">
        <f t="shared" si="149"/>
        <v>-0.124538</v>
      </c>
      <c r="BD179" s="55">
        <f t="shared" si="150"/>
        <v>-1.383731</v>
      </c>
      <c r="BE179" s="55">
        <f t="shared" si="151"/>
        <v>-0.356215</v>
      </c>
      <c r="BF179" s="55">
        <f t="shared" si="152"/>
        <v>-0.56691000000000003</v>
      </c>
      <c r="BG179" s="55">
        <f t="shared" si="153"/>
        <v>0.491645</v>
      </c>
      <c r="BH179" s="55">
        <f t="shared" si="154"/>
        <v>0.27995199999999998</v>
      </c>
      <c r="BJ179" s="55">
        <f t="shared" si="225"/>
        <v>0.427541</v>
      </c>
      <c r="BK179" s="55">
        <f t="shared" si="225"/>
        <v>0.88970300000000002</v>
      </c>
      <c r="BL179" s="55">
        <f t="shared" si="225"/>
        <v>1.0445359999999999</v>
      </c>
      <c r="BM179" s="55">
        <f t="shared" si="225"/>
        <v>0.94583399999999995</v>
      </c>
      <c r="BN179" s="55">
        <f t="shared" si="225"/>
        <v>0.93252000000000002</v>
      </c>
      <c r="BO179" s="55">
        <f t="shared" si="225"/>
        <v>-0.110526</v>
      </c>
      <c r="BP179" s="55">
        <f t="shared" si="225"/>
        <v>0.421041</v>
      </c>
      <c r="BQ179" s="55">
        <f t="shared" si="225"/>
        <v>0.74219599999999997</v>
      </c>
      <c r="BR179" s="55">
        <f t="shared" si="225"/>
        <v>0.85197999999999996</v>
      </c>
      <c r="BS179" s="55">
        <f t="shared" si="225"/>
        <v>-0.60107299999999997</v>
      </c>
      <c r="BT179" s="55">
        <f t="shared" si="225"/>
        <v>0.78763000000000005</v>
      </c>
      <c r="BU179" s="55">
        <f t="shared" si="225"/>
        <v>-0.54883300000000002</v>
      </c>
      <c r="BV179" s="55">
        <f t="shared" si="225"/>
        <v>-9.8946999999999993E-2</v>
      </c>
      <c r="BW179" s="55">
        <f t="shared" si="225"/>
        <v>0.63033099999999997</v>
      </c>
      <c r="BX179" s="55">
        <f t="shared" si="225"/>
        <v>0.296014</v>
      </c>
      <c r="BY179" s="55">
        <f t="shared" si="225"/>
        <v>0.86529599999999995</v>
      </c>
      <c r="BZ179" s="55">
        <f t="shared" si="223"/>
        <v>-0.46758699999999997</v>
      </c>
      <c r="CA179" s="55">
        <f t="shared" si="223"/>
        <v>-0.76345799999999997</v>
      </c>
      <c r="CB179" s="55">
        <f t="shared" si="223"/>
        <v>0.84248100000000004</v>
      </c>
      <c r="CC179" s="55">
        <f t="shared" si="223"/>
        <v>0.78327899999999995</v>
      </c>
      <c r="CD179" s="55">
        <f t="shared" si="223"/>
        <v>0.61870999999999998</v>
      </c>
      <c r="CE179" s="55">
        <f t="shared" si="223"/>
        <v>1.1808259999999999</v>
      </c>
      <c r="CF179" s="55">
        <f t="shared" si="223"/>
        <v>-0.899088</v>
      </c>
      <c r="CG179" s="55">
        <f t="shared" si="223"/>
        <v>-0.46016899999999999</v>
      </c>
      <c r="CH179" s="55">
        <f t="shared" si="223"/>
        <v>-0.48933199999999999</v>
      </c>
      <c r="CI179" s="55">
        <f t="shared" si="223"/>
        <v>-0.59450599999999998</v>
      </c>
      <c r="CJ179" s="55">
        <f t="shared" si="223"/>
        <v>-0.95906599999999997</v>
      </c>
      <c r="CK179" s="55">
        <f t="shared" si="223"/>
        <v>-0.187248</v>
      </c>
      <c r="CL179" s="55">
        <f t="shared" si="223"/>
        <v>-0.77245200000000003</v>
      </c>
      <c r="CM179" s="55">
        <f t="shared" si="223"/>
        <v>0.42386499999999999</v>
      </c>
      <c r="CN179" s="55">
        <f t="shared" si="223"/>
        <v>0.71424500000000002</v>
      </c>
      <c r="CO179" s="55">
        <f t="shared" si="224"/>
        <v>3.8719999999999997E-2</v>
      </c>
      <c r="CP179" s="55">
        <f t="shared" si="224"/>
        <v>-1.5256479999999999</v>
      </c>
      <c r="CQ179" s="55">
        <f t="shared" si="224"/>
        <v>0.554342</v>
      </c>
      <c r="CR179" s="55">
        <f t="shared" si="224"/>
        <v>-0.86659900000000001</v>
      </c>
      <c r="CS179" s="55">
        <f t="shared" si="224"/>
        <v>1.9007750000000001</v>
      </c>
      <c r="CT179" s="55">
        <f t="shared" si="224"/>
        <v>0.70712299999999995</v>
      </c>
      <c r="CU179" s="55">
        <f t="shared" si="224"/>
        <v>0.26419999999999999</v>
      </c>
      <c r="CV179" s="55">
        <f t="shared" si="224"/>
        <v>0.85240400000000005</v>
      </c>
      <c r="CW179" s="55">
        <f t="shared" si="224"/>
        <v>0.90576000000000001</v>
      </c>
      <c r="CX179" s="55">
        <f t="shared" si="224"/>
        <v>-0.61505100000000001</v>
      </c>
      <c r="CY179" s="55">
        <f t="shared" si="224"/>
        <v>0.29700199999999999</v>
      </c>
      <c r="CZ179" s="55">
        <f t="shared" si="224"/>
        <v>0.485425</v>
      </c>
      <c r="DA179" s="55">
        <f t="shared" si="224"/>
        <v>-0.17513000000000001</v>
      </c>
      <c r="DB179" s="55">
        <f t="shared" si="224"/>
        <v>0.58527099999999999</v>
      </c>
      <c r="DC179" s="55">
        <f t="shared" si="224"/>
        <v>-3.61E-2</v>
      </c>
      <c r="DD179" s="55">
        <f t="shared" si="224"/>
        <v>-0.11219899999999999</v>
      </c>
      <c r="DE179" s="55">
        <f t="shared" si="222"/>
        <v>-0.138653</v>
      </c>
      <c r="DF179" s="55">
        <f t="shared" si="222"/>
        <v>-0.65617999999999999</v>
      </c>
      <c r="DG179" s="55">
        <f t="shared" si="222"/>
        <v>-9.8567000000000002E-2</v>
      </c>
      <c r="DI179" s="55">
        <f t="shared" ca="1" si="65"/>
        <v>-0.86982300000000001</v>
      </c>
      <c r="DJ179" s="55">
        <f t="shared" ca="1" si="66"/>
        <v>1.889802</v>
      </c>
      <c r="DK179" s="55">
        <f t="shared" ca="1" si="67"/>
        <v>-1.1225270000000001</v>
      </c>
      <c r="DL179" s="55">
        <f t="shared" ca="1" si="68"/>
        <v>-0.34977599999999998</v>
      </c>
      <c r="DM179" s="55">
        <f t="shared" ca="1" si="69"/>
        <v>-0.80473399999999995</v>
      </c>
      <c r="DN179" s="55">
        <f t="shared" ca="1" si="70"/>
        <v>0.29142800000000002</v>
      </c>
      <c r="DO179" s="55">
        <f t="shared" ca="1" si="71"/>
        <v>0.75990800000000003</v>
      </c>
      <c r="DP179" s="55">
        <f t="shared" ca="1" si="72"/>
        <v>1.163189</v>
      </c>
      <c r="DQ179" s="55">
        <f t="shared" ca="1" si="73"/>
        <v>-0.66398000000000001</v>
      </c>
      <c r="DR179" s="55">
        <f t="shared" ca="1" si="74"/>
        <v>0.487176</v>
      </c>
      <c r="DS179" s="55">
        <f t="shared" ca="1" si="75"/>
        <v>-0.19075700000000001</v>
      </c>
      <c r="DT179" s="55">
        <f t="shared" ca="1" si="76"/>
        <v>0.50197999999999998</v>
      </c>
      <c r="DU179" s="55">
        <f t="shared" ca="1" si="77"/>
        <v>0.157609</v>
      </c>
      <c r="DV179" s="55">
        <f t="shared" ca="1" si="78"/>
        <v>-1.1838409999999999</v>
      </c>
      <c r="DW179" s="55">
        <f t="shared" ca="1" si="79"/>
        <v>1.0614680000000001</v>
      </c>
      <c r="DX179" s="55">
        <f t="shared" ca="1" si="80"/>
        <v>0.30559799999999998</v>
      </c>
      <c r="DY179" s="55">
        <f t="shared" ca="1" si="81"/>
        <v>-0.13653499999999999</v>
      </c>
      <c r="DZ179" s="55">
        <f t="shared" ca="1" si="82"/>
        <v>0.31205899999999998</v>
      </c>
      <c r="EA179" s="55">
        <f t="shared" ca="1" si="83"/>
        <v>0.46628199999999997</v>
      </c>
      <c r="EB179" s="55">
        <f t="shared" ca="1" si="84"/>
        <v>0.21223500000000001</v>
      </c>
      <c r="EC179" s="55">
        <f t="shared" ca="1" si="85"/>
        <v>9.8764000000000005E-2</v>
      </c>
      <c r="ED179" s="55">
        <f t="shared" ca="1" si="86"/>
        <v>0.25675900000000001</v>
      </c>
      <c r="EE179" s="55">
        <f t="shared" ca="1" si="87"/>
        <v>0.34425899999999998</v>
      </c>
      <c r="EF179" s="55">
        <f t="shared" ca="1" si="88"/>
        <v>1.039768</v>
      </c>
      <c r="EG179" s="55">
        <f t="shared" ca="1" si="89"/>
        <v>-1.5011E-2</v>
      </c>
      <c r="EH179" s="55">
        <f t="shared" ca="1" si="90"/>
        <v>-7.1163000000000004E-2</v>
      </c>
      <c r="EI179" s="55">
        <f t="shared" ca="1" si="91"/>
        <v>-0.35044500000000001</v>
      </c>
      <c r="EJ179" s="55">
        <f t="shared" ca="1" si="92"/>
        <v>-0.37630000000000002</v>
      </c>
      <c r="EK179" s="55">
        <f t="shared" ca="1" si="93"/>
        <v>0.85758000000000001</v>
      </c>
      <c r="EL179" s="55">
        <f t="shared" ca="1" si="94"/>
        <v>-0.37266700000000003</v>
      </c>
      <c r="EM179" s="55">
        <f t="shared" ca="1" si="95"/>
        <v>9.6590999999999996E-2</v>
      </c>
      <c r="EN179" s="55">
        <f t="shared" ca="1" si="96"/>
        <v>-0.49626199999999998</v>
      </c>
      <c r="EO179" s="55">
        <f t="shared" ca="1" si="97"/>
        <v>-0.49263200000000001</v>
      </c>
      <c r="EP179" s="55">
        <f t="shared" ca="1" si="98"/>
        <v>0.76931700000000003</v>
      </c>
      <c r="EQ179" s="55">
        <f t="shared" ca="1" si="99"/>
        <v>0.28421000000000002</v>
      </c>
      <c r="ER179" s="55">
        <f t="shared" ca="1" si="100"/>
        <v>1.0153640143980001</v>
      </c>
      <c r="ES179" s="55">
        <f t="shared" ca="1" si="101"/>
        <v>0.10152032189099991</v>
      </c>
      <c r="ET179" s="55">
        <f t="shared" ca="1" si="102"/>
        <v>9.9808642154999988E-2</v>
      </c>
      <c r="EU179" s="55">
        <f t="shared" ca="1" si="103"/>
        <v>0.33009982188999998</v>
      </c>
      <c r="EV179" s="55">
        <f t="shared" ca="1" si="104"/>
        <v>0.79901538144799999</v>
      </c>
      <c r="EW179" s="55">
        <f t="shared" ca="1" si="105"/>
        <v>-0.16047803858600002</v>
      </c>
      <c r="EX179" s="55">
        <f t="shared" ca="1" si="106"/>
        <v>0.14109085918600001</v>
      </c>
      <c r="EY179" s="55">
        <f t="shared" ca="1" si="107"/>
        <v>0.40535444800999998</v>
      </c>
      <c r="EZ179" s="55">
        <f t="shared" ca="1" si="108"/>
        <v>-0.101597370258</v>
      </c>
      <c r="FA179" s="55">
        <f t="shared" ca="1" si="109"/>
        <v>0.278834387947</v>
      </c>
      <c r="FB179" s="55">
        <f t="shared" ca="1" si="110"/>
        <v>-0.61789521242699996</v>
      </c>
      <c r="FC179" s="55">
        <f t="shared" ca="1" si="111"/>
        <v>-0.356215</v>
      </c>
      <c r="FD179" s="55">
        <f t="shared" ca="1" si="112"/>
        <v>-0.56691000000000003</v>
      </c>
      <c r="FE179" s="55">
        <f t="shared" ca="1" si="113"/>
        <v>0.491645</v>
      </c>
      <c r="FF179" s="55">
        <f t="shared" ca="1" si="114"/>
        <v>0.27995199999999998</v>
      </c>
      <c r="FH179" s="55">
        <f t="shared" ca="1" si="115"/>
        <v>0</v>
      </c>
      <c r="FI179" s="55">
        <f t="shared" ca="1" si="207"/>
        <v>0</v>
      </c>
      <c r="FJ179" s="55">
        <f t="shared" ca="1" si="208"/>
        <v>0</v>
      </c>
      <c r="FK179" s="55">
        <f t="shared" ca="1" si="209"/>
        <v>0</v>
      </c>
      <c r="FL179" s="55">
        <f t="shared" ca="1" si="210"/>
        <v>0</v>
      </c>
      <c r="FM179" s="55">
        <f t="shared" ca="1" si="211"/>
        <v>0</v>
      </c>
      <c r="FN179" s="55">
        <f t="shared" ca="1" si="212"/>
        <v>0</v>
      </c>
      <c r="FO179" s="55">
        <f t="shared" ca="1" si="213"/>
        <v>0</v>
      </c>
      <c r="FP179" s="55">
        <f t="shared" ca="1" si="214"/>
        <v>0</v>
      </c>
      <c r="FQ179" s="55">
        <f t="shared" ca="1" si="215"/>
        <v>0</v>
      </c>
      <c r="FR179" s="55">
        <f t="shared" ca="1" si="216"/>
        <v>0</v>
      </c>
      <c r="FS179" s="55">
        <f t="shared" ca="1" si="158"/>
        <v>0</v>
      </c>
      <c r="FT179" s="55">
        <f t="shared" ca="1" si="159"/>
        <v>0</v>
      </c>
      <c r="FU179" s="55">
        <f t="shared" ca="1" si="160"/>
        <v>0</v>
      </c>
      <c r="FV179" s="55">
        <f t="shared" ca="1" si="161"/>
        <v>0</v>
      </c>
      <c r="FW179" s="55">
        <f t="shared" ca="1" si="162"/>
        <v>0</v>
      </c>
      <c r="FX179" s="55">
        <f t="shared" ca="1" si="163"/>
        <v>0</v>
      </c>
      <c r="FY179" s="55">
        <f t="shared" ca="1" si="164"/>
        <v>0</v>
      </c>
      <c r="FZ179" s="55">
        <f t="shared" ca="1" si="165"/>
        <v>0</v>
      </c>
      <c r="GA179" s="55">
        <f t="shared" ca="1" si="166"/>
        <v>0</v>
      </c>
      <c r="GB179" s="55">
        <f t="shared" ca="1" si="167"/>
        <v>0</v>
      </c>
      <c r="GC179" s="55">
        <f t="shared" ca="1" si="168"/>
        <v>0</v>
      </c>
      <c r="GD179" s="55">
        <f t="shared" ca="1" si="169"/>
        <v>0</v>
      </c>
      <c r="GE179" s="55">
        <f t="shared" ca="1" si="170"/>
        <v>0</v>
      </c>
      <c r="GF179" s="55">
        <f t="shared" ca="1" si="171"/>
        <v>0</v>
      </c>
      <c r="GG179" s="55">
        <f t="shared" ca="1" si="172"/>
        <v>0</v>
      </c>
      <c r="GH179" s="55">
        <f t="shared" ca="1" si="173"/>
        <v>0</v>
      </c>
      <c r="GI179" s="55">
        <f t="shared" ca="1" si="174"/>
        <v>0</v>
      </c>
      <c r="GJ179" s="55">
        <f t="shared" ca="1" si="175"/>
        <v>0</v>
      </c>
      <c r="GK179" s="55">
        <f t="shared" ca="1" si="176"/>
        <v>0</v>
      </c>
      <c r="GL179" s="55">
        <f t="shared" ca="1" si="177"/>
        <v>0</v>
      </c>
      <c r="GM179" s="55">
        <f t="shared" ca="1" si="178"/>
        <v>0</v>
      </c>
      <c r="GN179" s="55">
        <f t="shared" ca="1" si="179"/>
        <v>0</v>
      </c>
      <c r="GO179" s="55">
        <f t="shared" ca="1" si="180"/>
        <v>0</v>
      </c>
      <c r="GP179" s="55">
        <f t="shared" ca="1" si="181"/>
        <v>0</v>
      </c>
      <c r="GQ179" s="55">
        <f t="shared" ca="1" si="182"/>
        <v>1.1654950143980001</v>
      </c>
      <c r="GR179" s="55">
        <f t="shared" ca="1" si="183"/>
        <v>0.7971743218909999</v>
      </c>
      <c r="GS179" s="55">
        <f t="shared" ca="1" si="184"/>
        <v>0.21639364215499998</v>
      </c>
      <c r="GT179" s="55">
        <f t="shared" ca="1" si="185"/>
        <v>0.68752582189</v>
      </c>
      <c r="GU179" s="55">
        <f t="shared" ca="1" si="186"/>
        <v>0.14051138144800002</v>
      </c>
      <c r="GV179" s="55">
        <f t="shared" ca="1" si="187"/>
        <v>-0.59836903858599999</v>
      </c>
      <c r="GW179" s="55">
        <f t="shared" ca="1" si="188"/>
        <v>0.20523085918600001</v>
      </c>
      <c r="GX179" s="55">
        <f t="shared" ca="1" si="189"/>
        <v>0.10539944800999995</v>
      </c>
      <c r="GY179" s="55">
        <f t="shared" ca="1" si="190"/>
        <v>-9.6793370258E-2</v>
      </c>
      <c r="GZ179" s="55">
        <f t="shared" ca="1" si="191"/>
        <v>0.40337238794699998</v>
      </c>
      <c r="HA179" s="55">
        <f t="shared" ca="1" si="192"/>
        <v>0.76583578757300008</v>
      </c>
      <c r="HB179" s="55">
        <f t="shared" ca="1" si="193"/>
        <v>0</v>
      </c>
      <c r="HC179" s="55">
        <f t="shared" ca="1" si="194"/>
        <v>0</v>
      </c>
      <c r="HD179" s="55">
        <f t="shared" ca="1" si="195"/>
        <v>0</v>
      </c>
      <c r="HE179" s="55">
        <f t="shared" ca="1" si="196"/>
        <v>0</v>
      </c>
    </row>
    <row r="180" spans="1:213">
      <c r="A180" s="27">
        <v>43</v>
      </c>
      <c r="B180" s="27">
        <v>49</v>
      </c>
      <c r="C180" s="27">
        <v>0.68554599999999999</v>
      </c>
      <c r="D180" s="27">
        <v>0.37151400000000001</v>
      </c>
      <c r="E180" s="27">
        <v>22</v>
      </c>
      <c r="F180" s="27">
        <f t="shared" ca="1" si="59"/>
        <v>39</v>
      </c>
      <c r="G180" s="27">
        <f t="shared" si="221"/>
        <v>0</v>
      </c>
      <c r="H180" s="27" t="str">
        <f t="shared" si="60"/>
        <v>Sim</v>
      </c>
      <c r="I180" s="27">
        <f t="shared" si="61"/>
        <v>0</v>
      </c>
      <c r="J180" s="37">
        <f t="shared" si="62"/>
        <v>1</v>
      </c>
      <c r="K180" s="55">
        <f t="shared" si="63"/>
        <v>1.440941</v>
      </c>
      <c r="L180" s="55">
        <f t="shared" si="197"/>
        <v>1.299329</v>
      </c>
      <c r="M180" s="55">
        <f t="shared" si="198"/>
        <v>0.281916</v>
      </c>
      <c r="N180" s="55">
        <f t="shared" si="199"/>
        <v>-0.62502599999999997</v>
      </c>
      <c r="O180" s="55">
        <f t="shared" si="200"/>
        <v>0.87468100000000004</v>
      </c>
      <c r="P180" s="55">
        <f t="shared" si="201"/>
        <v>0.97413799999999995</v>
      </c>
      <c r="Q180" s="55">
        <f t="shared" si="202"/>
        <v>0.825268</v>
      </c>
      <c r="R180" s="55">
        <f t="shared" si="203"/>
        <v>0.43290200000000001</v>
      </c>
      <c r="S180" s="55">
        <f t="shared" si="204"/>
        <v>0.28018700000000002</v>
      </c>
      <c r="T180" s="55">
        <f t="shared" si="205"/>
        <v>0.259573</v>
      </c>
      <c r="U180" s="55">
        <f t="shared" si="206"/>
        <v>1.138341</v>
      </c>
      <c r="V180" s="55">
        <f t="shared" si="116"/>
        <v>-9.8521999999999998E-2</v>
      </c>
      <c r="W180" s="55">
        <f t="shared" si="117"/>
        <v>0.94133299999999998</v>
      </c>
      <c r="X180" s="55">
        <f t="shared" si="118"/>
        <v>-0.896123</v>
      </c>
      <c r="Y180" s="55">
        <f t="shared" si="119"/>
        <v>1.4025479999999999</v>
      </c>
      <c r="Z180" s="55">
        <f t="shared" si="120"/>
        <v>8.7759000000000004E-2</v>
      </c>
      <c r="AA180" s="55">
        <f t="shared" si="121"/>
        <v>-1.012005</v>
      </c>
      <c r="AB180" s="55">
        <f t="shared" si="122"/>
        <v>0.766428</v>
      </c>
      <c r="AC180" s="55">
        <f t="shared" si="123"/>
        <v>-0.20749899999999999</v>
      </c>
      <c r="AD180" s="55">
        <f t="shared" si="124"/>
        <v>-6.4310000000000001E-3</v>
      </c>
      <c r="AE180" s="55">
        <f t="shared" si="125"/>
        <v>0.56614100000000001</v>
      </c>
      <c r="AF180" s="55">
        <f t="shared" si="126"/>
        <v>-0.225073</v>
      </c>
      <c r="AG180" s="55">
        <f t="shared" si="127"/>
        <v>0.74898699999999996</v>
      </c>
      <c r="AH180" s="55">
        <f t="shared" si="128"/>
        <v>-0.57152199999999997</v>
      </c>
      <c r="AI180" s="55">
        <f t="shared" si="129"/>
        <v>-0.55666499999999997</v>
      </c>
      <c r="AJ180" s="55">
        <f t="shared" si="130"/>
        <v>0.74126899999999996</v>
      </c>
      <c r="AK180" s="55">
        <f t="shared" si="131"/>
        <v>-0.82163900000000001</v>
      </c>
      <c r="AL180" s="55">
        <f t="shared" si="132"/>
        <v>1.5381590000000001</v>
      </c>
      <c r="AM180" s="55">
        <f t="shared" si="133"/>
        <v>9.2231999999999995E-2</v>
      </c>
      <c r="AN180" s="55">
        <f t="shared" si="134"/>
        <v>0.19169600000000001</v>
      </c>
      <c r="AO180" s="55">
        <f t="shared" si="135"/>
        <v>-0.69573300000000005</v>
      </c>
      <c r="AP180" s="55">
        <f t="shared" si="136"/>
        <v>0.218058</v>
      </c>
      <c r="AQ180" s="55">
        <f t="shared" si="137"/>
        <v>-2.3509999999999998E-3</v>
      </c>
      <c r="AR180" s="55">
        <f t="shared" si="138"/>
        <v>0.63448000000000004</v>
      </c>
      <c r="AS180" s="55">
        <f t="shared" si="139"/>
        <v>-0.47769400000000001</v>
      </c>
      <c r="AT180" s="55">
        <f t="shared" si="140"/>
        <v>0.57117300000000004</v>
      </c>
      <c r="AU180" s="55">
        <f t="shared" si="141"/>
        <v>-0.908304</v>
      </c>
      <c r="AV180" s="55">
        <f t="shared" si="142"/>
        <v>-1.360957</v>
      </c>
      <c r="AW180" s="55">
        <f t="shared" si="143"/>
        <v>-8.5694000000000006E-2</v>
      </c>
      <c r="AX180" s="55">
        <f t="shared" si="144"/>
        <v>0.87209899999999996</v>
      </c>
      <c r="AY180" s="55">
        <f t="shared" si="145"/>
        <v>-0.53004499999999999</v>
      </c>
      <c r="AZ180" s="55">
        <f t="shared" si="146"/>
        <v>-0.35658200000000001</v>
      </c>
      <c r="BA180" s="55">
        <f t="shared" si="147"/>
        <v>0.675705</v>
      </c>
      <c r="BB180" s="55">
        <f t="shared" si="148"/>
        <v>-0.60852499999999998</v>
      </c>
      <c r="BC180" s="55">
        <f t="shared" si="149"/>
        <v>0.52091600000000005</v>
      </c>
      <c r="BD180" s="55">
        <f t="shared" si="150"/>
        <v>0.99195999999999995</v>
      </c>
      <c r="BE180" s="55">
        <f t="shared" si="151"/>
        <v>-0.19673099999999999</v>
      </c>
      <c r="BF180" s="55">
        <f t="shared" si="152"/>
        <v>-0.50486299999999995</v>
      </c>
      <c r="BG180" s="55">
        <f t="shared" si="153"/>
        <v>-0.63707100000000005</v>
      </c>
      <c r="BH180" s="55">
        <f t="shared" si="154"/>
        <v>0.184058</v>
      </c>
      <c r="BJ180" s="55">
        <f t="shared" si="225"/>
        <v>0.14165700000000001</v>
      </c>
      <c r="BK180" s="55">
        <f t="shared" si="225"/>
        <v>0.93150100000000002</v>
      </c>
      <c r="BL180" s="55">
        <f t="shared" si="225"/>
        <v>0.21973599999999999</v>
      </c>
      <c r="BM180" s="55">
        <f t="shared" si="225"/>
        <v>8.7349999999999997E-2</v>
      </c>
      <c r="BN180" s="55">
        <f t="shared" si="225"/>
        <v>0.66057299999999997</v>
      </c>
      <c r="BO180" s="55">
        <f t="shared" si="225"/>
        <v>0.32617000000000002</v>
      </c>
      <c r="BP180" s="55">
        <f t="shared" si="225"/>
        <v>0.486794</v>
      </c>
      <c r="BQ180" s="55">
        <f t="shared" si="225"/>
        <v>-0.60062700000000002</v>
      </c>
      <c r="BR180" s="55">
        <f t="shared" si="225"/>
        <v>1.7281930000000001</v>
      </c>
      <c r="BS180" s="55">
        <f t="shared" si="225"/>
        <v>1.279531</v>
      </c>
      <c r="BT180" s="55">
        <f t="shared" si="225"/>
        <v>-0.37542500000000001</v>
      </c>
      <c r="BU180" s="55">
        <f t="shared" si="225"/>
        <v>-0.86995599999999995</v>
      </c>
      <c r="BV180" s="55">
        <f t="shared" si="225"/>
        <v>-0.88975000000000004</v>
      </c>
      <c r="BW180" s="55">
        <f t="shared" si="225"/>
        <v>-1.1213439999999999</v>
      </c>
      <c r="BX180" s="55">
        <f t="shared" si="225"/>
        <v>1.2563500000000001</v>
      </c>
      <c r="BY180" s="55">
        <f t="shared" si="225"/>
        <v>0.63623399999999997</v>
      </c>
      <c r="BZ180" s="55">
        <f t="shared" si="223"/>
        <v>0.55337499999999995</v>
      </c>
      <c r="CA180" s="55">
        <f t="shared" si="223"/>
        <v>-0.316774</v>
      </c>
      <c r="CB180" s="55">
        <f t="shared" si="223"/>
        <v>-0.57559000000000005</v>
      </c>
      <c r="CC180" s="55">
        <f t="shared" si="223"/>
        <v>-0.77202599999999999</v>
      </c>
      <c r="CD180" s="55">
        <f t="shared" si="223"/>
        <v>-0.78446899999999997</v>
      </c>
      <c r="CE180" s="55">
        <f t="shared" si="223"/>
        <v>0.47545100000000001</v>
      </c>
      <c r="CF180" s="55">
        <f t="shared" si="223"/>
        <v>0.97257099999999996</v>
      </c>
      <c r="CG180" s="55">
        <f t="shared" si="223"/>
        <v>0.81458900000000001</v>
      </c>
      <c r="CH180" s="55">
        <f t="shared" si="223"/>
        <v>0.34436099999999997</v>
      </c>
      <c r="CI180" s="55">
        <f t="shared" si="223"/>
        <v>4.1963E-2</v>
      </c>
      <c r="CJ180" s="55">
        <f t="shared" si="223"/>
        <v>0.81816999999999995</v>
      </c>
      <c r="CK180" s="55">
        <f t="shared" si="223"/>
        <v>0.49418299999999998</v>
      </c>
      <c r="CL180" s="55">
        <f t="shared" si="223"/>
        <v>-0.74974099999999999</v>
      </c>
      <c r="CM180" s="55">
        <f t="shared" si="223"/>
        <v>-1.1178939999999999</v>
      </c>
      <c r="CN180" s="55">
        <f t="shared" si="223"/>
        <v>1.0275810000000001</v>
      </c>
      <c r="CO180" s="55">
        <f t="shared" si="224"/>
        <v>0.18726499999999999</v>
      </c>
      <c r="CP180" s="55">
        <f t="shared" si="224"/>
        <v>-0.46878799999999998</v>
      </c>
      <c r="CQ180" s="55">
        <f t="shared" si="224"/>
        <v>0.21907799999999999</v>
      </c>
      <c r="CR180" s="55">
        <f t="shared" si="224"/>
        <v>0.65311699999999995</v>
      </c>
      <c r="CS180" s="55">
        <f t="shared" si="224"/>
        <v>-0.532003</v>
      </c>
      <c r="CT180" s="55">
        <f t="shared" si="224"/>
        <v>0.80649400000000004</v>
      </c>
      <c r="CU180" s="55">
        <f t="shared" si="224"/>
        <v>-0.388903</v>
      </c>
      <c r="CV180" s="55">
        <f t="shared" si="224"/>
        <v>-0.21298</v>
      </c>
      <c r="CW180" s="55">
        <f t="shared" si="224"/>
        <v>-0.33707300000000001</v>
      </c>
      <c r="CX180" s="55">
        <f t="shared" si="224"/>
        <v>-1.7750000000000001E-3</v>
      </c>
      <c r="CY180" s="55">
        <f t="shared" si="224"/>
        <v>-0.43126399999999998</v>
      </c>
      <c r="CZ180" s="55">
        <f t="shared" si="224"/>
        <v>0.65154900000000004</v>
      </c>
      <c r="DA180" s="55">
        <f t="shared" si="224"/>
        <v>-0.22847300000000001</v>
      </c>
      <c r="DB180" s="55">
        <f t="shared" si="224"/>
        <v>-0.868004</v>
      </c>
      <c r="DC180" s="55">
        <f t="shared" si="224"/>
        <v>-0.905532</v>
      </c>
      <c r="DD180" s="55">
        <f t="shared" si="224"/>
        <v>0.25758300000000001</v>
      </c>
      <c r="DE180" s="55">
        <f t="shared" si="222"/>
        <v>-5.6763000000000001E-2</v>
      </c>
      <c r="DF180" s="55">
        <f t="shared" si="222"/>
        <v>-0.61416400000000004</v>
      </c>
      <c r="DG180" s="55">
        <f t="shared" si="222"/>
        <v>9.1121999999999995E-2</v>
      </c>
      <c r="DI180" s="55">
        <f t="shared" ca="1" si="65"/>
        <v>1.440941</v>
      </c>
      <c r="DJ180" s="55">
        <f t="shared" ca="1" si="66"/>
        <v>1.299329</v>
      </c>
      <c r="DK180" s="55">
        <f t="shared" ca="1" si="67"/>
        <v>0.281916</v>
      </c>
      <c r="DL180" s="55">
        <f t="shared" ca="1" si="68"/>
        <v>-0.62502599999999997</v>
      </c>
      <c r="DM180" s="55">
        <f t="shared" ca="1" si="69"/>
        <v>0.87468100000000004</v>
      </c>
      <c r="DN180" s="55">
        <f t="shared" ca="1" si="70"/>
        <v>0.97413799999999995</v>
      </c>
      <c r="DO180" s="55">
        <f t="shared" ca="1" si="71"/>
        <v>0.825268</v>
      </c>
      <c r="DP180" s="55">
        <f t="shared" ca="1" si="72"/>
        <v>0.43290200000000001</v>
      </c>
      <c r="DQ180" s="55">
        <f t="shared" ca="1" si="73"/>
        <v>0.28018700000000002</v>
      </c>
      <c r="DR180" s="55">
        <f t="shared" ca="1" si="74"/>
        <v>0.259573</v>
      </c>
      <c r="DS180" s="55">
        <f t="shared" ca="1" si="75"/>
        <v>1.138341</v>
      </c>
      <c r="DT180" s="55">
        <f t="shared" ca="1" si="76"/>
        <v>-9.8521999999999998E-2</v>
      </c>
      <c r="DU180" s="55">
        <f t="shared" ca="1" si="77"/>
        <v>0.94133299999999998</v>
      </c>
      <c r="DV180" s="55">
        <f t="shared" ca="1" si="78"/>
        <v>-0.896123</v>
      </c>
      <c r="DW180" s="55">
        <f t="shared" ca="1" si="79"/>
        <v>1.4025479999999999</v>
      </c>
      <c r="DX180" s="55">
        <f t="shared" ca="1" si="80"/>
        <v>8.7759000000000004E-2</v>
      </c>
      <c r="DY180" s="55">
        <f t="shared" ca="1" si="81"/>
        <v>-1.012005</v>
      </c>
      <c r="DZ180" s="55">
        <f t="shared" ca="1" si="82"/>
        <v>0.766428</v>
      </c>
      <c r="EA180" s="55">
        <f t="shared" ca="1" si="83"/>
        <v>-0.20749899999999999</v>
      </c>
      <c r="EB180" s="55">
        <f t="shared" ca="1" si="84"/>
        <v>-6.4310000000000001E-3</v>
      </c>
      <c r="EC180" s="55">
        <f t="shared" ca="1" si="85"/>
        <v>0.56614100000000001</v>
      </c>
      <c r="ED180" s="55">
        <f t="shared" ca="1" si="86"/>
        <v>-0.225073</v>
      </c>
      <c r="EE180" s="55">
        <f t="shared" ca="1" si="87"/>
        <v>0.88950641382399986</v>
      </c>
      <c r="EF180" s="55">
        <f t="shared" ca="1" si="88"/>
        <v>0.29962935794599999</v>
      </c>
      <c r="EG180" s="55">
        <f t="shared" ca="1" si="89"/>
        <v>9.6172266359999814E-3</v>
      </c>
      <c r="EH180" s="55">
        <f t="shared" ca="1" si="90"/>
        <v>0.30176496928399998</v>
      </c>
      <c r="EI180" s="55">
        <f t="shared" ca="1" si="91"/>
        <v>0.20895799917399999</v>
      </c>
      <c r="EJ180" s="55">
        <f t="shared" ca="1" si="92"/>
        <v>0.88203469966400005</v>
      </c>
      <c r="EK180" s="55">
        <f t="shared" ca="1" si="93"/>
        <v>-0.43693624287799998</v>
      </c>
      <c r="EL180" s="55">
        <f t="shared" ca="1" si="94"/>
        <v>-0.63136298073999997</v>
      </c>
      <c r="EM180" s="55">
        <f t="shared" ca="1" si="95"/>
        <v>0.38734572260400002</v>
      </c>
      <c r="EN180" s="55">
        <f t="shared" ca="1" si="96"/>
        <v>0.19870503060199998</v>
      </c>
      <c r="EO180" s="55">
        <f t="shared" ca="1" si="97"/>
        <v>-0.29550012438199996</v>
      </c>
      <c r="EP180" s="55">
        <f t="shared" ca="1" si="98"/>
        <v>0.37340565862800001</v>
      </c>
      <c r="EQ180" s="55">
        <f t="shared" ca="1" si="99"/>
        <v>0.23300488214599993</v>
      </c>
      <c r="ER180" s="55">
        <f t="shared" ca="1" si="100"/>
        <v>-0.12215767153599996</v>
      </c>
      <c r="ES180" s="55">
        <f t="shared" ca="1" si="101"/>
        <v>0.16942253582799999</v>
      </c>
      <c r="ET180" s="55">
        <f t="shared" ca="1" si="102"/>
        <v>-0.75003466975599997</v>
      </c>
      <c r="EU180" s="55">
        <f t="shared" ca="1" si="103"/>
        <v>-0.16569146899600001</v>
      </c>
      <c r="EV180" s="55">
        <f t="shared" ca="1" si="104"/>
        <v>0.87209899999999996</v>
      </c>
      <c r="EW180" s="55">
        <f t="shared" ca="1" si="105"/>
        <v>-0.53004499999999999</v>
      </c>
      <c r="EX180" s="55">
        <f t="shared" ca="1" si="106"/>
        <v>-0.35658200000000001</v>
      </c>
      <c r="EY180" s="55">
        <f t="shared" ca="1" si="107"/>
        <v>0.675705</v>
      </c>
      <c r="EZ180" s="55">
        <f t="shared" ca="1" si="108"/>
        <v>-0.60852499999999998</v>
      </c>
      <c r="FA180" s="55">
        <f t="shared" ca="1" si="109"/>
        <v>0.52091600000000005</v>
      </c>
      <c r="FB180" s="55">
        <f t="shared" ca="1" si="110"/>
        <v>0.99195999999999995</v>
      </c>
      <c r="FC180" s="55">
        <f t="shared" ca="1" si="111"/>
        <v>-0.19673099999999999</v>
      </c>
      <c r="FD180" s="55">
        <f t="shared" ca="1" si="112"/>
        <v>-0.50486299999999995</v>
      </c>
      <c r="FE180" s="55">
        <f t="shared" ca="1" si="113"/>
        <v>-0.63707100000000005</v>
      </c>
      <c r="FF180" s="55">
        <f t="shared" ca="1" si="114"/>
        <v>0.184058</v>
      </c>
      <c r="FH180" s="55">
        <f t="shared" ca="1" si="115"/>
        <v>0</v>
      </c>
      <c r="FI180" s="55">
        <f t="shared" ca="1" si="207"/>
        <v>0</v>
      </c>
      <c r="FJ180" s="55">
        <f t="shared" ca="1" si="208"/>
        <v>0</v>
      </c>
      <c r="FK180" s="55">
        <f t="shared" ca="1" si="209"/>
        <v>0</v>
      </c>
      <c r="FL180" s="55">
        <f t="shared" ca="1" si="210"/>
        <v>0</v>
      </c>
      <c r="FM180" s="55">
        <f t="shared" ca="1" si="211"/>
        <v>0</v>
      </c>
      <c r="FN180" s="55">
        <f t="shared" ca="1" si="212"/>
        <v>0</v>
      </c>
      <c r="FO180" s="55">
        <f t="shared" ca="1" si="213"/>
        <v>0</v>
      </c>
      <c r="FP180" s="55">
        <f t="shared" ca="1" si="214"/>
        <v>0</v>
      </c>
      <c r="FQ180" s="55">
        <f t="shared" ca="1" si="215"/>
        <v>0</v>
      </c>
      <c r="FR180" s="55">
        <f t="shared" ca="1" si="216"/>
        <v>0</v>
      </c>
      <c r="FS180" s="55">
        <f t="shared" ca="1" si="158"/>
        <v>0</v>
      </c>
      <c r="FT180" s="55">
        <f t="shared" ca="1" si="159"/>
        <v>0</v>
      </c>
      <c r="FU180" s="55">
        <f t="shared" ca="1" si="160"/>
        <v>0</v>
      </c>
      <c r="FV180" s="55">
        <f t="shared" ca="1" si="161"/>
        <v>0</v>
      </c>
      <c r="FW180" s="55">
        <f t="shared" ca="1" si="162"/>
        <v>0</v>
      </c>
      <c r="FX180" s="55">
        <f t="shared" ca="1" si="163"/>
        <v>0</v>
      </c>
      <c r="FY180" s="55">
        <f t="shared" ca="1" si="164"/>
        <v>0</v>
      </c>
      <c r="FZ180" s="55">
        <f t="shared" ca="1" si="165"/>
        <v>0</v>
      </c>
      <c r="GA180" s="55">
        <f t="shared" ca="1" si="166"/>
        <v>0</v>
      </c>
      <c r="GB180" s="55">
        <f t="shared" ca="1" si="167"/>
        <v>0</v>
      </c>
      <c r="GC180" s="55">
        <f t="shared" ca="1" si="168"/>
        <v>0</v>
      </c>
      <c r="GD180" s="55">
        <f t="shared" ca="1" si="169"/>
        <v>0.14051941382399991</v>
      </c>
      <c r="GE180" s="55">
        <f t="shared" ca="1" si="170"/>
        <v>0.87115135794599996</v>
      </c>
      <c r="GF180" s="55">
        <f t="shared" ca="1" si="171"/>
        <v>0.56628222663599992</v>
      </c>
      <c r="GG180" s="55">
        <f t="shared" ca="1" si="172"/>
        <v>-0.43950403071599997</v>
      </c>
      <c r="GH180" s="55">
        <f t="shared" ca="1" si="173"/>
        <v>1.0305969991740001</v>
      </c>
      <c r="GI180" s="55">
        <f t="shared" ca="1" si="174"/>
        <v>-0.656124300336</v>
      </c>
      <c r="GJ180" s="55">
        <f t="shared" ca="1" si="175"/>
        <v>-0.52916824287800002</v>
      </c>
      <c r="GK180" s="55">
        <f t="shared" ca="1" si="176"/>
        <v>-0.82305898073999995</v>
      </c>
      <c r="GL180" s="55">
        <f t="shared" ca="1" si="177"/>
        <v>1.0830787226040002</v>
      </c>
      <c r="GM180" s="55">
        <f t="shared" ca="1" si="178"/>
        <v>-1.9352969398000019E-2</v>
      </c>
      <c r="GN180" s="55">
        <f t="shared" ca="1" si="179"/>
        <v>-0.29314912438199997</v>
      </c>
      <c r="GO180" s="55">
        <f t="shared" ca="1" si="180"/>
        <v>-0.26107434137200003</v>
      </c>
      <c r="GP180" s="55">
        <f t="shared" ca="1" si="181"/>
        <v>0.71069888214599997</v>
      </c>
      <c r="GQ180" s="55">
        <f t="shared" ca="1" si="182"/>
        <v>-0.69333067153600003</v>
      </c>
      <c r="GR180" s="55">
        <f t="shared" ca="1" si="183"/>
        <v>1.0777265358279999</v>
      </c>
      <c r="GS180" s="55">
        <f t="shared" ca="1" si="184"/>
        <v>0.610922330244</v>
      </c>
      <c r="GT180" s="55">
        <f t="shared" ca="1" si="185"/>
        <v>-7.9997468996000007E-2</v>
      </c>
      <c r="GU180" s="55">
        <f t="shared" ca="1" si="186"/>
        <v>0</v>
      </c>
      <c r="GV180" s="55">
        <f t="shared" ca="1" si="187"/>
        <v>0</v>
      </c>
      <c r="GW180" s="55">
        <f t="shared" ca="1" si="188"/>
        <v>0</v>
      </c>
      <c r="GX180" s="55">
        <f t="shared" ca="1" si="189"/>
        <v>0</v>
      </c>
      <c r="GY180" s="55">
        <f t="shared" ca="1" si="190"/>
        <v>0</v>
      </c>
      <c r="GZ180" s="55">
        <f t="shared" ca="1" si="191"/>
        <v>0</v>
      </c>
      <c r="HA180" s="55">
        <f t="shared" ca="1" si="192"/>
        <v>0</v>
      </c>
      <c r="HB180" s="55">
        <f t="shared" ca="1" si="193"/>
        <v>0</v>
      </c>
      <c r="HC180" s="55">
        <f t="shared" ca="1" si="194"/>
        <v>0</v>
      </c>
      <c r="HD180" s="55">
        <f t="shared" ca="1" si="195"/>
        <v>0</v>
      </c>
      <c r="HE180" s="55">
        <f t="shared" ca="1" si="196"/>
        <v>0</v>
      </c>
    </row>
    <row r="181" spans="1:213">
      <c r="A181" s="27">
        <v>44</v>
      </c>
      <c r="B181" s="27">
        <v>7</v>
      </c>
      <c r="C181" s="27">
        <v>0.97429200000000005</v>
      </c>
      <c r="D181" s="27">
        <v>0.83921699999999999</v>
      </c>
      <c r="E181" s="27">
        <v>22</v>
      </c>
      <c r="F181" s="27">
        <f t="shared" ca="1" si="59"/>
        <v>46</v>
      </c>
      <c r="G181" s="27">
        <f t="shared" si="221"/>
        <v>0</v>
      </c>
      <c r="H181" s="27" t="str">
        <f t="shared" si="60"/>
        <v>Não</v>
      </c>
      <c r="I181" s="27">
        <f t="shared" si="61"/>
        <v>0</v>
      </c>
      <c r="J181" s="37">
        <f t="shared" si="62"/>
        <v>0</v>
      </c>
      <c r="K181" s="55">
        <f t="shared" si="63"/>
        <v>-0.252108</v>
      </c>
      <c r="L181" s="55">
        <f t="shared" si="197"/>
        <v>-1.254791</v>
      </c>
      <c r="M181" s="55">
        <f t="shared" si="198"/>
        <v>0.85070100000000004</v>
      </c>
      <c r="N181" s="55">
        <f t="shared" si="199"/>
        <v>0.45818900000000001</v>
      </c>
      <c r="O181" s="55">
        <f t="shared" si="200"/>
        <v>-1.107664</v>
      </c>
      <c r="P181" s="55">
        <f t="shared" si="201"/>
        <v>-0.62712999999999997</v>
      </c>
      <c r="Q181" s="55">
        <f t="shared" si="202"/>
        <v>-0.87274200000000002</v>
      </c>
      <c r="R181" s="55">
        <f t="shared" si="203"/>
        <v>0.69743699999999997</v>
      </c>
      <c r="S181" s="55">
        <f t="shared" si="204"/>
        <v>-0.50827100000000003</v>
      </c>
      <c r="T181" s="55">
        <f t="shared" si="205"/>
        <v>-0.17824699999999999</v>
      </c>
      <c r="U181" s="55">
        <f t="shared" si="206"/>
        <v>-0.21669099999999999</v>
      </c>
      <c r="V181" s="55">
        <f t="shared" si="116"/>
        <v>-0.156221</v>
      </c>
      <c r="W181" s="55">
        <f t="shared" si="117"/>
        <v>-1.057574</v>
      </c>
      <c r="X181" s="55">
        <f t="shared" si="118"/>
        <v>0.95014900000000002</v>
      </c>
      <c r="Y181" s="55">
        <f t="shared" si="119"/>
        <v>0.287993</v>
      </c>
      <c r="Z181" s="55">
        <f t="shared" si="120"/>
        <v>0.70925700000000003</v>
      </c>
      <c r="AA181" s="55">
        <f t="shared" si="121"/>
        <v>-0.20768300000000001</v>
      </c>
      <c r="AB181" s="55">
        <f t="shared" si="122"/>
        <v>-0.45103900000000002</v>
      </c>
      <c r="AC181" s="55">
        <f t="shared" si="123"/>
        <v>0.44376500000000002</v>
      </c>
      <c r="AD181" s="55">
        <f t="shared" si="124"/>
        <v>0.98195399999999999</v>
      </c>
      <c r="AE181" s="55">
        <f t="shared" si="125"/>
        <v>0.62348199999999998</v>
      </c>
      <c r="AF181" s="55">
        <f t="shared" si="126"/>
        <v>0.57149399999999995</v>
      </c>
      <c r="AG181" s="55">
        <f t="shared" si="127"/>
        <v>0.532169</v>
      </c>
      <c r="AH181" s="55">
        <f t="shared" si="128"/>
        <v>1.39242</v>
      </c>
      <c r="AI181" s="55">
        <f t="shared" si="129"/>
        <v>8.8690000000000005E-2</v>
      </c>
      <c r="AJ181" s="55">
        <f t="shared" si="130"/>
        <v>-1.7580560000000001</v>
      </c>
      <c r="AK181" s="55">
        <f t="shared" si="131"/>
        <v>0.68662299999999998</v>
      </c>
      <c r="AL181" s="55">
        <f t="shared" si="132"/>
        <v>0.81466400000000005</v>
      </c>
      <c r="AM181" s="55">
        <f t="shared" si="133"/>
        <v>-0.62037600000000004</v>
      </c>
      <c r="AN181" s="55">
        <f t="shared" si="134"/>
        <v>-0.72668100000000002</v>
      </c>
      <c r="AO181" s="55">
        <f t="shared" si="135"/>
        <v>0.82117099999999998</v>
      </c>
      <c r="AP181" s="55">
        <f t="shared" si="136"/>
        <v>-0.90939599999999998</v>
      </c>
      <c r="AQ181" s="55">
        <f t="shared" si="137"/>
        <v>1.2582930000000001</v>
      </c>
      <c r="AR181" s="55">
        <f t="shared" si="138"/>
        <v>-0.77181500000000003</v>
      </c>
      <c r="AS181" s="55">
        <f t="shared" si="139"/>
        <v>0.26988899999999999</v>
      </c>
      <c r="AT181" s="55">
        <f t="shared" si="140"/>
        <v>-0.31845499999999999</v>
      </c>
      <c r="AU181" s="55">
        <f t="shared" si="141"/>
        <v>-0.89831000000000005</v>
      </c>
      <c r="AV181" s="55">
        <f t="shared" si="142"/>
        <v>-0.80399500000000002</v>
      </c>
      <c r="AW181" s="55">
        <f t="shared" si="143"/>
        <v>-1.174266</v>
      </c>
      <c r="AX181" s="55">
        <f t="shared" si="144"/>
        <v>-0.41018500000000002</v>
      </c>
      <c r="AY181" s="55">
        <f t="shared" si="145"/>
        <v>-2.2689000000000001E-2</v>
      </c>
      <c r="AZ181" s="55">
        <f t="shared" si="146"/>
        <v>-9.2197000000000001E-2</v>
      </c>
      <c r="BA181" s="55">
        <f t="shared" si="147"/>
        <v>-0.20809</v>
      </c>
      <c r="BB181" s="55">
        <f t="shared" si="148"/>
        <v>0.20910000000000001</v>
      </c>
      <c r="BC181" s="55">
        <f t="shared" si="149"/>
        <v>-0.84453800000000001</v>
      </c>
      <c r="BD181" s="55">
        <f t="shared" si="150"/>
        <v>-0.78732199999999997</v>
      </c>
      <c r="BE181" s="55">
        <f t="shared" si="151"/>
        <v>0.112526</v>
      </c>
      <c r="BF181" s="55">
        <f t="shared" si="152"/>
        <v>-0.17535300000000001</v>
      </c>
      <c r="BG181" s="55">
        <f t="shared" si="153"/>
        <v>0.39268199999999998</v>
      </c>
      <c r="BH181" s="55">
        <f t="shared" si="154"/>
        <v>-1.261163</v>
      </c>
      <c r="BJ181" s="55">
        <f t="shared" si="225"/>
        <v>-1.140779</v>
      </c>
      <c r="BK181" s="55">
        <f t="shared" si="225"/>
        <v>-0.17543700000000001</v>
      </c>
      <c r="BL181" s="55">
        <f t="shared" si="225"/>
        <v>1.0057210000000001</v>
      </c>
      <c r="BM181" s="55">
        <f t="shared" si="225"/>
        <v>1.0172669999999999</v>
      </c>
      <c r="BN181" s="55">
        <f t="shared" si="225"/>
        <v>0.36962400000000001</v>
      </c>
      <c r="BO181" s="55">
        <f t="shared" si="225"/>
        <v>-0.97281799999999996</v>
      </c>
      <c r="BP181" s="55">
        <f t="shared" si="225"/>
        <v>0.69025099999999995</v>
      </c>
      <c r="BQ181" s="55">
        <f t="shared" si="225"/>
        <v>0.49567699999999998</v>
      </c>
      <c r="BR181" s="55">
        <f t="shared" si="225"/>
        <v>0.198852</v>
      </c>
      <c r="BS181" s="55">
        <f t="shared" si="225"/>
        <v>-0.91942999999999997</v>
      </c>
      <c r="BT181" s="55">
        <f t="shared" si="225"/>
        <v>-0.699044</v>
      </c>
      <c r="BU181" s="55">
        <f t="shared" si="225"/>
        <v>-5.2692000000000003E-2</v>
      </c>
      <c r="BV181" s="55">
        <f t="shared" si="225"/>
        <v>0.78876900000000005</v>
      </c>
      <c r="BW181" s="55">
        <f t="shared" si="225"/>
        <v>0.75934000000000001</v>
      </c>
      <c r="BX181" s="55">
        <f t="shared" si="225"/>
        <v>-0.421568</v>
      </c>
      <c r="BY181" s="55">
        <f t="shared" si="225"/>
        <v>-0.22687199999999999</v>
      </c>
      <c r="BZ181" s="55">
        <f t="shared" si="223"/>
        <v>1.0752569999999999</v>
      </c>
      <c r="CA181" s="55">
        <f t="shared" si="223"/>
        <v>-0.26357900000000001</v>
      </c>
      <c r="CB181" s="55">
        <f t="shared" si="223"/>
        <v>0.32796500000000001</v>
      </c>
      <c r="CC181" s="55">
        <f t="shared" si="223"/>
        <v>-0.38918999999999998</v>
      </c>
      <c r="CD181" s="55">
        <f t="shared" si="223"/>
        <v>-7.8463000000000005E-2</v>
      </c>
      <c r="CE181" s="55">
        <f t="shared" si="223"/>
        <v>0.51175300000000001</v>
      </c>
      <c r="CF181" s="55">
        <f t="shared" si="223"/>
        <v>0.70601199999999997</v>
      </c>
      <c r="CG181" s="55">
        <f t="shared" si="223"/>
        <v>-8.3307999999999993E-2</v>
      </c>
      <c r="CH181" s="55">
        <f t="shared" si="223"/>
        <v>-1.7228250000000001</v>
      </c>
      <c r="CI181" s="55">
        <f t="shared" si="223"/>
        <v>0.31092700000000001</v>
      </c>
      <c r="CJ181" s="55">
        <f t="shared" si="223"/>
        <v>-0.60361900000000002</v>
      </c>
      <c r="CK181" s="55">
        <f t="shared" si="223"/>
        <v>0.43245099999999997</v>
      </c>
      <c r="CL181" s="55">
        <f t="shared" si="223"/>
        <v>0.147812</v>
      </c>
      <c r="CM181" s="55">
        <f t="shared" si="223"/>
        <v>9.9423999999999998E-2</v>
      </c>
      <c r="CN181" s="55">
        <f t="shared" si="223"/>
        <v>1.6520109999999999</v>
      </c>
      <c r="CO181" s="55">
        <f t="shared" si="224"/>
        <v>-0.121765</v>
      </c>
      <c r="CP181" s="55">
        <f t="shared" si="224"/>
        <v>-8.8529999999999998E-3</v>
      </c>
      <c r="CQ181" s="55">
        <f t="shared" si="224"/>
        <v>0.19926199999999999</v>
      </c>
      <c r="CR181" s="55">
        <f t="shared" si="224"/>
        <v>-2.7438000000000001E-2</v>
      </c>
      <c r="CS181" s="55">
        <f t="shared" si="224"/>
        <v>-0.87695299999999998</v>
      </c>
      <c r="CT181" s="55">
        <f t="shared" si="224"/>
        <v>0.23354900000000001</v>
      </c>
      <c r="CU181" s="55">
        <f t="shared" si="224"/>
        <v>0.29549599999999998</v>
      </c>
      <c r="CV181" s="55">
        <f t="shared" si="224"/>
        <v>0.31619399999999998</v>
      </c>
      <c r="CW181" s="55">
        <f t="shared" si="224"/>
        <v>0.65429300000000001</v>
      </c>
      <c r="CX181" s="55">
        <f t="shared" si="224"/>
        <v>-0.31571199999999999</v>
      </c>
      <c r="CY181" s="55">
        <f t="shared" si="224"/>
        <v>0.64944800000000003</v>
      </c>
      <c r="CZ181" s="55">
        <f t="shared" si="224"/>
        <v>0.335949</v>
      </c>
      <c r="DA181" s="55">
        <f t="shared" si="224"/>
        <v>-0.68954499999999996</v>
      </c>
      <c r="DB181" s="55">
        <f t="shared" si="224"/>
        <v>6.6683999999999993E-2</v>
      </c>
      <c r="DC181" s="55">
        <f t="shared" si="224"/>
        <v>-0.29972599999999999</v>
      </c>
      <c r="DD181" s="55">
        <f t="shared" si="224"/>
        <v>0.74617599999999995</v>
      </c>
      <c r="DE181" s="55">
        <f t="shared" si="222"/>
        <v>-5.5605000000000002E-2</v>
      </c>
      <c r="DF181" s="55">
        <f t="shared" si="222"/>
        <v>-0.86746900000000005</v>
      </c>
      <c r="DG181" s="55">
        <f t="shared" si="222"/>
        <v>0.37076599999999998</v>
      </c>
      <c r="DI181" s="55">
        <f t="shared" ca="1" si="65"/>
        <v>-0.252108</v>
      </c>
      <c r="DJ181" s="55">
        <f t="shared" ca="1" si="66"/>
        <v>-1.254791</v>
      </c>
      <c r="DK181" s="55">
        <f t="shared" ca="1" si="67"/>
        <v>0.85070100000000004</v>
      </c>
      <c r="DL181" s="55">
        <f t="shared" ca="1" si="68"/>
        <v>0.45818900000000001</v>
      </c>
      <c r="DM181" s="55">
        <f t="shared" ca="1" si="69"/>
        <v>-1.107664</v>
      </c>
      <c r="DN181" s="55">
        <f t="shared" ca="1" si="70"/>
        <v>-0.62712999999999997</v>
      </c>
      <c r="DO181" s="55">
        <f t="shared" ca="1" si="71"/>
        <v>-0.87274200000000002</v>
      </c>
      <c r="DP181" s="55">
        <f t="shared" ca="1" si="72"/>
        <v>0.69743699999999997</v>
      </c>
      <c r="DQ181" s="55">
        <f t="shared" ca="1" si="73"/>
        <v>-0.50827100000000003</v>
      </c>
      <c r="DR181" s="55">
        <f t="shared" ca="1" si="74"/>
        <v>-0.17824699999999999</v>
      </c>
      <c r="DS181" s="55">
        <f t="shared" ca="1" si="75"/>
        <v>-0.21669099999999999</v>
      </c>
      <c r="DT181" s="55">
        <f t="shared" ca="1" si="76"/>
        <v>-0.156221</v>
      </c>
      <c r="DU181" s="55">
        <f t="shared" ca="1" si="77"/>
        <v>-1.057574</v>
      </c>
      <c r="DV181" s="55">
        <f t="shared" ca="1" si="78"/>
        <v>0.95014900000000002</v>
      </c>
      <c r="DW181" s="55">
        <f t="shared" ca="1" si="79"/>
        <v>0.287993</v>
      </c>
      <c r="DX181" s="55">
        <f t="shared" ca="1" si="80"/>
        <v>0.70925700000000003</v>
      </c>
      <c r="DY181" s="55">
        <f t="shared" ca="1" si="81"/>
        <v>-0.20768300000000001</v>
      </c>
      <c r="DZ181" s="55">
        <f t="shared" ca="1" si="82"/>
        <v>-0.45103900000000002</v>
      </c>
      <c r="EA181" s="55">
        <f t="shared" ca="1" si="83"/>
        <v>0.44376500000000002</v>
      </c>
      <c r="EB181" s="55">
        <f t="shared" ca="1" si="84"/>
        <v>0.98195399999999999</v>
      </c>
      <c r="EC181" s="55">
        <f t="shared" ca="1" si="85"/>
        <v>0.62348199999999998</v>
      </c>
      <c r="ED181" s="55">
        <f t="shared" ca="1" si="86"/>
        <v>0.57149399999999995</v>
      </c>
      <c r="EE181" s="55">
        <f t="shared" ca="1" si="87"/>
        <v>0.532169</v>
      </c>
      <c r="EF181" s="55">
        <f t="shared" ca="1" si="88"/>
        <v>1.39242</v>
      </c>
      <c r="EG181" s="55">
        <f t="shared" ca="1" si="89"/>
        <v>8.8690000000000005E-2</v>
      </c>
      <c r="EH181" s="55">
        <f t="shared" ca="1" si="90"/>
        <v>-1.7580560000000001</v>
      </c>
      <c r="EI181" s="55">
        <f t="shared" ca="1" si="91"/>
        <v>0.68662299999999998</v>
      </c>
      <c r="EJ181" s="55">
        <f t="shared" ca="1" si="92"/>
        <v>0.81466400000000005</v>
      </c>
      <c r="EK181" s="55">
        <f t="shared" ca="1" si="93"/>
        <v>-0.62037600000000004</v>
      </c>
      <c r="EL181" s="55">
        <f t="shared" ca="1" si="94"/>
        <v>-0.72668100000000002</v>
      </c>
      <c r="EM181" s="55">
        <f t="shared" ca="1" si="95"/>
        <v>0.82117099999999998</v>
      </c>
      <c r="EN181" s="55">
        <f t="shared" ca="1" si="96"/>
        <v>-0.90939599999999998</v>
      </c>
      <c r="EO181" s="55">
        <f t="shared" ca="1" si="97"/>
        <v>1.2582930000000001</v>
      </c>
      <c r="EP181" s="55">
        <f t="shared" ca="1" si="98"/>
        <v>-0.77181500000000003</v>
      </c>
      <c r="EQ181" s="55">
        <f t="shared" ca="1" si="99"/>
        <v>0.26988899999999999</v>
      </c>
      <c r="ER181" s="55">
        <f t="shared" ca="1" si="100"/>
        <v>-0.31845499999999999</v>
      </c>
      <c r="ES181" s="55">
        <f t="shared" ca="1" si="101"/>
        <v>-0.89831000000000005</v>
      </c>
      <c r="ET181" s="55">
        <f t="shared" ca="1" si="102"/>
        <v>-0.80399500000000002</v>
      </c>
      <c r="EU181" s="55">
        <f t="shared" ca="1" si="103"/>
        <v>-1.174266</v>
      </c>
      <c r="EV181" s="55">
        <f t="shared" ca="1" si="104"/>
        <v>-0.41018500000000002</v>
      </c>
      <c r="EW181" s="55">
        <f t="shared" ca="1" si="105"/>
        <v>-2.2689000000000001E-2</v>
      </c>
      <c r="EX181" s="55">
        <f t="shared" ca="1" si="106"/>
        <v>-9.2197000000000001E-2</v>
      </c>
      <c r="EY181" s="55">
        <f t="shared" ca="1" si="107"/>
        <v>-0.20809</v>
      </c>
      <c r="EZ181" s="55">
        <f t="shared" ca="1" si="108"/>
        <v>0.20910000000000001</v>
      </c>
      <c r="FA181" s="55">
        <f t="shared" ca="1" si="109"/>
        <v>-0.84453800000000001</v>
      </c>
      <c r="FB181" s="55">
        <f t="shared" ca="1" si="110"/>
        <v>-0.78732199999999997</v>
      </c>
      <c r="FC181" s="55">
        <f t="shared" ca="1" si="111"/>
        <v>0.112526</v>
      </c>
      <c r="FD181" s="55">
        <f t="shared" ca="1" si="112"/>
        <v>-0.17535300000000001</v>
      </c>
      <c r="FE181" s="55">
        <f t="shared" ca="1" si="113"/>
        <v>0.39268199999999998</v>
      </c>
      <c r="FF181" s="55">
        <f t="shared" ca="1" si="114"/>
        <v>-1.261163</v>
      </c>
      <c r="FH181" s="55">
        <f t="shared" ca="1" si="115"/>
        <v>0</v>
      </c>
      <c r="FI181" s="55">
        <f t="shared" ca="1" si="207"/>
        <v>0</v>
      </c>
      <c r="FJ181" s="55">
        <f t="shared" ca="1" si="208"/>
        <v>0</v>
      </c>
      <c r="FK181" s="55">
        <f t="shared" ca="1" si="209"/>
        <v>0</v>
      </c>
      <c r="FL181" s="55">
        <f t="shared" ca="1" si="210"/>
        <v>0</v>
      </c>
      <c r="FM181" s="55">
        <f t="shared" ca="1" si="211"/>
        <v>0</v>
      </c>
      <c r="FN181" s="55">
        <f t="shared" ca="1" si="212"/>
        <v>0</v>
      </c>
      <c r="FO181" s="55">
        <f t="shared" ca="1" si="213"/>
        <v>0</v>
      </c>
      <c r="FP181" s="55">
        <f t="shared" ca="1" si="214"/>
        <v>0</v>
      </c>
      <c r="FQ181" s="55">
        <f t="shared" ca="1" si="215"/>
        <v>0</v>
      </c>
      <c r="FR181" s="55">
        <f t="shared" ca="1" si="216"/>
        <v>0</v>
      </c>
      <c r="FS181" s="55">
        <f t="shared" ca="1" si="158"/>
        <v>0</v>
      </c>
      <c r="FT181" s="55">
        <f t="shared" ca="1" si="159"/>
        <v>0</v>
      </c>
      <c r="FU181" s="55">
        <f t="shared" ca="1" si="160"/>
        <v>0</v>
      </c>
      <c r="FV181" s="55">
        <f t="shared" ca="1" si="161"/>
        <v>0</v>
      </c>
      <c r="FW181" s="55">
        <f t="shared" ca="1" si="162"/>
        <v>0</v>
      </c>
      <c r="FX181" s="55">
        <f t="shared" ca="1" si="163"/>
        <v>0</v>
      </c>
      <c r="FY181" s="55">
        <f t="shared" ca="1" si="164"/>
        <v>0</v>
      </c>
      <c r="FZ181" s="55">
        <f t="shared" ca="1" si="165"/>
        <v>0</v>
      </c>
      <c r="GA181" s="55">
        <f t="shared" ca="1" si="166"/>
        <v>0</v>
      </c>
      <c r="GB181" s="55">
        <f t="shared" ca="1" si="167"/>
        <v>0</v>
      </c>
      <c r="GC181" s="55">
        <f t="shared" ca="1" si="168"/>
        <v>0</v>
      </c>
      <c r="GD181" s="55">
        <f t="shared" ca="1" si="169"/>
        <v>0</v>
      </c>
      <c r="GE181" s="55">
        <f t="shared" ca="1" si="170"/>
        <v>0</v>
      </c>
      <c r="GF181" s="55">
        <f t="shared" ca="1" si="171"/>
        <v>0</v>
      </c>
      <c r="GG181" s="55">
        <f t="shared" ca="1" si="172"/>
        <v>0</v>
      </c>
      <c r="GH181" s="55">
        <f t="shared" ca="1" si="173"/>
        <v>0</v>
      </c>
      <c r="GI181" s="55">
        <f t="shared" ca="1" si="174"/>
        <v>0</v>
      </c>
      <c r="GJ181" s="55">
        <f t="shared" ca="1" si="175"/>
        <v>0</v>
      </c>
      <c r="GK181" s="55">
        <f t="shared" ca="1" si="176"/>
        <v>0</v>
      </c>
      <c r="GL181" s="55">
        <f t="shared" ca="1" si="177"/>
        <v>0</v>
      </c>
      <c r="GM181" s="55">
        <f t="shared" ca="1" si="178"/>
        <v>0</v>
      </c>
      <c r="GN181" s="55">
        <f t="shared" ca="1" si="179"/>
        <v>0</v>
      </c>
      <c r="GO181" s="55">
        <f t="shared" ca="1" si="180"/>
        <v>0</v>
      </c>
      <c r="GP181" s="55">
        <f t="shared" ca="1" si="181"/>
        <v>0</v>
      </c>
      <c r="GQ181" s="55">
        <f t="shared" ca="1" si="182"/>
        <v>0</v>
      </c>
      <c r="GR181" s="55">
        <f t="shared" ca="1" si="183"/>
        <v>0</v>
      </c>
      <c r="GS181" s="55">
        <f t="shared" ca="1" si="184"/>
        <v>0</v>
      </c>
      <c r="GT181" s="55">
        <f t="shared" ca="1" si="185"/>
        <v>0</v>
      </c>
      <c r="GU181" s="55">
        <f t="shared" ca="1" si="186"/>
        <v>0</v>
      </c>
      <c r="GV181" s="55">
        <f t="shared" ca="1" si="187"/>
        <v>0</v>
      </c>
      <c r="GW181" s="55">
        <f t="shared" ca="1" si="188"/>
        <v>0</v>
      </c>
      <c r="GX181" s="55">
        <f t="shared" ca="1" si="189"/>
        <v>0</v>
      </c>
      <c r="GY181" s="55">
        <f t="shared" ca="1" si="190"/>
        <v>0</v>
      </c>
      <c r="GZ181" s="55">
        <f t="shared" ca="1" si="191"/>
        <v>0</v>
      </c>
      <c r="HA181" s="55">
        <f t="shared" ca="1" si="192"/>
        <v>0</v>
      </c>
      <c r="HB181" s="55">
        <f t="shared" ca="1" si="193"/>
        <v>0</v>
      </c>
      <c r="HC181" s="55">
        <f t="shared" ca="1" si="194"/>
        <v>0</v>
      </c>
      <c r="HD181" s="55">
        <f t="shared" ca="1" si="195"/>
        <v>0</v>
      </c>
      <c r="HE181" s="55">
        <f t="shared" ca="1" si="196"/>
        <v>0</v>
      </c>
    </row>
    <row r="182" spans="1:213">
      <c r="A182" s="27">
        <v>45</v>
      </c>
      <c r="B182" s="27">
        <v>46</v>
      </c>
      <c r="C182" s="27">
        <v>0.21826999999999999</v>
      </c>
      <c r="D182" s="27">
        <v>0.69329600000000002</v>
      </c>
      <c r="E182" s="27">
        <v>11</v>
      </c>
      <c r="F182" s="27">
        <f t="shared" ca="1" si="59"/>
        <v>31</v>
      </c>
      <c r="G182" s="27">
        <f t="shared" si="221"/>
        <v>0</v>
      </c>
      <c r="H182" s="27" t="str">
        <f t="shared" si="60"/>
        <v>Sim</v>
      </c>
      <c r="I182" s="27">
        <f t="shared" si="61"/>
        <v>0</v>
      </c>
      <c r="J182" s="37">
        <f t="shared" si="62"/>
        <v>1</v>
      </c>
      <c r="K182" s="55">
        <f t="shared" si="63"/>
        <v>-0.31709100000000001</v>
      </c>
      <c r="L182" s="55">
        <f t="shared" si="197"/>
        <v>-0.89203399999999999</v>
      </c>
      <c r="M182" s="55">
        <f t="shared" si="198"/>
        <v>-0.50178699999999998</v>
      </c>
      <c r="N182" s="55">
        <f t="shared" si="199"/>
        <v>1.341126</v>
      </c>
      <c r="O182" s="55">
        <f t="shared" si="200"/>
        <v>-0.35331899999999999</v>
      </c>
      <c r="P182" s="55">
        <f t="shared" si="201"/>
        <v>-0.81649300000000002</v>
      </c>
      <c r="Q182" s="55">
        <f t="shared" si="202"/>
        <v>0.76869500000000002</v>
      </c>
      <c r="R182" s="55">
        <f t="shared" si="203"/>
        <v>0.78559599999999996</v>
      </c>
      <c r="S182" s="55">
        <f t="shared" si="204"/>
        <v>-0.50029299999999999</v>
      </c>
      <c r="T182" s="55">
        <f t="shared" si="205"/>
        <v>5.3810999999999998E-2</v>
      </c>
      <c r="U182" s="55">
        <f t="shared" si="206"/>
        <v>-1.401068</v>
      </c>
      <c r="V182" s="55">
        <f t="shared" si="116"/>
        <v>-0.34910000000000002</v>
      </c>
      <c r="W182" s="55">
        <f t="shared" si="117"/>
        <v>1.39639</v>
      </c>
      <c r="X182" s="55">
        <f t="shared" si="118"/>
        <v>0.16563800000000001</v>
      </c>
      <c r="Y182" s="55">
        <f t="shared" si="119"/>
        <v>-0.78129099999999996</v>
      </c>
      <c r="Z182" s="55">
        <f t="shared" si="120"/>
        <v>0.19028100000000001</v>
      </c>
      <c r="AA182" s="55">
        <f t="shared" si="121"/>
        <v>-1.158496</v>
      </c>
      <c r="AB182" s="55">
        <f t="shared" si="122"/>
        <v>-8.0203999999999998E-2</v>
      </c>
      <c r="AC182" s="55">
        <f t="shared" si="123"/>
        <v>-5.5931000000000002E-2</v>
      </c>
      <c r="AD182" s="55">
        <f t="shared" si="124"/>
        <v>0.14855699999999999</v>
      </c>
      <c r="AE182" s="55">
        <f t="shared" si="125"/>
        <v>-0.54910300000000001</v>
      </c>
      <c r="AF182" s="55">
        <f t="shared" si="126"/>
        <v>-1.646245</v>
      </c>
      <c r="AG182" s="55">
        <f t="shared" si="127"/>
        <v>0.36466599999999999</v>
      </c>
      <c r="AH182" s="55">
        <f t="shared" si="128"/>
        <v>1.0881E-2</v>
      </c>
      <c r="AI182" s="55">
        <f t="shared" si="129"/>
        <v>0.95167999999999997</v>
      </c>
      <c r="AJ182" s="55">
        <f t="shared" si="130"/>
        <v>0.35824299999999998</v>
      </c>
      <c r="AK182" s="55">
        <f t="shared" si="131"/>
        <v>-0.28089999999999998</v>
      </c>
      <c r="AL182" s="55">
        <f t="shared" si="132"/>
        <v>-0.410466</v>
      </c>
      <c r="AM182" s="55">
        <f t="shared" si="133"/>
        <v>0.50322500000000003</v>
      </c>
      <c r="AN182" s="55">
        <f t="shared" si="134"/>
        <v>0.31360100000000002</v>
      </c>
      <c r="AO182" s="55">
        <f t="shared" si="135"/>
        <v>-1.7582420000000001</v>
      </c>
      <c r="AP182" s="55">
        <f t="shared" si="136"/>
        <v>1.1691739999999999</v>
      </c>
      <c r="AQ182" s="55">
        <f t="shared" si="137"/>
        <v>2.2877999999999999E-2</v>
      </c>
      <c r="AR182" s="55">
        <f t="shared" si="138"/>
        <v>1.1598599999999999</v>
      </c>
      <c r="AS182" s="55">
        <f t="shared" si="139"/>
        <v>-8.8025999999999993E-2</v>
      </c>
      <c r="AT182" s="55">
        <f t="shared" si="140"/>
        <v>1.3394E-2</v>
      </c>
      <c r="AU182" s="55">
        <f t="shared" si="141"/>
        <v>0.43396099999999999</v>
      </c>
      <c r="AV182" s="55">
        <f t="shared" si="142"/>
        <v>-0.96805399999999997</v>
      </c>
      <c r="AW182" s="55">
        <f t="shared" si="143"/>
        <v>0.22781000000000001</v>
      </c>
      <c r="AX182" s="55">
        <f t="shared" si="144"/>
        <v>4.8700000000000002E-4</v>
      </c>
      <c r="AY182" s="55">
        <f t="shared" si="145"/>
        <v>-0.89963199999999999</v>
      </c>
      <c r="AZ182" s="55">
        <f t="shared" si="146"/>
        <v>0.18885199999999999</v>
      </c>
      <c r="BA182" s="55">
        <f t="shared" si="147"/>
        <v>0.40491199999999999</v>
      </c>
      <c r="BB182" s="55">
        <f t="shared" si="148"/>
        <v>0.131018</v>
      </c>
      <c r="BC182" s="55">
        <f t="shared" si="149"/>
        <v>-0.14644599999999999</v>
      </c>
      <c r="BD182" s="55">
        <f t="shared" si="150"/>
        <v>-0.53958099999999998</v>
      </c>
      <c r="BE182" s="55">
        <f t="shared" si="151"/>
        <v>-0.81196599999999997</v>
      </c>
      <c r="BF182" s="55">
        <f t="shared" si="152"/>
        <v>7.3072999999999999E-2</v>
      </c>
      <c r="BG182" s="55">
        <f t="shared" si="153"/>
        <v>0.273009</v>
      </c>
      <c r="BH182" s="55">
        <f t="shared" si="154"/>
        <v>0.25028899999999998</v>
      </c>
      <c r="BJ182" s="55">
        <f t="shared" si="225"/>
        <v>-0.31709100000000001</v>
      </c>
      <c r="BK182" s="55">
        <f t="shared" si="225"/>
        <v>-0.89203399999999999</v>
      </c>
      <c r="BL182" s="55">
        <f t="shared" si="225"/>
        <v>-0.50178699999999998</v>
      </c>
      <c r="BM182" s="55">
        <f t="shared" si="225"/>
        <v>1.341126</v>
      </c>
      <c r="BN182" s="55">
        <f t="shared" si="225"/>
        <v>-0.35331899999999999</v>
      </c>
      <c r="BO182" s="55">
        <f t="shared" si="225"/>
        <v>-0.81649300000000002</v>
      </c>
      <c r="BP182" s="55">
        <f t="shared" si="225"/>
        <v>0.76869500000000002</v>
      </c>
      <c r="BQ182" s="55">
        <f t="shared" si="225"/>
        <v>0.78559599999999996</v>
      </c>
      <c r="BR182" s="55">
        <f t="shared" si="225"/>
        <v>-0.50029299999999999</v>
      </c>
      <c r="BS182" s="55">
        <f t="shared" si="225"/>
        <v>5.3810999999999998E-2</v>
      </c>
      <c r="BT182" s="55">
        <f t="shared" si="225"/>
        <v>-1.401068</v>
      </c>
      <c r="BU182" s="55">
        <f t="shared" si="225"/>
        <v>-0.34910000000000002</v>
      </c>
      <c r="BV182" s="55">
        <f t="shared" si="225"/>
        <v>1.39639</v>
      </c>
      <c r="BW182" s="55">
        <f t="shared" si="225"/>
        <v>0.16563800000000001</v>
      </c>
      <c r="BX182" s="55">
        <f t="shared" si="225"/>
        <v>-0.78129099999999996</v>
      </c>
      <c r="BY182" s="55">
        <f t="shared" si="225"/>
        <v>0.19028100000000001</v>
      </c>
      <c r="BZ182" s="55">
        <f t="shared" si="223"/>
        <v>-1.158496</v>
      </c>
      <c r="CA182" s="55">
        <f t="shared" si="223"/>
        <v>-8.0203999999999998E-2</v>
      </c>
      <c r="CB182" s="55">
        <f t="shared" si="223"/>
        <v>-5.5931000000000002E-2</v>
      </c>
      <c r="CC182" s="55">
        <f t="shared" si="223"/>
        <v>0.14855699999999999</v>
      </c>
      <c r="CD182" s="55">
        <f t="shared" si="223"/>
        <v>-0.54910300000000001</v>
      </c>
      <c r="CE182" s="55">
        <f t="shared" si="223"/>
        <v>-1.646245</v>
      </c>
      <c r="CF182" s="55">
        <f t="shared" si="223"/>
        <v>0.36466599999999999</v>
      </c>
      <c r="CG182" s="55">
        <f t="shared" si="223"/>
        <v>1.0881E-2</v>
      </c>
      <c r="CH182" s="55">
        <f t="shared" si="223"/>
        <v>0.95167999999999997</v>
      </c>
      <c r="CI182" s="55">
        <f t="shared" si="223"/>
        <v>0.35824299999999998</v>
      </c>
      <c r="CJ182" s="55">
        <f t="shared" si="223"/>
        <v>-0.28089999999999998</v>
      </c>
      <c r="CK182" s="55">
        <f t="shared" si="223"/>
        <v>-0.410466</v>
      </c>
      <c r="CL182" s="55">
        <f t="shared" si="223"/>
        <v>0.50322500000000003</v>
      </c>
      <c r="CM182" s="55">
        <f t="shared" si="223"/>
        <v>0.31360100000000002</v>
      </c>
      <c r="CN182" s="55">
        <f t="shared" si="223"/>
        <v>-1.7582420000000001</v>
      </c>
      <c r="CO182" s="55">
        <f t="shared" si="224"/>
        <v>1.1691739999999999</v>
      </c>
      <c r="CP182" s="55">
        <f t="shared" si="224"/>
        <v>2.2877999999999999E-2</v>
      </c>
      <c r="CQ182" s="55">
        <f t="shared" si="224"/>
        <v>1.1598599999999999</v>
      </c>
      <c r="CR182" s="55">
        <f t="shared" si="224"/>
        <v>-8.8025999999999993E-2</v>
      </c>
      <c r="CS182" s="55">
        <f t="shared" si="224"/>
        <v>1.3394E-2</v>
      </c>
      <c r="CT182" s="55">
        <f t="shared" si="224"/>
        <v>0.43396099999999999</v>
      </c>
      <c r="CU182" s="55">
        <f t="shared" si="224"/>
        <v>-0.96805399999999997</v>
      </c>
      <c r="CV182" s="55">
        <f t="shared" si="224"/>
        <v>0.22781000000000001</v>
      </c>
      <c r="CW182" s="55">
        <f t="shared" si="224"/>
        <v>4.8700000000000002E-4</v>
      </c>
      <c r="CX182" s="55">
        <f t="shared" si="224"/>
        <v>-0.89963199999999999</v>
      </c>
      <c r="CY182" s="55">
        <f t="shared" si="224"/>
        <v>0.18885199999999999</v>
      </c>
      <c r="CZ182" s="55">
        <f t="shared" si="224"/>
        <v>0.40491199999999999</v>
      </c>
      <c r="DA182" s="55">
        <f t="shared" si="224"/>
        <v>0.131018</v>
      </c>
      <c r="DB182" s="55">
        <f t="shared" si="224"/>
        <v>-0.14644599999999999</v>
      </c>
      <c r="DC182" s="55">
        <f t="shared" si="224"/>
        <v>-0.53958099999999998</v>
      </c>
      <c r="DD182" s="55">
        <f t="shared" si="224"/>
        <v>-0.81196599999999997</v>
      </c>
      <c r="DE182" s="55">
        <f t="shared" si="222"/>
        <v>7.3072999999999999E-2</v>
      </c>
      <c r="DF182" s="55">
        <f t="shared" si="222"/>
        <v>0.273009</v>
      </c>
      <c r="DG182" s="55">
        <f t="shared" si="222"/>
        <v>0.25028899999999998</v>
      </c>
      <c r="DI182" s="55">
        <f t="shared" ca="1" si="65"/>
        <v>-0.31709100000000001</v>
      </c>
      <c r="DJ182" s="55">
        <f t="shared" ca="1" si="66"/>
        <v>-0.89203399999999999</v>
      </c>
      <c r="DK182" s="55">
        <f t="shared" ca="1" si="67"/>
        <v>-0.50178699999999998</v>
      </c>
      <c r="DL182" s="55">
        <f t="shared" ca="1" si="68"/>
        <v>1.341126</v>
      </c>
      <c r="DM182" s="55">
        <f t="shared" ca="1" si="69"/>
        <v>-0.35331899999999999</v>
      </c>
      <c r="DN182" s="55">
        <f t="shared" ca="1" si="70"/>
        <v>-0.81649300000000002</v>
      </c>
      <c r="DO182" s="55">
        <f t="shared" ca="1" si="71"/>
        <v>0.76869500000000002</v>
      </c>
      <c r="DP182" s="55">
        <f t="shared" ca="1" si="72"/>
        <v>0.78559599999999996</v>
      </c>
      <c r="DQ182" s="55">
        <f t="shared" ca="1" si="73"/>
        <v>-0.50029299999999999</v>
      </c>
      <c r="DR182" s="55">
        <f t="shared" ca="1" si="74"/>
        <v>5.3810999999999998E-2</v>
      </c>
      <c r="DS182" s="55">
        <f t="shared" ca="1" si="75"/>
        <v>-1.401068</v>
      </c>
      <c r="DT182" s="55">
        <f t="shared" ca="1" si="76"/>
        <v>-0.34910000000000002</v>
      </c>
      <c r="DU182" s="55">
        <f t="shared" ca="1" si="77"/>
        <v>1.39639</v>
      </c>
      <c r="DV182" s="55">
        <f t="shared" ca="1" si="78"/>
        <v>0.16563800000000001</v>
      </c>
      <c r="DW182" s="55">
        <f t="shared" ca="1" si="79"/>
        <v>-0.78129099999999996</v>
      </c>
      <c r="DX182" s="55">
        <f t="shared" ca="1" si="80"/>
        <v>0.19028100000000001</v>
      </c>
      <c r="DY182" s="55">
        <f t="shared" ca="1" si="81"/>
        <v>-1.158496</v>
      </c>
      <c r="DZ182" s="55">
        <f t="shared" ca="1" si="82"/>
        <v>-8.0203999999999998E-2</v>
      </c>
      <c r="EA182" s="55">
        <f t="shared" ca="1" si="83"/>
        <v>-5.5931000000000002E-2</v>
      </c>
      <c r="EB182" s="55">
        <f t="shared" ca="1" si="84"/>
        <v>0.14855699999999999</v>
      </c>
      <c r="EC182" s="55">
        <f t="shared" ca="1" si="85"/>
        <v>-0.54910300000000001</v>
      </c>
      <c r="ED182" s="55">
        <f t="shared" ca="1" si="86"/>
        <v>-1.646245</v>
      </c>
      <c r="EE182" s="55">
        <f t="shared" ca="1" si="87"/>
        <v>0.36466599999999999</v>
      </c>
      <c r="EF182" s="55">
        <f t="shared" ca="1" si="88"/>
        <v>1.0881E-2</v>
      </c>
      <c r="EG182" s="55">
        <f t="shared" ca="1" si="89"/>
        <v>0.95167999999999986</v>
      </c>
      <c r="EH182" s="55">
        <f t="shared" ca="1" si="90"/>
        <v>0.35824299999999998</v>
      </c>
      <c r="EI182" s="55">
        <f t="shared" ca="1" si="91"/>
        <v>-0.28089999999999998</v>
      </c>
      <c r="EJ182" s="55">
        <f t="shared" ca="1" si="92"/>
        <v>-0.410466</v>
      </c>
      <c r="EK182" s="55">
        <f t="shared" ca="1" si="93"/>
        <v>0.50322500000000003</v>
      </c>
      <c r="EL182" s="55">
        <f t="shared" ca="1" si="94"/>
        <v>0.31360100000000002</v>
      </c>
      <c r="EM182" s="55">
        <f t="shared" ca="1" si="95"/>
        <v>-1.7582420000000001</v>
      </c>
      <c r="EN182" s="55">
        <f t="shared" ca="1" si="96"/>
        <v>1.1691739999999999</v>
      </c>
      <c r="EO182" s="55">
        <f t="shared" ca="1" si="97"/>
        <v>2.2877999999999999E-2</v>
      </c>
      <c r="EP182" s="55">
        <f t="shared" ca="1" si="98"/>
        <v>1.1598599999999999</v>
      </c>
      <c r="EQ182" s="55">
        <f t="shared" ca="1" si="99"/>
        <v>-8.8025999999999993E-2</v>
      </c>
      <c r="ER182" s="55">
        <f t="shared" ca="1" si="100"/>
        <v>1.3394E-2</v>
      </c>
      <c r="ES182" s="55">
        <f t="shared" ca="1" si="101"/>
        <v>0.43396099999999999</v>
      </c>
      <c r="ET182" s="55">
        <f t="shared" ca="1" si="102"/>
        <v>-0.96805399999999997</v>
      </c>
      <c r="EU182" s="55">
        <f t="shared" ca="1" si="103"/>
        <v>0.22781000000000001</v>
      </c>
      <c r="EV182" s="55">
        <f t="shared" ca="1" si="104"/>
        <v>4.8700000000000002E-4</v>
      </c>
      <c r="EW182" s="55">
        <f t="shared" ca="1" si="105"/>
        <v>-0.89963199999999999</v>
      </c>
      <c r="EX182" s="55">
        <f t="shared" ca="1" si="106"/>
        <v>0.18885199999999999</v>
      </c>
      <c r="EY182" s="55">
        <f t="shared" ca="1" si="107"/>
        <v>0.40491199999999999</v>
      </c>
      <c r="EZ182" s="55">
        <f t="shared" ca="1" si="108"/>
        <v>0.131018</v>
      </c>
      <c r="FA182" s="55">
        <f t="shared" ca="1" si="109"/>
        <v>-0.14644599999999999</v>
      </c>
      <c r="FB182" s="55">
        <f t="shared" ca="1" si="110"/>
        <v>-0.53958099999999998</v>
      </c>
      <c r="FC182" s="55">
        <f t="shared" ca="1" si="111"/>
        <v>-0.81196599999999997</v>
      </c>
      <c r="FD182" s="55">
        <f t="shared" ca="1" si="112"/>
        <v>7.3072999999999999E-2</v>
      </c>
      <c r="FE182" s="55">
        <f t="shared" ca="1" si="113"/>
        <v>0.273009</v>
      </c>
      <c r="FF182" s="55">
        <f t="shared" ca="1" si="114"/>
        <v>0.25028899999999998</v>
      </c>
      <c r="FH182" s="55">
        <f t="shared" ca="1" si="115"/>
        <v>0</v>
      </c>
      <c r="FI182" s="55">
        <f t="shared" ca="1" si="207"/>
        <v>0</v>
      </c>
      <c r="FJ182" s="55">
        <f t="shared" ca="1" si="208"/>
        <v>0</v>
      </c>
      <c r="FK182" s="55">
        <f t="shared" ca="1" si="209"/>
        <v>0</v>
      </c>
      <c r="FL182" s="55">
        <f t="shared" ca="1" si="210"/>
        <v>0</v>
      </c>
      <c r="FM182" s="55">
        <f t="shared" ca="1" si="211"/>
        <v>0</v>
      </c>
      <c r="FN182" s="55">
        <f t="shared" ca="1" si="212"/>
        <v>0</v>
      </c>
      <c r="FO182" s="55">
        <f t="shared" ca="1" si="213"/>
        <v>0</v>
      </c>
      <c r="FP182" s="55">
        <f t="shared" ca="1" si="214"/>
        <v>0</v>
      </c>
      <c r="FQ182" s="55">
        <f t="shared" ca="1" si="215"/>
        <v>0</v>
      </c>
      <c r="FR182" s="55">
        <f t="shared" ca="1" si="216"/>
        <v>0</v>
      </c>
      <c r="FS182" s="55">
        <f t="shared" ca="1" si="158"/>
        <v>0</v>
      </c>
      <c r="FT182" s="55">
        <f t="shared" ca="1" si="159"/>
        <v>0</v>
      </c>
      <c r="FU182" s="55">
        <f t="shared" ca="1" si="160"/>
        <v>0</v>
      </c>
      <c r="FV182" s="55">
        <f t="shared" ca="1" si="161"/>
        <v>0</v>
      </c>
      <c r="FW182" s="55">
        <f t="shared" ca="1" si="162"/>
        <v>0</v>
      </c>
      <c r="FX182" s="55">
        <f t="shared" ca="1" si="163"/>
        <v>0</v>
      </c>
      <c r="FY182" s="55">
        <f t="shared" ca="1" si="164"/>
        <v>0</v>
      </c>
      <c r="FZ182" s="55">
        <f t="shared" ca="1" si="165"/>
        <v>0</v>
      </c>
      <c r="GA182" s="55">
        <f t="shared" ca="1" si="166"/>
        <v>0</v>
      </c>
      <c r="GB182" s="55">
        <f t="shared" ca="1" si="167"/>
        <v>0</v>
      </c>
      <c r="GC182" s="55">
        <f t="shared" ca="1" si="168"/>
        <v>0</v>
      </c>
      <c r="GD182" s="55">
        <f t="shared" ca="1" si="169"/>
        <v>0</v>
      </c>
      <c r="GE182" s="55">
        <f t="shared" ca="1" si="170"/>
        <v>0</v>
      </c>
      <c r="GF182" s="55">
        <f t="shared" ca="1" si="171"/>
        <v>0</v>
      </c>
      <c r="GG182" s="55">
        <f t="shared" ca="1" si="172"/>
        <v>0</v>
      </c>
      <c r="GH182" s="55">
        <f t="shared" ca="1" si="173"/>
        <v>0</v>
      </c>
      <c r="GI182" s="55">
        <f t="shared" ca="1" si="174"/>
        <v>0</v>
      </c>
      <c r="GJ182" s="55">
        <f t="shared" ca="1" si="175"/>
        <v>0</v>
      </c>
      <c r="GK182" s="55">
        <f t="shared" ca="1" si="176"/>
        <v>0</v>
      </c>
      <c r="GL182" s="55">
        <f t="shared" ca="1" si="177"/>
        <v>0</v>
      </c>
      <c r="GM182" s="55">
        <f t="shared" ca="1" si="178"/>
        <v>0</v>
      </c>
      <c r="GN182" s="55">
        <f t="shared" ca="1" si="179"/>
        <v>0</v>
      </c>
      <c r="GO182" s="55">
        <f t="shared" ca="1" si="180"/>
        <v>0</v>
      </c>
      <c r="GP182" s="55">
        <f t="shared" ca="1" si="181"/>
        <v>0</v>
      </c>
      <c r="GQ182" s="55">
        <f t="shared" ca="1" si="182"/>
        <v>0</v>
      </c>
      <c r="GR182" s="55">
        <f t="shared" ca="1" si="183"/>
        <v>0</v>
      </c>
      <c r="GS182" s="55">
        <f t="shared" ca="1" si="184"/>
        <v>0</v>
      </c>
      <c r="GT182" s="55">
        <f t="shared" ca="1" si="185"/>
        <v>0</v>
      </c>
      <c r="GU182" s="55">
        <f t="shared" ca="1" si="186"/>
        <v>0</v>
      </c>
      <c r="GV182" s="55">
        <f t="shared" ca="1" si="187"/>
        <v>0</v>
      </c>
      <c r="GW182" s="55">
        <f t="shared" ca="1" si="188"/>
        <v>0</v>
      </c>
      <c r="GX182" s="55">
        <f t="shared" ca="1" si="189"/>
        <v>0</v>
      </c>
      <c r="GY182" s="55">
        <f t="shared" ca="1" si="190"/>
        <v>0</v>
      </c>
      <c r="GZ182" s="55">
        <f t="shared" ca="1" si="191"/>
        <v>0</v>
      </c>
      <c r="HA182" s="55">
        <f t="shared" ca="1" si="192"/>
        <v>0</v>
      </c>
      <c r="HB182" s="55">
        <f t="shared" ca="1" si="193"/>
        <v>0</v>
      </c>
      <c r="HC182" s="55">
        <f t="shared" ca="1" si="194"/>
        <v>0</v>
      </c>
      <c r="HD182" s="55">
        <f t="shared" ca="1" si="195"/>
        <v>0</v>
      </c>
      <c r="HE182" s="55">
        <f t="shared" ca="1" si="196"/>
        <v>0</v>
      </c>
    </row>
    <row r="183" spans="1:213">
      <c r="A183" s="27">
        <v>46</v>
      </c>
      <c r="B183" s="27">
        <v>90</v>
      </c>
      <c r="C183" s="27">
        <v>0.25342399999999998</v>
      </c>
      <c r="D183" s="27">
        <v>0.35391499999999998</v>
      </c>
      <c r="E183" s="27">
        <v>2</v>
      </c>
      <c r="F183" s="27">
        <f t="shared" ca="1" si="59"/>
        <v>7</v>
      </c>
      <c r="G183" s="27">
        <f t="shared" si="221"/>
        <v>0</v>
      </c>
      <c r="H183" s="27" t="str">
        <f t="shared" si="60"/>
        <v>Sim</v>
      </c>
      <c r="I183" s="27">
        <f t="shared" si="61"/>
        <v>0</v>
      </c>
      <c r="J183" s="37">
        <f t="shared" si="62"/>
        <v>1</v>
      </c>
      <c r="K183" s="55">
        <f t="shared" si="63"/>
        <v>-0.31709100000000001</v>
      </c>
      <c r="L183" s="55">
        <f t="shared" si="197"/>
        <v>-0.89203399999999999</v>
      </c>
      <c r="M183" s="55">
        <f t="shared" si="198"/>
        <v>-0.50178699999999998</v>
      </c>
      <c r="N183" s="55">
        <f t="shared" si="199"/>
        <v>1.341126</v>
      </c>
      <c r="O183" s="55">
        <f t="shared" si="200"/>
        <v>-0.35331899999999999</v>
      </c>
      <c r="P183" s="55">
        <f t="shared" si="201"/>
        <v>-0.81649300000000002</v>
      </c>
      <c r="Q183" s="55">
        <f t="shared" si="202"/>
        <v>0.76869500000000002</v>
      </c>
      <c r="R183" s="55">
        <f t="shared" si="203"/>
        <v>0.78559599999999996</v>
      </c>
      <c r="S183" s="55">
        <f t="shared" si="204"/>
        <v>-0.50029299999999999</v>
      </c>
      <c r="T183" s="55">
        <f t="shared" si="205"/>
        <v>5.3810999999999998E-2</v>
      </c>
      <c r="U183" s="55">
        <f t="shared" si="206"/>
        <v>-1.401068</v>
      </c>
      <c r="V183" s="55">
        <f t="shared" si="116"/>
        <v>-0.34910000000000002</v>
      </c>
      <c r="W183" s="55">
        <f t="shared" si="117"/>
        <v>1.39639</v>
      </c>
      <c r="X183" s="55">
        <f t="shared" si="118"/>
        <v>0.16563800000000001</v>
      </c>
      <c r="Y183" s="55">
        <f t="shared" si="119"/>
        <v>-0.78129099999999996</v>
      </c>
      <c r="Z183" s="55">
        <f t="shared" si="120"/>
        <v>0.19028100000000001</v>
      </c>
      <c r="AA183" s="55">
        <f t="shared" si="121"/>
        <v>-1.158496</v>
      </c>
      <c r="AB183" s="55">
        <f t="shared" si="122"/>
        <v>-8.0203999999999998E-2</v>
      </c>
      <c r="AC183" s="55">
        <f t="shared" si="123"/>
        <v>-5.5931000000000002E-2</v>
      </c>
      <c r="AD183" s="55">
        <f t="shared" si="124"/>
        <v>0.14855699999999999</v>
      </c>
      <c r="AE183" s="55">
        <f t="shared" si="125"/>
        <v>-0.54910300000000001</v>
      </c>
      <c r="AF183" s="55">
        <f t="shared" si="126"/>
        <v>-1.646245</v>
      </c>
      <c r="AG183" s="55">
        <f t="shared" si="127"/>
        <v>0.36466599999999999</v>
      </c>
      <c r="AH183" s="55">
        <f t="shared" si="128"/>
        <v>1.0881E-2</v>
      </c>
      <c r="AI183" s="55">
        <f t="shared" si="129"/>
        <v>0.95167999999999997</v>
      </c>
      <c r="AJ183" s="55">
        <f t="shared" si="130"/>
        <v>0.35824299999999998</v>
      </c>
      <c r="AK183" s="55">
        <f t="shared" si="131"/>
        <v>-0.28089999999999998</v>
      </c>
      <c r="AL183" s="55">
        <f t="shared" si="132"/>
        <v>-0.410466</v>
      </c>
      <c r="AM183" s="55">
        <f t="shared" si="133"/>
        <v>0.50322500000000003</v>
      </c>
      <c r="AN183" s="55">
        <f t="shared" si="134"/>
        <v>0.31360100000000002</v>
      </c>
      <c r="AO183" s="55">
        <f t="shared" si="135"/>
        <v>-1.7582420000000001</v>
      </c>
      <c r="AP183" s="55">
        <f t="shared" si="136"/>
        <v>1.1691739999999999</v>
      </c>
      <c r="AQ183" s="55">
        <f t="shared" si="137"/>
        <v>2.2877999999999999E-2</v>
      </c>
      <c r="AR183" s="55">
        <f t="shared" si="138"/>
        <v>1.1598599999999999</v>
      </c>
      <c r="AS183" s="55">
        <f t="shared" si="139"/>
        <v>-8.8025999999999993E-2</v>
      </c>
      <c r="AT183" s="55">
        <f t="shared" si="140"/>
        <v>1.3394E-2</v>
      </c>
      <c r="AU183" s="55">
        <f t="shared" si="141"/>
        <v>0.43396099999999999</v>
      </c>
      <c r="AV183" s="55">
        <f t="shared" si="142"/>
        <v>-0.96805399999999997</v>
      </c>
      <c r="AW183" s="55">
        <f t="shared" si="143"/>
        <v>0.22781000000000001</v>
      </c>
      <c r="AX183" s="55">
        <f t="shared" si="144"/>
        <v>4.8700000000000002E-4</v>
      </c>
      <c r="AY183" s="55">
        <f t="shared" si="145"/>
        <v>-0.89963199999999999</v>
      </c>
      <c r="AZ183" s="55">
        <f t="shared" si="146"/>
        <v>0.18885199999999999</v>
      </c>
      <c r="BA183" s="55">
        <f t="shared" si="147"/>
        <v>0.40491199999999999</v>
      </c>
      <c r="BB183" s="55">
        <f t="shared" si="148"/>
        <v>0.131018</v>
      </c>
      <c r="BC183" s="55">
        <f t="shared" si="149"/>
        <v>-0.14644599999999999</v>
      </c>
      <c r="BD183" s="55">
        <f t="shared" si="150"/>
        <v>-0.53958099999999998</v>
      </c>
      <c r="BE183" s="55">
        <f t="shared" si="151"/>
        <v>-0.81196599999999997</v>
      </c>
      <c r="BF183" s="55">
        <f t="shared" si="152"/>
        <v>7.3072999999999999E-2</v>
      </c>
      <c r="BG183" s="55">
        <f t="shared" si="153"/>
        <v>0.273009</v>
      </c>
      <c r="BH183" s="55">
        <f t="shared" si="154"/>
        <v>0.25028899999999998</v>
      </c>
      <c r="BJ183" s="55">
        <f t="shared" si="225"/>
        <v>-1.1206419999999999</v>
      </c>
      <c r="BK183" s="55">
        <f t="shared" si="225"/>
        <v>-1.3029770000000001</v>
      </c>
      <c r="BL183" s="55">
        <f t="shared" si="225"/>
        <v>0.63195299999999999</v>
      </c>
      <c r="BM183" s="55">
        <f t="shared" si="225"/>
        <v>0.98210200000000003</v>
      </c>
      <c r="BN183" s="55">
        <f t="shared" si="225"/>
        <v>-0.57215499999999997</v>
      </c>
      <c r="BO183" s="55">
        <f t="shared" si="225"/>
        <v>-0.43438700000000002</v>
      </c>
      <c r="BP183" s="55">
        <f t="shared" si="225"/>
        <v>-0.78777299999999995</v>
      </c>
      <c r="BQ183" s="55">
        <f t="shared" si="225"/>
        <v>0.70708700000000002</v>
      </c>
      <c r="BR183" s="55">
        <f t="shared" si="225"/>
        <v>-0.69861499999999999</v>
      </c>
      <c r="BS183" s="55">
        <f t="shared" si="225"/>
        <v>0.17693</v>
      </c>
      <c r="BT183" s="55">
        <f t="shared" si="225"/>
        <v>-3.4855999999999998E-2</v>
      </c>
      <c r="BU183" s="55">
        <f t="shared" si="225"/>
        <v>-0.24126500000000001</v>
      </c>
      <c r="BV183" s="55">
        <f t="shared" si="225"/>
        <v>-0.76626899999999998</v>
      </c>
      <c r="BW183" s="55">
        <f t="shared" si="225"/>
        <v>0.76902300000000001</v>
      </c>
      <c r="BX183" s="55">
        <f t="shared" si="225"/>
        <v>0.34150900000000001</v>
      </c>
      <c r="BY183" s="55">
        <f t="shared" si="225"/>
        <v>1.2394810000000001</v>
      </c>
      <c r="BZ183" s="55">
        <f t="shared" si="223"/>
        <v>9.9690000000000001E-2</v>
      </c>
      <c r="CA183" s="55">
        <f t="shared" si="223"/>
        <v>-0.23971600000000001</v>
      </c>
      <c r="CB183" s="55">
        <f t="shared" si="223"/>
        <v>0.92815599999999998</v>
      </c>
      <c r="CC183" s="55">
        <f t="shared" si="223"/>
        <v>1.4252050000000001</v>
      </c>
      <c r="CD183" s="55">
        <f t="shared" si="223"/>
        <v>0.64546000000000003</v>
      </c>
      <c r="CE183" s="55">
        <f t="shared" si="223"/>
        <v>0.69140599999999997</v>
      </c>
      <c r="CF183" s="55">
        <f t="shared" si="223"/>
        <v>0.424819</v>
      </c>
      <c r="CG183" s="55">
        <f t="shared" si="223"/>
        <v>-0.34880899999999998</v>
      </c>
      <c r="CH183" s="55">
        <f t="shared" si="223"/>
        <v>-9.5500000000000001E-4</v>
      </c>
      <c r="CI183" s="55">
        <f t="shared" si="223"/>
        <v>-1.0865530000000001</v>
      </c>
      <c r="CJ183" s="55">
        <f t="shared" si="223"/>
        <v>0.57345100000000004</v>
      </c>
      <c r="CK183" s="55">
        <f t="shared" si="223"/>
        <v>0.34295399999999998</v>
      </c>
      <c r="CL183" s="55">
        <f t="shared" si="223"/>
        <v>0.13766200000000001</v>
      </c>
      <c r="CM183" s="55">
        <f t="shared" si="223"/>
        <v>-1.1162510000000001</v>
      </c>
      <c r="CN183" s="55">
        <f t="shared" si="223"/>
        <v>0.73047600000000001</v>
      </c>
      <c r="CO183" s="55">
        <f t="shared" si="224"/>
        <v>0.68080600000000002</v>
      </c>
      <c r="CP183" s="55">
        <f t="shared" si="224"/>
        <v>0.863236</v>
      </c>
      <c r="CQ183" s="55">
        <f t="shared" si="224"/>
        <v>-0.58311199999999996</v>
      </c>
      <c r="CR183" s="55">
        <f t="shared" si="224"/>
        <v>0.47052300000000002</v>
      </c>
      <c r="CS183" s="55">
        <f t="shared" si="224"/>
        <v>-0.24438599999999999</v>
      </c>
      <c r="CT183" s="55">
        <f t="shared" si="224"/>
        <v>0.61097999999999997</v>
      </c>
      <c r="CU183" s="55">
        <f t="shared" si="224"/>
        <v>-0.82228699999999999</v>
      </c>
      <c r="CV183" s="55">
        <f t="shared" si="224"/>
        <v>-0.55370900000000001</v>
      </c>
      <c r="CW183" s="55">
        <f t="shared" si="224"/>
        <v>-1.9292E-2</v>
      </c>
      <c r="CX183" s="55">
        <f t="shared" si="224"/>
        <v>-1.0748390000000001</v>
      </c>
      <c r="CY183" s="55">
        <f t="shared" si="224"/>
        <v>-0.47066599999999997</v>
      </c>
      <c r="CZ183" s="55">
        <f t="shared" si="224"/>
        <v>-1.5998859999999999</v>
      </c>
      <c r="DA183" s="55">
        <f t="shared" si="224"/>
        <v>3.5397999999999999E-2</v>
      </c>
      <c r="DB183" s="55">
        <f t="shared" si="224"/>
        <v>-0.80943900000000002</v>
      </c>
      <c r="DC183" s="55">
        <f t="shared" si="224"/>
        <v>-0.61132799999999998</v>
      </c>
      <c r="DD183" s="55">
        <f t="shared" si="224"/>
        <v>0.132438</v>
      </c>
      <c r="DE183" s="55">
        <f t="shared" si="222"/>
        <v>-0.14102799999999999</v>
      </c>
      <c r="DF183" s="55">
        <f t="shared" si="222"/>
        <v>1.547493</v>
      </c>
      <c r="DG183" s="55">
        <f t="shared" si="222"/>
        <v>-0.62312100000000004</v>
      </c>
      <c r="DI183" s="55">
        <f t="shared" ca="1" si="65"/>
        <v>-0.31709100000000001</v>
      </c>
      <c r="DJ183" s="55">
        <f t="shared" ca="1" si="66"/>
        <v>-0.89203399999999999</v>
      </c>
      <c r="DK183" s="55">
        <f t="shared" ca="1" si="67"/>
        <v>0.23070540790000002</v>
      </c>
      <c r="DL183" s="55">
        <f t="shared" ca="1" si="68"/>
        <v>1.1091659789600001</v>
      </c>
      <c r="DM183" s="55">
        <f t="shared" ca="1" si="69"/>
        <v>-0.49470565706000003</v>
      </c>
      <c r="DN183" s="55">
        <f t="shared" ca="1" si="70"/>
        <v>-0.56962004498999996</v>
      </c>
      <c r="DO183" s="55">
        <f t="shared" ca="1" si="71"/>
        <v>-0.23691562778000003</v>
      </c>
      <c r="DP183" s="55">
        <f t="shared" ca="1" si="72"/>
        <v>0.78559599999999996</v>
      </c>
      <c r="DQ183" s="55">
        <f t="shared" ca="1" si="73"/>
        <v>-0.50029299999999999</v>
      </c>
      <c r="DR183" s="55">
        <f t="shared" ca="1" si="74"/>
        <v>5.3810999999999998E-2</v>
      </c>
      <c r="DS183" s="55">
        <f t="shared" ca="1" si="75"/>
        <v>-1.401068</v>
      </c>
      <c r="DT183" s="55">
        <f t="shared" ca="1" si="76"/>
        <v>-0.34910000000000002</v>
      </c>
      <c r="DU183" s="55">
        <f t="shared" ca="1" si="77"/>
        <v>1.39639</v>
      </c>
      <c r="DV183" s="55">
        <f t="shared" ca="1" si="78"/>
        <v>0.16563800000000001</v>
      </c>
      <c r="DW183" s="55">
        <f t="shared" ca="1" si="79"/>
        <v>-0.78129099999999996</v>
      </c>
      <c r="DX183" s="55">
        <f t="shared" ca="1" si="80"/>
        <v>0.19028100000000001</v>
      </c>
      <c r="DY183" s="55">
        <f t="shared" ca="1" si="81"/>
        <v>-1.158496</v>
      </c>
      <c r="DZ183" s="55">
        <f t="shared" ca="1" si="82"/>
        <v>-8.0203999999999998E-2</v>
      </c>
      <c r="EA183" s="55">
        <f t="shared" ca="1" si="83"/>
        <v>-5.5931000000000002E-2</v>
      </c>
      <c r="EB183" s="55">
        <f t="shared" ca="1" si="84"/>
        <v>0.14855699999999999</v>
      </c>
      <c r="EC183" s="55">
        <f t="shared" ca="1" si="85"/>
        <v>-0.54910300000000001</v>
      </c>
      <c r="ED183" s="55">
        <f t="shared" ca="1" si="86"/>
        <v>-1.646245</v>
      </c>
      <c r="EE183" s="55">
        <f t="shared" ca="1" si="87"/>
        <v>0.36466599999999999</v>
      </c>
      <c r="EF183" s="55">
        <f t="shared" ca="1" si="88"/>
        <v>1.0881E-2</v>
      </c>
      <c r="EG183" s="55">
        <f t="shared" ca="1" si="89"/>
        <v>0.95167999999999997</v>
      </c>
      <c r="EH183" s="55">
        <f t="shared" ca="1" si="90"/>
        <v>0.35824299999999998</v>
      </c>
      <c r="EI183" s="55">
        <f t="shared" ca="1" si="91"/>
        <v>-0.28089999999999998</v>
      </c>
      <c r="EJ183" s="55">
        <f t="shared" ca="1" si="92"/>
        <v>-0.410466</v>
      </c>
      <c r="EK183" s="55">
        <f t="shared" ca="1" si="93"/>
        <v>0.50322500000000003</v>
      </c>
      <c r="EL183" s="55">
        <f t="shared" ca="1" si="94"/>
        <v>0.31360100000000002</v>
      </c>
      <c r="EM183" s="55">
        <f t="shared" ca="1" si="95"/>
        <v>-1.7582420000000001</v>
      </c>
      <c r="EN183" s="55">
        <f t="shared" ca="1" si="96"/>
        <v>1.1691739999999999</v>
      </c>
      <c r="EO183" s="55">
        <f t="shared" ca="1" si="97"/>
        <v>2.2877999999999999E-2</v>
      </c>
      <c r="EP183" s="55">
        <f t="shared" ca="1" si="98"/>
        <v>1.1598599999999999</v>
      </c>
      <c r="EQ183" s="55">
        <f t="shared" ca="1" si="99"/>
        <v>-8.8025999999999993E-2</v>
      </c>
      <c r="ER183" s="55">
        <f t="shared" ca="1" si="100"/>
        <v>1.3394E-2</v>
      </c>
      <c r="ES183" s="55">
        <f t="shared" ca="1" si="101"/>
        <v>0.43396099999999999</v>
      </c>
      <c r="ET183" s="55">
        <f t="shared" ca="1" si="102"/>
        <v>-0.96805399999999997</v>
      </c>
      <c r="EU183" s="55">
        <f t="shared" ca="1" si="103"/>
        <v>0.22781000000000001</v>
      </c>
      <c r="EV183" s="55">
        <f t="shared" ca="1" si="104"/>
        <v>4.8700000000000002E-4</v>
      </c>
      <c r="EW183" s="55">
        <f t="shared" ca="1" si="105"/>
        <v>-0.89963199999999999</v>
      </c>
      <c r="EX183" s="55">
        <f t="shared" ca="1" si="106"/>
        <v>0.18885199999999999</v>
      </c>
      <c r="EY183" s="55">
        <f t="shared" ca="1" si="107"/>
        <v>0.40491199999999999</v>
      </c>
      <c r="EZ183" s="55">
        <f t="shared" ca="1" si="108"/>
        <v>0.131018</v>
      </c>
      <c r="FA183" s="55">
        <f t="shared" ca="1" si="109"/>
        <v>-0.14644599999999999</v>
      </c>
      <c r="FB183" s="55">
        <f t="shared" ca="1" si="110"/>
        <v>-0.53958099999999998</v>
      </c>
      <c r="FC183" s="55">
        <f t="shared" ca="1" si="111"/>
        <v>-0.81196599999999997</v>
      </c>
      <c r="FD183" s="55">
        <f t="shared" ca="1" si="112"/>
        <v>7.3072999999999999E-2</v>
      </c>
      <c r="FE183" s="55">
        <f t="shared" ca="1" si="113"/>
        <v>0.273009</v>
      </c>
      <c r="FF183" s="55">
        <f t="shared" ca="1" si="114"/>
        <v>0.25028899999999998</v>
      </c>
      <c r="FH183" s="55">
        <f t="shared" ca="1" si="115"/>
        <v>0</v>
      </c>
      <c r="FI183" s="55">
        <f t="shared" ca="1" si="207"/>
        <v>0</v>
      </c>
      <c r="FJ183" s="55">
        <f t="shared" ca="1" si="208"/>
        <v>0.73249240790000003</v>
      </c>
      <c r="FK183" s="55">
        <f t="shared" ca="1" si="209"/>
        <v>-0.23196002103999991</v>
      </c>
      <c r="FL183" s="55">
        <f t="shared" ca="1" si="210"/>
        <v>-0.14138665706000003</v>
      </c>
      <c r="FM183" s="55">
        <f t="shared" ca="1" si="211"/>
        <v>0.24687295501000006</v>
      </c>
      <c r="FN183" s="55">
        <f t="shared" ca="1" si="212"/>
        <v>-1.0056106277800001</v>
      </c>
      <c r="FO183" s="55">
        <f t="shared" ca="1" si="213"/>
        <v>0</v>
      </c>
      <c r="FP183" s="55">
        <f t="shared" ca="1" si="214"/>
        <v>0</v>
      </c>
      <c r="FQ183" s="55">
        <f t="shared" ca="1" si="215"/>
        <v>0</v>
      </c>
      <c r="FR183" s="55">
        <f t="shared" ca="1" si="216"/>
        <v>0</v>
      </c>
      <c r="FS183" s="55">
        <f t="shared" ca="1" si="158"/>
        <v>0</v>
      </c>
      <c r="FT183" s="55">
        <f t="shared" ca="1" si="159"/>
        <v>0</v>
      </c>
      <c r="FU183" s="55">
        <f t="shared" ca="1" si="160"/>
        <v>0</v>
      </c>
      <c r="FV183" s="55">
        <f t="shared" ca="1" si="161"/>
        <v>0</v>
      </c>
      <c r="FW183" s="55">
        <f t="shared" ca="1" si="162"/>
        <v>0</v>
      </c>
      <c r="FX183" s="55">
        <f t="shared" ca="1" si="163"/>
        <v>0</v>
      </c>
      <c r="FY183" s="55">
        <f t="shared" ca="1" si="164"/>
        <v>0</v>
      </c>
      <c r="FZ183" s="55">
        <f t="shared" ca="1" si="165"/>
        <v>0</v>
      </c>
      <c r="GA183" s="55">
        <f t="shared" ca="1" si="166"/>
        <v>0</v>
      </c>
      <c r="GB183" s="55">
        <f t="shared" ca="1" si="167"/>
        <v>0</v>
      </c>
      <c r="GC183" s="55">
        <f t="shared" ca="1" si="168"/>
        <v>0</v>
      </c>
      <c r="GD183" s="55">
        <f t="shared" ca="1" si="169"/>
        <v>0</v>
      </c>
      <c r="GE183" s="55">
        <f t="shared" ca="1" si="170"/>
        <v>0</v>
      </c>
      <c r="GF183" s="55">
        <f t="shared" ca="1" si="171"/>
        <v>0</v>
      </c>
      <c r="GG183" s="55">
        <f t="shared" ca="1" si="172"/>
        <v>0</v>
      </c>
      <c r="GH183" s="55">
        <f t="shared" ca="1" si="173"/>
        <v>0</v>
      </c>
      <c r="GI183" s="55">
        <f t="shared" ca="1" si="174"/>
        <v>0</v>
      </c>
      <c r="GJ183" s="55">
        <f t="shared" ca="1" si="175"/>
        <v>0</v>
      </c>
      <c r="GK183" s="55">
        <f t="shared" ca="1" si="176"/>
        <v>0</v>
      </c>
      <c r="GL183" s="55">
        <f t="shared" ca="1" si="177"/>
        <v>0</v>
      </c>
      <c r="GM183" s="55">
        <f t="shared" ca="1" si="178"/>
        <v>0</v>
      </c>
      <c r="GN183" s="55">
        <f t="shared" ca="1" si="179"/>
        <v>0</v>
      </c>
      <c r="GO183" s="55">
        <f t="shared" ca="1" si="180"/>
        <v>0</v>
      </c>
      <c r="GP183" s="55">
        <f t="shared" ca="1" si="181"/>
        <v>0</v>
      </c>
      <c r="GQ183" s="55">
        <f t="shared" ca="1" si="182"/>
        <v>0</v>
      </c>
      <c r="GR183" s="55">
        <f t="shared" ca="1" si="183"/>
        <v>0</v>
      </c>
      <c r="GS183" s="55">
        <f t="shared" ca="1" si="184"/>
        <v>0</v>
      </c>
      <c r="GT183" s="55">
        <f t="shared" ca="1" si="185"/>
        <v>0</v>
      </c>
      <c r="GU183" s="55">
        <f t="shared" ca="1" si="186"/>
        <v>0</v>
      </c>
      <c r="GV183" s="55">
        <f t="shared" ca="1" si="187"/>
        <v>0</v>
      </c>
      <c r="GW183" s="55">
        <f t="shared" ca="1" si="188"/>
        <v>0</v>
      </c>
      <c r="GX183" s="55">
        <f t="shared" ca="1" si="189"/>
        <v>0</v>
      </c>
      <c r="GY183" s="55">
        <f t="shared" ca="1" si="190"/>
        <v>0</v>
      </c>
      <c r="GZ183" s="55">
        <f t="shared" ca="1" si="191"/>
        <v>0</v>
      </c>
      <c r="HA183" s="55">
        <f t="shared" ca="1" si="192"/>
        <v>0</v>
      </c>
      <c r="HB183" s="55">
        <f t="shared" ca="1" si="193"/>
        <v>0</v>
      </c>
      <c r="HC183" s="55">
        <f t="shared" ca="1" si="194"/>
        <v>0</v>
      </c>
      <c r="HD183" s="55">
        <f t="shared" ca="1" si="195"/>
        <v>0</v>
      </c>
      <c r="HE183" s="55">
        <f t="shared" ca="1" si="196"/>
        <v>0</v>
      </c>
    </row>
    <row r="184" spans="1:213">
      <c r="A184" s="27">
        <v>47</v>
      </c>
      <c r="B184" s="27">
        <v>16</v>
      </c>
      <c r="C184" s="27">
        <v>0.45001000000000002</v>
      </c>
      <c r="D184" s="27">
        <v>0.475636</v>
      </c>
      <c r="E184" s="27">
        <v>28</v>
      </c>
      <c r="F184" s="27">
        <f t="shared" ca="1" si="59"/>
        <v>36</v>
      </c>
      <c r="G184" s="27">
        <f t="shared" si="221"/>
        <v>0</v>
      </c>
      <c r="H184" s="27" t="str">
        <f t="shared" si="60"/>
        <v>Sim</v>
      </c>
      <c r="I184" s="27">
        <f t="shared" si="61"/>
        <v>0</v>
      </c>
      <c r="J184" s="37">
        <f t="shared" si="62"/>
        <v>1</v>
      </c>
      <c r="K184" s="55">
        <f t="shared" si="63"/>
        <v>-0.39273999999999998</v>
      </c>
      <c r="L184" s="55">
        <f t="shared" si="197"/>
        <v>0.69454800000000005</v>
      </c>
      <c r="M184" s="55">
        <f t="shared" si="198"/>
        <v>4.0208000000000001E-2</v>
      </c>
      <c r="N184" s="55">
        <f t="shared" si="199"/>
        <v>0.54447299999999998</v>
      </c>
      <c r="O184" s="55">
        <f t="shared" si="200"/>
        <v>-0.45896700000000001</v>
      </c>
      <c r="P184" s="55">
        <f t="shared" si="201"/>
        <v>0.48727199999999998</v>
      </c>
      <c r="Q184" s="55">
        <f t="shared" si="202"/>
        <v>0.351439</v>
      </c>
      <c r="R184" s="55">
        <f t="shared" si="203"/>
        <v>-0.191992</v>
      </c>
      <c r="S184" s="55">
        <f t="shared" si="204"/>
        <v>-0.91768499999999997</v>
      </c>
      <c r="T184" s="55">
        <f t="shared" si="205"/>
        <v>-1.2897940000000001</v>
      </c>
      <c r="U184" s="55">
        <f t="shared" si="206"/>
        <v>8.7781999999999999E-2</v>
      </c>
      <c r="V184" s="55">
        <f t="shared" si="116"/>
        <v>-0.10591399999999999</v>
      </c>
      <c r="W184" s="55">
        <f t="shared" si="117"/>
        <v>-0.44226599999999999</v>
      </c>
      <c r="X184" s="55">
        <f t="shared" si="118"/>
        <v>0.35954999999999998</v>
      </c>
      <c r="Y184" s="55">
        <f t="shared" si="119"/>
        <v>0.43825799999999998</v>
      </c>
      <c r="Z184" s="55">
        <f t="shared" si="120"/>
        <v>-0.80034700000000003</v>
      </c>
      <c r="AA184" s="55">
        <f t="shared" si="121"/>
        <v>-0.54747699999999999</v>
      </c>
      <c r="AB184" s="55">
        <f t="shared" si="122"/>
        <v>-0.32855600000000001</v>
      </c>
      <c r="AC184" s="55">
        <f t="shared" si="123"/>
        <v>1.560214</v>
      </c>
      <c r="AD184" s="55">
        <f t="shared" si="124"/>
        <v>-0.30081000000000002</v>
      </c>
      <c r="AE184" s="55">
        <f t="shared" si="125"/>
        <v>-1.457616</v>
      </c>
      <c r="AF184" s="55">
        <f t="shared" si="126"/>
        <v>0.84435099999999996</v>
      </c>
      <c r="AG184" s="55">
        <f t="shared" si="127"/>
        <v>6.3188999999999995E-2</v>
      </c>
      <c r="AH184" s="55">
        <f t="shared" si="128"/>
        <v>0.83720799999999995</v>
      </c>
      <c r="AI184" s="55">
        <f t="shared" si="129"/>
        <v>0.11751399999999999</v>
      </c>
      <c r="AJ184" s="55">
        <f t="shared" si="130"/>
        <v>-0.122228</v>
      </c>
      <c r="AK184" s="55">
        <f t="shared" si="131"/>
        <v>0.275868</v>
      </c>
      <c r="AL184" s="55">
        <f t="shared" si="132"/>
        <v>0.94771300000000003</v>
      </c>
      <c r="AM184" s="55">
        <f t="shared" si="133"/>
        <v>0.39544499999999999</v>
      </c>
      <c r="AN184" s="55">
        <f t="shared" si="134"/>
        <v>0.48274499999999998</v>
      </c>
      <c r="AO184" s="55">
        <f t="shared" si="135"/>
        <v>0.54835100000000003</v>
      </c>
      <c r="AP184" s="55">
        <f t="shared" si="136"/>
        <v>-1.5755570000000001</v>
      </c>
      <c r="AQ184" s="55">
        <f t="shared" si="137"/>
        <v>0.320656</v>
      </c>
      <c r="AR184" s="55">
        <f t="shared" si="138"/>
        <v>-1.3234319999999999</v>
      </c>
      <c r="AS184" s="55">
        <f t="shared" si="139"/>
        <v>-1.224877</v>
      </c>
      <c r="AT184" s="55">
        <f t="shared" si="140"/>
        <v>-0.186582</v>
      </c>
      <c r="AU184" s="55">
        <f t="shared" si="141"/>
        <v>0.33895799999999998</v>
      </c>
      <c r="AV184" s="55">
        <f t="shared" si="142"/>
        <v>9.2895000000000005E-2</v>
      </c>
      <c r="AW184" s="55">
        <f t="shared" si="143"/>
        <v>0.99318200000000001</v>
      </c>
      <c r="AX184" s="55">
        <f t="shared" si="144"/>
        <v>0.50696799999999997</v>
      </c>
      <c r="AY184" s="55">
        <f t="shared" si="145"/>
        <v>0.240587</v>
      </c>
      <c r="AZ184" s="55">
        <f t="shared" si="146"/>
        <v>0.16120300000000001</v>
      </c>
      <c r="BA184" s="55">
        <f t="shared" si="147"/>
        <v>-0.61085699999999998</v>
      </c>
      <c r="BB184" s="55">
        <f t="shared" si="148"/>
        <v>-0.13264599999999999</v>
      </c>
      <c r="BC184" s="55">
        <f t="shared" si="149"/>
        <v>-0.26988699999999999</v>
      </c>
      <c r="BD184" s="55">
        <f t="shared" si="150"/>
        <v>0.17993799999999999</v>
      </c>
      <c r="BE184" s="55">
        <f t="shared" si="151"/>
        <v>0.35216399999999998</v>
      </c>
      <c r="BF184" s="55">
        <f t="shared" si="152"/>
        <v>-0.67868200000000001</v>
      </c>
      <c r="BG184" s="55">
        <f t="shared" si="153"/>
        <v>-5.6218999999999998E-2</v>
      </c>
      <c r="BH184" s="55">
        <f t="shared" si="154"/>
        <v>-1.2801910000000001</v>
      </c>
      <c r="BJ184" s="55">
        <f t="shared" si="225"/>
        <v>-0.83938599999999997</v>
      </c>
      <c r="BK184" s="55">
        <f t="shared" si="225"/>
        <v>-7.3762999999999995E-2</v>
      </c>
      <c r="BL184" s="55">
        <f t="shared" si="225"/>
        <v>0.222966</v>
      </c>
      <c r="BM184" s="55">
        <f t="shared" si="225"/>
        <v>0.30225400000000002</v>
      </c>
      <c r="BN184" s="55">
        <f t="shared" si="225"/>
        <v>0.68256499999999998</v>
      </c>
      <c r="BO184" s="55">
        <f t="shared" si="225"/>
        <v>-0.35476799999999997</v>
      </c>
      <c r="BP184" s="55">
        <f t="shared" si="225"/>
        <v>-0.264739</v>
      </c>
      <c r="BQ184" s="55">
        <f t="shared" si="225"/>
        <v>-0.81806999999999996</v>
      </c>
      <c r="BR184" s="55">
        <f t="shared" si="225"/>
        <v>0.25250699999999998</v>
      </c>
      <c r="BS184" s="55">
        <f t="shared" si="225"/>
        <v>-0.689828</v>
      </c>
      <c r="BT184" s="55">
        <f t="shared" si="225"/>
        <v>5.0720000000000001E-3</v>
      </c>
      <c r="BU184" s="55">
        <f t="shared" si="225"/>
        <v>-0.25135200000000002</v>
      </c>
      <c r="BV184" s="55">
        <f t="shared" si="225"/>
        <v>3.3418999999999997E-2</v>
      </c>
      <c r="BW184" s="55">
        <f t="shared" si="225"/>
        <v>-0.80864000000000003</v>
      </c>
      <c r="BX184" s="55">
        <f t="shared" si="225"/>
        <v>0.35101399999999999</v>
      </c>
      <c r="BY184" s="55">
        <f t="shared" si="225"/>
        <v>1.280697</v>
      </c>
      <c r="BZ184" s="55">
        <f t="shared" si="223"/>
        <v>-1.7562999999999999E-2</v>
      </c>
      <c r="CA184" s="55">
        <f t="shared" si="223"/>
        <v>-1.189017</v>
      </c>
      <c r="CB184" s="55">
        <f t="shared" si="223"/>
        <v>-0.61908399999999997</v>
      </c>
      <c r="CC184" s="55">
        <f t="shared" si="223"/>
        <v>-4.4188999999999999E-2</v>
      </c>
      <c r="CD184" s="55">
        <f t="shared" si="223"/>
        <v>0.584592</v>
      </c>
      <c r="CE184" s="55">
        <f t="shared" si="223"/>
        <v>1.049345</v>
      </c>
      <c r="CF184" s="55">
        <f t="shared" si="223"/>
        <v>0.62535700000000005</v>
      </c>
      <c r="CG184" s="55">
        <f t="shared" si="223"/>
        <v>0.58512900000000001</v>
      </c>
      <c r="CH184" s="55">
        <f t="shared" si="223"/>
        <v>-1.4290860000000001</v>
      </c>
      <c r="CI184" s="55">
        <f t="shared" si="223"/>
        <v>7.5738E-2</v>
      </c>
      <c r="CJ184" s="55">
        <f t="shared" si="223"/>
        <v>-0.53014099999999997</v>
      </c>
      <c r="CK184" s="55">
        <f t="shared" si="223"/>
        <v>0.73582999999999998</v>
      </c>
      <c r="CL184" s="55">
        <f t="shared" si="223"/>
        <v>-0.82043699999999997</v>
      </c>
      <c r="CM184" s="55">
        <f t="shared" si="223"/>
        <v>-0.92069299999999998</v>
      </c>
      <c r="CN184" s="55">
        <f t="shared" si="223"/>
        <v>-2.0251000000000002E-2</v>
      </c>
      <c r="CO184" s="55">
        <f t="shared" si="224"/>
        <v>-0.95974599999999999</v>
      </c>
      <c r="CP184" s="55">
        <f t="shared" si="224"/>
        <v>0.49084</v>
      </c>
      <c r="CQ184" s="55">
        <f t="shared" si="224"/>
        <v>0.16636699999999999</v>
      </c>
      <c r="CR184" s="55">
        <f t="shared" si="224"/>
        <v>-1.423308</v>
      </c>
      <c r="CS184" s="55">
        <f t="shared" si="224"/>
        <v>-0.426983</v>
      </c>
      <c r="CT184" s="55">
        <f t="shared" si="224"/>
        <v>0.70173099999999999</v>
      </c>
      <c r="CU184" s="55">
        <f t="shared" si="224"/>
        <v>0.28100799999999998</v>
      </c>
      <c r="CV184" s="55">
        <f t="shared" si="224"/>
        <v>-0.125828</v>
      </c>
      <c r="CW184" s="55">
        <f t="shared" si="224"/>
        <v>-0.39920099999999997</v>
      </c>
      <c r="CX184" s="55">
        <f t="shared" si="224"/>
        <v>0.17724200000000001</v>
      </c>
      <c r="CY184" s="55">
        <f t="shared" si="224"/>
        <v>-0.61853800000000003</v>
      </c>
      <c r="CZ184" s="55">
        <f t="shared" si="224"/>
        <v>-0.90148200000000001</v>
      </c>
      <c r="DA184" s="55">
        <f t="shared" si="224"/>
        <v>-0.65776100000000004</v>
      </c>
      <c r="DB184" s="55">
        <f t="shared" si="224"/>
        <v>-0.14538499999999999</v>
      </c>
      <c r="DC184" s="55">
        <f t="shared" si="224"/>
        <v>-0.63981299999999997</v>
      </c>
      <c r="DD184" s="55">
        <f t="shared" si="224"/>
        <v>0.203068</v>
      </c>
      <c r="DE184" s="55">
        <f t="shared" si="222"/>
        <v>0.72957000000000005</v>
      </c>
      <c r="DF184" s="55">
        <f t="shared" si="222"/>
        <v>0.97402999999999995</v>
      </c>
      <c r="DG184" s="55">
        <f t="shared" si="222"/>
        <v>-0.264011</v>
      </c>
      <c r="DI184" s="55">
        <f t="shared" ca="1" si="65"/>
        <v>-0.39273999999999998</v>
      </c>
      <c r="DJ184" s="55">
        <f t="shared" ca="1" si="66"/>
        <v>0.69454800000000005</v>
      </c>
      <c r="DK184" s="55">
        <f t="shared" ca="1" si="67"/>
        <v>4.0208000000000001E-2</v>
      </c>
      <c r="DL184" s="55">
        <f t="shared" ca="1" si="68"/>
        <v>0.54447299999999998</v>
      </c>
      <c r="DM184" s="55">
        <f t="shared" ca="1" si="69"/>
        <v>-0.45896700000000001</v>
      </c>
      <c r="DN184" s="55">
        <f t="shared" ca="1" si="70"/>
        <v>0.48727199999999998</v>
      </c>
      <c r="DO184" s="55">
        <f t="shared" ca="1" si="71"/>
        <v>0.351439</v>
      </c>
      <c r="DP184" s="55">
        <f t="shared" ca="1" si="72"/>
        <v>-0.191992</v>
      </c>
      <c r="DQ184" s="55">
        <f t="shared" ca="1" si="73"/>
        <v>-0.91768499999999997</v>
      </c>
      <c r="DR184" s="55">
        <f t="shared" ca="1" si="74"/>
        <v>-1.2897940000000001</v>
      </c>
      <c r="DS184" s="55">
        <f t="shared" ca="1" si="75"/>
        <v>8.7781999999999999E-2</v>
      </c>
      <c r="DT184" s="55">
        <f t="shared" ca="1" si="76"/>
        <v>-0.10591399999999999</v>
      </c>
      <c r="DU184" s="55">
        <f t="shared" ca="1" si="77"/>
        <v>-0.44226599999999999</v>
      </c>
      <c r="DV184" s="55">
        <f t="shared" ca="1" si="78"/>
        <v>0.35954999999999998</v>
      </c>
      <c r="DW184" s="55">
        <f t="shared" ca="1" si="79"/>
        <v>0.43825799999999998</v>
      </c>
      <c r="DX184" s="55">
        <f t="shared" ca="1" si="80"/>
        <v>-0.80034700000000003</v>
      </c>
      <c r="DY184" s="55">
        <f t="shared" ca="1" si="81"/>
        <v>-0.54747699999999999</v>
      </c>
      <c r="DZ184" s="55">
        <f t="shared" ca="1" si="82"/>
        <v>-0.32855600000000001</v>
      </c>
      <c r="EA184" s="55">
        <f t="shared" ca="1" si="83"/>
        <v>1.560214</v>
      </c>
      <c r="EB184" s="55">
        <f t="shared" ca="1" si="84"/>
        <v>-0.30081000000000002</v>
      </c>
      <c r="EC184" s="55">
        <f t="shared" ca="1" si="85"/>
        <v>-1.457616</v>
      </c>
      <c r="ED184" s="55">
        <f t="shared" ca="1" si="86"/>
        <v>0.84435099999999996</v>
      </c>
      <c r="EE184" s="55">
        <f t="shared" ca="1" si="87"/>
        <v>6.3188999999999995E-2</v>
      </c>
      <c r="EF184" s="55">
        <f t="shared" ca="1" si="88"/>
        <v>0.83720799999999995</v>
      </c>
      <c r="EG184" s="55">
        <f t="shared" ca="1" si="89"/>
        <v>0.11751399999999999</v>
      </c>
      <c r="EH184" s="55">
        <f t="shared" ca="1" si="90"/>
        <v>-0.122228</v>
      </c>
      <c r="EI184" s="55">
        <f t="shared" ca="1" si="91"/>
        <v>0.275868</v>
      </c>
      <c r="EJ184" s="55">
        <f t="shared" ca="1" si="92"/>
        <v>0.94771300000000003</v>
      </c>
      <c r="EK184" s="55">
        <f t="shared" ca="1" si="93"/>
        <v>-0.24211974904800004</v>
      </c>
      <c r="EL184" s="55">
        <f t="shared" ca="1" si="94"/>
        <v>-0.25316736343200008</v>
      </c>
      <c r="EM184" s="55">
        <f t="shared" ca="1" si="95"/>
        <v>0.25019658087200003</v>
      </c>
      <c r="EN184" s="55">
        <f t="shared" ca="1" si="96"/>
        <v>-1.2526478807960002</v>
      </c>
      <c r="EO184" s="55">
        <f t="shared" ca="1" si="97"/>
        <v>0.40989436297600002</v>
      </c>
      <c r="EP184" s="55">
        <f t="shared" ca="1" si="98"/>
        <v>-0.5422350371639999</v>
      </c>
      <c r="EQ184" s="55">
        <f t="shared" ca="1" si="99"/>
        <v>-1.3289270728840001</v>
      </c>
      <c r="ER184" s="55">
        <f t="shared" ca="1" si="100"/>
        <v>-0.31263962996400002</v>
      </c>
      <c r="ES184" s="55">
        <f t="shared" ca="1" si="101"/>
        <v>0.33895799999999998</v>
      </c>
      <c r="ET184" s="55">
        <f t="shared" ca="1" si="102"/>
        <v>9.2895000000000005E-2</v>
      </c>
      <c r="EU184" s="55">
        <f t="shared" ca="1" si="103"/>
        <v>0.99318200000000001</v>
      </c>
      <c r="EV184" s="55">
        <f t="shared" ca="1" si="104"/>
        <v>0.50696799999999997</v>
      </c>
      <c r="EW184" s="55">
        <f t="shared" ca="1" si="105"/>
        <v>0.240587</v>
      </c>
      <c r="EX184" s="55">
        <f t="shared" ca="1" si="106"/>
        <v>0.16120300000000001</v>
      </c>
      <c r="EY184" s="55">
        <f t="shared" ca="1" si="107"/>
        <v>-0.61085699999999998</v>
      </c>
      <c r="EZ184" s="55">
        <f t="shared" ca="1" si="108"/>
        <v>-0.13264599999999999</v>
      </c>
      <c r="FA184" s="55">
        <f t="shared" ca="1" si="109"/>
        <v>-0.26988699999999999</v>
      </c>
      <c r="FB184" s="55">
        <f t="shared" ca="1" si="110"/>
        <v>0.17993799999999999</v>
      </c>
      <c r="FC184" s="55">
        <f t="shared" ca="1" si="111"/>
        <v>0.35216399999999998</v>
      </c>
      <c r="FD184" s="55">
        <f t="shared" ca="1" si="112"/>
        <v>-0.67868200000000001</v>
      </c>
      <c r="FE184" s="55">
        <f t="shared" ca="1" si="113"/>
        <v>-5.6218999999999998E-2</v>
      </c>
      <c r="FF184" s="55">
        <f t="shared" ca="1" si="114"/>
        <v>-1.2801910000000001</v>
      </c>
      <c r="FH184" s="55">
        <f t="shared" ca="1" si="115"/>
        <v>0</v>
      </c>
      <c r="FI184" s="55">
        <f t="shared" ca="1" si="207"/>
        <v>0</v>
      </c>
      <c r="FJ184" s="55">
        <f t="shared" ca="1" si="208"/>
        <v>0</v>
      </c>
      <c r="FK184" s="55">
        <f t="shared" ca="1" si="209"/>
        <v>0</v>
      </c>
      <c r="FL184" s="55">
        <f t="shared" ca="1" si="210"/>
        <v>0</v>
      </c>
      <c r="FM184" s="55">
        <f t="shared" ca="1" si="211"/>
        <v>0</v>
      </c>
      <c r="FN184" s="55">
        <f t="shared" ca="1" si="212"/>
        <v>0</v>
      </c>
      <c r="FO184" s="55">
        <f t="shared" ca="1" si="213"/>
        <v>0</v>
      </c>
      <c r="FP184" s="55">
        <f t="shared" ca="1" si="214"/>
        <v>0</v>
      </c>
      <c r="FQ184" s="55">
        <f t="shared" ca="1" si="215"/>
        <v>0</v>
      </c>
      <c r="FR184" s="55">
        <f t="shared" ca="1" si="216"/>
        <v>0</v>
      </c>
      <c r="FS184" s="55">
        <f t="shared" ca="1" si="158"/>
        <v>0</v>
      </c>
      <c r="FT184" s="55">
        <f t="shared" ca="1" si="159"/>
        <v>0</v>
      </c>
      <c r="FU184" s="55">
        <f t="shared" ca="1" si="160"/>
        <v>0</v>
      </c>
      <c r="FV184" s="55">
        <f t="shared" ca="1" si="161"/>
        <v>0</v>
      </c>
      <c r="FW184" s="55">
        <f t="shared" ca="1" si="162"/>
        <v>0</v>
      </c>
      <c r="FX184" s="55">
        <f t="shared" ca="1" si="163"/>
        <v>0</v>
      </c>
      <c r="FY184" s="55">
        <f t="shared" ca="1" si="164"/>
        <v>0</v>
      </c>
      <c r="FZ184" s="55">
        <f t="shared" ca="1" si="165"/>
        <v>0</v>
      </c>
      <c r="GA184" s="55">
        <f t="shared" ca="1" si="166"/>
        <v>0</v>
      </c>
      <c r="GB184" s="55">
        <f t="shared" ca="1" si="167"/>
        <v>0</v>
      </c>
      <c r="GC184" s="55">
        <f t="shared" ca="1" si="168"/>
        <v>0</v>
      </c>
      <c r="GD184" s="55">
        <f t="shared" ca="1" si="169"/>
        <v>0</v>
      </c>
      <c r="GE184" s="55">
        <f t="shared" ca="1" si="170"/>
        <v>0</v>
      </c>
      <c r="GF184" s="55">
        <f t="shared" ca="1" si="171"/>
        <v>0</v>
      </c>
      <c r="GG184" s="55">
        <f t="shared" ca="1" si="172"/>
        <v>0</v>
      </c>
      <c r="GH184" s="55">
        <f t="shared" ca="1" si="173"/>
        <v>0</v>
      </c>
      <c r="GI184" s="55">
        <f t="shared" ca="1" si="174"/>
        <v>0</v>
      </c>
      <c r="GJ184" s="55">
        <f t="shared" ca="1" si="175"/>
        <v>-0.63756474904800009</v>
      </c>
      <c r="GK184" s="55">
        <f t="shared" ca="1" si="176"/>
        <v>-0.73591236343200006</v>
      </c>
      <c r="GL184" s="55">
        <f t="shared" ca="1" si="177"/>
        <v>-0.298154419128</v>
      </c>
      <c r="GM184" s="55">
        <f t="shared" ca="1" si="178"/>
        <v>0.32290911920399989</v>
      </c>
      <c r="GN184" s="55">
        <f t="shared" ca="1" si="179"/>
        <v>8.9238362976000019E-2</v>
      </c>
      <c r="GO184" s="55">
        <f t="shared" ca="1" si="180"/>
        <v>0.78119696283600004</v>
      </c>
      <c r="GP184" s="55">
        <f t="shared" ca="1" si="181"/>
        <v>-0.10405007288400014</v>
      </c>
      <c r="GQ184" s="55">
        <f t="shared" ca="1" si="182"/>
        <v>-0.12605762996400002</v>
      </c>
      <c r="GR184" s="55">
        <f t="shared" ca="1" si="183"/>
        <v>0</v>
      </c>
      <c r="GS184" s="55">
        <f t="shared" ca="1" si="184"/>
        <v>0</v>
      </c>
      <c r="GT184" s="55">
        <f t="shared" ca="1" si="185"/>
        <v>0</v>
      </c>
      <c r="GU184" s="55">
        <f t="shared" ca="1" si="186"/>
        <v>0</v>
      </c>
      <c r="GV184" s="55">
        <f t="shared" ca="1" si="187"/>
        <v>0</v>
      </c>
      <c r="GW184" s="55">
        <f t="shared" ca="1" si="188"/>
        <v>0</v>
      </c>
      <c r="GX184" s="55">
        <f t="shared" ca="1" si="189"/>
        <v>0</v>
      </c>
      <c r="GY184" s="55">
        <f t="shared" ca="1" si="190"/>
        <v>0</v>
      </c>
      <c r="GZ184" s="55">
        <f t="shared" ca="1" si="191"/>
        <v>0</v>
      </c>
      <c r="HA184" s="55">
        <f t="shared" ca="1" si="192"/>
        <v>0</v>
      </c>
      <c r="HB184" s="55">
        <f t="shared" ca="1" si="193"/>
        <v>0</v>
      </c>
      <c r="HC184" s="55">
        <f t="shared" ca="1" si="194"/>
        <v>0</v>
      </c>
      <c r="HD184" s="55">
        <f t="shared" ca="1" si="195"/>
        <v>0</v>
      </c>
      <c r="HE184" s="55">
        <f t="shared" ca="1" si="196"/>
        <v>0</v>
      </c>
    </row>
    <row r="185" spans="1:213">
      <c r="A185" s="27">
        <v>48</v>
      </c>
      <c r="B185" s="27">
        <v>33</v>
      </c>
      <c r="C185" s="27">
        <v>0.65142299999999997</v>
      </c>
      <c r="D185" s="27">
        <v>0.48089599999999999</v>
      </c>
      <c r="E185" s="27">
        <v>1</v>
      </c>
      <c r="F185" s="27">
        <f t="shared" ca="1" si="59"/>
        <v>41</v>
      </c>
      <c r="G185" s="27">
        <f t="shared" si="221"/>
        <v>0</v>
      </c>
      <c r="H185" s="27" t="str">
        <f t="shared" si="60"/>
        <v>Sim</v>
      </c>
      <c r="I185" s="27">
        <f t="shared" si="61"/>
        <v>0</v>
      </c>
      <c r="J185" s="37">
        <f t="shared" si="62"/>
        <v>1</v>
      </c>
      <c r="K185" s="55">
        <f t="shared" si="63"/>
        <v>-0.40855599999999997</v>
      </c>
      <c r="L185" s="55">
        <f t="shared" si="197"/>
        <v>-0.76658899999999996</v>
      </c>
      <c r="M185" s="55">
        <f t="shared" si="198"/>
        <v>-0.83955400000000002</v>
      </c>
      <c r="N185" s="55">
        <f t="shared" si="199"/>
        <v>0.16831699999999999</v>
      </c>
      <c r="O185" s="55">
        <f t="shared" si="200"/>
        <v>-0.42879800000000001</v>
      </c>
      <c r="P185" s="55">
        <f t="shared" si="201"/>
        <v>-0.57425800000000005</v>
      </c>
      <c r="Q185" s="55">
        <f t="shared" si="202"/>
        <v>0.72298700000000005</v>
      </c>
      <c r="R185" s="55">
        <f t="shared" si="203"/>
        <v>0.59974899999999998</v>
      </c>
      <c r="S185" s="55">
        <f t="shared" si="204"/>
        <v>-1.7849090000000001</v>
      </c>
      <c r="T185" s="55">
        <f t="shared" si="205"/>
        <v>0.70619799999999999</v>
      </c>
      <c r="U185" s="55">
        <f t="shared" si="206"/>
        <v>0.13431899999999999</v>
      </c>
      <c r="V185" s="55">
        <f t="shared" si="116"/>
        <v>-7.6033000000000003E-2</v>
      </c>
      <c r="W185" s="55">
        <f t="shared" si="117"/>
        <v>1.2705770000000001</v>
      </c>
      <c r="X185" s="55">
        <f t="shared" si="118"/>
        <v>0.87146000000000001</v>
      </c>
      <c r="Y185" s="55">
        <f t="shared" si="119"/>
        <v>-1.1070279999999999</v>
      </c>
      <c r="Z185" s="55">
        <f t="shared" si="120"/>
        <v>-0.60894499999999996</v>
      </c>
      <c r="AA185" s="55">
        <f t="shared" si="121"/>
        <v>0.67616900000000002</v>
      </c>
      <c r="AB185" s="55">
        <f t="shared" si="122"/>
        <v>-0.26446700000000001</v>
      </c>
      <c r="AC185" s="55">
        <f t="shared" si="123"/>
        <v>0.21237300000000001</v>
      </c>
      <c r="AD185" s="55">
        <f t="shared" si="124"/>
        <v>-0.108029</v>
      </c>
      <c r="AE185" s="55">
        <f t="shared" si="125"/>
        <v>-7.2497000000000006E-2</v>
      </c>
      <c r="AF185" s="55">
        <f t="shared" si="126"/>
        <v>1.130315</v>
      </c>
      <c r="AG185" s="55">
        <f t="shared" si="127"/>
        <v>-0.467723</v>
      </c>
      <c r="AH185" s="55">
        <f t="shared" si="128"/>
        <v>-0.44977099999999998</v>
      </c>
      <c r="AI185" s="55">
        <f t="shared" si="129"/>
        <v>0.77346499999999996</v>
      </c>
      <c r="AJ185" s="55">
        <f t="shared" si="130"/>
        <v>-8.2304000000000002E-2</v>
      </c>
      <c r="AK185" s="55">
        <f t="shared" si="131"/>
        <v>6.5312999999999996E-2</v>
      </c>
      <c r="AL185" s="55">
        <f t="shared" si="132"/>
        <v>0.56351300000000004</v>
      </c>
      <c r="AM185" s="55">
        <f t="shared" si="133"/>
        <v>0.87226499999999996</v>
      </c>
      <c r="AN185" s="55">
        <f t="shared" si="134"/>
        <v>0.531609</v>
      </c>
      <c r="AO185" s="55">
        <f t="shared" si="135"/>
        <v>0.59523499999999996</v>
      </c>
      <c r="AP185" s="55">
        <f t="shared" si="136"/>
        <v>-0.25506000000000001</v>
      </c>
      <c r="AQ185" s="55">
        <f t="shared" si="137"/>
        <v>-0.103106</v>
      </c>
      <c r="AR185" s="55">
        <f t="shared" si="138"/>
        <v>-1.3946069999999999</v>
      </c>
      <c r="AS185" s="55">
        <f t="shared" si="139"/>
        <v>0.62593600000000005</v>
      </c>
      <c r="AT185" s="55">
        <f t="shared" si="140"/>
        <v>-0.18368200000000001</v>
      </c>
      <c r="AU185" s="55">
        <f t="shared" si="141"/>
        <v>0.10294499999999999</v>
      </c>
      <c r="AV185" s="55">
        <f t="shared" si="142"/>
        <v>0.13464899999999999</v>
      </c>
      <c r="AW185" s="55">
        <f t="shared" si="143"/>
        <v>-0.26313399999999998</v>
      </c>
      <c r="AX185" s="55">
        <f t="shared" si="144"/>
        <v>1.0524979999999999</v>
      </c>
      <c r="AY185" s="55">
        <f t="shared" si="145"/>
        <v>-0.30601200000000001</v>
      </c>
      <c r="AZ185" s="55">
        <f t="shared" si="146"/>
        <v>-0.44042999999999999</v>
      </c>
      <c r="BA185" s="55">
        <f t="shared" si="147"/>
        <v>-0.89527999999999996</v>
      </c>
      <c r="BB185" s="55">
        <f t="shared" si="148"/>
        <v>-0.50405900000000003</v>
      </c>
      <c r="BC185" s="55">
        <f t="shared" si="149"/>
        <v>-0.85123700000000002</v>
      </c>
      <c r="BD185" s="55">
        <f t="shared" si="150"/>
        <v>0.26190799999999997</v>
      </c>
      <c r="BE185" s="55">
        <f t="shared" si="151"/>
        <v>0.100484</v>
      </c>
      <c r="BF185" s="55">
        <f t="shared" si="152"/>
        <v>0.38502500000000001</v>
      </c>
      <c r="BG185" s="55">
        <f t="shared" si="153"/>
        <v>-0.28729900000000003</v>
      </c>
      <c r="BH185" s="55">
        <f t="shared" si="154"/>
        <v>0.25708399999999998</v>
      </c>
      <c r="BJ185" s="55">
        <f t="shared" si="225"/>
        <v>-0.39273999999999998</v>
      </c>
      <c r="BK185" s="55">
        <f t="shared" si="225"/>
        <v>0.69454800000000005</v>
      </c>
      <c r="BL185" s="55">
        <f t="shared" si="225"/>
        <v>4.0208000000000001E-2</v>
      </c>
      <c r="BM185" s="55">
        <f t="shared" si="225"/>
        <v>0.54447299999999998</v>
      </c>
      <c r="BN185" s="55">
        <f t="shared" si="225"/>
        <v>-0.45896700000000001</v>
      </c>
      <c r="BO185" s="55">
        <f t="shared" si="225"/>
        <v>0.48727199999999998</v>
      </c>
      <c r="BP185" s="55">
        <f t="shared" si="225"/>
        <v>0.351439</v>
      </c>
      <c r="BQ185" s="55">
        <f t="shared" si="225"/>
        <v>-0.191992</v>
      </c>
      <c r="BR185" s="55">
        <f t="shared" si="225"/>
        <v>-0.91768499999999997</v>
      </c>
      <c r="BS185" s="55">
        <f t="shared" si="225"/>
        <v>-1.2897940000000001</v>
      </c>
      <c r="BT185" s="55">
        <f t="shared" si="225"/>
        <v>8.7781999999999999E-2</v>
      </c>
      <c r="BU185" s="55">
        <f t="shared" si="225"/>
        <v>-0.10591399999999999</v>
      </c>
      <c r="BV185" s="55">
        <f t="shared" si="225"/>
        <v>-0.44226599999999999</v>
      </c>
      <c r="BW185" s="55">
        <f t="shared" si="225"/>
        <v>0.35954999999999998</v>
      </c>
      <c r="BX185" s="55">
        <f t="shared" si="225"/>
        <v>0.43825799999999998</v>
      </c>
      <c r="BY185" s="55">
        <f t="shared" si="225"/>
        <v>-0.80034700000000003</v>
      </c>
      <c r="BZ185" s="55">
        <f t="shared" si="223"/>
        <v>-0.54747699999999999</v>
      </c>
      <c r="CA185" s="55">
        <f t="shared" si="223"/>
        <v>-0.32855600000000001</v>
      </c>
      <c r="CB185" s="55">
        <f t="shared" si="223"/>
        <v>1.560214</v>
      </c>
      <c r="CC185" s="55">
        <f t="shared" si="223"/>
        <v>-0.30081000000000002</v>
      </c>
      <c r="CD185" s="55">
        <f t="shared" si="223"/>
        <v>-1.457616</v>
      </c>
      <c r="CE185" s="55">
        <f t="shared" si="223"/>
        <v>0.84435099999999996</v>
      </c>
      <c r="CF185" s="55">
        <f t="shared" si="223"/>
        <v>6.3188999999999995E-2</v>
      </c>
      <c r="CG185" s="55">
        <f t="shared" si="223"/>
        <v>0.83720799999999995</v>
      </c>
      <c r="CH185" s="55">
        <f t="shared" si="223"/>
        <v>0.11751399999999999</v>
      </c>
      <c r="CI185" s="55">
        <f t="shared" si="223"/>
        <v>-0.122228</v>
      </c>
      <c r="CJ185" s="55">
        <f t="shared" si="223"/>
        <v>0.275868</v>
      </c>
      <c r="CK185" s="55">
        <f t="shared" si="223"/>
        <v>0.94771300000000003</v>
      </c>
      <c r="CL185" s="55">
        <f t="shared" si="223"/>
        <v>0.39544499999999999</v>
      </c>
      <c r="CM185" s="55">
        <f t="shared" si="223"/>
        <v>0.48274499999999998</v>
      </c>
      <c r="CN185" s="55">
        <f t="shared" si="223"/>
        <v>0.54835100000000003</v>
      </c>
      <c r="CO185" s="55">
        <f t="shared" si="224"/>
        <v>-1.5755570000000001</v>
      </c>
      <c r="CP185" s="55">
        <f t="shared" si="224"/>
        <v>0.320656</v>
      </c>
      <c r="CQ185" s="55">
        <f t="shared" si="224"/>
        <v>-1.3234319999999999</v>
      </c>
      <c r="CR185" s="55">
        <f t="shared" si="224"/>
        <v>-1.224877</v>
      </c>
      <c r="CS185" s="55">
        <f t="shared" si="224"/>
        <v>-0.186582</v>
      </c>
      <c r="CT185" s="55">
        <f t="shared" si="224"/>
        <v>0.33895799999999998</v>
      </c>
      <c r="CU185" s="55">
        <f t="shared" si="224"/>
        <v>9.2895000000000005E-2</v>
      </c>
      <c r="CV185" s="55">
        <f t="shared" si="224"/>
        <v>0.99318200000000001</v>
      </c>
      <c r="CW185" s="55">
        <f t="shared" si="224"/>
        <v>0.50696799999999997</v>
      </c>
      <c r="CX185" s="55">
        <f t="shared" si="224"/>
        <v>0.240587</v>
      </c>
      <c r="CY185" s="55">
        <f t="shared" si="224"/>
        <v>0.16120300000000001</v>
      </c>
      <c r="CZ185" s="55">
        <f t="shared" si="224"/>
        <v>-0.61085699999999998</v>
      </c>
      <c r="DA185" s="55">
        <f t="shared" si="224"/>
        <v>-0.13264599999999999</v>
      </c>
      <c r="DB185" s="55">
        <f t="shared" si="224"/>
        <v>-0.26988699999999999</v>
      </c>
      <c r="DC185" s="55">
        <f t="shared" si="224"/>
        <v>0.17993799999999999</v>
      </c>
      <c r="DD185" s="55">
        <f t="shared" si="224"/>
        <v>0.35216399999999998</v>
      </c>
      <c r="DE185" s="55">
        <f t="shared" si="222"/>
        <v>-0.67868200000000001</v>
      </c>
      <c r="DF185" s="55">
        <f t="shared" si="222"/>
        <v>-5.6218999999999998E-2</v>
      </c>
      <c r="DG185" s="55">
        <f t="shared" si="222"/>
        <v>-1.2801910000000001</v>
      </c>
      <c r="DI185" s="55">
        <f t="shared" ca="1" si="65"/>
        <v>-0.40855599999999997</v>
      </c>
      <c r="DJ185" s="55">
        <f t="shared" ca="1" si="66"/>
        <v>-8.1069387519999148E-3</v>
      </c>
      <c r="DK185" s="55">
        <f t="shared" ca="1" si="67"/>
        <v>-0.38286602675199999</v>
      </c>
      <c r="DL185" s="55">
        <f t="shared" ca="1" si="68"/>
        <v>0.36358108422400004</v>
      </c>
      <c r="DM185" s="55">
        <f t="shared" ca="1" si="69"/>
        <v>-0.44445884857600004</v>
      </c>
      <c r="DN185" s="55">
        <f t="shared" ca="1" si="70"/>
        <v>-2.321353088E-2</v>
      </c>
      <c r="DO185" s="55">
        <f t="shared" ca="1" si="71"/>
        <v>0.53011494700799999</v>
      </c>
      <c r="DP185" s="55">
        <f t="shared" ca="1" si="72"/>
        <v>0.18875307993599999</v>
      </c>
      <c r="DQ185" s="55">
        <f t="shared" ca="1" si="73"/>
        <v>-1.334729552704</v>
      </c>
      <c r="DR185" s="55">
        <f t="shared" ca="1" si="74"/>
        <v>-0.32992943116800005</v>
      </c>
      <c r="DS185" s="55">
        <f t="shared" ca="1" si="75"/>
        <v>0.11016145715199999</v>
      </c>
      <c r="DT185" s="55">
        <f t="shared" ca="1" si="76"/>
        <v>-9.1544346623999989E-2</v>
      </c>
      <c r="DU185" s="55">
        <f t="shared" ca="1" si="77"/>
        <v>0.38143334732800005</v>
      </c>
      <c r="DV185" s="55">
        <f t="shared" ca="1" si="78"/>
        <v>0.60572547135999999</v>
      </c>
      <c r="DW185" s="55">
        <f t="shared" ca="1" si="79"/>
        <v>-0.30486385625599993</v>
      </c>
      <c r="DX185" s="55">
        <f t="shared" ca="1" si="80"/>
        <v>-0.70830254380799995</v>
      </c>
      <c r="DY185" s="55">
        <f t="shared" ca="1" si="81"/>
        <v>4.0969466816E-2</v>
      </c>
      <c r="DZ185" s="55">
        <f t="shared" ca="1" si="82"/>
        <v>-0.29773585625600002</v>
      </c>
      <c r="EA185" s="55">
        <f t="shared" ca="1" si="83"/>
        <v>0.91204265446400001</v>
      </c>
      <c r="EB185" s="55">
        <f t="shared" ca="1" si="84"/>
        <v>-0.20810238822400001</v>
      </c>
      <c r="EC185" s="55">
        <f t="shared" ca="1" si="85"/>
        <v>-0.79151781337600002</v>
      </c>
      <c r="ED185" s="55">
        <f t="shared" ca="1" si="86"/>
        <v>0.98186994374399994</v>
      </c>
      <c r="EE185" s="55">
        <f t="shared" ca="1" si="87"/>
        <v>-0.19212445715199999</v>
      </c>
      <c r="EF185" s="55">
        <f t="shared" ca="1" si="88"/>
        <v>0.21830494681600002</v>
      </c>
      <c r="EG185" s="55">
        <f t="shared" ca="1" si="89"/>
        <v>0.43295821209599999</v>
      </c>
      <c r="EH185" s="55">
        <f t="shared" ca="1" si="90"/>
        <v>-0.103028708096</v>
      </c>
      <c r="EI185" s="55">
        <f t="shared" ca="1" si="91"/>
        <v>0.17461294272</v>
      </c>
      <c r="EJ185" s="55">
        <f t="shared" ca="1" si="92"/>
        <v>0.76295275680000008</v>
      </c>
      <c r="EK185" s="55">
        <f t="shared" ca="1" si="93"/>
        <v>0.62474583072000001</v>
      </c>
      <c r="EL185" s="55">
        <f t="shared" ca="1" si="94"/>
        <v>0.50624350214399993</v>
      </c>
      <c r="EM185" s="55">
        <f t="shared" ca="1" si="95"/>
        <v>0.57089732806399995</v>
      </c>
      <c r="EN185" s="55">
        <f t="shared" ca="1" si="96"/>
        <v>-0.94053527468800002</v>
      </c>
      <c r="EO185" s="55">
        <f t="shared" ca="1" si="97"/>
        <v>0.116870549248</v>
      </c>
      <c r="EP185" s="55">
        <f t="shared" ca="1" si="98"/>
        <v>-1.3576597727999999</v>
      </c>
      <c r="EQ185" s="55">
        <f t="shared" ca="1" si="99"/>
        <v>-0.33482843155200004</v>
      </c>
      <c r="ER185" s="55">
        <f t="shared" ca="1" si="100"/>
        <v>-0.1851874016</v>
      </c>
      <c r="ES185" s="55">
        <f t="shared" ca="1" si="101"/>
        <v>0.22546029235199999</v>
      </c>
      <c r="ET185" s="55">
        <f t="shared" ca="1" si="102"/>
        <v>0.112974331584</v>
      </c>
      <c r="EU185" s="55">
        <f t="shared" ca="1" si="103"/>
        <v>0.389024660864</v>
      </c>
      <c r="EV185" s="55">
        <f t="shared" ca="1" si="104"/>
        <v>0.76931119487999999</v>
      </c>
      <c r="EW185" s="55">
        <f t="shared" ca="1" si="105"/>
        <v>-2.2270272704000005E-2</v>
      </c>
      <c r="EX185" s="55">
        <f t="shared" ca="1" si="106"/>
        <v>-0.44042999999999999</v>
      </c>
      <c r="EY185" s="55">
        <f t="shared" ca="1" si="107"/>
        <v>-0.89527999999999996</v>
      </c>
      <c r="EZ185" s="55">
        <f t="shared" ca="1" si="108"/>
        <v>-0.50405900000000003</v>
      </c>
      <c r="FA185" s="55">
        <f t="shared" ca="1" si="109"/>
        <v>-0.85123700000000002</v>
      </c>
      <c r="FB185" s="55">
        <f t="shared" ca="1" si="110"/>
        <v>0.26190799999999997</v>
      </c>
      <c r="FC185" s="55">
        <f t="shared" ca="1" si="111"/>
        <v>0.100484</v>
      </c>
      <c r="FD185" s="55">
        <f t="shared" ca="1" si="112"/>
        <v>0.38502500000000001</v>
      </c>
      <c r="FE185" s="55">
        <f t="shared" ca="1" si="113"/>
        <v>-0.28729900000000003</v>
      </c>
      <c r="FF185" s="55">
        <f t="shared" ca="1" si="114"/>
        <v>0.25708399999999998</v>
      </c>
      <c r="FH185" s="55">
        <f t="shared" ca="1" si="115"/>
        <v>0</v>
      </c>
      <c r="FI185" s="55">
        <f t="shared" ca="1" si="207"/>
        <v>0.75848206124800011</v>
      </c>
      <c r="FJ185" s="55">
        <f t="shared" ca="1" si="208"/>
        <v>0.45668797324800003</v>
      </c>
      <c r="FK185" s="55">
        <f t="shared" ca="1" si="209"/>
        <v>0.19526408422400005</v>
      </c>
      <c r="FL185" s="55">
        <f t="shared" ca="1" si="210"/>
        <v>-1.566084857600003E-2</v>
      </c>
      <c r="FM185" s="55">
        <f t="shared" ca="1" si="211"/>
        <v>0.55104446912000005</v>
      </c>
      <c r="FN185" s="55">
        <f t="shared" ca="1" si="212"/>
        <v>-0.19287205299200005</v>
      </c>
      <c r="FO185" s="55">
        <f t="shared" ca="1" si="213"/>
        <v>-0.41099592006399999</v>
      </c>
      <c r="FP185" s="55">
        <f t="shared" ca="1" si="214"/>
        <v>0.45017944729600012</v>
      </c>
      <c r="FQ185" s="55">
        <f t="shared" ca="1" si="215"/>
        <v>-1.036127431168</v>
      </c>
      <c r="FR185" s="55">
        <f t="shared" ca="1" si="216"/>
        <v>-2.4157542848000008E-2</v>
      </c>
      <c r="FS185" s="55">
        <f t="shared" ca="1" si="158"/>
        <v>-1.5511346623999986E-2</v>
      </c>
      <c r="FT185" s="55">
        <f t="shared" ca="1" si="159"/>
        <v>-0.88914365267200002</v>
      </c>
      <c r="FU185" s="55">
        <f t="shared" ca="1" si="160"/>
        <v>-0.26573452864000002</v>
      </c>
      <c r="FV185" s="55">
        <f t="shared" ca="1" si="161"/>
        <v>0.80216414374399991</v>
      </c>
      <c r="FW185" s="55">
        <f t="shared" ca="1" si="162"/>
        <v>-9.9357543807999993E-2</v>
      </c>
      <c r="FX185" s="55">
        <f t="shared" ca="1" si="163"/>
        <v>-0.63519953318400002</v>
      </c>
      <c r="FY185" s="55">
        <f t="shared" ca="1" si="164"/>
        <v>-3.3268856256000012E-2</v>
      </c>
      <c r="FZ185" s="55">
        <f t="shared" ca="1" si="165"/>
        <v>0.69966965446399998</v>
      </c>
      <c r="GA185" s="55">
        <f t="shared" ca="1" si="166"/>
        <v>-0.10007338822400001</v>
      </c>
      <c r="GB185" s="55">
        <f t="shared" ca="1" si="167"/>
        <v>-0.71902081337599999</v>
      </c>
      <c r="GC185" s="55">
        <f t="shared" ca="1" si="168"/>
        <v>-0.14844505625600002</v>
      </c>
      <c r="GD185" s="55">
        <f t="shared" ca="1" si="169"/>
        <v>0.27559854284800001</v>
      </c>
      <c r="GE185" s="55">
        <f t="shared" ca="1" si="170"/>
        <v>0.66807594681600002</v>
      </c>
      <c r="GF185" s="55">
        <f t="shared" ca="1" si="171"/>
        <v>-0.34050678790399996</v>
      </c>
      <c r="GG185" s="55">
        <f t="shared" ca="1" si="172"/>
        <v>-2.0724708095999994E-2</v>
      </c>
      <c r="GH185" s="55">
        <f t="shared" ca="1" si="173"/>
        <v>0.10929994272</v>
      </c>
      <c r="GI185" s="55">
        <f t="shared" ca="1" si="174"/>
        <v>0.19943975680000003</v>
      </c>
      <c r="GJ185" s="55">
        <f t="shared" ca="1" si="175"/>
        <v>-0.24751916927999995</v>
      </c>
      <c r="GK185" s="55">
        <f t="shared" ca="1" si="176"/>
        <v>-2.5365497856000063E-2</v>
      </c>
      <c r="GL185" s="55">
        <f t="shared" ca="1" si="177"/>
        <v>-2.4337671936000005E-2</v>
      </c>
      <c r="GM185" s="55">
        <f t="shared" ca="1" si="178"/>
        <v>-0.68547527468799996</v>
      </c>
      <c r="GN185" s="55">
        <f t="shared" ca="1" si="179"/>
        <v>0.219976549248</v>
      </c>
      <c r="GO185" s="55">
        <f t="shared" ca="1" si="180"/>
        <v>3.6947227199999988E-2</v>
      </c>
      <c r="GP185" s="55">
        <f t="shared" ca="1" si="181"/>
        <v>-0.96076443155200009</v>
      </c>
      <c r="GQ185" s="55">
        <f t="shared" ca="1" si="182"/>
        <v>-1.5054015999999837E-3</v>
      </c>
      <c r="GR185" s="55">
        <f t="shared" ca="1" si="183"/>
        <v>0.122515292352</v>
      </c>
      <c r="GS185" s="55">
        <f t="shared" ca="1" si="184"/>
        <v>-2.1674668415999992E-2</v>
      </c>
      <c r="GT185" s="55">
        <f t="shared" ca="1" si="185"/>
        <v>0.65215866086399998</v>
      </c>
      <c r="GU185" s="55">
        <f t="shared" ca="1" si="186"/>
        <v>-0.28318680511999994</v>
      </c>
      <c r="GV185" s="55">
        <f t="shared" ca="1" si="187"/>
        <v>0.283741727296</v>
      </c>
      <c r="GW185" s="55">
        <f t="shared" ca="1" si="188"/>
        <v>0</v>
      </c>
      <c r="GX185" s="55">
        <f t="shared" ca="1" si="189"/>
        <v>0</v>
      </c>
      <c r="GY185" s="55">
        <f t="shared" ca="1" si="190"/>
        <v>0</v>
      </c>
      <c r="GZ185" s="55">
        <f t="shared" ca="1" si="191"/>
        <v>0</v>
      </c>
      <c r="HA185" s="55">
        <f t="shared" ca="1" si="192"/>
        <v>0</v>
      </c>
      <c r="HB185" s="55">
        <f t="shared" ca="1" si="193"/>
        <v>0</v>
      </c>
      <c r="HC185" s="55">
        <f t="shared" ca="1" si="194"/>
        <v>0</v>
      </c>
      <c r="HD185" s="55">
        <f t="shared" ca="1" si="195"/>
        <v>0</v>
      </c>
      <c r="HE185" s="55">
        <f t="shared" ca="1" si="196"/>
        <v>0</v>
      </c>
    </row>
    <row r="186" spans="1:213">
      <c r="A186" s="27">
        <v>49</v>
      </c>
      <c r="B186" s="27">
        <v>69</v>
      </c>
      <c r="C186" s="27">
        <v>0.193221</v>
      </c>
      <c r="D186" s="27">
        <v>0.74680999999999997</v>
      </c>
      <c r="E186" s="27">
        <v>7</v>
      </c>
      <c r="F186" s="27">
        <f t="shared" ca="1" si="59"/>
        <v>17</v>
      </c>
      <c r="G186" s="27">
        <f t="shared" si="221"/>
        <v>0</v>
      </c>
      <c r="H186" s="27" t="str">
        <f t="shared" si="60"/>
        <v>Sim</v>
      </c>
      <c r="I186" s="27">
        <f t="shared" si="61"/>
        <v>0</v>
      </c>
      <c r="J186" s="37">
        <f t="shared" si="62"/>
        <v>1</v>
      </c>
      <c r="K186" s="55">
        <f t="shared" si="63"/>
        <v>0.14165700000000001</v>
      </c>
      <c r="L186" s="55">
        <f t="shared" si="197"/>
        <v>0.93150100000000002</v>
      </c>
      <c r="M186" s="55">
        <f t="shared" si="198"/>
        <v>0.21973599999999999</v>
      </c>
      <c r="N186" s="55">
        <f t="shared" si="199"/>
        <v>8.7349999999999997E-2</v>
      </c>
      <c r="O186" s="55">
        <f t="shared" si="200"/>
        <v>0.66057299999999997</v>
      </c>
      <c r="P186" s="55">
        <f t="shared" si="201"/>
        <v>0.32617000000000002</v>
      </c>
      <c r="Q186" s="55">
        <f t="shared" si="202"/>
        <v>0.486794</v>
      </c>
      <c r="R186" s="55">
        <f t="shared" si="203"/>
        <v>-0.60062700000000002</v>
      </c>
      <c r="S186" s="55">
        <f t="shared" si="204"/>
        <v>1.7281930000000001</v>
      </c>
      <c r="T186" s="55">
        <f t="shared" si="205"/>
        <v>1.279531</v>
      </c>
      <c r="U186" s="55">
        <f t="shared" si="206"/>
        <v>-0.37542500000000001</v>
      </c>
      <c r="V186" s="55">
        <f t="shared" si="116"/>
        <v>-0.86995599999999995</v>
      </c>
      <c r="W186" s="55">
        <f t="shared" si="117"/>
        <v>-0.88975000000000004</v>
      </c>
      <c r="X186" s="55">
        <f t="shared" si="118"/>
        <v>-1.1213439999999999</v>
      </c>
      <c r="Y186" s="55">
        <f t="shared" si="119"/>
        <v>1.2563500000000001</v>
      </c>
      <c r="Z186" s="55">
        <f t="shared" si="120"/>
        <v>0.63623399999999997</v>
      </c>
      <c r="AA186" s="55">
        <f t="shared" si="121"/>
        <v>0.55337499999999995</v>
      </c>
      <c r="AB186" s="55">
        <f t="shared" si="122"/>
        <v>-0.316774</v>
      </c>
      <c r="AC186" s="55">
        <f t="shared" si="123"/>
        <v>-0.57559000000000005</v>
      </c>
      <c r="AD186" s="55">
        <f t="shared" si="124"/>
        <v>-0.77202599999999999</v>
      </c>
      <c r="AE186" s="55">
        <f t="shared" si="125"/>
        <v>-0.78446899999999997</v>
      </c>
      <c r="AF186" s="55">
        <f t="shared" si="126"/>
        <v>0.47545100000000001</v>
      </c>
      <c r="AG186" s="55">
        <f t="shared" si="127"/>
        <v>0.97257099999999996</v>
      </c>
      <c r="AH186" s="55">
        <f t="shared" si="128"/>
        <v>0.81458900000000001</v>
      </c>
      <c r="AI186" s="55">
        <f t="shared" si="129"/>
        <v>0.34436099999999997</v>
      </c>
      <c r="AJ186" s="55">
        <f t="shared" si="130"/>
        <v>4.1963E-2</v>
      </c>
      <c r="AK186" s="55">
        <f t="shared" si="131"/>
        <v>0.81816999999999995</v>
      </c>
      <c r="AL186" s="55">
        <f t="shared" si="132"/>
        <v>0.49418299999999998</v>
      </c>
      <c r="AM186" s="55">
        <f t="shared" si="133"/>
        <v>-0.74974099999999999</v>
      </c>
      <c r="AN186" s="55">
        <f t="shared" si="134"/>
        <v>-1.1178939999999999</v>
      </c>
      <c r="AO186" s="55">
        <f t="shared" si="135"/>
        <v>1.0275810000000001</v>
      </c>
      <c r="AP186" s="55">
        <f t="shared" si="136"/>
        <v>0.18726499999999999</v>
      </c>
      <c r="AQ186" s="55">
        <f t="shared" si="137"/>
        <v>-0.46878799999999998</v>
      </c>
      <c r="AR186" s="55">
        <f t="shared" si="138"/>
        <v>0.21907799999999999</v>
      </c>
      <c r="AS186" s="55">
        <f t="shared" si="139"/>
        <v>0.65311699999999995</v>
      </c>
      <c r="AT186" s="55">
        <f t="shared" si="140"/>
        <v>-0.532003</v>
      </c>
      <c r="AU186" s="55">
        <f t="shared" si="141"/>
        <v>0.80649400000000004</v>
      </c>
      <c r="AV186" s="55">
        <f t="shared" si="142"/>
        <v>-0.388903</v>
      </c>
      <c r="AW186" s="55">
        <f t="shared" si="143"/>
        <v>-0.21298</v>
      </c>
      <c r="AX186" s="55">
        <f t="shared" si="144"/>
        <v>-0.33707300000000001</v>
      </c>
      <c r="AY186" s="55">
        <f t="shared" si="145"/>
        <v>-1.7750000000000001E-3</v>
      </c>
      <c r="AZ186" s="55">
        <f t="shared" si="146"/>
        <v>-0.43126399999999998</v>
      </c>
      <c r="BA186" s="55">
        <f t="shared" si="147"/>
        <v>0.65154900000000004</v>
      </c>
      <c r="BB186" s="55">
        <f t="shared" si="148"/>
        <v>-0.22847300000000001</v>
      </c>
      <c r="BC186" s="55">
        <f t="shared" si="149"/>
        <v>-0.868004</v>
      </c>
      <c r="BD186" s="55">
        <f t="shared" si="150"/>
        <v>-0.905532</v>
      </c>
      <c r="BE186" s="55">
        <f t="shared" si="151"/>
        <v>0.25758300000000001</v>
      </c>
      <c r="BF186" s="55">
        <f t="shared" si="152"/>
        <v>-5.6763000000000001E-2</v>
      </c>
      <c r="BG186" s="55">
        <f t="shared" si="153"/>
        <v>-0.61416400000000004</v>
      </c>
      <c r="BH186" s="55">
        <f t="shared" si="154"/>
        <v>9.1121999999999995E-2</v>
      </c>
      <c r="BJ186" s="55">
        <f t="shared" si="225"/>
        <v>-1.3680110000000001</v>
      </c>
      <c r="BK186" s="55">
        <f t="shared" si="225"/>
        <v>-0.85349200000000003</v>
      </c>
      <c r="BL186" s="55">
        <f t="shared" si="225"/>
        <v>0.48217700000000002</v>
      </c>
      <c r="BM186" s="55">
        <f t="shared" si="225"/>
        <v>0.32085900000000001</v>
      </c>
      <c r="BN186" s="55">
        <f t="shared" si="225"/>
        <v>0.36048200000000002</v>
      </c>
      <c r="BO186" s="55">
        <f t="shared" si="225"/>
        <v>6.2484999999999999E-2</v>
      </c>
      <c r="BP186" s="55">
        <f t="shared" si="225"/>
        <v>-0.42971900000000002</v>
      </c>
      <c r="BQ186" s="55">
        <f t="shared" si="225"/>
        <v>2.7362000000000001E-2</v>
      </c>
      <c r="BR186" s="55">
        <f t="shared" si="225"/>
        <v>-0.67951099999999998</v>
      </c>
      <c r="BS186" s="55">
        <f t="shared" si="225"/>
        <v>0.74470199999999998</v>
      </c>
      <c r="BT186" s="55">
        <f t="shared" si="225"/>
        <v>-0.92654300000000001</v>
      </c>
      <c r="BU186" s="55">
        <f t="shared" si="225"/>
        <v>0.70228500000000005</v>
      </c>
      <c r="BV186" s="55">
        <f t="shared" si="225"/>
        <v>-0.35286000000000001</v>
      </c>
      <c r="BW186" s="55">
        <f t="shared" si="225"/>
        <v>-0.65729199999999999</v>
      </c>
      <c r="BX186" s="55">
        <f t="shared" si="225"/>
        <v>8.7060000000000002E-3</v>
      </c>
      <c r="BY186" s="55">
        <f t="shared" si="225"/>
        <v>-0.23127600000000001</v>
      </c>
      <c r="BZ186" s="55">
        <f t="shared" si="223"/>
        <v>0.38279999999999997</v>
      </c>
      <c r="CA186" s="55">
        <f t="shared" si="223"/>
        <v>0.34945500000000002</v>
      </c>
      <c r="CB186" s="55">
        <f t="shared" si="223"/>
        <v>0.35790499999999997</v>
      </c>
      <c r="CC186" s="55">
        <f t="shared" si="223"/>
        <v>-5.0867000000000002E-2</v>
      </c>
      <c r="CD186" s="55">
        <f t="shared" si="223"/>
        <v>6.5620999999999999E-2</v>
      </c>
      <c r="CE186" s="55">
        <f t="shared" si="223"/>
        <v>-4.7824999999999999E-2</v>
      </c>
      <c r="CF186" s="55">
        <f t="shared" si="223"/>
        <v>-0.45417400000000002</v>
      </c>
      <c r="CG186" s="55">
        <f t="shared" si="223"/>
        <v>0.74773699999999999</v>
      </c>
      <c r="CH186" s="55">
        <f t="shared" si="223"/>
        <v>-0.56772599999999995</v>
      </c>
      <c r="CI186" s="55">
        <f t="shared" si="223"/>
        <v>-0.43990400000000002</v>
      </c>
      <c r="CJ186" s="55">
        <f t="shared" si="223"/>
        <v>-1.2277720000000001</v>
      </c>
      <c r="CK186" s="55">
        <f t="shared" si="223"/>
        <v>0.17562</v>
      </c>
      <c r="CL186" s="55">
        <f t="shared" si="223"/>
        <v>1.066675</v>
      </c>
      <c r="CM186" s="55">
        <f t="shared" si="223"/>
        <v>0.41585299999999997</v>
      </c>
      <c r="CN186" s="55">
        <f t="shared" si="223"/>
        <v>-0.48087299999999999</v>
      </c>
      <c r="CO186" s="55">
        <f t="shared" si="224"/>
        <v>0.405055</v>
      </c>
      <c r="CP186" s="55">
        <f t="shared" si="224"/>
        <v>0.71483399999999997</v>
      </c>
      <c r="CQ186" s="55">
        <f t="shared" si="224"/>
        <v>-0.29349799999999998</v>
      </c>
      <c r="CR186" s="55">
        <f t="shared" si="224"/>
        <v>0.82778300000000005</v>
      </c>
      <c r="CS186" s="55">
        <f t="shared" si="224"/>
        <v>2.3668999999999999E-2</v>
      </c>
      <c r="CT186" s="55">
        <f t="shared" si="224"/>
        <v>-0.79423699999999997</v>
      </c>
      <c r="CU186" s="55">
        <f t="shared" si="224"/>
        <v>-0.90337800000000001</v>
      </c>
      <c r="CV186" s="55">
        <f t="shared" si="224"/>
        <v>1.422147</v>
      </c>
      <c r="CW186" s="55">
        <f t="shared" si="224"/>
        <v>0.89805599999999997</v>
      </c>
      <c r="CX186" s="55">
        <f t="shared" si="224"/>
        <v>-0.66341700000000003</v>
      </c>
      <c r="CY186" s="55">
        <f t="shared" si="224"/>
        <v>0.53328600000000004</v>
      </c>
      <c r="CZ186" s="55">
        <f t="shared" si="224"/>
        <v>0.27739599999999998</v>
      </c>
      <c r="DA186" s="55">
        <f t="shared" si="224"/>
        <v>0.71682000000000001</v>
      </c>
      <c r="DB186" s="55">
        <f t="shared" si="224"/>
        <v>-0.62051500000000004</v>
      </c>
      <c r="DC186" s="55">
        <f t="shared" si="224"/>
        <v>0.157529</v>
      </c>
      <c r="DD186" s="55">
        <f t="shared" si="224"/>
        <v>0.76336300000000001</v>
      </c>
      <c r="DE186" s="55">
        <f t="shared" si="222"/>
        <v>-0.35728799999999999</v>
      </c>
      <c r="DF186" s="55">
        <f t="shared" si="222"/>
        <v>0.61300600000000005</v>
      </c>
      <c r="DG186" s="55">
        <f t="shared" si="222"/>
        <v>-0.21090400000000001</v>
      </c>
      <c r="DI186" s="55">
        <f t="shared" ca="1" si="65"/>
        <v>0.14165700000000001</v>
      </c>
      <c r="DJ186" s="55">
        <f t="shared" ca="1" si="66"/>
        <v>0.93150100000000002</v>
      </c>
      <c r="DK186" s="55">
        <f t="shared" ca="1" si="67"/>
        <v>0.21973599999999999</v>
      </c>
      <c r="DL186" s="55">
        <f t="shared" ca="1" si="68"/>
        <v>8.7349999999999997E-2</v>
      </c>
      <c r="DM186" s="55">
        <f t="shared" ca="1" si="69"/>
        <v>0.66057299999999997</v>
      </c>
      <c r="DN186" s="55">
        <f t="shared" ca="1" si="70"/>
        <v>0.32617000000000002</v>
      </c>
      <c r="DO186" s="55">
        <f t="shared" ca="1" si="71"/>
        <v>0.486794</v>
      </c>
      <c r="DP186" s="55">
        <f t="shared" ca="1" si="72"/>
        <v>-0.44162646508999998</v>
      </c>
      <c r="DQ186" s="55">
        <f t="shared" ca="1" si="73"/>
        <v>1.1185864242399999</v>
      </c>
      <c r="DR186" s="55">
        <f t="shared" ca="1" si="74"/>
        <v>1.1441176454899999</v>
      </c>
      <c r="DS186" s="55">
        <f t="shared" ca="1" si="75"/>
        <v>-0.51496256642000005</v>
      </c>
      <c r="DT186" s="55">
        <f t="shared" ca="1" si="76"/>
        <v>-0.47188030120999991</v>
      </c>
      <c r="DU186" s="55">
        <f t="shared" ca="1" si="77"/>
        <v>-0.75381482090000007</v>
      </c>
      <c r="DV186" s="55">
        <f t="shared" ca="1" si="78"/>
        <v>-1.00385067412</v>
      </c>
      <c r="DW186" s="55">
        <f t="shared" ca="1" si="79"/>
        <v>0.94045901564000001</v>
      </c>
      <c r="DX186" s="55">
        <f t="shared" ca="1" si="80"/>
        <v>0.41658914309999995</v>
      </c>
      <c r="DY186" s="55">
        <f t="shared" ca="1" si="81"/>
        <v>0.51018711574999998</v>
      </c>
      <c r="DZ186" s="55">
        <f t="shared" ca="1" si="82"/>
        <v>-0.316774</v>
      </c>
      <c r="EA186" s="55">
        <f t="shared" ca="1" si="83"/>
        <v>-0.57559000000000005</v>
      </c>
      <c r="EB186" s="55">
        <f t="shared" ca="1" si="84"/>
        <v>-0.77202599999999999</v>
      </c>
      <c r="EC186" s="55">
        <f t="shared" ca="1" si="85"/>
        <v>-0.78446899999999997</v>
      </c>
      <c r="ED186" s="55">
        <f t="shared" ca="1" si="86"/>
        <v>0.47545100000000001</v>
      </c>
      <c r="EE186" s="55">
        <f t="shared" ca="1" si="87"/>
        <v>0.97257099999999996</v>
      </c>
      <c r="EF186" s="55">
        <f t="shared" ca="1" si="88"/>
        <v>0.81458900000000001</v>
      </c>
      <c r="EG186" s="55">
        <f t="shared" ca="1" si="89"/>
        <v>0.34436099999999997</v>
      </c>
      <c r="EH186" s="55">
        <f t="shared" ca="1" si="90"/>
        <v>4.1963E-2</v>
      </c>
      <c r="EI186" s="55">
        <f t="shared" ca="1" si="91"/>
        <v>0.81816999999999995</v>
      </c>
      <c r="EJ186" s="55">
        <f t="shared" ca="1" si="92"/>
        <v>0.49418299999999998</v>
      </c>
      <c r="EK186" s="55">
        <f t="shared" ca="1" si="93"/>
        <v>-0.74974099999999999</v>
      </c>
      <c r="EL186" s="55">
        <f t="shared" ca="1" si="94"/>
        <v>-1.1178939999999999</v>
      </c>
      <c r="EM186" s="55">
        <f t="shared" ca="1" si="95"/>
        <v>1.0275810000000001</v>
      </c>
      <c r="EN186" s="55">
        <f t="shared" ca="1" si="96"/>
        <v>0.18726499999999999</v>
      </c>
      <c r="EO186" s="55">
        <f t="shared" ca="1" si="97"/>
        <v>-0.46878799999999998</v>
      </c>
      <c r="EP186" s="55">
        <f t="shared" ca="1" si="98"/>
        <v>0.21907799999999999</v>
      </c>
      <c r="EQ186" s="55">
        <f t="shared" ca="1" si="99"/>
        <v>0.65311699999999995</v>
      </c>
      <c r="ER186" s="55">
        <f t="shared" ca="1" si="100"/>
        <v>-0.532003</v>
      </c>
      <c r="ES186" s="55">
        <f t="shared" ca="1" si="101"/>
        <v>0.80649400000000004</v>
      </c>
      <c r="ET186" s="55">
        <f t="shared" ca="1" si="102"/>
        <v>-0.388903</v>
      </c>
      <c r="EU186" s="55">
        <f t="shared" ca="1" si="103"/>
        <v>-0.21298</v>
      </c>
      <c r="EV186" s="55">
        <f t="shared" ca="1" si="104"/>
        <v>-0.33707300000000001</v>
      </c>
      <c r="EW186" s="55">
        <f t="shared" ca="1" si="105"/>
        <v>-1.7750000000000001E-3</v>
      </c>
      <c r="EX186" s="55">
        <f t="shared" ca="1" si="106"/>
        <v>-0.43126399999999998</v>
      </c>
      <c r="EY186" s="55">
        <f t="shared" ca="1" si="107"/>
        <v>0.65154900000000004</v>
      </c>
      <c r="EZ186" s="55">
        <f t="shared" ca="1" si="108"/>
        <v>-0.22847300000000001</v>
      </c>
      <c r="FA186" s="55">
        <f t="shared" ca="1" si="109"/>
        <v>-0.868004</v>
      </c>
      <c r="FB186" s="55">
        <f t="shared" ca="1" si="110"/>
        <v>-0.905532</v>
      </c>
      <c r="FC186" s="55">
        <f t="shared" ca="1" si="111"/>
        <v>0.25758300000000001</v>
      </c>
      <c r="FD186" s="55">
        <f t="shared" ca="1" si="112"/>
        <v>-5.6763000000000001E-2</v>
      </c>
      <c r="FE186" s="55">
        <f t="shared" ca="1" si="113"/>
        <v>-0.61416400000000004</v>
      </c>
      <c r="FF186" s="55">
        <f t="shared" ca="1" si="114"/>
        <v>9.1121999999999995E-2</v>
      </c>
      <c r="FH186" s="55">
        <f t="shared" ca="1" si="115"/>
        <v>0</v>
      </c>
      <c r="FI186" s="55">
        <f t="shared" ca="1" si="207"/>
        <v>0</v>
      </c>
      <c r="FJ186" s="55">
        <f t="shared" ca="1" si="208"/>
        <v>0</v>
      </c>
      <c r="FK186" s="55">
        <f t="shared" ca="1" si="209"/>
        <v>0</v>
      </c>
      <c r="FL186" s="55">
        <f t="shared" ca="1" si="210"/>
        <v>0</v>
      </c>
      <c r="FM186" s="55">
        <f t="shared" ca="1" si="211"/>
        <v>0</v>
      </c>
      <c r="FN186" s="55">
        <f t="shared" ca="1" si="212"/>
        <v>0</v>
      </c>
      <c r="FO186" s="55">
        <f t="shared" ca="1" si="213"/>
        <v>0.15900053491000005</v>
      </c>
      <c r="FP186" s="55">
        <f t="shared" ca="1" si="214"/>
        <v>-0.60960657576000021</v>
      </c>
      <c r="FQ186" s="55">
        <f t="shared" ca="1" si="215"/>
        <v>-0.13541335451000003</v>
      </c>
      <c r="FR186" s="55">
        <f t="shared" ca="1" si="216"/>
        <v>-0.13953756642000004</v>
      </c>
      <c r="FS186" s="55">
        <f t="shared" ca="1" si="158"/>
        <v>0.39807569879000004</v>
      </c>
      <c r="FT186" s="55">
        <f t="shared" ca="1" si="159"/>
        <v>0.13593517909999997</v>
      </c>
      <c r="FU186" s="55">
        <f t="shared" ca="1" si="160"/>
        <v>0.11749332587999994</v>
      </c>
      <c r="FV186" s="55">
        <f t="shared" ca="1" si="161"/>
        <v>-0.31589098436000007</v>
      </c>
      <c r="FW186" s="55">
        <f t="shared" ca="1" si="162"/>
        <v>-0.21964485690000002</v>
      </c>
      <c r="FX186" s="55">
        <f t="shared" ca="1" si="163"/>
        <v>-4.3187884249999975E-2</v>
      </c>
      <c r="FY186" s="55">
        <f t="shared" ca="1" si="164"/>
        <v>0</v>
      </c>
      <c r="FZ186" s="55">
        <f t="shared" ca="1" si="165"/>
        <v>0</v>
      </c>
      <c r="GA186" s="55">
        <f t="shared" ca="1" si="166"/>
        <v>0</v>
      </c>
      <c r="GB186" s="55">
        <f t="shared" ca="1" si="167"/>
        <v>0</v>
      </c>
      <c r="GC186" s="55">
        <f t="shared" ca="1" si="168"/>
        <v>0</v>
      </c>
      <c r="GD186" s="55">
        <f t="shared" ca="1" si="169"/>
        <v>0</v>
      </c>
      <c r="GE186" s="55">
        <f t="shared" ca="1" si="170"/>
        <v>0</v>
      </c>
      <c r="GF186" s="55">
        <f t="shared" ca="1" si="171"/>
        <v>0</v>
      </c>
      <c r="GG186" s="55">
        <f t="shared" ca="1" si="172"/>
        <v>0</v>
      </c>
      <c r="GH186" s="55">
        <f t="shared" ca="1" si="173"/>
        <v>0</v>
      </c>
      <c r="GI186" s="55">
        <f t="shared" ca="1" si="174"/>
        <v>0</v>
      </c>
      <c r="GJ186" s="55">
        <f t="shared" ca="1" si="175"/>
        <v>0</v>
      </c>
      <c r="GK186" s="55">
        <f t="shared" ca="1" si="176"/>
        <v>0</v>
      </c>
      <c r="GL186" s="55">
        <f t="shared" ca="1" si="177"/>
        <v>0</v>
      </c>
      <c r="GM186" s="55">
        <f t="shared" ca="1" si="178"/>
        <v>0</v>
      </c>
      <c r="GN186" s="55">
        <f t="shared" ca="1" si="179"/>
        <v>0</v>
      </c>
      <c r="GO186" s="55">
        <f t="shared" ca="1" si="180"/>
        <v>0</v>
      </c>
      <c r="GP186" s="55">
        <f t="shared" ca="1" si="181"/>
        <v>0</v>
      </c>
      <c r="GQ186" s="55">
        <f t="shared" ca="1" si="182"/>
        <v>0</v>
      </c>
      <c r="GR186" s="55">
        <f t="shared" ca="1" si="183"/>
        <v>0</v>
      </c>
      <c r="GS186" s="55">
        <f t="shared" ca="1" si="184"/>
        <v>0</v>
      </c>
      <c r="GT186" s="55">
        <f t="shared" ca="1" si="185"/>
        <v>0</v>
      </c>
      <c r="GU186" s="55">
        <f t="shared" ca="1" si="186"/>
        <v>0</v>
      </c>
      <c r="GV186" s="55">
        <f t="shared" ca="1" si="187"/>
        <v>0</v>
      </c>
      <c r="GW186" s="55">
        <f t="shared" ca="1" si="188"/>
        <v>0</v>
      </c>
      <c r="GX186" s="55">
        <f t="shared" ca="1" si="189"/>
        <v>0</v>
      </c>
      <c r="GY186" s="55">
        <f t="shared" ca="1" si="190"/>
        <v>0</v>
      </c>
      <c r="GZ186" s="55">
        <f t="shared" ca="1" si="191"/>
        <v>0</v>
      </c>
      <c r="HA186" s="55">
        <f t="shared" ca="1" si="192"/>
        <v>0</v>
      </c>
      <c r="HB186" s="55">
        <f t="shared" ca="1" si="193"/>
        <v>0</v>
      </c>
      <c r="HC186" s="55">
        <f t="shared" ca="1" si="194"/>
        <v>0</v>
      </c>
      <c r="HD186" s="55">
        <f t="shared" ca="1" si="195"/>
        <v>0</v>
      </c>
      <c r="HE186" s="55">
        <f t="shared" ca="1" si="196"/>
        <v>0</v>
      </c>
    </row>
    <row r="187" spans="1:213">
      <c r="A187" s="27">
        <v>50</v>
      </c>
      <c r="B187" s="27">
        <v>63</v>
      </c>
      <c r="C187" s="27">
        <v>0.28023399999999998</v>
      </c>
      <c r="D187" s="27">
        <v>0.91862100000000002</v>
      </c>
      <c r="E187" s="27">
        <v>0</v>
      </c>
      <c r="F187" s="27">
        <f t="shared" ca="1" si="59"/>
        <v>7</v>
      </c>
      <c r="G187" s="27">
        <f t="shared" si="221"/>
        <v>0</v>
      </c>
      <c r="H187" s="27" t="str">
        <f t="shared" si="60"/>
        <v>Sim</v>
      </c>
      <c r="I187" s="27">
        <f t="shared" si="61"/>
        <v>0</v>
      </c>
      <c r="J187" s="37">
        <f t="shared" si="62"/>
        <v>1</v>
      </c>
      <c r="K187" s="55">
        <f t="shared" si="63"/>
        <v>-1.0969869999999999</v>
      </c>
      <c r="L187" s="55">
        <f t="shared" si="197"/>
        <v>0.38115300000000002</v>
      </c>
      <c r="M187" s="55">
        <f t="shared" si="198"/>
        <v>0.52356899999999995</v>
      </c>
      <c r="N187" s="55">
        <f t="shared" si="199"/>
        <v>-1.714448</v>
      </c>
      <c r="O187" s="55">
        <f t="shared" si="200"/>
        <v>0.639714</v>
      </c>
      <c r="P187" s="55">
        <f t="shared" si="201"/>
        <v>-0.27751399999999998</v>
      </c>
      <c r="Q187" s="55">
        <f t="shared" si="202"/>
        <v>0.22517899999999999</v>
      </c>
      <c r="R187" s="55">
        <f t="shared" si="203"/>
        <v>-6.7871000000000001E-2</v>
      </c>
      <c r="S187" s="55">
        <f t="shared" si="204"/>
        <v>-0.26596500000000001</v>
      </c>
      <c r="T187" s="55">
        <f t="shared" si="205"/>
        <v>-3.7038000000000001E-2</v>
      </c>
      <c r="U187" s="55">
        <f t="shared" si="206"/>
        <v>0.96115200000000001</v>
      </c>
      <c r="V187" s="55">
        <f t="shared" si="116"/>
        <v>0.51594700000000004</v>
      </c>
      <c r="W187" s="55">
        <f t="shared" si="117"/>
        <v>0.59214999999999995</v>
      </c>
      <c r="X187" s="55">
        <f t="shared" si="118"/>
        <v>-0.90259299999999998</v>
      </c>
      <c r="Y187" s="55">
        <f t="shared" si="119"/>
        <v>0.98840300000000003</v>
      </c>
      <c r="Z187" s="55">
        <f t="shared" si="120"/>
        <v>-0.674983</v>
      </c>
      <c r="AA187" s="55">
        <f t="shared" si="121"/>
        <v>0.97841800000000001</v>
      </c>
      <c r="AB187" s="55">
        <f t="shared" si="122"/>
        <v>0.82400099999999998</v>
      </c>
      <c r="AC187" s="55">
        <f t="shared" si="123"/>
        <v>1.396997</v>
      </c>
      <c r="AD187" s="55">
        <f t="shared" si="124"/>
        <v>-0.45306800000000003</v>
      </c>
      <c r="AE187" s="55">
        <f t="shared" si="125"/>
        <v>0.68356899999999998</v>
      </c>
      <c r="AF187" s="55">
        <f t="shared" si="126"/>
        <v>0.73449600000000004</v>
      </c>
      <c r="AG187" s="55">
        <f t="shared" si="127"/>
        <v>0.567998</v>
      </c>
      <c r="AH187" s="55">
        <f t="shared" si="128"/>
        <v>-0.45733400000000002</v>
      </c>
      <c r="AI187" s="55">
        <f t="shared" si="129"/>
        <v>-1.048338</v>
      </c>
      <c r="AJ187" s="55">
        <f t="shared" si="130"/>
        <v>-1.1257E-2</v>
      </c>
      <c r="AK187" s="55">
        <f t="shared" si="131"/>
        <v>0.294599</v>
      </c>
      <c r="AL187" s="55">
        <f t="shared" si="132"/>
        <v>1.0457559999999999</v>
      </c>
      <c r="AM187" s="55">
        <f t="shared" si="133"/>
        <v>-0.35778199999999999</v>
      </c>
      <c r="AN187" s="55">
        <f t="shared" si="134"/>
        <v>-0.12554699999999999</v>
      </c>
      <c r="AO187" s="55">
        <f t="shared" si="135"/>
        <v>-0.62191700000000005</v>
      </c>
      <c r="AP187" s="55">
        <f t="shared" si="136"/>
        <v>0.52560499999999999</v>
      </c>
      <c r="AQ187" s="55">
        <f t="shared" si="137"/>
        <v>2.4389000000000001E-2</v>
      </c>
      <c r="AR187" s="55">
        <f t="shared" si="138"/>
        <v>-1.1259049999999999</v>
      </c>
      <c r="AS187" s="55">
        <f t="shared" si="139"/>
        <v>0.78310400000000002</v>
      </c>
      <c r="AT187" s="55">
        <f t="shared" si="140"/>
        <v>-0.625803</v>
      </c>
      <c r="AU187" s="55">
        <f t="shared" si="141"/>
        <v>0.32439000000000001</v>
      </c>
      <c r="AV187" s="55">
        <f t="shared" si="142"/>
        <v>-0.28769800000000001</v>
      </c>
      <c r="AW187" s="55">
        <f t="shared" si="143"/>
        <v>-0.81347199999999997</v>
      </c>
      <c r="AX187" s="55">
        <f t="shared" si="144"/>
        <v>0.20236699999999999</v>
      </c>
      <c r="AY187" s="55">
        <f t="shared" si="145"/>
        <v>0.71817299999999995</v>
      </c>
      <c r="AZ187" s="55">
        <f t="shared" si="146"/>
        <v>-1.6559000000000001E-2</v>
      </c>
      <c r="BA187" s="55">
        <f t="shared" si="147"/>
        <v>-0.30865999999999999</v>
      </c>
      <c r="BB187" s="55">
        <f t="shared" si="148"/>
        <v>-0.412381</v>
      </c>
      <c r="BC187" s="55">
        <f t="shared" si="149"/>
        <v>-0.70930300000000002</v>
      </c>
      <c r="BD187" s="55">
        <f t="shared" si="150"/>
        <v>-7.7965000000000007E-2</v>
      </c>
      <c r="BE187" s="55">
        <f t="shared" si="151"/>
        <v>0.49343900000000002</v>
      </c>
      <c r="BF187" s="55">
        <f t="shared" si="152"/>
        <v>-0.40752500000000003</v>
      </c>
      <c r="BG187" s="55">
        <f t="shared" si="153"/>
        <v>0.80309900000000001</v>
      </c>
      <c r="BH187" s="55">
        <f t="shared" si="154"/>
        <v>-0.17697399999999999</v>
      </c>
      <c r="BJ187" s="55">
        <f t="shared" si="225"/>
        <v>-0.24062800000000001</v>
      </c>
      <c r="BK187" s="55">
        <f t="shared" si="225"/>
        <v>-0.89815699999999998</v>
      </c>
      <c r="BL187" s="55">
        <f t="shared" si="225"/>
        <v>-1.1891830000000001</v>
      </c>
      <c r="BM187" s="55">
        <f t="shared" si="225"/>
        <v>0.91522499999999996</v>
      </c>
      <c r="BN187" s="55">
        <f t="shared" si="225"/>
        <v>-1.3426229999999999</v>
      </c>
      <c r="BO187" s="55">
        <f t="shared" si="225"/>
        <v>-1.0758650000000001</v>
      </c>
      <c r="BP187" s="55">
        <f t="shared" si="225"/>
        <v>0.72298700000000005</v>
      </c>
      <c r="BQ187" s="55">
        <f t="shared" si="225"/>
        <v>0.59974899999999998</v>
      </c>
      <c r="BR187" s="55">
        <f t="shared" si="225"/>
        <v>-1.392889</v>
      </c>
      <c r="BS187" s="55">
        <f t="shared" si="225"/>
        <v>0.11608499999999999</v>
      </c>
      <c r="BT187" s="55">
        <f t="shared" si="225"/>
        <v>0.59754099999999999</v>
      </c>
      <c r="BU187" s="55">
        <f t="shared" si="225"/>
        <v>0.332096</v>
      </c>
      <c r="BV187" s="55">
        <f t="shared" si="225"/>
        <v>0.62007900000000005</v>
      </c>
      <c r="BW187" s="55">
        <f t="shared" si="225"/>
        <v>0.663219</v>
      </c>
      <c r="BX187" s="55">
        <f t="shared" si="225"/>
        <v>0.37763799999999997</v>
      </c>
      <c r="BY187" s="55">
        <f t="shared" si="225"/>
        <v>-0.60894499999999996</v>
      </c>
      <c r="BZ187" s="55">
        <f t="shared" si="223"/>
        <v>0.67616900000000002</v>
      </c>
      <c r="CA187" s="55">
        <f t="shared" si="223"/>
        <v>0.50792800000000005</v>
      </c>
      <c r="CB187" s="55">
        <f t="shared" si="223"/>
        <v>-0.57982</v>
      </c>
      <c r="CC187" s="55">
        <f t="shared" si="223"/>
        <v>-0.62389300000000003</v>
      </c>
      <c r="CD187" s="55">
        <f t="shared" si="223"/>
        <v>-7.2497000000000006E-2</v>
      </c>
      <c r="CE187" s="55">
        <f t="shared" si="223"/>
        <v>0.84505200000000003</v>
      </c>
      <c r="CF187" s="55">
        <f t="shared" si="223"/>
        <v>-0.68402700000000005</v>
      </c>
      <c r="CG187" s="55">
        <f t="shared" si="223"/>
        <v>-0.54195899999999997</v>
      </c>
      <c r="CH187" s="55">
        <f t="shared" si="223"/>
        <v>0.627911</v>
      </c>
      <c r="CI187" s="55">
        <f t="shared" si="223"/>
        <v>0.18995300000000001</v>
      </c>
      <c r="CJ187" s="55">
        <f t="shared" si="223"/>
        <v>1.5314939999999999</v>
      </c>
      <c r="CK187" s="55">
        <f t="shared" si="223"/>
        <v>-0.44142799999999999</v>
      </c>
      <c r="CL187" s="55">
        <f t="shared" si="223"/>
        <v>0.87226499999999996</v>
      </c>
      <c r="CM187" s="55">
        <f t="shared" si="223"/>
        <v>-0.29833799999999999</v>
      </c>
      <c r="CN187" s="55">
        <f t="shared" si="223"/>
        <v>-0.19894899999999999</v>
      </c>
      <c r="CO187" s="55">
        <f t="shared" si="224"/>
        <v>0.30160799999999999</v>
      </c>
      <c r="CP187" s="55">
        <f t="shared" si="224"/>
        <v>-1.1018559999999999</v>
      </c>
      <c r="CQ187" s="55">
        <f t="shared" si="224"/>
        <v>0.81671000000000005</v>
      </c>
      <c r="CR187" s="55">
        <f t="shared" si="224"/>
        <v>-0.603738</v>
      </c>
      <c r="CS187" s="55">
        <f t="shared" si="224"/>
        <v>0.70987599999999995</v>
      </c>
      <c r="CT187" s="55">
        <f t="shared" si="224"/>
        <v>-0.56420700000000001</v>
      </c>
      <c r="CU187" s="55">
        <f t="shared" si="224"/>
        <v>1.0479320000000001</v>
      </c>
      <c r="CV187" s="55">
        <f t="shared" si="224"/>
        <v>-1.159268</v>
      </c>
      <c r="CW187" s="55">
        <f t="shared" si="224"/>
        <v>-0.44070500000000001</v>
      </c>
      <c r="CX187" s="55">
        <f t="shared" si="224"/>
        <v>0.41180099999999997</v>
      </c>
      <c r="CY187" s="55">
        <f t="shared" si="224"/>
        <v>-0.57546799999999998</v>
      </c>
      <c r="CZ187" s="55">
        <f t="shared" si="224"/>
        <v>-1.441595</v>
      </c>
      <c r="DA187" s="55">
        <f t="shared" si="224"/>
        <v>-0.99476200000000004</v>
      </c>
      <c r="DB187" s="55">
        <f t="shared" si="224"/>
        <v>0.793296</v>
      </c>
      <c r="DC187" s="55">
        <f t="shared" si="224"/>
        <v>-0.101851</v>
      </c>
      <c r="DD187" s="55">
        <f t="shared" si="224"/>
        <v>0.63167300000000004</v>
      </c>
      <c r="DE187" s="55">
        <f t="shared" si="222"/>
        <v>-3.5050999999999999E-2</v>
      </c>
      <c r="DF187" s="55">
        <f t="shared" si="222"/>
        <v>-0.15506200000000001</v>
      </c>
      <c r="DG187" s="55">
        <f t="shared" si="222"/>
        <v>-0.89871599999999996</v>
      </c>
      <c r="DI187" s="55">
        <f t="shared" ca="1" si="65"/>
        <v>-1.0272973609390001</v>
      </c>
      <c r="DJ187" s="55">
        <f t="shared" ca="1" si="66"/>
        <v>0.27704403151000007</v>
      </c>
      <c r="DK187" s="55">
        <f t="shared" ca="1" si="67"/>
        <v>0.38418695499200001</v>
      </c>
      <c r="DL187" s="55">
        <f t="shared" ca="1" si="68"/>
        <v>-1.500447840933</v>
      </c>
      <c r="DM187" s="55">
        <f t="shared" ca="1" si="69"/>
        <v>0.47839339727700003</v>
      </c>
      <c r="DN187" s="55">
        <f t="shared" ca="1" si="70"/>
        <v>-0.34248300602899995</v>
      </c>
      <c r="DO187" s="55">
        <f t="shared" ca="1" si="71"/>
        <v>0.26569011723199998</v>
      </c>
      <c r="DP187" s="55">
        <f t="shared" ca="1" si="72"/>
        <v>-6.7871000000000001E-2</v>
      </c>
      <c r="DQ187" s="55">
        <f t="shared" ca="1" si="73"/>
        <v>-0.26596500000000001</v>
      </c>
      <c r="DR187" s="55">
        <f t="shared" ca="1" si="74"/>
        <v>-3.7038000000000001E-2</v>
      </c>
      <c r="DS187" s="55">
        <f t="shared" ca="1" si="75"/>
        <v>0.96115200000000001</v>
      </c>
      <c r="DT187" s="55">
        <f t="shared" ca="1" si="76"/>
        <v>0.51594700000000004</v>
      </c>
      <c r="DU187" s="55">
        <f t="shared" ca="1" si="77"/>
        <v>0.59214999999999995</v>
      </c>
      <c r="DV187" s="55">
        <f t="shared" ca="1" si="78"/>
        <v>-0.90259299999999998</v>
      </c>
      <c r="DW187" s="55">
        <f t="shared" ca="1" si="79"/>
        <v>0.98840300000000003</v>
      </c>
      <c r="DX187" s="55">
        <f t="shared" ca="1" si="80"/>
        <v>-0.674983</v>
      </c>
      <c r="DY187" s="55">
        <f t="shared" ca="1" si="81"/>
        <v>0.97841800000000001</v>
      </c>
      <c r="DZ187" s="55">
        <f t="shared" ca="1" si="82"/>
        <v>0.82400099999999998</v>
      </c>
      <c r="EA187" s="55">
        <f t="shared" ca="1" si="83"/>
        <v>1.396997</v>
      </c>
      <c r="EB187" s="55">
        <f t="shared" ca="1" si="84"/>
        <v>-0.45306800000000003</v>
      </c>
      <c r="EC187" s="55">
        <f t="shared" ca="1" si="85"/>
        <v>0.68356899999999998</v>
      </c>
      <c r="ED187" s="55">
        <f t="shared" ca="1" si="86"/>
        <v>0.73449600000000004</v>
      </c>
      <c r="EE187" s="55">
        <f t="shared" ca="1" si="87"/>
        <v>0.567998</v>
      </c>
      <c r="EF187" s="55">
        <f t="shared" ca="1" si="88"/>
        <v>-0.45733400000000002</v>
      </c>
      <c r="EG187" s="55">
        <f t="shared" ca="1" si="89"/>
        <v>-1.048338</v>
      </c>
      <c r="EH187" s="55">
        <f t="shared" ca="1" si="90"/>
        <v>-1.1257E-2</v>
      </c>
      <c r="EI187" s="55">
        <f t="shared" ca="1" si="91"/>
        <v>0.294599</v>
      </c>
      <c r="EJ187" s="55">
        <f t="shared" ca="1" si="92"/>
        <v>1.0457559999999999</v>
      </c>
      <c r="EK187" s="55">
        <f t="shared" ca="1" si="93"/>
        <v>-0.35778199999999999</v>
      </c>
      <c r="EL187" s="55">
        <f t="shared" ca="1" si="94"/>
        <v>-0.12554699999999999</v>
      </c>
      <c r="EM187" s="55">
        <f t="shared" ca="1" si="95"/>
        <v>-0.62191700000000005</v>
      </c>
      <c r="EN187" s="55">
        <f t="shared" ca="1" si="96"/>
        <v>0.52560499999999999</v>
      </c>
      <c r="EO187" s="55">
        <f t="shared" ca="1" si="97"/>
        <v>2.4389000000000001E-2</v>
      </c>
      <c r="EP187" s="55">
        <f t="shared" ca="1" si="98"/>
        <v>-1.1259049999999999</v>
      </c>
      <c r="EQ187" s="55">
        <f t="shared" ca="1" si="99"/>
        <v>0.78310400000000002</v>
      </c>
      <c r="ER187" s="55">
        <f t="shared" ca="1" si="100"/>
        <v>-0.625803</v>
      </c>
      <c r="ES187" s="55">
        <f t="shared" ca="1" si="101"/>
        <v>0.32439000000000001</v>
      </c>
      <c r="ET187" s="55">
        <f t="shared" ca="1" si="102"/>
        <v>-0.28769800000000001</v>
      </c>
      <c r="EU187" s="55">
        <f t="shared" ca="1" si="103"/>
        <v>-0.81347199999999997</v>
      </c>
      <c r="EV187" s="55">
        <f t="shared" ca="1" si="104"/>
        <v>0.20236699999999999</v>
      </c>
      <c r="EW187" s="55">
        <f t="shared" ca="1" si="105"/>
        <v>0.71817299999999995</v>
      </c>
      <c r="EX187" s="55">
        <f t="shared" ca="1" si="106"/>
        <v>-1.6559000000000001E-2</v>
      </c>
      <c r="EY187" s="55">
        <f t="shared" ca="1" si="107"/>
        <v>-0.30865999999999999</v>
      </c>
      <c r="EZ187" s="55">
        <f t="shared" ca="1" si="108"/>
        <v>-0.412381</v>
      </c>
      <c r="FA187" s="55">
        <f t="shared" ca="1" si="109"/>
        <v>-0.70930300000000002</v>
      </c>
      <c r="FB187" s="55">
        <f t="shared" ca="1" si="110"/>
        <v>-7.7965000000000007E-2</v>
      </c>
      <c r="FC187" s="55">
        <f t="shared" ca="1" si="111"/>
        <v>0.49343900000000002</v>
      </c>
      <c r="FD187" s="55">
        <f t="shared" ca="1" si="112"/>
        <v>-0.40752500000000003</v>
      </c>
      <c r="FE187" s="55">
        <f t="shared" ca="1" si="113"/>
        <v>0.80309900000000001</v>
      </c>
      <c r="FF187" s="55">
        <f t="shared" ca="1" si="114"/>
        <v>-0.17697399999999999</v>
      </c>
      <c r="FH187" s="55">
        <f t="shared" ca="1" si="115"/>
        <v>6.9689639060999786E-2</v>
      </c>
      <c r="FI187" s="55">
        <f t="shared" ca="1" si="207"/>
        <v>-0.10410896848999995</v>
      </c>
      <c r="FJ187" s="55">
        <f t="shared" ca="1" si="208"/>
        <v>-0.13938204500799994</v>
      </c>
      <c r="FK187" s="55">
        <f t="shared" ca="1" si="209"/>
        <v>0.21400015906699998</v>
      </c>
      <c r="FL187" s="55">
        <f t="shared" ca="1" si="210"/>
        <v>-0.16132060272299997</v>
      </c>
      <c r="FM187" s="55">
        <f t="shared" ca="1" si="211"/>
        <v>-6.4969006028999965E-2</v>
      </c>
      <c r="FN187" s="55">
        <f t="shared" ca="1" si="212"/>
        <v>4.0511117231999988E-2</v>
      </c>
      <c r="FO187" s="55">
        <f t="shared" ca="1" si="213"/>
        <v>0</v>
      </c>
      <c r="FP187" s="55">
        <f t="shared" ca="1" si="214"/>
        <v>0</v>
      </c>
      <c r="FQ187" s="55">
        <f t="shared" ca="1" si="215"/>
        <v>0</v>
      </c>
      <c r="FR187" s="55">
        <f t="shared" ca="1" si="216"/>
        <v>0</v>
      </c>
      <c r="FS187" s="55">
        <f t="shared" ca="1" si="158"/>
        <v>0</v>
      </c>
      <c r="FT187" s="55">
        <f t="shared" ca="1" si="159"/>
        <v>0</v>
      </c>
      <c r="FU187" s="55">
        <f t="shared" ca="1" si="160"/>
        <v>0</v>
      </c>
      <c r="FV187" s="55">
        <f t="shared" ca="1" si="161"/>
        <v>0</v>
      </c>
      <c r="FW187" s="55">
        <f t="shared" ca="1" si="162"/>
        <v>0</v>
      </c>
      <c r="FX187" s="55">
        <f t="shared" ca="1" si="163"/>
        <v>0</v>
      </c>
      <c r="FY187" s="55">
        <f t="shared" ca="1" si="164"/>
        <v>0</v>
      </c>
      <c r="FZ187" s="55">
        <f t="shared" ca="1" si="165"/>
        <v>0</v>
      </c>
      <c r="GA187" s="55">
        <f t="shared" ca="1" si="166"/>
        <v>0</v>
      </c>
      <c r="GB187" s="55">
        <f t="shared" ca="1" si="167"/>
        <v>0</v>
      </c>
      <c r="GC187" s="55">
        <f t="shared" ca="1" si="168"/>
        <v>0</v>
      </c>
      <c r="GD187" s="55">
        <f t="shared" ca="1" si="169"/>
        <v>0</v>
      </c>
      <c r="GE187" s="55">
        <f t="shared" ca="1" si="170"/>
        <v>0</v>
      </c>
      <c r="GF187" s="55">
        <f t="shared" ca="1" si="171"/>
        <v>0</v>
      </c>
      <c r="GG187" s="55">
        <f t="shared" ca="1" si="172"/>
        <v>0</v>
      </c>
      <c r="GH187" s="55">
        <f t="shared" ca="1" si="173"/>
        <v>0</v>
      </c>
      <c r="GI187" s="55">
        <f t="shared" ca="1" si="174"/>
        <v>0</v>
      </c>
      <c r="GJ187" s="55">
        <f t="shared" ca="1" si="175"/>
        <v>0</v>
      </c>
      <c r="GK187" s="55">
        <f t="shared" ca="1" si="176"/>
        <v>0</v>
      </c>
      <c r="GL187" s="55">
        <f t="shared" ca="1" si="177"/>
        <v>0</v>
      </c>
      <c r="GM187" s="55">
        <f t="shared" ca="1" si="178"/>
        <v>0</v>
      </c>
      <c r="GN187" s="55">
        <f t="shared" ca="1" si="179"/>
        <v>0</v>
      </c>
      <c r="GO187" s="55">
        <f t="shared" ca="1" si="180"/>
        <v>0</v>
      </c>
      <c r="GP187" s="55">
        <f t="shared" ca="1" si="181"/>
        <v>0</v>
      </c>
      <c r="GQ187" s="55">
        <f t="shared" ca="1" si="182"/>
        <v>0</v>
      </c>
      <c r="GR187" s="55">
        <f t="shared" ca="1" si="183"/>
        <v>0</v>
      </c>
      <c r="GS187" s="55">
        <f t="shared" ca="1" si="184"/>
        <v>0</v>
      </c>
      <c r="GT187" s="55">
        <f t="shared" ca="1" si="185"/>
        <v>0</v>
      </c>
      <c r="GU187" s="55">
        <f t="shared" ca="1" si="186"/>
        <v>0</v>
      </c>
      <c r="GV187" s="55">
        <f t="shared" ca="1" si="187"/>
        <v>0</v>
      </c>
      <c r="GW187" s="55">
        <f t="shared" ca="1" si="188"/>
        <v>0</v>
      </c>
      <c r="GX187" s="55">
        <f t="shared" ca="1" si="189"/>
        <v>0</v>
      </c>
      <c r="GY187" s="55">
        <f t="shared" ca="1" si="190"/>
        <v>0</v>
      </c>
      <c r="GZ187" s="55">
        <f t="shared" ca="1" si="191"/>
        <v>0</v>
      </c>
      <c r="HA187" s="55">
        <f t="shared" ca="1" si="192"/>
        <v>0</v>
      </c>
      <c r="HB187" s="55">
        <f t="shared" ca="1" si="193"/>
        <v>0</v>
      </c>
      <c r="HC187" s="55">
        <f t="shared" ca="1" si="194"/>
        <v>0</v>
      </c>
      <c r="HD187" s="55">
        <f t="shared" ca="1" si="195"/>
        <v>0</v>
      </c>
      <c r="HE187" s="55">
        <f t="shared" ca="1" si="196"/>
        <v>0</v>
      </c>
    </row>
    <row r="188" spans="1:213">
      <c r="A188" s="27">
        <v>51</v>
      </c>
      <c r="B188" s="27">
        <v>57</v>
      </c>
      <c r="C188" s="27">
        <v>0.62378299999999998</v>
      </c>
      <c r="D188" s="27">
        <v>8.6560000000000005E-3</v>
      </c>
      <c r="E188" s="27">
        <v>8</v>
      </c>
      <c r="F188" s="27">
        <f t="shared" ca="1" si="59"/>
        <v>16</v>
      </c>
      <c r="G188" s="27">
        <f t="shared" si="221"/>
        <v>0</v>
      </c>
      <c r="H188" s="27" t="str">
        <f t="shared" si="60"/>
        <v>Sim</v>
      </c>
      <c r="I188" s="27">
        <f t="shared" si="61"/>
        <v>0</v>
      </c>
      <c r="J188" s="37">
        <f t="shared" si="62"/>
        <v>1</v>
      </c>
      <c r="K188" s="55">
        <f t="shared" si="63"/>
        <v>-0.86982300000000001</v>
      </c>
      <c r="L188" s="55">
        <f t="shared" si="197"/>
        <v>1.889802</v>
      </c>
      <c r="M188" s="55">
        <f t="shared" si="198"/>
        <v>-1.1225270000000001</v>
      </c>
      <c r="N188" s="55">
        <f t="shared" si="199"/>
        <v>-0.34977599999999998</v>
      </c>
      <c r="O188" s="55">
        <f t="shared" si="200"/>
        <v>-0.80473399999999995</v>
      </c>
      <c r="P188" s="55">
        <f t="shared" si="201"/>
        <v>0.29142800000000002</v>
      </c>
      <c r="Q188" s="55">
        <f t="shared" si="202"/>
        <v>0.75990800000000003</v>
      </c>
      <c r="R188" s="55">
        <f t="shared" si="203"/>
        <v>1.163189</v>
      </c>
      <c r="S188" s="55">
        <f t="shared" si="204"/>
        <v>-0.66398000000000001</v>
      </c>
      <c r="T188" s="55">
        <f t="shared" si="205"/>
        <v>0.487176</v>
      </c>
      <c r="U188" s="55">
        <f t="shared" si="206"/>
        <v>-0.19075700000000001</v>
      </c>
      <c r="V188" s="55">
        <f t="shared" si="116"/>
        <v>0.50197999999999998</v>
      </c>
      <c r="W188" s="55">
        <f t="shared" si="117"/>
        <v>0.157609</v>
      </c>
      <c r="X188" s="55">
        <f t="shared" si="118"/>
        <v>-1.1838409999999999</v>
      </c>
      <c r="Y188" s="55">
        <f t="shared" si="119"/>
        <v>1.0614680000000001</v>
      </c>
      <c r="Z188" s="55">
        <f t="shared" si="120"/>
        <v>0.30559799999999998</v>
      </c>
      <c r="AA188" s="55">
        <f t="shared" si="121"/>
        <v>-0.13653499999999999</v>
      </c>
      <c r="AB188" s="55">
        <f t="shared" si="122"/>
        <v>0.31205899999999998</v>
      </c>
      <c r="AC188" s="55">
        <f t="shared" si="123"/>
        <v>0.46628199999999997</v>
      </c>
      <c r="AD188" s="55">
        <f t="shared" si="124"/>
        <v>0.21223500000000001</v>
      </c>
      <c r="AE188" s="55">
        <f t="shared" si="125"/>
        <v>9.8764000000000005E-2</v>
      </c>
      <c r="AF188" s="55">
        <f t="shared" si="126"/>
        <v>0.25675900000000001</v>
      </c>
      <c r="AG188" s="55">
        <f t="shared" si="127"/>
        <v>0.34425899999999998</v>
      </c>
      <c r="AH188" s="55">
        <f t="shared" si="128"/>
        <v>1.039768</v>
      </c>
      <c r="AI188" s="55">
        <f t="shared" si="129"/>
        <v>-1.5011E-2</v>
      </c>
      <c r="AJ188" s="55">
        <f t="shared" si="130"/>
        <v>-7.1163000000000004E-2</v>
      </c>
      <c r="AK188" s="55">
        <f t="shared" si="131"/>
        <v>-0.35044500000000001</v>
      </c>
      <c r="AL188" s="55">
        <f t="shared" si="132"/>
        <v>-0.37630000000000002</v>
      </c>
      <c r="AM188" s="55">
        <f t="shared" si="133"/>
        <v>0.85758000000000001</v>
      </c>
      <c r="AN188" s="55">
        <f t="shared" si="134"/>
        <v>-0.37266700000000003</v>
      </c>
      <c r="AO188" s="55">
        <f t="shared" si="135"/>
        <v>9.6590999999999996E-2</v>
      </c>
      <c r="AP188" s="55">
        <f t="shared" si="136"/>
        <v>-0.49626199999999998</v>
      </c>
      <c r="AQ188" s="55">
        <f t="shared" si="137"/>
        <v>-0.49263200000000001</v>
      </c>
      <c r="AR188" s="55">
        <f t="shared" si="138"/>
        <v>0.76931700000000003</v>
      </c>
      <c r="AS188" s="55">
        <f t="shared" si="139"/>
        <v>0.28421000000000002</v>
      </c>
      <c r="AT188" s="55">
        <f t="shared" si="140"/>
        <v>-0.15013099999999999</v>
      </c>
      <c r="AU188" s="55">
        <f t="shared" si="141"/>
        <v>-0.69565399999999999</v>
      </c>
      <c r="AV188" s="55">
        <f t="shared" si="142"/>
        <v>-0.11658499999999999</v>
      </c>
      <c r="AW188" s="55">
        <f t="shared" si="143"/>
        <v>-0.35742600000000002</v>
      </c>
      <c r="AX188" s="55">
        <f t="shared" si="144"/>
        <v>0.65850399999999998</v>
      </c>
      <c r="AY188" s="55">
        <f t="shared" si="145"/>
        <v>0.43789099999999997</v>
      </c>
      <c r="AZ188" s="55">
        <f t="shared" si="146"/>
        <v>-6.4140000000000003E-2</v>
      </c>
      <c r="BA188" s="55">
        <f t="shared" si="147"/>
        <v>0.29995500000000003</v>
      </c>
      <c r="BB188" s="55">
        <f t="shared" si="148"/>
        <v>-4.8040000000000001E-3</v>
      </c>
      <c r="BC188" s="55">
        <f t="shared" si="149"/>
        <v>-0.124538</v>
      </c>
      <c r="BD188" s="55">
        <f t="shared" si="150"/>
        <v>-1.383731</v>
      </c>
      <c r="BE188" s="55">
        <f t="shared" si="151"/>
        <v>-0.356215</v>
      </c>
      <c r="BF188" s="55">
        <f t="shared" si="152"/>
        <v>-0.56691000000000003</v>
      </c>
      <c r="BG188" s="55">
        <f t="shared" si="153"/>
        <v>0.491645</v>
      </c>
      <c r="BH188" s="55">
        <f t="shared" si="154"/>
        <v>0.27995199999999998</v>
      </c>
      <c r="BJ188" s="55">
        <f t="shared" si="225"/>
        <v>-0.64072499999999999</v>
      </c>
      <c r="BK188" s="55">
        <f t="shared" si="225"/>
        <v>0.26803700000000003</v>
      </c>
      <c r="BL188" s="55">
        <f t="shared" si="225"/>
        <v>-0.239621</v>
      </c>
      <c r="BM188" s="55">
        <f t="shared" si="225"/>
        <v>0.25725999999999999</v>
      </c>
      <c r="BN188" s="55">
        <f t="shared" si="225"/>
        <v>-0.13240499999999999</v>
      </c>
      <c r="BO188" s="55">
        <f t="shared" si="225"/>
        <v>-0.69857199999999997</v>
      </c>
      <c r="BP188" s="55">
        <f t="shared" si="225"/>
        <v>-0.45666099999999998</v>
      </c>
      <c r="BQ188" s="55">
        <f t="shared" si="225"/>
        <v>-0.89855799999999997</v>
      </c>
      <c r="BR188" s="55">
        <f t="shared" si="225"/>
        <v>-0.68262</v>
      </c>
      <c r="BS188" s="55">
        <f t="shared" si="225"/>
        <v>0.90382099999999999</v>
      </c>
      <c r="BT188" s="55">
        <f t="shared" si="225"/>
        <v>-1.22786</v>
      </c>
      <c r="BU188" s="55">
        <f t="shared" si="225"/>
        <v>-0.10549</v>
      </c>
      <c r="BV188" s="55">
        <f t="shared" si="225"/>
        <v>0.36602600000000002</v>
      </c>
      <c r="BW188" s="55">
        <f t="shared" si="225"/>
        <v>-3.9303999999999999E-2</v>
      </c>
      <c r="BX188" s="55">
        <f t="shared" si="225"/>
        <v>-0.29153200000000001</v>
      </c>
      <c r="BY188" s="55">
        <f t="shared" si="225"/>
        <v>-0.24004600000000001</v>
      </c>
      <c r="BZ188" s="55">
        <f t="shared" si="223"/>
        <v>-0.365172</v>
      </c>
      <c r="CA188" s="55">
        <f t="shared" si="223"/>
        <v>-1.7680560000000001</v>
      </c>
      <c r="CB188" s="55">
        <f t="shared" si="223"/>
        <v>-0.48832300000000001</v>
      </c>
      <c r="CC188" s="55">
        <f t="shared" si="223"/>
        <v>0.158077</v>
      </c>
      <c r="CD188" s="55">
        <f t="shared" si="223"/>
        <v>-0.701048</v>
      </c>
      <c r="CE188" s="55">
        <f t="shared" si="223"/>
        <v>-0.14253199999999999</v>
      </c>
      <c r="CF188" s="55">
        <f t="shared" si="223"/>
        <v>3.8005999999999998E-2</v>
      </c>
      <c r="CG188" s="55">
        <f t="shared" si="223"/>
        <v>-0.114546</v>
      </c>
      <c r="CH188" s="55">
        <f t="shared" si="223"/>
        <v>0.33164199999999999</v>
      </c>
      <c r="CI188" s="55">
        <f t="shared" si="223"/>
        <v>0.84590500000000002</v>
      </c>
      <c r="CJ188" s="55">
        <f t="shared" si="223"/>
        <v>-1.754562</v>
      </c>
      <c r="CK188" s="55">
        <f t="shared" si="223"/>
        <v>1.178931</v>
      </c>
      <c r="CL188" s="55">
        <f t="shared" si="223"/>
        <v>0.928234</v>
      </c>
      <c r="CM188" s="55">
        <f t="shared" si="223"/>
        <v>-1.0962190000000001</v>
      </c>
      <c r="CN188" s="55">
        <f t="shared" si="223"/>
        <v>-0.82793399999999995</v>
      </c>
      <c r="CO188" s="55">
        <f t="shared" si="224"/>
        <v>0.74485400000000002</v>
      </c>
      <c r="CP188" s="55">
        <f t="shared" si="224"/>
        <v>-1.6927749999999999</v>
      </c>
      <c r="CQ188" s="55">
        <f t="shared" si="224"/>
        <v>0.249553</v>
      </c>
      <c r="CR188" s="55">
        <f t="shared" si="224"/>
        <v>-0.37673699999999999</v>
      </c>
      <c r="CS188" s="55">
        <f t="shared" si="224"/>
        <v>-0.35931999999999997</v>
      </c>
      <c r="CT188" s="55">
        <f t="shared" si="224"/>
        <v>0.83486400000000005</v>
      </c>
      <c r="CU188" s="55">
        <f t="shared" si="224"/>
        <v>0.14965300000000001</v>
      </c>
      <c r="CV188" s="55">
        <f t="shared" si="224"/>
        <v>0.442075</v>
      </c>
      <c r="CW188" s="55">
        <f t="shared" si="224"/>
        <v>0.174349</v>
      </c>
      <c r="CX188" s="55">
        <f t="shared" si="224"/>
        <v>-0.62146000000000001</v>
      </c>
      <c r="CY188" s="55">
        <f t="shared" si="224"/>
        <v>1.086551</v>
      </c>
      <c r="CZ188" s="55">
        <f t="shared" si="224"/>
        <v>1.34995</v>
      </c>
      <c r="DA188" s="55">
        <f t="shared" si="224"/>
        <v>0.109746</v>
      </c>
      <c r="DB188" s="55">
        <f t="shared" si="224"/>
        <v>-0.40096199999999999</v>
      </c>
      <c r="DC188" s="55">
        <f t="shared" si="224"/>
        <v>-0.50676600000000005</v>
      </c>
      <c r="DD188" s="55">
        <f t="shared" si="224"/>
        <v>0.16062199999999999</v>
      </c>
      <c r="DE188" s="55">
        <f t="shared" si="222"/>
        <v>-0.47307700000000003</v>
      </c>
      <c r="DF188" s="55">
        <f t="shared" si="222"/>
        <v>-0.945766</v>
      </c>
      <c r="DG188" s="55">
        <f t="shared" si="222"/>
        <v>-0.22873299999999999</v>
      </c>
      <c r="DI188" s="55">
        <f t="shared" ca="1" si="65"/>
        <v>-0.86982300000000001</v>
      </c>
      <c r="DJ188" s="55">
        <f t="shared" ca="1" si="66"/>
        <v>1.889802</v>
      </c>
      <c r="DK188" s="55">
        <f t="shared" ca="1" si="67"/>
        <v>-1.1225270000000001</v>
      </c>
      <c r="DL188" s="55">
        <f t="shared" ca="1" si="68"/>
        <v>-0.34977599999999998</v>
      </c>
      <c r="DM188" s="55">
        <f t="shared" ca="1" si="69"/>
        <v>-0.80473399999999995</v>
      </c>
      <c r="DN188" s="55">
        <f t="shared" ca="1" si="70"/>
        <v>0.29142800000000002</v>
      </c>
      <c r="DO188" s="55">
        <f t="shared" ca="1" si="71"/>
        <v>0.75990800000000003</v>
      </c>
      <c r="DP188" s="55">
        <f t="shared" ca="1" si="72"/>
        <v>1.163189</v>
      </c>
      <c r="DQ188" s="55">
        <f t="shared" ca="1" si="73"/>
        <v>-0.68245865216000001</v>
      </c>
      <c r="DR188" s="55">
        <f t="shared" ca="1" si="74"/>
        <v>0.90021452087999998</v>
      </c>
      <c r="DS188" s="55">
        <f t="shared" ca="1" si="75"/>
        <v>-1.2188828364319999</v>
      </c>
      <c r="DT188" s="55">
        <f t="shared" ca="1" si="76"/>
        <v>-0.10023173968</v>
      </c>
      <c r="DU188" s="55">
        <f t="shared" ca="1" si="77"/>
        <v>0.36422194244799999</v>
      </c>
      <c r="DV188" s="55">
        <f t="shared" ca="1" si="78"/>
        <v>-4.9211112272E-2</v>
      </c>
      <c r="DW188" s="55">
        <f t="shared" ca="1" si="79"/>
        <v>-0.27982043200000001</v>
      </c>
      <c r="DX188" s="55">
        <f t="shared" ca="1" si="80"/>
        <v>-0.23532290553600002</v>
      </c>
      <c r="DY188" s="55">
        <f t="shared" ca="1" si="81"/>
        <v>-0.13653499999999999</v>
      </c>
      <c r="DZ188" s="55">
        <f t="shared" ca="1" si="82"/>
        <v>0.31205899999999998</v>
      </c>
      <c r="EA188" s="55">
        <f t="shared" ca="1" si="83"/>
        <v>0.46628199999999997</v>
      </c>
      <c r="EB188" s="55">
        <f t="shared" ca="1" si="84"/>
        <v>0.21223500000000001</v>
      </c>
      <c r="EC188" s="55">
        <f t="shared" ca="1" si="85"/>
        <v>9.8764000000000005E-2</v>
      </c>
      <c r="ED188" s="55">
        <f t="shared" ca="1" si="86"/>
        <v>0.25675900000000001</v>
      </c>
      <c r="EE188" s="55">
        <f t="shared" ca="1" si="87"/>
        <v>0.34425899999999998</v>
      </c>
      <c r="EF188" s="55">
        <f t="shared" ca="1" si="88"/>
        <v>1.039768</v>
      </c>
      <c r="EG188" s="55">
        <f t="shared" ca="1" si="89"/>
        <v>-1.5011E-2</v>
      </c>
      <c r="EH188" s="55">
        <f t="shared" ca="1" si="90"/>
        <v>-7.1163000000000004E-2</v>
      </c>
      <c r="EI188" s="55">
        <f t="shared" ca="1" si="91"/>
        <v>-0.35044500000000001</v>
      </c>
      <c r="EJ188" s="55">
        <f t="shared" ca="1" si="92"/>
        <v>-0.37630000000000002</v>
      </c>
      <c r="EK188" s="55">
        <f t="shared" ca="1" si="93"/>
        <v>0.85758000000000001</v>
      </c>
      <c r="EL188" s="55">
        <f t="shared" ca="1" si="94"/>
        <v>-0.37266700000000003</v>
      </c>
      <c r="EM188" s="55">
        <f t="shared" ca="1" si="95"/>
        <v>9.6590999999999996E-2</v>
      </c>
      <c r="EN188" s="55">
        <f t="shared" ca="1" si="96"/>
        <v>-0.49626199999999998</v>
      </c>
      <c r="EO188" s="55">
        <f t="shared" ca="1" si="97"/>
        <v>-0.49263200000000001</v>
      </c>
      <c r="EP188" s="55">
        <f t="shared" ca="1" si="98"/>
        <v>0.76931700000000003</v>
      </c>
      <c r="EQ188" s="55">
        <f t="shared" ca="1" si="99"/>
        <v>0.28421000000000002</v>
      </c>
      <c r="ER188" s="55">
        <f t="shared" ca="1" si="100"/>
        <v>-0.15013099999999999</v>
      </c>
      <c r="ES188" s="55">
        <f t="shared" ca="1" si="101"/>
        <v>-0.69565399999999999</v>
      </c>
      <c r="ET188" s="55">
        <f t="shared" ca="1" si="102"/>
        <v>-0.11658499999999999</v>
      </c>
      <c r="EU188" s="55">
        <f t="shared" ca="1" si="103"/>
        <v>-0.35742600000000002</v>
      </c>
      <c r="EV188" s="55">
        <f t="shared" ca="1" si="104"/>
        <v>0.65850399999999998</v>
      </c>
      <c r="EW188" s="55">
        <f t="shared" ca="1" si="105"/>
        <v>0.43789099999999997</v>
      </c>
      <c r="EX188" s="55">
        <f t="shared" ca="1" si="106"/>
        <v>-6.4140000000000003E-2</v>
      </c>
      <c r="EY188" s="55">
        <f t="shared" ca="1" si="107"/>
        <v>0.29995500000000003</v>
      </c>
      <c r="EZ188" s="55">
        <f t="shared" ca="1" si="108"/>
        <v>-4.8040000000000001E-3</v>
      </c>
      <c r="FA188" s="55">
        <f t="shared" ca="1" si="109"/>
        <v>-0.124538</v>
      </c>
      <c r="FB188" s="55">
        <f t="shared" ca="1" si="110"/>
        <v>-1.383731</v>
      </c>
      <c r="FC188" s="55">
        <f t="shared" ca="1" si="111"/>
        <v>-0.356215</v>
      </c>
      <c r="FD188" s="55">
        <f t="shared" ca="1" si="112"/>
        <v>-0.56691000000000003</v>
      </c>
      <c r="FE188" s="55">
        <f t="shared" ca="1" si="113"/>
        <v>0.491645</v>
      </c>
      <c r="FF188" s="55">
        <f t="shared" ca="1" si="114"/>
        <v>0.27995199999999998</v>
      </c>
      <c r="FH188" s="55">
        <f t="shared" ca="1" si="115"/>
        <v>0</v>
      </c>
      <c r="FI188" s="55">
        <f t="shared" ca="1" si="207"/>
        <v>0</v>
      </c>
      <c r="FJ188" s="55">
        <f t="shared" ca="1" si="208"/>
        <v>0</v>
      </c>
      <c r="FK188" s="55">
        <f t="shared" ca="1" si="209"/>
        <v>0</v>
      </c>
      <c r="FL188" s="55">
        <f t="shared" ca="1" si="210"/>
        <v>0</v>
      </c>
      <c r="FM188" s="55">
        <f t="shared" ca="1" si="211"/>
        <v>0</v>
      </c>
      <c r="FN188" s="55">
        <f t="shared" ca="1" si="212"/>
        <v>0</v>
      </c>
      <c r="FO188" s="55">
        <f t="shared" ca="1" si="213"/>
        <v>0</v>
      </c>
      <c r="FP188" s="55">
        <f t="shared" ca="1" si="214"/>
        <v>-1.8478652159999998E-2</v>
      </c>
      <c r="FQ188" s="55">
        <f t="shared" ca="1" si="215"/>
        <v>0.41303852087999998</v>
      </c>
      <c r="FR188" s="55">
        <f t="shared" ca="1" si="216"/>
        <v>-1.0281258364319998</v>
      </c>
      <c r="FS188" s="55">
        <f t="shared" ca="1" si="158"/>
        <v>-0.60221173967999997</v>
      </c>
      <c r="FT188" s="55">
        <f t="shared" ca="1" si="159"/>
        <v>0.20661294244799999</v>
      </c>
      <c r="FU188" s="55">
        <f t="shared" ca="1" si="160"/>
        <v>1.1346298877279999</v>
      </c>
      <c r="FV188" s="55">
        <f t="shared" ca="1" si="161"/>
        <v>-1.341288432</v>
      </c>
      <c r="FW188" s="55">
        <f t="shared" ca="1" si="162"/>
        <v>-0.54092090553600003</v>
      </c>
      <c r="FX188" s="55">
        <f t="shared" ca="1" si="163"/>
        <v>0</v>
      </c>
      <c r="FY188" s="55">
        <f t="shared" ca="1" si="164"/>
        <v>0</v>
      </c>
      <c r="FZ188" s="55">
        <f t="shared" ca="1" si="165"/>
        <v>0</v>
      </c>
      <c r="GA188" s="55">
        <f t="shared" ca="1" si="166"/>
        <v>0</v>
      </c>
      <c r="GB188" s="55">
        <f t="shared" ca="1" si="167"/>
        <v>0</v>
      </c>
      <c r="GC188" s="55">
        <f t="shared" ca="1" si="168"/>
        <v>0</v>
      </c>
      <c r="GD188" s="55">
        <f t="shared" ca="1" si="169"/>
        <v>0</v>
      </c>
      <c r="GE188" s="55">
        <f t="shared" ca="1" si="170"/>
        <v>0</v>
      </c>
      <c r="GF188" s="55">
        <f t="shared" ca="1" si="171"/>
        <v>0</v>
      </c>
      <c r="GG188" s="55">
        <f t="shared" ca="1" si="172"/>
        <v>0</v>
      </c>
      <c r="GH188" s="55">
        <f t="shared" ca="1" si="173"/>
        <v>0</v>
      </c>
      <c r="GI188" s="55">
        <f t="shared" ca="1" si="174"/>
        <v>0</v>
      </c>
      <c r="GJ188" s="55">
        <f t="shared" ca="1" si="175"/>
        <v>0</v>
      </c>
      <c r="GK188" s="55">
        <f t="shared" ca="1" si="176"/>
        <v>0</v>
      </c>
      <c r="GL188" s="55">
        <f t="shared" ca="1" si="177"/>
        <v>0</v>
      </c>
      <c r="GM188" s="55">
        <f t="shared" ca="1" si="178"/>
        <v>0</v>
      </c>
      <c r="GN188" s="55">
        <f t="shared" ca="1" si="179"/>
        <v>0</v>
      </c>
      <c r="GO188" s="55">
        <f t="shared" ca="1" si="180"/>
        <v>0</v>
      </c>
      <c r="GP188" s="55">
        <f t="shared" ca="1" si="181"/>
        <v>0</v>
      </c>
      <c r="GQ188" s="55">
        <f t="shared" ca="1" si="182"/>
        <v>0</v>
      </c>
      <c r="GR188" s="55">
        <f t="shared" ca="1" si="183"/>
        <v>0</v>
      </c>
      <c r="GS188" s="55">
        <f t="shared" ca="1" si="184"/>
        <v>0</v>
      </c>
      <c r="GT188" s="55">
        <f t="shared" ca="1" si="185"/>
        <v>0</v>
      </c>
      <c r="GU188" s="55">
        <f t="shared" ca="1" si="186"/>
        <v>0</v>
      </c>
      <c r="GV188" s="55">
        <f t="shared" ca="1" si="187"/>
        <v>0</v>
      </c>
      <c r="GW188" s="55">
        <f t="shared" ca="1" si="188"/>
        <v>0</v>
      </c>
      <c r="GX188" s="55">
        <f t="shared" ca="1" si="189"/>
        <v>0</v>
      </c>
      <c r="GY188" s="55">
        <f t="shared" ca="1" si="190"/>
        <v>0</v>
      </c>
      <c r="GZ188" s="55">
        <f t="shared" ca="1" si="191"/>
        <v>0</v>
      </c>
      <c r="HA188" s="55">
        <f t="shared" ca="1" si="192"/>
        <v>0</v>
      </c>
      <c r="HB188" s="55">
        <f t="shared" ca="1" si="193"/>
        <v>0</v>
      </c>
      <c r="HC188" s="55">
        <f t="shared" ca="1" si="194"/>
        <v>0</v>
      </c>
      <c r="HD188" s="55">
        <f t="shared" ca="1" si="195"/>
        <v>0</v>
      </c>
      <c r="HE188" s="55">
        <f t="shared" ca="1" si="196"/>
        <v>0</v>
      </c>
    </row>
    <row r="189" spans="1:213">
      <c r="A189" s="27">
        <v>52</v>
      </c>
      <c r="B189" s="27">
        <v>12</v>
      </c>
      <c r="C189" s="27">
        <v>0.26085900000000001</v>
      </c>
      <c r="D189" s="27">
        <v>0.43387500000000001</v>
      </c>
      <c r="E189" s="27">
        <v>26</v>
      </c>
      <c r="F189" s="27">
        <f t="shared" ca="1" si="59"/>
        <v>45</v>
      </c>
      <c r="G189" s="27">
        <f t="shared" si="221"/>
        <v>0</v>
      </c>
      <c r="H189" s="27" t="str">
        <f t="shared" si="60"/>
        <v>Sim</v>
      </c>
      <c r="I189" s="27">
        <f t="shared" si="61"/>
        <v>0</v>
      </c>
      <c r="J189" s="37">
        <f t="shared" si="62"/>
        <v>1</v>
      </c>
      <c r="K189" s="55">
        <f t="shared" si="63"/>
        <v>-0.95977299999999999</v>
      </c>
      <c r="L189" s="55">
        <f t="shared" si="197"/>
        <v>1.3521590000000001</v>
      </c>
      <c r="M189" s="55">
        <f t="shared" si="198"/>
        <v>-0.97222600000000003</v>
      </c>
      <c r="N189" s="55">
        <f t="shared" si="199"/>
        <v>-0.63371699999999997</v>
      </c>
      <c r="O189" s="55">
        <f t="shared" si="200"/>
        <v>-0.20852200000000001</v>
      </c>
      <c r="P189" s="55">
        <f t="shared" si="201"/>
        <v>-0.52859100000000003</v>
      </c>
      <c r="Q189" s="55">
        <f t="shared" si="202"/>
        <v>0.77335600000000004</v>
      </c>
      <c r="R189" s="55">
        <f t="shared" si="203"/>
        <v>-0.38056000000000001</v>
      </c>
      <c r="S189" s="55">
        <f t="shared" si="204"/>
        <v>0.26928099999999999</v>
      </c>
      <c r="T189" s="55">
        <f t="shared" si="205"/>
        <v>-0.345333</v>
      </c>
      <c r="U189" s="55">
        <f t="shared" si="206"/>
        <v>0.298543</v>
      </c>
      <c r="V189" s="55">
        <f t="shared" si="116"/>
        <v>-0.37693100000000002</v>
      </c>
      <c r="W189" s="55">
        <f t="shared" si="117"/>
        <v>0.91954400000000003</v>
      </c>
      <c r="X189" s="55">
        <f t="shared" si="118"/>
        <v>1.5420609999999999</v>
      </c>
      <c r="Y189" s="55">
        <f t="shared" si="119"/>
        <v>-0.81930700000000001</v>
      </c>
      <c r="Z189" s="55">
        <f t="shared" si="120"/>
        <v>-1.2955650000000001</v>
      </c>
      <c r="AA189" s="55">
        <f t="shared" si="121"/>
        <v>0.37706600000000001</v>
      </c>
      <c r="AB189" s="55">
        <f t="shared" si="122"/>
        <v>0.276175</v>
      </c>
      <c r="AC189" s="55">
        <f t="shared" si="123"/>
        <v>0.97481499999999999</v>
      </c>
      <c r="AD189" s="55">
        <f t="shared" si="124"/>
        <v>0.74573299999999998</v>
      </c>
      <c r="AE189" s="55">
        <f t="shared" si="125"/>
        <v>0.83898399999999995</v>
      </c>
      <c r="AF189" s="55">
        <f t="shared" si="126"/>
        <v>-0.50897000000000003</v>
      </c>
      <c r="AG189" s="55">
        <f t="shared" si="127"/>
        <v>-0.48234100000000002</v>
      </c>
      <c r="AH189" s="55">
        <f t="shared" si="128"/>
        <v>0.26180900000000001</v>
      </c>
      <c r="AI189" s="55">
        <f t="shared" si="129"/>
        <v>-9.3143000000000004E-2</v>
      </c>
      <c r="AJ189" s="55">
        <f t="shared" si="130"/>
        <v>-0.68452299999999999</v>
      </c>
      <c r="AK189" s="55">
        <f t="shared" si="131"/>
        <v>-0.89580899999999997</v>
      </c>
      <c r="AL189" s="55">
        <f t="shared" si="132"/>
        <v>0.81614200000000003</v>
      </c>
      <c r="AM189" s="55">
        <f t="shared" si="133"/>
        <v>-0.72858000000000001</v>
      </c>
      <c r="AN189" s="55">
        <f t="shared" si="134"/>
        <v>-0.30116700000000002</v>
      </c>
      <c r="AO189" s="55">
        <f t="shared" si="135"/>
        <v>0.89139500000000005</v>
      </c>
      <c r="AP189" s="55">
        <f t="shared" si="136"/>
        <v>1.1832609999999999</v>
      </c>
      <c r="AQ189" s="55">
        <f t="shared" si="137"/>
        <v>-0.45641100000000001</v>
      </c>
      <c r="AR189" s="55">
        <f t="shared" si="138"/>
        <v>0.82640999999999998</v>
      </c>
      <c r="AS189" s="55">
        <f t="shared" si="139"/>
        <v>0.54644000000000004</v>
      </c>
      <c r="AT189" s="55">
        <f t="shared" si="140"/>
        <v>-0.26073499999999999</v>
      </c>
      <c r="AU189" s="55">
        <f t="shared" si="141"/>
        <v>0.37647000000000003</v>
      </c>
      <c r="AV189" s="55">
        <f t="shared" si="142"/>
        <v>-0.51036899999999996</v>
      </c>
      <c r="AW189" s="55">
        <f t="shared" si="143"/>
        <v>-0.57530800000000004</v>
      </c>
      <c r="AX189" s="55">
        <f t="shared" si="144"/>
        <v>0.68396199999999996</v>
      </c>
      <c r="AY189" s="55">
        <f t="shared" si="145"/>
        <v>-0.49688300000000002</v>
      </c>
      <c r="AZ189" s="55">
        <f t="shared" si="146"/>
        <v>-9.1037000000000007E-2</v>
      </c>
      <c r="BA189" s="55">
        <f t="shared" si="147"/>
        <v>-0.48456100000000002</v>
      </c>
      <c r="BB189" s="55">
        <f t="shared" si="148"/>
        <v>-0.30803599999999998</v>
      </c>
      <c r="BC189" s="55">
        <f t="shared" si="149"/>
        <v>0.31140099999999998</v>
      </c>
      <c r="BD189" s="55">
        <f t="shared" si="150"/>
        <v>-0.64474600000000004</v>
      </c>
      <c r="BE189" s="55">
        <f t="shared" si="151"/>
        <v>-0.25173899999999999</v>
      </c>
      <c r="BF189" s="55">
        <f t="shared" si="152"/>
        <v>-0.113664</v>
      </c>
      <c r="BG189" s="55">
        <f t="shared" si="153"/>
        <v>-8.3446999999999993E-2</v>
      </c>
      <c r="BH189" s="55">
        <f t="shared" si="154"/>
        <v>0.73359600000000003</v>
      </c>
      <c r="BJ189" s="55">
        <f t="shared" si="225"/>
        <v>0.101844</v>
      </c>
      <c r="BK189" s="55">
        <f t="shared" si="225"/>
        <v>-0.93176599999999998</v>
      </c>
      <c r="BL189" s="55">
        <f t="shared" si="225"/>
        <v>-0.38437100000000002</v>
      </c>
      <c r="BM189" s="55">
        <f t="shared" si="225"/>
        <v>-1.5538350000000001</v>
      </c>
      <c r="BN189" s="55">
        <f t="shared" si="225"/>
        <v>-0.73569700000000005</v>
      </c>
      <c r="BO189" s="55">
        <f t="shared" si="225"/>
        <v>0.52304499999999998</v>
      </c>
      <c r="BP189" s="55">
        <f t="shared" si="225"/>
        <v>-2.8447E-2</v>
      </c>
      <c r="BQ189" s="55">
        <f t="shared" si="225"/>
        <v>0.28006399999999998</v>
      </c>
      <c r="BR189" s="55">
        <f t="shared" si="225"/>
        <v>-0.76220299999999996</v>
      </c>
      <c r="BS189" s="55">
        <f t="shared" si="225"/>
        <v>0.44737199999999999</v>
      </c>
      <c r="BT189" s="55">
        <f t="shared" si="225"/>
        <v>-6.7625000000000005E-2</v>
      </c>
      <c r="BU189" s="55">
        <f t="shared" si="225"/>
        <v>0.86144699999999996</v>
      </c>
      <c r="BV189" s="55">
        <f t="shared" si="225"/>
        <v>-0.157302</v>
      </c>
      <c r="BW189" s="55">
        <f t="shared" si="225"/>
        <v>-0.732626</v>
      </c>
      <c r="BX189" s="55">
        <f t="shared" si="225"/>
        <v>0.96474400000000005</v>
      </c>
      <c r="BY189" s="55">
        <f t="shared" si="225"/>
        <v>0.197606</v>
      </c>
      <c r="BZ189" s="55">
        <f t="shared" si="223"/>
        <v>1.3932469999999999</v>
      </c>
      <c r="CA189" s="55">
        <f t="shared" si="223"/>
        <v>-0.14077300000000001</v>
      </c>
      <c r="CB189" s="55">
        <f t="shared" si="223"/>
        <v>0.709592</v>
      </c>
      <c r="CC189" s="55">
        <f t="shared" si="223"/>
        <v>0.93244099999999996</v>
      </c>
      <c r="CD189" s="55">
        <f t="shared" si="223"/>
        <v>8.5971000000000006E-2</v>
      </c>
      <c r="CE189" s="55">
        <f t="shared" si="223"/>
        <v>0.90919099999999997</v>
      </c>
      <c r="CF189" s="55">
        <f t="shared" si="223"/>
        <v>-0.95799599999999996</v>
      </c>
      <c r="CG189" s="55">
        <f t="shared" si="223"/>
        <v>-0.71162499999999995</v>
      </c>
      <c r="CH189" s="55">
        <f t="shared" si="223"/>
        <v>-0.80664899999999995</v>
      </c>
      <c r="CI189" s="55">
        <f t="shared" si="223"/>
        <v>-0.388681</v>
      </c>
      <c r="CJ189" s="55">
        <f t="shared" si="223"/>
        <v>1.100587</v>
      </c>
      <c r="CK189" s="55">
        <f t="shared" si="223"/>
        <v>0.90513100000000002</v>
      </c>
      <c r="CL189" s="55">
        <f t="shared" si="223"/>
        <v>0.40033600000000003</v>
      </c>
      <c r="CM189" s="55">
        <f t="shared" si="223"/>
        <v>-2.6057E-2</v>
      </c>
      <c r="CN189" s="55">
        <f t="shared" si="223"/>
        <v>-0.66838799999999998</v>
      </c>
      <c r="CO189" s="55">
        <f t="shared" si="224"/>
        <v>-0.61999499999999996</v>
      </c>
      <c r="CP189" s="55">
        <f t="shared" si="224"/>
        <v>-0.47625600000000001</v>
      </c>
      <c r="CQ189" s="55">
        <f t="shared" si="224"/>
        <v>0.60118099999999997</v>
      </c>
      <c r="CR189" s="55">
        <f t="shared" si="224"/>
        <v>-0.56541600000000003</v>
      </c>
      <c r="CS189" s="55">
        <f t="shared" si="224"/>
        <v>0.35481200000000002</v>
      </c>
      <c r="CT189" s="55">
        <f t="shared" si="224"/>
        <v>7.5923000000000004E-2</v>
      </c>
      <c r="CU189" s="55">
        <f t="shared" si="224"/>
        <v>0.110385</v>
      </c>
      <c r="CV189" s="55">
        <f t="shared" si="224"/>
        <v>0.66152200000000005</v>
      </c>
      <c r="CW189" s="55">
        <f t="shared" si="224"/>
        <v>-0.57309299999999996</v>
      </c>
      <c r="CX189" s="55">
        <f t="shared" si="224"/>
        <v>0.67266899999999996</v>
      </c>
      <c r="CY189" s="55">
        <f t="shared" si="224"/>
        <v>0.28047499999999997</v>
      </c>
      <c r="CZ189" s="55">
        <f t="shared" si="224"/>
        <v>-0.85598099999999999</v>
      </c>
      <c r="DA189" s="55">
        <f t="shared" si="224"/>
        <v>-0.291238</v>
      </c>
      <c r="DB189" s="55">
        <f t="shared" si="224"/>
        <v>-1.6941079999999999</v>
      </c>
      <c r="DC189" s="55">
        <f t="shared" si="224"/>
        <v>-0.17477300000000001</v>
      </c>
      <c r="DD189" s="55">
        <f t="shared" ref="DD189:DG204" si="226">VLOOKUP($B189,$A$33:$BG$132,DD$134,FALSE)</f>
        <v>0.590804</v>
      </c>
      <c r="DE189" s="55">
        <f t="shared" si="226"/>
        <v>0.44248199999999999</v>
      </c>
      <c r="DF189" s="55">
        <f t="shared" si="226"/>
        <v>-0.55532800000000004</v>
      </c>
      <c r="DG189" s="55">
        <f t="shared" si="226"/>
        <v>-3.5145000000000003E-2</v>
      </c>
      <c r="DI189" s="55">
        <f t="shared" ca="1" si="65"/>
        <v>-0.95977299999999999</v>
      </c>
      <c r="DJ189" s="55">
        <f t="shared" ca="1" si="66"/>
        <v>1.3521590000000001</v>
      </c>
      <c r="DK189" s="55">
        <f t="shared" ca="1" si="67"/>
        <v>-0.97222600000000003</v>
      </c>
      <c r="DL189" s="55">
        <f t="shared" ca="1" si="68"/>
        <v>-0.63371699999999997</v>
      </c>
      <c r="DM189" s="55">
        <f t="shared" ca="1" si="69"/>
        <v>-0.20852200000000001</v>
      </c>
      <c r="DN189" s="55">
        <f t="shared" ca="1" si="70"/>
        <v>-0.52859100000000003</v>
      </c>
      <c r="DO189" s="55">
        <f t="shared" ca="1" si="71"/>
        <v>0.77335600000000004</v>
      </c>
      <c r="DP189" s="55">
        <f t="shared" ca="1" si="72"/>
        <v>-0.38056000000000001</v>
      </c>
      <c r="DQ189" s="55">
        <f t="shared" ca="1" si="73"/>
        <v>0.26928099999999999</v>
      </c>
      <c r="DR189" s="55">
        <f t="shared" ca="1" si="74"/>
        <v>-0.345333</v>
      </c>
      <c r="DS189" s="55">
        <f t="shared" ca="1" si="75"/>
        <v>0.298543</v>
      </c>
      <c r="DT189" s="55">
        <f t="shared" ca="1" si="76"/>
        <v>-0.37693100000000002</v>
      </c>
      <c r="DU189" s="55">
        <f t="shared" ca="1" si="77"/>
        <v>0.91954400000000003</v>
      </c>
      <c r="DV189" s="55">
        <f t="shared" ca="1" si="78"/>
        <v>1.5420609999999999</v>
      </c>
      <c r="DW189" s="55">
        <f t="shared" ca="1" si="79"/>
        <v>-0.81930700000000001</v>
      </c>
      <c r="DX189" s="55">
        <f t="shared" ca="1" si="80"/>
        <v>-1.2955650000000001</v>
      </c>
      <c r="DY189" s="55">
        <f t="shared" ca="1" si="81"/>
        <v>0.37706600000000001</v>
      </c>
      <c r="DZ189" s="55">
        <f t="shared" ca="1" si="82"/>
        <v>0.276175</v>
      </c>
      <c r="EA189" s="55">
        <f t="shared" ca="1" si="83"/>
        <v>0.97481499999999999</v>
      </c>
      <c r="EB189" s="55">
        <f t="shared" ca="1" si="84"/>
        <v>0.74573299999999998</v>
      </c>
      <c r="EC189" s="55">
        <f t="shared" ca="1" si="85"/>
        <v>0.83898399999999995</v>
      </c>
      <c r="ED189" s="55">
        <f t="shared" ca="1" si="86"/>
        <v>-0.50897000000000003</v>
      </c>
      <c r="EE189" s="55">
        <f t="shared" ca="1" si="87"/>
        <v>-0.48234100000000002</v>
      </c>
      <c r="EF189" s="55">
        <f t="shared" ca="1" si="88"/>
        <v>0.26180900000000001</v>
      </c>
      <c r="EG189" s="55">
        <f t="shared" ca="1" si="89"/>
        <v>-9.3143000000000004E-2</v>
      </c>
      <c r="EH189" s="55">
        <f t="shared" ca="1" si="90"/>
        <v>-0.68452299999999999</v>
      </c>
      <c r="EI189" s="55">
        <f t="shared" ca="1" si="91"/>
        <v>0.23440068549999993</v>
      </c>
      <c r="EJ189" s="55">
        <f t="shared" ca="1" si="92"/>
        <v>0.86652089762500006</v>
      </c>
      <c r="EK189" s="55">
        <f t="shared" ca="1" si="93"/>
        <v>-8.9472429500000006E-2</v>
      </c>
      <c r="EL189" s="55">
        <f t="shared" ca="1" si="94"/>
        <v>-0.14542035125000002</v>
      </c>
      <c r="EM189" s="55">
        <f t="shared" ca="1" si="95"/>
        <v>8.3628491250000159E-3</v>
      </c>
      <c r="EN189" s="55">
        <f t="shared" ca="1" si="96"/>
        <v>0.16239269699999997</v>
      </c>
      <c r="EO189" s="55">
        <f t="shared" ca="1" si="97"/>
        <v>-0.46764575062500002</v>
      </c>
      <c r="EP189" s="55">
        <f t="shared" ca="1" si="98"/>
        <v>0.69890223237500004</v>
      </c>
      <c r="EQ189" s="55">
        <f t="shared" ca="1" si="99"/>
        <v>-8.300947799999997E-2</v>
      </c>
      <c r="ER189" s="55">
        <f t="shared" ca="1" si="100"/>
        <v>8.7741545375000007E-2</v>
      </c>
      <c r="ES189" s="55">
        <f t="shared" ca="1" si="101"/>
        <v>0.20632282962500004</v>
      </c>
      <c r="ET189" s="55">
        <f t="shared" ca="1" si="102"/>
        <v>-0.15894464175</v>
      </c>
      <c r="EU189" s="55">
        <f t="shared" ca="1" si="103"/>
        <v>0.12489238374999997</v>
      </c>
      <c r="EV189" s="55">
        <f t="shared" ca="1" si="104"/>
        <v>-2.7688261875000009E-2</v>
      </c>
      <c r="EW189" s="55">
        <f t="shared" ca="1" si="105"/>
        <v>0.16522962599999994</v>
      </c>
      <c r="EX189" s="55">
        <f t="shared" ca="1" si="106"/>
        <v>0.11928523099999996</v>
      </c>
      <c r="EY189" s="55">
        <f t="shared" ca="1" si="107"/>
        <v>-0.69483114749999997</v>
      </c>
      <c r="EZ189" s="55">
        <f t="shared" ca="1" si="108"/>
        <v>-0.29852623224999997</v>
      </c>
      <c r="FA189" s="55">
        <f t="shared" ca="1" si="109"/>
        <v>-0.82396778262500003</v>
      </c>
      <c r="FB189" s="55">
        <f t="shared" ca="1" si="110"/>
        <v>-0.64474600000000004</v>
      </c>
      <c r="FC189" s="55">
        <f t="shared" ca="1" si="111"/>
        <v>-0.25173899999999999</v>
      </c>
      <c r="FD189" s="55">
        <f t="shared" ca="1" si="112"/>
        <v>-0.113664</v>
      </c>
      <c r="FE189" s="55">
        <f t="shared" ca="1" si="113"/>
        <v>-8.3446999999999993E-2</v>
      </c>
      <c r="FF189" s="55">
        <f t="shared" ca="1" si="114"/>
        <v>0.73359600000000003</v>
      </c>
      <c r="FH189" s="55">
        <f t="shared" ca="1" si="115"/>
        <v>0</v>
      </c>
      <c r="FI189" s="55">
        <f t="shared" ca="1" si="207"/>
        <v>0</v>
      </c>
      <c r="FJ189" s="55">
        <f t="shared" ca="1" si="208"/>
        <v>0</v>
      </c>
      <c r="FK189" s="55">
        <f t="shared" ca="1" si="209"/>
        <v>0</v>
      </c>
      <c r="FL189" s="55">
        <f t="shared" ca="1" si="210"/>
        <v>0</v>
      </c>
      <c r="FM189" s="55">
        <f t="shared" ca="1" si="211"/>
        <v>0</v>
      </c>
      <c r="FN189" s="55">
        <f t="shared" ca="1" si="212"/>
        <v>0</v>
      </c>
      <c r="FO189" s="55">
        <f t="shared" ca="1" si="213"/>
        <v>0</v>
      </c>
      <c r="FP189" s="55">
        <f t="shared" ca="1" si="214"/>
        <v>0</v>
      </c>
      <c r="FQ189" s="55">
        <f t="shared" ca="1" si="215"/>
        <v>0</v>
      </c>
      <c r="FR189" s="55">
        <f t="shared" ca="1" si="216"/>
        <v>0</v>
      </c>
      <c r="FS189" s="55">
        <f t="shared" ca="1" si="158"/>
        <v>0</v>
      </c>
      <c r="FT189" s="55">
        <f t="shared" ca="1" si="159"/>
        <v>0</v>
      </c>
      <c r="FU189" s="55">
        <f t="shared" ca="1" si="160"/>
        <v>0</v>
      </c>
      <c r="FV189" s="55">
        <f t="shared" ca="1" si="161"/>
        <v>0</v>
      </c>
      <c r="FW189" s="55">
        <f t="shared" ca="1" si="162"/>
        <v>0</v>
      </c>
      <c r="FX189" s="55">
        <f t="shared" ca="1" si="163"/>
        <v>0</v>
      </c>
      <c r="FY189" s="55">
        <f t="shared" ca="1" si="164"/>
        <v>0</v>
      </c>
      <c r="FZ189" s="55">
        <f t="shared" ca="1" si="165"/>
        <v>0</v>
      </c>
      <c r="GA189" s="55">
        <f t="shared" ca="1" si="166"/>
        <v>0</v>
      </c>
      <c r="GB189" s="55">
        <f t="shared" ca="1" si="167"/>
        <v>0</v>
      </c>
      <c r="GC189" s="55">
        <f t="shared" ca="1" si="168"/>
        <v>0</v>
      </c>
      <c r="GD189" s="55">
        <f t="shared" ca="1" si="169"/>
        <v>0</v>
      </c>
      <c r="GE189" s="55">
        <f t="shared" ca="1" si="170"/>
        <v>0</v>
      </c>
      <c r="GF189" s="55">
        <f t="shared" ca="1" si="171"/>
        <v>0</v>
      </c>
      <c r="GG189" s="55">
        <f t="shared" ca="1" si="172"/>
        <v>0</v>
      </c>
      <c r="GH189" s="55">
        <f t="shared" ca="1" si="173"/>
        <v>1.1302096854999999</v>
      </c>
      <c r="GI189" s="55">
        <f t="shared" ca="1" si="174"/>
        <v>5.037889762500003E-2</v>
      </c>
      <c r="GJ189" s="55">
        <f t="shared" ca="1" si="175"/>
        <v>0.6391075705</v>
      </c>
      <c r="GK189" s="55">
        <f t="shared" ca="1" si="176"/>
        <v>0.15574664874999999</v>
      </c>
      <c r="GL189" s="55">
        <f t="shared" ca="1" si="177"/>
        <v>-0.88303215087500009</v>
      </c>
      <c r="GM189" s="55">
        <f t="shared" ca="1" si="178"/>
        <v>-1.0208683029999999</v>
      </c>
      <c r="GN189" s="55">
        <f t="shared" ca="1" si="179"/>
        <v>-1.1234750625000012E-2</v>
      </c>
      <c r="GO189" s="55">
        <f t="shared" ca="1" si="180"/>
        <v>-0.12750776762499993</v>
      </c>
      <c r="GP189" s="55">
        <f t="shared" ca="1" si="181"/>
        <v>-0.62944947799999995</v>
      </c>
      <c r="GQ189" s="55">
        <f t="shared" ca="1" si="182"/>
        <v>0.348476545375</v>
      </c>
      <c r="GR189" s="55">
        <f t="shared" ca="1" si="183"/>
        <v>-0.17014717037499999</v>
      </c>
      <c r="GS189" s="55">
        <f t="shared" ca="1" si="184"/>
        <v>0.35142435824999996</v>
      </c>
      <c r="GT189" s="55">
        <f t="shared" ca="1" si="185"/>
        <v>0.70020038375000004</v>
      </c>
      <c r="GU189" s="55">
        <f t="shared" ca="1" si="186"/>
        <v>-0.71165026187500002</v>
      </c>
      <c r="GV189" s="55">
        <f t="shared" ca="1" si="187"/>
        <v>0.66211262599999998</v>
      </c>
      <c r="GW189" s="55">
        <f t="shared" ca="1" si="188"/>
        <v>0.21032223099999997</v>
      </c>
      <c r="GX189" s="55">
        <f t="shared" ca="1" si="189"/>
        <v>-0.21027014749999995</v>
      </c>
      <c r="GY189" s="55">
        <f t="shared" ca="1" si="190"/>
        <v>9.5097677500000088E-3</v>
      </c>
      <c r="GZ189" s="55">
        <f t="shared" ca="1" si="191"/>
        <v>-1.1353687826250001</v>
      </c>
      <c r="HA189" s="55">
        <f t="shared" ca="1" si="192"/>
        <v>0</v>
      </c>
      <c r="HB189" s="55">
        <f t="shared" ca="1" si="193"/>
        <v>0</v>
      </c>
      <c r="HC189" s="55">
        <f t="shared" ca="1" si="194"/>
        <v>0</v>
      </c>
      <c r="HD189" s="55">
        <f t="shared" ca="1" si="195"/>
        <v>0</v>
      </c>
      <c r="HE189" s="55">
        <f t="shared" ca="1" si="196"/>
        <v>0</v>
      </c>
    </row>
    <row r="190" spans="1:213">
      <c r="A190" s="27">
        <v>53</v>
      </c>
      <c r="B190" s="27">
        <v>34</v>
      </c>
      <c r="C190" s="27">
        <v>0.70355000000000001</v>
      </c>
      <c r="D190" s="27">
        <v>0.26424900000000001</v>
      </c>
      <c r="E190" s="27">
        <v>44</v>
      </c>
      <c r="F190" s="27">
        <f t="shared" ca="1" si="59"/>
        <v>44</v>
      </c>
      <c r="G190" s="27">
        <f t="shared" si="221"/>
        <v>0</v>
      </c>
      <c r="H190" s="27" t="str">
        <f t="shared" si="60"/>
        <v>Sim</v>
      </c>
      <c r="I190" s="27">
        <f t="shared" si="61"/>
        <v>0</v>
      </c>
      <c r="J190" s="37">
        <f t="shared" si="62"/>
        <v>1</v>
      </c>
      <c r="K190" s="55">
        <f t="shared" si="63"/>
        <v>-0.252108</v>
      </c>
      <c r="L190" s="55">
        <f t="shared" si="197"/>
        <v>-1.254791</v>
      </c>
      <c r="M190" s="55">
        <f t="shared" si="198"/>
        <v>0.85070100000000004</v>
      </c>
      <c r="N190" s="55">
        <f t="shared" si="199"/>
        <v>0.45818900000000001</v>
      </c>
      <c r="O190" s="55">
        <f t="shared" si="200"/>
        <v>-1.107664</v>
      </c>
      <c r="P190" s="55">
        <f t="shared" si="201"/>
        <v>-0.62712999999999997</v>
      </c>
      <c r="Q190" s="55">
        <f t="shared" si="202"/>
        <v>-0.87274200000000002</v>
      </c>
      <c r="R190" s="55">
        <f t="shared" si="203"/>
        <v>0.69743699999999997</v>
      </c>
      <c r="S190" s="55">
        <f t="shared" si="204"/>
        <v>-0.50827100000000003</v>
      </c>
      <c r="T190" s="55">
        <f t="shared" si="205"/>
        <v>-0.17824699999999999</v>
      </c>
      <c r="U190" s="55">
        <f t="shared" si="206"/>
        <v>-0.21669099999999999</v>
      </c>
      <c r="V190" s="55">
        <f t="shared" si="116"/>
        <v>-0.156221</v>
      </c>
      <c r="W190" s="55">
        <f t="shared" si="117"/>
        <v>-1.057574</v>
      </c>
      <c r="X190" s="55">
        <f t="shared" si="118"/>
        <v>0.95014900000000002</v>
      </c>
      <c r="Y190" s="55">
        <f t="shared" si="119"/>
        <v>0.287993</v>
      </c>
      <c r="Z190" s="55">
        <f t="shared" si="120"/>
        <v>0.70925700000000003</v>
      </c>
      <c r="AA190" s="55">
        <f t="shared" si="121"/>
        <v>-0.20768300000000001</v>
      </c>
      <c r="AB190" s="55">
        <f t="shared" si="122"/>
        <v>-0.45103900000000002</v>
      </c>
      <c r="AC190" s="55">
        <f t="shared" si="123"/>
        <v>0.44376500000000002</v>
      </c>
      <c r="AD190" s="55">
        <f t="shared" si="124"/>
        <v>0.98195399999999999</v>
      </c>
      <c r="AE190" s="55">
        <f t="shared" si="125"/>
        <v>0.62348199999999998</v>
      </c>
      <c r="AF190" s="55">
        <f t="shared" si="126"/>
        <v>0.57149399999999995</v>
      </c>
      <c r="AG190" s="55">
        <f t="shared" si="127"/>
        <v>0.532169</v>
      </c>
      <c r="AH190" s="55">
        <f t="shared" si="128"/>
        <v>1.39242</v>
      </c>
      <c r="AI190" s="55">
        <f t="shared" si="129"/>
        <v>8.8690000000000005E-2</v>
      </c>
      <c r="AJ190" s="55">
        <f t="shared" si="130"/>
        <v>-1.7580560000000001</v>
      </c>
      <c r="AK190" s="55">
        <f t="shared" si="131"/>
        <v>0.68662299999999998</v>
      </c>
      <c r="AL190" s="55">
        <f t="shared" si="132"/>
        <v>0.81466400000000005</v>
      </c>
      <c r="AM190" s="55">
        <f t="shared" si="133"/>
        <v>-0.62037600000000004</v>
      </c>
      <c r="AN190" s="55">
        <f t="shared" si="134"/>
        <v>-0.72668100000000002</v>
      </c>
      <c r="AO190" s="55">
        <f t="shared" si="135"/>
        <v>0.82117099999999998</v>
      </c>
      <c r="AP190" s="55">
        <f t="shared" si="136"/>
        <v>-0.90939599999999998</v>
      </c>
      <c r="AQ190" s="55">
        <f t="shared" si="137"/>
        <v>1.2582930000000001</v>
      </c>
      <c r="AR190" s="55">
        <f t="shared" si="138"/>
        <v>-0.77181500000000003</v>
      </c>
      <c r="AS190" s="55">
        <f t="shared" si="139"/>
        <v>0.26988899999999999</v>
      </c>
      <c r="AT190" s="55">
        <f t="shared" si="140"/>
        <v>-0.31845499999999999</v>
      </c>
      <c r="AU190" s="55">
        <f t="shared" si="141"/>
        <v>-0.89831000000000005</v>
      </c>
      <c r="AV190" s="55">
        <f t="shared" si="142"/>
        <v>-0.80399500000000002</v>
      </c>
      <c r="AW190" s="55">
        <f t="shared" si="143"/>
        <v>-1.174266</v>
      </c>
      <c r="AX190" s="55">
        <f t="shared" si="144"/>
        <v>-0.41018500000000002</v>
      </c>
      <c r="AY190" s="55">
        <f t="shared" si="145"/>
        <v>-2.2689000000000001E-2</v>
      </c>
      <c r="AZ190" s="55">
        <f t="shared" si="146"/>
        <v>-9.2197000000000001E-2</v>
      </c>
      <c r="BA190" s="55">
        <f t="shared" si="147"/>
        <v>-0.20809</v>
      </c>
      <c r="BB190" s="55">
        <f t="shared" si="148"/>
        <v>0.20910000000000001</v>
      </c>
      <c r="BC190" s="55">
        <f t="shared" si="149"/>
        <v>-0.84453800000000001</v>
      </c>
      <c r="BD190" s="55">
        <f t="shared" si="150"/>
        <v>-0.78732199999999997</v>
      </c>
      <c r="BE190" s="55">
        <f t="shared" si="151"/>
        <v>0.112526</v>
      </c>
      <c r="BF190" s="55">
        <f t="shared" si="152"/>
        <v>-0.17535300000000001</v>
      </c>
      <c r="BG190" s="55">
        <f t="shared" si="153"/>
        <v>0.39268199999999998</v>
      </c>
      <c r="BH190" s="55">
        <f t="shared" si="154"/>
        <v>-1.261163</v>
      </c>
      <c r="BJ190" s="55">
        <f t="shared" si="225"/>
        <v>-0.66622000000000003</v>
      </c>
      <c r="BK190" s="55">
        <f t="shared" si="225"/>
        <v>-0.53908500000000004</v>
      </c>
      <c r="BL190" s="55">
        <f t="shared" si="225"/>
        <v>1.3139609999999999</v>
      </c>
      <c r="BM190" s="55">
        <f t="shared" si="225"/>
        <v>0.37419999999999998</v>
      </c>
      <c r="BN190" s="55">
        <f t="shared" si="225"/>
        <v>0.31695899999999999</v>
      </c>
      <c r="BO190" s="55">
        <f t="shared" si="225"/>
        <v>0.31533600000000001</v>
      </c>
      <c r="BP190" s="55">
        <f t="shared" si="225"/>
        <v>0.65815500000000005</v>
      </c>
      <c r="BQ190" s="55">
        <f t="shared" si="225"/>
        <v>0.12439</v>
      </c>
      <c r="BR190" s="55">
        <f t="shared" si="225"/>
        <v>-0.24601200000000001</v>
      </c>
      <c r="BS190" s="55">
        <f t="shared" si="225"/>
        <v>0.685338</v>
      </c>
      <c r="BT190" s="55">
        <f t="shared" si="225"/>
        <v>-1.6915340000000001</v>
      </c>
      <c r="BU190" s="55">
        <f t="shared" si="225"/>
        <v>1.7136009999999999</v>
      </c>
      <c r="BV190" s="55">
        <f t="shared" si="225"/>
        <v>-0.175285</v>
      </c>
      <c r="BW190" s="55">
        <f t="shared" si="225"/>
        <v>-0.88014700000000001</v>
      </c>
      <c r="BX190" s="55">
        <f t="shared" si="225"/>
        <v>0.24867</v>
      </c>
      <c r="BY190" s="55">
        <f t="shared" ref="BY190:CN205" si="227">VLOOKUP($B190,$A$33:$BG$132,BY$134,FALSE)</f>
        <v>-0.24318600000000001</v>
      </c>
      <c r="BZ190" s="55">
        <f t="shared" si="227"/>
        <v>1.020362</v>
      </c>
      <c r="CA190" s="55">
        <f t="shared" si="227"/>
        <v>-0.47453499999999998</v>
      </c>
      <c r="CB190" s="55">
        <f t="shared" si="227"/>
        <v>0.40415600000000002</v>
      </c>
      <c r="CC190" s="55">
        <f t="shared" si="227"/>
        <v>0.108114</v>
      </c>
      <c r="CD190" s="55">
        <f t="shared" si="227"/>
        <v>-0.73552499999999998</v>
      </c>
      <c r="CE190" s="55">
        <f t="shared" si="227"/>
        <v>0.56257599999999996</v>
      </c>
      <c r="CF190" s="55">
        <f t="shared" si="227"/>
        <v>0.539435</v>
      </c>
      <c r="CG190" s="55">
        <f t="shared" si="227"/>
        <v>0.74824500000000005</v>
      </c>
      <c r="CH190" s="55">
        <f t="shared" si="227"/>
        <v>-0.71911400000000003</v>
      </c>
      <c r="CI190" s="55">
        <f t="shared" si="227"/>
        <v>0.592117</v>
      </c>
      <c r="CJ190" s="55">
        <f t="shared" si="227"/>
        <v>-0.68152699999999999</v>
      </c>
      <c r="CK190" s="55">
        <f t="shared" si="227"/>
        <v>-3.1071999999999999E-2</v>
      </c>
      <c r="CL190" s="55">
        <f t="shared" si="227"/>
        <v>0.574847</v>
      </c>
      <c r="CM190" s="55">
        <f t="shared" si="227"/>
        <v>4.0721E-2</v>
      </c>
      <c r="CN190" s="55">
        <f t="shared" si="227"/>
        <v>-0.31113400000000002</v>
      </c>
      <c r="CO190" s="55">
        <f t="shared" ref="CO190:DD205" si="228">VLOOKUP($B190,$A$33:$BG$132,CO$134,FALSE)</f>
        <v>0.128106</v>
      </c>
      <c r="CP190" s="55">
        <f t="shared" si="228"/>
        <v>0.75648499999999996</v>
      </c>
      <c r="CQ190" s="55">
        <f t="shared" si="228"/>
        <v>0.64789099999999999</v>
      </c>
      <c r="CR190" s="55">
        <f t="shared" si="228"/>
        <v>0.62507000000000001</v>
      </c>
      <c r="CS190" s="55">
        <f t="shared" si="228"/>
        <v>0.26489299999999999</v>
      </c>
      <c r="CT190" s="55">
        <f t="shared" si="228"/>
        <v>-0.50260000000000005</v>
      </c>
      <c r="CU190" s="55">
        <f t="shared" si="228"/>
        <v>-0.37491999999999998</v>
      </c>
      <c r="CV190" s="55">
        <f t="shared" si="228"/>
        <v>0.42408800000000002</v>
      </c>
      <c r="CW190" s="55">
        <f t="shared" si="228"/>
        <v>0.13993700000000001</v>
      </c>
      <c r="CX190" s="55">
        <f t="shared" si="228"/>
        <v>-0.25101899999999999</v>
      </c>
      <c r="CY190" s="55">
        <f t="shared" si="228"/>
        <v>0.60972800000000005</v>
      </c>
      <c r="CZ190" s="55">
        <f t="shared" si="228"/>
        <v>-0.87458400000000003</v>
      </c>
      <c r="DA190" s="55">
        <f t="shared" si="228"/>
        <v>0.52196799999999999</v>
      </c>
      <c r="DB190" s="55">
        <f t="shared" si="228"/>
        <v>-0.47540500000000002</v>
      </c>
      <c r="DC190" s="55">
        <f t="shared" si="228"/>
        <v>0.41020699999999999</v>
      </c>
      <c r="DD190" s="55">
        <f t="shared" si="228"/>
        <v>0.496174</v>
      </c>
      <c r="DE190" s="55">
        <f t="shared" si="226"/>
        <v>0.10736800000000001</v>
      </c>
      <c r="DF190" s="55">
        <f t="shared" si="226"/>
        <v>0.55427300000000002</v>
      </c>
      <c r="DG190" s="55">
        <f t="shared" si="226"/>
        <v>-1.0216069999999999</v>
      </c>
      <c r="DI190" s="55">
        <f t="shared" ca="1" si="65"/>
        <v>-0.252108</v>
      </c>
      <c r="DJ190" s="55">
        <f t="shared" ca="1" si="66"/>
        <v>-1.254791</v>
      </c>
      <c r="DK190" s="55">
        <f t="shared" ca="1" si="67"/>
        <v>0.85070100000000004</v>
      </c>
      <c r="DL190" s="55">
        <f t="shared" ca="1" si="68"/>
        <v>0.45818900000000001</v>
      </c>
      <c r="DM190" s="55">
        <f t="shared" ca="1" si="69"/>
        <v>-1.107664</v>
      </c>
      <c r="DN190" s="55">
        <f t="shared" ca="1" si="70"/>
        <v>-0.62712999999999997</v>
      </c>
      <c r="DO190" s="55">
        <f t="shared" ca="1" si="71"/>
        <v>-0.87274200000000002</v>
      </c>
      <c r="DP190" s="55">
        <f t="shared" ca="1" si="72"/>
        <v>0.69743699999999997</v>
      </c>
      <c r="DQ190" s="55">
        <f t="shared" ca="1" si="73"/>
        <v>-0.50827100000000003</v>
      </c>
      <c r="DR190" s="55">
        <f t="shared" ca="1" si="74"/>
        <v>-0.17824699999999999</v>
      </c>
      <c r="DS190" s="55">
        <f t="shared" ca="1" si="75"/>
        <v>-0.21669099999999999</v>
      </c>
      <c r="DT190" s="55">
        <f t="shared" ca="1" si="76"/>
        <v>-0.156221</v>
      </c>
      <c r="DU190" s="55">
        <f t="shared" ca="1" si="77"/>
        <v>-1.057574</v>
      </c>
      <c r="DV190" s="55">
        <f t="shared" ca="1" si="78"/>
        <v>0.95014900000000002</v>
      </c>
      <c r="DW190" s="55">
        <f t="shared" ca="1" si="79"/>
        <v>0.287993</v>
      </c>
      <c r="DX190" s="55">
        <f t="shared" ca="1" si="80"/>
        <v>0.70925700000000003</v>
      </c>
      <c r="DY190" s="55">
        <f t="shared" ca="1" si="81"/>
        <v>-0.20768300000000001</v>
      </c>
      <c r="DZ190" s="55">
        <f t="shared" ca="1" si="82"/>
        <v>-0.45103900000000002</v>
      </c>
      <c r="EA190" s="55">
        <f t="shared" ca="1" si="83"/>
        <v>0.44376500000000002</v>
      </c>
      <c r="EB190" s="55">
        <f t="shared" ca="1" si="84"/>
        <v>0.98195399999999999</v>
      </c>
      <c r="EC190" s="55">
        <f t="shared" ca="1" si="85"/>
        <v>0.62348199999999998</v>
      </c>
      <c r="ED190" s="55">
        <f t="shared" ca="1" si="86"/>
        <v>0.57149399999999995</v>
      </c>
      <c r="EE190" s="55">
        <f t="shared" ca="1" si="87"/>
        <v>0.532169</v>
      </c>
      <c r="EF190" s="55">
        <f t="shared" ca="1" si="88"/>
        <v>1.39242</v>
      </c>
      <c r="EG190" s="55">
        <f t="shared" ca="1" si="89"/>
        <v>8.8690000000000005E-2</v>
      </c>
      <c r="EH190" s="55">
        <f t="shared" ca="1" si="90"/>
        <v>-1.7580560000000001</v>
      </c>
      <c r="EI190" s="55">
        <f t="shared" ca="1" si="91"/>
        <v>0.68662299999999998</v>
      </c>
      <c r="EJ190" s="55">
        <f t="shared" ca="1" si="92"/>
        <v>0.81466400000000005</v>
      </c>
      <c r="EK190" s="55">
        <f t="shared" ca="1" si="93"/>
        <v>-0.62037600000000004</v>
      </c>
      <c r="EL190" s="55">
        <f t="shared" ca="1" si="94"/>
        <v>-0.72668100000000002</v>
      </c>
      <c r="EM190" s="55">
        <f t="shared" ca="1" si="95"/>
        <v>0.82117099999999998</v>
      </c>
      <c r="EN190" s="55">
        <f t="shared" ca="1" si="96"/>
        <v>-0.90939599999999998</v>
      </c>
      <c r="EO190" s="55">
        <f t="shared" ca="1" si="97"/>
        <v>1.2582930000000001</v>
      </c>
      <c r="EP190" s="55">
        <f t="shared" ca="1" si="98"/>
        <v>-0.77181500000000003</v>
      </c>
      <c r="EQ190" s="55">
        <f t="shared" ca="1" si="99"/>
        <v>0.26988899999999999</v>
      </c>
      <c r="ER190" s="55">
        <f t="shared" ca="1" si="100"/>
        <v>-0.31845499999999999</v>
      </c>
      <c r="ES190" s="55">
        <f t="shared" ca="1" si="101"/>
        <v>-0.89831000000000005</v>
      </c>
      <c r="ET190" s="55">
        <f t="shared" ca="1" si="102"/>
        <v>-0.80399500000000002</v>
      </c>
      <c r="EU190" s="55">
        <f t="shared" ca="1" si="103"/>
        <v>-1.174266</v>
      </c>
      <c r="EV190" s="55">
        <f t="shared" ca="1" si="104"/>
        <v>-0.41018500000000002</v>
      </c>
      <c r="EW190" s="55">
        <f t="shared" ca="1" si="105"/>
        <v>-2.2689000000000001E-2</v>
      </c>
      <c r="EX190" s="55">
        <f t="shared" ca="1" si="106"/>
        <v>-9.2197000000000001E-2</v>
      </c>
      <c r="EY190" s="55">
        <f t="shared" ca="1" si="107"/>
        <v>-0.20809</v>
      </c>
      <c r="EZ190" s="55">
        <f t="shared" ca="1" si="108"/>
        <v>0.20910000000000001</v>
      </c>
      <c r="FA190" s="55">
        <f t="shared" ca="1" si="109"/>
        <v>-0.84453800000000001</v>
      </c>
      <c r="FB190" s="55">
        <f t="shared" ca="1" si="110"/>
        <v>-0.78732199999999997</v>
      </c>
      <c r="FC190" s="55">
        <f t="shared" ca="1" si="111"/>
        <v>0.112526</v>
      </c>
      <c r="FD190" s="55">
        <f t="shared" ca="1" si="112"/>
        <v>-0.17535300000000001</v>
      </c>
      <c r="FE190" s="55">
        <f t="shared" ca="1" si="113"/>
        <v>0.39268199999999998</v>
      </c>
      <c r="FF190" s="55">
        <f t="shared" ca="1" si="114"/>
        <v>-1.261163</v>
      </c>
      <c r="FH190" s="55">
        <f t="shared" ca="1" si="115"/>
        <v>0</v>
      </c>
      <c r="FI190" s="55">
        <f t="shared" ca="1" si="207"/>
        <v>0</v>
      </c>
      <c r="FJ190" s="55">
        <f t="shared" ca="1" si="208"/>
        <v>0</v>
      </c>
      <c r="FK190" s="55">
        <f t="shared" ca="1" si="209"/>
        <v>0</v>
      </c>
      <c r="FL190" s="55">
        <f t="shared" ca="1" si="210"/>
        <v>0</v>
      </c>
      <c r="FM190" s="55">
        <f t="shared" ca="1" si="211"/>
        <v>0</v>
      </c>
      <c r="FN190" s="55">
        <f t="shared" ca="1" si="212"/>
        <v>0</v>
      </c>
      <c r="FO190" s="55">
        <f t="shared" ca="1" si="213"/>
        <v>0</v>
      </c>
      <c r="FP190" s="55">
        <f t="shared" ca="1" si="214"/>
        <v>0</v>
      </c>
      <c r="FQ190" s="55">
        <f t="shared" ca="1" si="215"/>
        <v>0</v>
      </c>
      <c r="FR190" s="55">
        <f t="shared" ca="1" si="216"/>
        <v>0</v>
      </c>
      <c r="FS190" s="55">
        <f t="shared" ca="1" si="158"/>
        <v>0</v>
      </c>
      <c r="FT190" s="55">
        <f t="shared" ca="1" si="159"/>
        <v>0</v>
      </c>
      <c r="FU190" s="55">
        <f t="shared" ca="1" si="160"/>
        <v>0</v>
      </c>
      <c r="FV190" s="55">
        <f t="shared" ca="1" si="161"/>
        <v>0</v>
      </c>
      <c r="FW190" s="55">
        <f t="shared" ca="1" si="162"/>
        <v>0</v>
      </c>
      <c r="FX190" s="55">
        <f t="shared" ca="1" si="163"/>
        <v>0</v>
      </c>
      <c r="FY190" s="55">
        <f t="shared" ca="1" si="164"/>
        <v>0</v>
      </c>
      <c r="FZ190" s="55">
        <f t="shared" ca="1" si="165"/>
        <v>0</v>
      </c>
      <c r="GA190" s="55">
        <f t="shared" ca="1" si="166"/>
        <v>0</v>
      </c>
      <c r="GB190" s="55">
        <f t="shared" ca="1" si="167"/>
        <v>0</v>
      </c>
      <c r="GC190" s="55">
        <f t="shared" ca="1" si="168"/>
        <v>0</v>
      </c>
      <c r="GD190" s="55">
        <f t="shared" ca="1" si="169"/>
        <v>0</v>
      </c>
      <c r="GE190" s="55">
        <f t="shared" ca="1" si="170"/>
        <v>0</v>
      </c>
      <c r="GF190" s="55">
        <f t="shared" ca="1" si="171"/>
        <v>0</v>
      </c>
      <c r="GG190" s="55">
        <f t="shared" ca="1" si="172"/>
        <v>0</v>
      </c>
      <c r="GH190" s="55">
        <f t="shared" ca="1" si="173"/>
        <v>0</v>
      </c>
      <c r="GI190" s="55">
        <f t="shared" ca="1" si="174"/>
        <v>0</v>
      </c>
      <c r="GJ190" s="55">
        <f t="shared" ca="1" si="175"/>
        <v>0</v>
      </c>
      <c r="GK190" s="55">
        <f t="shared" ca="1" si="176"/>
        <v>0</v>
      </c>
      <c r="GL190" s="55">
        <f t="shared" ca="1" si="177"/>
        <v>0</v>
      </c>
      <c r="GM190" s="55">
        <f t="shared" ca="1" si="178"/>
        <v>0</v>
      </c>
      <c r="GN190" s="55">
        <f t="shared" ca="1" si="179"/>
        <v>0</v>
      </c>
      <c r="GO190" s="55">
        <f t="shared" ca="1" si="180"/>
        <v>0</v>
      </c>
      <c r="GP190" s="55">
        <f t="shared" ca="1" si="181"/>
        <v>0</v>
      </c>
      <c r="GQ190" s="55">
        <f t="shared" ca="1" si="182"/>
        <v>0</v>
      </c>
      <c r="GR190" s="55">
        <f t="shared" ca="1" si="183"/>
        <v>0</v>
      </c>
      <c r="GS190" s="55">
        <f t="shared" ca="1" si="184"/>
        <v>0</v>
      </c>
      <c r="GT190" s="55">
        <f t="shared" ca="1" si="185"/>
        <v>0</v>
      </c>
      <c r="GU190" s="55">
        <f t="shared" ca="1" si="186"/>
        <v>0</v>
      </c>
      <c r="GV190" s="55">
        <f t="shared" ca="1" si="187"/>
        <v>0</v>
      </c>
      <c r="GW190" s="55">
        <f t="shared" ca="1" si="188"/>
        <v>0</v>
      </c>
      <c r="GX190" s="55">
        <f t="shared" ca="1" si="189"/>
        <v>0</v>
      </c>
      <c r="GY190" s="55">
        <f t="shared" ca="1" si="190"/>
        <v>0</v>
      </c>
      <c r="GZ190" s="55">
        <f t="shared" ca="1" si="191"/>
        <v>0</v>
      </c>
      <c r="HA190" s="55">
        <f t="shared" ca="1" si="192"/>
        <v>0</v>
      </c>
      <c r="HB190" s="55">
        <f t="shared" ca="1" si="193"/>
        <v>0</v>
      </c>
      <c r="HC190" s="55">
        <f t="shared" ca="1" si="194"/>
        <v>0</v>
      </c>
      <c r="HD190" s="55">
        <f t="shared" ca="1" si="195"/>
        <v>0</v>
      </c>
      <c r="HE190" s="55">
        <f t="shared" ca="1" si="196"/>
        <v>0</v>
      </c>
    </row>
    <row r="191" spans="1:213">
      <c r="A191" s="27">
        <v>54</v>
      </c>
      <c r="B191" s="27">
        <v>22</v>
      </c>
      <c r="C191" s="27">
        <v>0.65015999999999996</v>
      </c>
      <c r="D191" s="27">
        <v>0.59602299999999997</v>
      </c>
      <c r="E191" s="27">
        <v>2</v>
      </c>
      <c r="F191" s="27">
        <f t="shared" ca="1" si="59"/>
        <v>27</v>
      </c>
      <c r="G191" s="27">
        <f t="shared" si="221"/>
        <v>0</v>
      </c>
      <c r="H191" s="27" t="str">
        <f t="shared" si="60"/>
        <v>Sim</v>
      </c>
      <c r="I191" s="27">
        <f t="shared" si="61"/>
        <v>0</v>
      </c>
      <c r="J191" s="37">
        <f t="shared" si="62"/>
        <v>1</v>
      </c>
      <c r="K191" s="55">
        <f t="shared" si="63"/>
        <v>0.427541</v>
      </c>
      <c r="L191" s="55">
        <f t="shared" si="197"/>
        <v>0.88970300000000002</v>
      </c>
      <c r="M191" s="55">
        <f t="shared" si="198"/>
        <v>1.0445359999999999</v>
      </c>
      <c r="N191" s="55">
        <f t="shared" si="199"/>
        <v>0.94583399999999995</v>
      </c>
      <c r="O191" s="55">
        <f t="shared" si="200"/>
        <v>0.93252000000000002</v>
      </c>
      <c r="P191" s="55">
        <f t="shared" si="201"/>
        <v>-0.110526</v>
      </c>
      <c r="Q191" s="55">
        <f t="shared" si="202"/>
        <v>0.421041</v>
      </c>
      <c r="R191" s="55">
        <f t="shared" si="203"/>
        <v>0.74219599999999997</v>
      </c>
      <c r="S191" s="55">
        <f t="shared" si="204"/>
        <v>0.85197999999999996</v>
      </c>
      <c r="T191" s="55">
        <f t="shared" si="205"/>
        <v>-0.60107299999999997</v>
      </c>
      <c r="U191" s="55">
        <f t="shared" si="206"/>
        <v>0.78763000000000005</v>
      </c>
      <c r="V191" s="55">
        <f t="shared" si="116"/>
        <v>-0.54883300000000002</v>
      </c>
      <c r="W191" s="55">
        <f t="shared" si="117"/>
        <v>-9.8946999999999993E-2</v>
      </c>
      <c r="X191" s="55">
        <f t="shared" si="118"/>
        <v>0.63033099999999997</v>
      </c>
      <c r="Y191" s="55">
        <f t="shared" si="119"/>
        <v>0.296014</v>
      </c>
      <c r="Z191" s="55">
        <f t="shared" si="120"/>
        <v>0.86529599999999995</v>
      </c>
      <c r="AA191" s="55">
        <f t="shared" si="121"/>
        <v>-0.46758699999999997</v>
      </c>
      <c r="AB191" s="55">
        <f t="shared" si="122"/>
        <v>-0.76345799999999997</v>
      </c>
      <c r="AC191" s="55">
        <f t="shared" si="123"/>
        <v>0.84248100000000004</v>
      </c>
      <c r="AD191" s="55">
        <f t="shared" si="124"/>
        <v>0.78327899999999995</v>
      </c>
      <c r="AE191" s="55">
        <f t="shared" si="125"/>
        <v>0.61870999999999998</v>
      </c>
      <c r="AF191" s="55">
        <f t="shared" si="126"/>
        <v>1.1808259999999999</v>
      </c>
      <c r="AG191" s="55">
        <f t="shared" si="127"/>
        <v>-0.899088</v>
      </c>
      <c r="AH191" s="55">
        <f t="shared" si="128"/>
        <v>-0.46016899999999999</v>
      </c>
      <c r="AI191" s="55">
        <f t="shared" si="129"/>
        <v>-0.48933199999999999</v>
      </c>
      <c r="AJ191" s="55">
        <f t="shared" si="130"/>
        <v>-0.59450599999999998</v>
      </c>
      <c r="AK191" s="55">
        <f t="shared" si="131"/>
        <v>-0.95906599999999997</v>
      </c>
      <c r="AL191" s="55">
        <f t="shared" si="132"/>
        <v>-0.187248</v>
      </c>
      <c r="AM191" s="55">
        <f t="shared" si="133"/>
        <v>-0.77245200000000003</v>
      </c>
      <c r="AN191" s="55">
        <f t="shared" si="134"/>
        <v>0.42386499999999999</v>
      </c>
      <c r="AO191" s="55">
        <f t="shared" si="135"/>
        <v>0.71424500000000002</v>
      </c>
      <c r="AP191" s="55">
        <f t="shared" si="136"/>
        <v>3.8719999999999997E-2</v>
      </c>
      <c r="AQ191" s="55">
        <f t="shared" si="137"/>
        <v>-1.5256479999999999</v>
      </c>
      <c r="AR191" s="55">
        <f t="shared" si="138"/>
        <v>0.554342</v>
      </c>
      <c r="AS191" s="55">
        <f t="shared" si="139"/>
        <v>-0.86659900000000001</v>
      </c>
      <c r="AT191" s="55">
        <f t="shared" si="140"/>
        <v>1.9007750000000001</v>
      </c>
      <c r="AU191" s="55">
        <f t="shared" si="141"/>
        <v>0.70712299999999995</v>
      </c>
      <c r="AV191" s="55">
        <f t="shared" si="142"/>
        <v>0.26419999999999999</v>
      </c>
      <c r="AW191" s="55">
        <f t="shared" si="143"/>
        <v>0.85240400000000005</v>
      </c>
      <c r="AX191" s="55">
        <f t="shared" si="144"/>
        <v>0.90576000000000001</v>
      </c>
      <c r="AY191" s="55">
        <f t="shared" si="145"/>
        <v>-0.61505100000000001</v>
      </c>
      <c r="AZ191" s="55">
        <f t="shared" si="146"/>
        <v>0.29700199999999999</v>
      </c>
      <c r="BA191" s="55">
        <f t="shared" si="147"/>
        <v>0.485425</v>
      </c>
      <c r="BB191" s="55">
        <f t="shared" si="148"/>
        <v>-0.17513000000000001</v>
      </c>
      <c r="BC191" s="55">
        <f t="shared" si="149"/>
        <v>0.58527099999999999</v>
      </c>
      <c r="BD191" s="55">
        <f t="shared" si="150"/>
        <v>-3.61E-2</v>
      </c>
      <c r="BE191" s="55">
        <f t="shared" si="151"/>
        <v>-0.11219899999999999</v>
      </c>
      <c r="BF191" s="55">
        <f t="shared" si="152"/>
        <v>-0.138653</v>
      </c>
      <c r="BG191" s="55">
        <f t="shared" si="153"/>
        <v>-0.65617999999999999</v>
      </c>
      <c r="BH191" s="55">
        <f t="shared" si="154"/>
        <v>-9.8567000000000002E-2</v>
      </c>
      <c r="BJ191" s="55">
        <f t="shared" ref="BJ191:BY206" si="229">VLOOKUP($B191,$A$33:$BG$132,BJ$134,FALSE)</f>
        <v>0.89290999999999998</v>
      </c>
      <c r="BK191" s="55">
        <f t="shared" si="229"/>
        <v>-0.92225699999999999</v>
      </c>
      <c r="BL191" s="55">
        <f t="shared" si="229"/>
        <v>0.44889099999999998</v>
      </c>
      <c r="BM191" s="55">
        <f t="shared" si="229"/>
        <v>-0.339088</v>
      </c>
      <c r="BN191" s="55">
        <f t="shared" si="229"/>
        <v>0.77873899999999996</v>
      </c>
      <c r="BO191" s="55">
        <f t="shared" si="229"/>
        <v>0.178679</v>
      </c>
      <c r="BP191" s="55">
        <f t="shared" si="229"/>
        <v>-0.550404</v>
      </c>
      <c r="BQ191" s="55">
        <f t="shared" si="229"/>
        <v>0.31940400000000002</v>
      </c>
      <c r="BR191" s="55">
        <f t="shared" si="229"/>
        <v>0.55406200000000005</v>
      </c>
      <c r="BS191" s="55">
        <f t="shared" si="229"/>
        <v>-1.5974600000000001</v>
      </c>
      <c r="BT191" s="55">
        <f t="shared" si="229"/>
        <v>0.62670999999999999</v>
      </c>
      <c r="BU191" s="55">
        <f t="shared" si="229"/>
        <v>-1.58036</v>
      </c>
      <c r="BV191" s="55">
        <f t="shared" si="229"/>
        <v>0.43925500000000001</v>
      </c>
      <c r="BW191" s="55">
        <f t="shared" si="229"/>
        <v>-0.21241599999999999</v>
      </c>
      <c r="BX191" s="55">
        <f t="shared" si="229"/>
        <v>-0.137293</v>
      </c>
      <c r="BY191" s="55">
        <f t="shared" si="229"/>
        <v>0.94842599999999999</v>
      </c>
      <c r="BZ191" s="55">
        <f t="shared" si="227"/>
        <v>-0.116146</v>
      </c>
      <c r="CA191" s="55">
        <f t="shared" si="227"/>
        <v>-0.47578100000000001</v>
      </c>
      <c r="CB191" s="55">
        <f t="shared" si="227"/>
        <v>0.605846</v>
      </c>
      <c r="CC191" s="55">
        <f t="shared" si="227"/>
        <v>0.57053500000000001</v>
      </c>
      <c r="CD191" s="55">
        <f t="shared" si="227"/>
        <v>0.84854099999999999</v>
      </c>
      <c r="CE191" s="55">
        <f t="shared" si="227"/>
        <v>-1.3692470000000001</v>
      </c>
      <c r="CF191" s="55">
        <f t="shared" si="227"/>
        <v>0.29556399999999999</v>
      </c>
      <c r="CG191" s="55">
        <f t="shared" si="227"/>
        <v>-0.79325199999999996</v>
      </c>
      <c r="CH191" s="55">
        <f t="shared" si="227"/>
        <v>0.54601999999999995</v>
      </c>
      <c r="CI191" s="55">
        <f t="shared" si="227"/>
        <v>-0.60622100000000001</v>
      </c>
      <c r="CJ191" s="55">
        <f t="shared" si="227"/>
        <v>0.76331599999999999</v>
      </c>
      <c r="CK191" s="55">
        <f t="shared" si="227"/>
        <v>-0.77407999999999999</v>
      </c>
      <c r="CL191" s="55">
        <f t="shared" si="227"/>
        <v>0.21528900000000001</v>
      </c>
      <c r="CM191" s="55">
        <f t="shared" si="227"/>
        <v>0.47770699999999999</v>
      </c>
      <c r="CN191" s="55">
        <f t="shared" si="227"/>
        <v>0.28191300000000002</v>
      </c>
      <c r="CO191" s="55">
        <f t="shared" si="228"/>
        <v>-0.33427200000000001</v>
      </c>
      <c r="CP191" s="55">
        <f t="shared" si="228"/>
        <v>-0.28843400000000002</v>
      </c>
      <c r="CQ191" s="55">
        <f t="shared" si="228"/>
        <v>-0.61893299999999996</v>
      </c>
      <c r="CR191" s="55">
        <f t="shared" si="228"/>
        <v>-0.99542699999999995</v>
      </c>
      <c r="CS191" s="55">
        <f t="shared" si="228"/>
        <v>1.50929</v>
      </c>
      <c r="CT191" s="55">
        <f t="shared" si="228"/>
        <v>0.49689899999999998</v>
      </c>
      <c r="CU191" s="55">
        <f t="shared" si="228"/>
        <v>0.94131100000000001</v>
      </c>
      <c r="CV191" s="55">
        <f t="shared" si="228"/>
        <v>-0.60974300000000003</v>
      </c>
      <c r="CW191" s="55">
        <f t="shared" si="228"/>
        <v>-0.35215099999999999</v>
      </c>
      <c r="CX191" s="55">
        <f t="shared" si="228"/>
        <v>-0.33057599999999998</v>
      </c>
      <c r="CY191" s="55">
        <f t="shared" si="228"/>
        <v>0.14055300000000001</v>
      </c>
      <c r="CZ191" s="55">
        <f t="shared" si="228"/>
        <v>0.67197700000000005</v>
      </c>
      <c r="DA191" s="55">
        <f t="shared" si="228"/>
        <v>-0.86238000000000004</v>
      </c>
      <c r="DB191" s="55">
        <f t="shared" si="228"/>
        <v>-1.4978E-2</v>
      </c>
      <c r="DC191" s="55">
        <f t="shared" si="228"/>
        <v>-0.68662100000000004</v>
      </c>
      <c r="DD191" s="55">
        <f t="shared" si="228"/>
        <v>-0.70351300000000005</v>
      </c>
      <c r="DE191" s="55">
        <f t="shared" si="226"/>
        <v>0.82305600000000001</v>
      </c>
      <c r="DF191" s="55">
        <f t="shared" si="226"/>
        <v>-1.439106</v>
      </c>
      <c r="DG191" s="55">
        <f t="shared" si="226"/>
        <v>-0.61887300000000001</v>
      </c>
      <c r="DI191" s="55">
        <f t="shared" ca="1" si="65"/>
        <v>0.427541</v>
      </c>
      <c r="DJ191" s="55">
        <f t="shared" ca="1" si="66"/>
        <v>0.88970300000000002</v>
      </c>
      <c r="DK191" s="55">
        <f t="shared" ca="1" si="67"/>
        <v>0.80390911983499991</v>
      </c>
      <c r="DL191" s="55">
        <f t="shared" ca="1" si="68"/>
        <v>0.42675506520599987</v>
      </c>
      <c r="DM191" s="55">
        <f t="shared" ca="1" si="69"/>
        <v>0.87039601296299995</v>
      </c>
      <c r="DN191" s="55">
        <f t="shared" ca="1" si="70"/>
        <v>6.3061682850000106E-3</v>
      </c>
      <c r="DO191" s="55">
        <f t="shared" ca="1" si="71"/>
        <v>2.8599563234999958E-2</v>
      </c>
      <c r="DP191" s="55">
        <f t="shared" ca="1" si="72"/>
        <v>0.57139775621599997</v>
      </c>
      <c r="DQ191" s="55">
        <f t="shared" ca="1" si="73"/>
        <v>0.73162798011399999</v>
      </c>
      <c r="DR191" s="55">
        <f t="shared" ca="1" si="74"/>
        <v>-1.003590431099</v>
      </c>
      <c r="DS191" s="55">
        <f t="shared" ca="1" si="75"/>
        <v>0.72262202116000007</v>
      </c>
      <c r="DT191" s="55">
        <f t="shared" ca="1" si="76"/>
        <v>-0.96554618287900007</v>
      </c>
      <c r="DU191" s="55">
        <f t="shared" ca="1" si="77"/>
        <v>0.11847422935400004</v>
      </c>
      <c r="DV191" s="55">
        <f t="shared" ca="1" si="78"/>
        <v>0.28988059518099996</v>
      </c>
      <c r="DW191" s="55">
        <f t="shared" ca="1" si="79"/>
        <v>0.12096793806099998</v>
      </c>
      <c r="DX191" s="55">
        <f t="shared" ca="1" si="80"/>
        <v>0.89887860800999997</v>
      </c>
      <c r="DY191" s="55">
        <f t="shared" ca="1" si="81"/>
        <v>-0.32561291914299995</v>
      </c>
      <c r="DZ191" s="55">
        <f t="shared" ca="1" si="82"/>
        <v>-0.64724310857099998</v>
      </c>
      <c r="EA191" s="55">
        <f t="shared" ca="1" si="83"/>
        <v>0.74688590260499998</v>
      </c>
      <c r="EB191" s="55">
        <f t="shared" ca="1" si="84"/>
        <v>0.69733531711200003</v>
      </c>
      <c r="EC191" s="55">
        <f t="shared" ca="1" si="85"/>
        <v>0.71155643788700007</v>
      </c>
      <c r="ED191" s="55">
        <f t="shared" ca="1" si="86"/>
        <v>0.15065515967899978</v>
      </c>
      <c r="EE191" s="55">
        <f t="shared" ca="1" si="87"/>
        <v>-0.41647606899599993</v>
      </c>
      <c r="EF191" s="55">
        <f t="shared" ca="1" si="88"/>
        <v>-0.59472687109099998</v>
      </c>
      <c r="EG191" s="55">
        <f t="shared" ca="1" si="89"/>
        <v>-7.107360509599997E-2</v>
      </c>
      <c r="EH191" s="55">
        <f t="shared" ca="1" si="90"/>
        <v>-0.59923859055499995</v>
      </c>
      <c r="EI191" s="55">
        <f t="shared" ca="1" si="91"/>
        <v>-0.26326328678599997</v>
      </c>
      <c r="EJ191" s="55">
        <f t="shared" ca="1" si="92"/>
        <v>-0.187248</v>
      </c>
      <c r="EK191" s="55">
        <f t="shared" ca="1" si="93"/>
        <v>-0.77245200000000003</v>
      </c>
      <c r="EL191" s="55">
        <f t="shared" ca="1" si="94"/>
        <v>0.42386499999999999</v>
      </c>
      <c r="EM191" s="55">
        <f t="shared" ca="1" si="95"/>
        <v>0.71424500000000002</v>
      </c>
      <c r="EN191" s="55">
        <f t="shared" ca="1" si="96"/>
        <v>3.8719999999999997E-2</v>
      </c>
      <c r="EO191" s="55">
        <f t="shared" ca="1" si="97"/>
        <v>-1.5256479999999999</v>
      </c>
      <c r="EP191" s="55">
        <f t="shared" ca="1" si="98"/>
        <v>0.554342</v>
      </c>
      <c r="EQ191" s="55">
        <f t="shared" ca="1" si="99"/>
        <v>-0.86659900000000001</v>
      </c>
      <c r="ER191" s="55">
        <f t="shared" ca="1" si="100"/>
        <v>1.9007750000000001</v>
      </c>
      <c r="ES191" s="55">
        <f t="shared" ca="1" si="101"/>
        <v>0.70712299999999995</v>
      </c>
      <c r="ET191" s="55">
        <f t="shared" ca="1" si="102"/>
        <v>0.26419999999999999</v>
      </c>
      <c r="EU191" s="55">
        <f t="shared" ca="1" si="103"/>
        <v>0.85240400000000005</v>
      </c>
      <c r="EV191" s="55">
        <f t="shared" ca="1" si="104"/>
        <v>0.90576000000000001</v>
      </c>
      <c r="EW191" s="55">
        <f t="shared" ca="1" si="105"/>
        <v>-0.61505100000000001</v>
      </c>
      <c r="EX191" s="55">
        <f t="shared" ca="1" si="106"/>
        <v>0.29700199999999999</v>
      </c>
      <c r="EY191" s="55">
        <f t="shared" ca="1" si="107"/>
        <v>0.485425</v>
      </c>
      <c r="EZ191" s="55">
        <f t="shared" ca="1" si="108"/>
        <v>-0.17513000000000001</v>
      </c>
      <c r="FA191" s="55">
        <f t="shared" ca="1" si="109"/>
        <v>0.58527099999999999</v>
      </c>
      <c r="FB191" s="55">
        <f t="shared" ca="1" si="110"/>
        <v>-3.61E-2</v>
      </c>
      <c r="FC191" s="55">
        <f t="shared" ca="1" si="111"/>
        <v>-0.11219899999999999</v>
      </c>
      <c r="FD191" s="55">
        <f t="shared" ca="1" si="112"/>
        <v>-0.138653</v>
      </c>
      <c r="FE191" s="55">
        <f t="shared" ca="1" si="113"/>
        <v>-0.65617999999999999</v>
      </c>
      <c r="FF191" s="55">
        <f t="shared" ca="1" si="114"/>
        <v>-9.8567000000000002E-2</v>
      </c>
      <c r="FH191" s="55">
        <f t="shared" ca="1" si="115"/>
        <v>0</v>
      </c>
      <c r="FI191" s="55">
        <f t="shared" ca="1" si="207"/>
        <v>0</v>
      </c>
      <c r="FJ191" s="55">
        <f t="shared" ca="1" si="208"/>
        <v>-0.240626880165</v>
      </c>
      <c r="FK191" s="55">
        <f t="shared" ca="1" si="209"/>
        <v>-0.51907893479400014</v>
      </c>
      <c r="FL191" s="55">
        <f t="shared" ca="1" si="210"/>
        <v>-6.2123987037000061E-2</v>
      </c>
      <c r="FM191" s="55">
        <f t="shared" ca="1" si="211"/>
        <v>0.11683216828500001</v>
      </c>
      <c r="FN191" s="55">
        <f t="shared" ca="1" si="212"/>
        <v>-0.39244143676500004</v>
      </c>
      <c r="FO191" s="55">
        <f t="shared" ca="1" si="213"/>
        <v>-0.17079824378399999</v>
      </c>
      <c r="FP191" s="55">
        <f t="shared" ca="1" si="214"/>
        <v>-0.12035201988599997</v>
      </c>
      <c r="FQ191" s="55">
        <f t="shared" ca="1" si="215"/>
        <v>-0.40251743109900007</v>
      </c>
      <c r="FR191" s="55">
        <f t="shared" ca="1" si="216"/>
        <v>-6.500797883999998E-2</v>
      </c>
      <c r="FS191" s="55">
        <f t="shared" ca="1" si="158"/>
        <v>-0.41671318287900005</v>
      </c>
      <c r="FT191" s="55">
        <f t="shared" ca="1" si="159"/>
        <v>0.21742122935400005</v>
      </c>
      <c r="FU191" s="55">
        <f t="shared" ca="1" si="160"/>
        <v>-0.34045040481900002</v>
      </c>
      <c r="FV191" s="55">
        <f t="shared" ca="1" si="161"/>
        <v>-0.17504606193900002</v>
      </c>
      <c r="FW191" s="55">
        <f t="shared" ca="1" si="162"/>
        <v>3.3582608010000015E-2</v>
      </c>
      <c r="FX191" s="55">
        <f t="shared" ca="1" si="163"/>
        <v>0.14197408085700003</v>
      </c>
      <c r="FY191" s="55">
        <f t="shared" ca="1" si="164"/>
        <v>0.11621489142899999</v>
      </c>
      <c r="FZ191" s="55">
        <f t="shared" ca="1" si="165"/>
        <v>-9.559509739500005E-2</v>
      </c>
      <c r="GA191" s="55">
        <f t="shared" ca="1" si="166"/>
        <v>-8.5943682887999917E-2</v>
      </c>
      <c r="GB191" s="55">
        <f t="shared" ca="1" si="167"/>
        <v>9.2846437887000088E-2</v>
      </c>
      <c r="GC191" s="55">
        <f t="shared" ca="1" si="168"/>
        <v>-1.0301708403210001</v>
      </c>
      <c r="GD191" s="55">
        <f t="shared" ca="1" si="169"/>
        <v>0.48261193100400007</v>
      </c>
      <c r="GE191" s="55">
        <f t="shared" ca="1" si="170"/>
        <v>-0.13455787109099998</v>
      </c>
      <c r="GF191" s="55">
        <f t="shared" ca="1" si="171"/>
        <v>0.41825839490400002</v>
      </c>
      <c r="GG191" s="55">
        <f t="shared" ca="1" si="172"/>
        <v>-4.7325905549999714E-3</v>
      </c>
      <c r="GH191" s="55">
        <f t="shared" ca="1" si="173"/>
        <v>0.695802713214</v>
      </c>
      <c r="GI191" s="55">
        <f t="shared" ca="1" si="174"/>
        <v>0</v>
      </c>
      <c r="GJ191" s="55">
        <f t="shared" ca="1" si="175"/>
        <v>0</v>
      </c>
      <c r="GK191" s="55">
        <f t="shared" ca="1" si="176"/>
        <v>0</v>
      </c>
      <c r="GL191" s="55">
        <f t="shared" ca="1" si="177"/>
        <v>0</v>
      </c>
      <c r="GM191" s="55">
        <f t="shared" ca="1" si="178"/>
        <v>0</v>
      </c>
      <c r="GN191" s="55">
        <f t="shared" ca="1" si="179"/>
        <v>0</v>
      </c>
      <c r="GO191" s="55">
        <f t="shared" ca="1" si="180"/>
        <v>0</v>
      </c>
      <c r="GP191" s="55">
        <f t="shared" ca="1" si="181"/>
        <v>0</v>
      </c>
      <c r="GQ191" s="55">
        <f t="shared" ca="1" si="182"/>
        <v>0</v>
      </c>
      <c r="GR191" s="55">
        <f t="shared" ca="1" si="183"/>
        <v>0</v>
      </c>
      <c r="GS191" s="55">
        <f t="shared" ca="1" si="184"/>
        <v>0</v>
      </c>
      <c r="GT191" s="55">
        <f t="shared" ca="1" si="185"/>
        <v>0</v>
      </c>
      <c r="GU191" s="55">
        <f t="shared" ca="1" si="186"/>
        <v>0</v>
      </c>
      <c r="GV191" s="55">
        <f t="shared" ca="1" si="187"/>
        <v>0</v>
      </c>
      <c r="GW191" s="55">
        <f t="shared" ca="1" si="188"/>
        <v>0</v>
      </c>
      <c r="GX191" s="55">
        <f t="shared" ca="1" si="189"/>
        <v>0</v>
      </c>
      <c r="GY191" s="55">
        <f t="shared" ca="1" si="190"/>
        <v>0</v>
      </c>
      <c r="GZ191" s="55">
        <f t="shared" ca="1" si="191"/>
        <v>0</v>
      </c>
      <c r="HA191" s="55">
        <f t="shared" ca="1" si="192"/>
        <v>0</v>
      </c>
      <c r="HB191" s="55">
        <f t="shared" ca="1" si="193"/>
        <v>0</v>
      </c>
      <c r="HC191" s="55">
        <f t="shared" ca="1" si="194"/>
        <v>0</v>
      </c>
      <c r="HD191" s="55">
        <f t="shared" ca="1" si="195"/>
        <v>0</v>
      </c>
      <c r="HE191" s="55">
        <f t="shared" ca="1" si="196"/>
        <v>0</v>
      </c>
    </row>
    <row r="192" spans="1:213">
      <c r="A192" s="27">
        <v>55</v>
      </c>
      <c r="B192" s="27">
        <v>96</v>
      </c>
      <c r="C192" s="27">
        <v>0.206789</v>
      </c>
      <c r="D192" s="27">
        <v>5.6113999999999997E-2</v>
      </c>
      <c r="E192" s="27">
        <v>36</v>
      </c>
      <c r="F192" s="27">
        <f t="shared" ca="1" si="59"/>
        <v>42</v>
      </c>
      <c r="G192" s="27">
        <f t="shared" si="221"/>
        <v>0</v>
      </c>
      <c r="H192" s="27" t="str">
        <f t="shared" si="60"/>
        <v>Sim</v>
      </c>
      <c r="I192" s="27">
        <f t="shared" si="61"/>
        <v>0</v>
      </c>
      <c r="J192" s="37">
        <f t="shared" si="62"/>
        <v>1</v>
      </c>
      <c r="K192" s="55">
        <f t="shared" si="63"/>
        <v>1.201147</v>
      </c>
      <c r="L192" s="55">
        <f t="shared" si="197"/>
        <v>0.79544800000000004</v>
      </c>
      <c r="M192" s="55">
        <f t="shared" si="198"/>
        <v>-0.347964</v>
      </c>
      <c r="N192" s="55">
        <f t="shared" si="199"/>
        <v>0.64128600000000002</v>
      </c>
      <c r="O192" s="55">
        <f t="shared" si="200"/>
        <v>-1.14191</v>
      </c>
      <c r="P192" s="55">
        <f t="shared" si="201"/>
        <v>-0.75992899999999997</v>
      </c>
      <c r="Q192" s="55">
        <f t="shared" si="202"/>
        <v>-1.604358</v>
      </c>
      <c r="R192" s="55">
        <f t="shared" si="203"/>
        <v>0.857491</v>
      </c>
      <c r="S192" s="55">
        <f t="shared" si="204"/>
        <v>-0.38516099999999998</v>
      </c>
      <c r="T192" s="55">
        <f t="shared" si="205"/>
        <v>-0.71442099999999997</v>
      </c>
      <c r="U192" s="55">
        <f t="shared" si="206"/>
        <v>0.24291399999999999</v>
      </c>
      <c r="V192" s="55">
        <f t="shared" si="116"/>
        <v>0.67096800000000001</v>
      </c>
      <c r="W192" s="55">
        <f t="shared" si="117"/>
        <v>-0.96941600000000006</v>
      </c>
      <c r="X192" s="55">
        <f t="shared" si="118"/>
        <v>0.99116300000000002</v>
      </c>
      <c r="Y192" s="55">
        <f t="shared" si="119"/>
        <v>-0.74195800000000001</v>
      </c>
      <c r="Z192" s="55">
        <f t="shared" si="120"/>
        <v>-0.86413799999999996</v>
      </c>
      <c r="AA192" s="55">
        <f t="shared" si="121"/>
        <v>0.40667399999999998</v>
      </c>
      <c r="AB192" s="55">
        <f t="shared" si="122"/>
        <v>-0.128631</v>
      </c>
      <c r="AC192" s="55">
        <f t="shared" si="123"/>
        <v>0.52541599999999999</v>
      </c>
      <c r="AD192" s="55">
        <f t="shared" si="124"/>
        <v>-0.70207799999999998</v>
      </c>
      <c r="AE192" s="55">
        <f t="shared" si="125"/>
        <v>0.44840099999999999</v>
      </c>
      <c r="AF192" s="55">
        <f t="shared" si="126"/>
        <v>0.16995399999999999</v>
      </c>
      <c r="AG192" s="55">
        <f t="shared" si="127"/>
        <v>-0.86248899999999995</v>
      </c>
      <c r="AH192" s="55">
        <f t="shared" si="128"/>
        <v>-0.22888700000000001</v>
      </c>
      <c r="AI192" s="55">
        <f t="shared" si="129"/>
        <v>0.45491999999999999</v>
      </c>
      <c r="AJ192" s="55">
        <f t="shared" si="130"/>
        <v>-0.72645800000000005</v>
      </c>
      <c r="AK192" s="55">
        <f t="shared" si="131"/>
        <v>1.391367</v>
      </c>
      <c r="AL192" s="55">
        <f t="shared" si="132"/>
        <v>9.3720000000000001E-3</v>
      </c>
      <c r="AM192" s="55">
        <f t="shared" si="133"/>
        <v>0.78249100000000005</v>
      </c>
      <c r="AN192" s="55">
        <f t="shared" si="134"/>
        <v>0.10928599999999999</v>
      </c>
      <c r="AO192" s="55">
        <f t="shared" si="135"/>
        <v>0.149314</v>
      </c>
      <c r="AP192" s="55">
        <f t="shared" si="136"/>
        <v>-0.14735699999999999</v>
      </c>
      <c r="AQ192" s="55">
        <f t="shared" si="137"/>
        <v>-0.37022500000000003</v>
      </c>
      <c r="AR192" s="55">
        <f t="shared" si="138"/>
        <v>0.68862100000000004</v>
      </c>
      <c r="AS192" s="55">
        <f t="shared" si="139"/>
        <v>0.116507</v>
      </c>
      <c r="AT192" s="55">
        <f t="shared" si="140"/>
        <v>0.70454499999999998</v>
      </c>
      <c r="AU192" s="55">
        <f t="shared" si="141"/>
        <v>0.25917099999999998</v>
      </c>
      <c r="AV192" s="55">
        <f t="shared" si="142"/>
        <v>0.58424699999999996</v>
      </c>
      <c r="AW192" s="55">
        <f t="shared" si="143"/>
        <v>0.43226199999999998</v>
      </c>
      <c r="AX192" s="55">
        <f t="shared" si="144"/>
        <v>0.38578699999999999</v>
      </c>
      <c r="AY192" s="55">
        <f t="shared" si="145"/>
        <v>1.4157839999999999</v>
      </c>
      <c r="AZ192" s="55">
        <f t="shared" si="146"/>
        <v>0.87623600000000001</v>
      </c>
      <c r="BA192" s="55">
        <f t="shared" si="147"/>
        <v>-3.2625000000000001E-2</v>
      </c>
      <c r="BB192" s="55">
        <f t="shared" si="148"/>
        <v>0.20579900000000001</v>
      </c>
      <c r="BC192" s="55">
        <f t="shared" si="149"/>
        <v>0.16142899999999999</v>
      </c>
      <c r="BD192" s="55">
        <f t="shared" si="150"/>
        <v>0.53557699999999997</v>
      </c>
      <c r="BE192" s="55">
        <f t="shared" si="151"/>
        <v>2.696E-3</v>
      </c>
      <c r="BF192" s="55">
        <f t="shared" si="152"/>
        <v>0.41212700000000002</v>
      </c>
      <c r="BG192" s="55">
        <f t="shared" si="153"/>
        <v>-9.1273000000000007E-2</v>
      </c>
      <c r="BH192" s="55">
        <f t="shared" si="154"/>
        <v>-9.8309999999999995E-2</v>
      </c>
      <c r="BJ192" s="55">
        <f t="shared" si="229"/>
        <v>1.0107900000000001</v>
      </c>
      <c r="BK192" s="55">
        <f t="shared" si="229"/>
        <v>-0.88376999999999994</v>
      </c>
      <c r="BL192" s="55">
        <f t="shared" si="229"/>
        <v>-0.74157600000000001</v>
      </c>
      <c r="BM192" s="55">
        <f t="shared" si="229"/>
        <v>-0.76297199999999998</v>
      </c>
      <c r="BN192" s="55">
        <f t="shared" si="229"/>
        <v>-0.84866399999999997</v>
      </c>
      <c r="BO192" s="55">
        <f t="shared" si="229"/>
        <v>0.29241699999999998</v>
      </c>
      <c r="BP192" s="55">
        <f t="shared" si="229"/>
        <v>-0.57423900000000005</v>
      </c>
      <c r="BQ192" s="55">
        <f t="shared" si="229"/>
        <v>0.78362399999999999</v>
      </c>
      <c r="BR192" s="55">
        <f t="shared" si="229"/>
        <v>0.84691899999999998</v>
      </c>
      <c r="BS192" s="55">
        <f t="shared" si="229"/>
        <v>0.54095300000000002</v>
      </c>
      <c r="BT192" s="55">
        <f t="shared" si="229"/>
        <v>-1.2010559999999999</v>
      </c>
      <c r="BU192" s="55">
        <f t="shared" si="229"/>
        <v>0.90051000000000003</v>
      </c>
      <c r="BV192" s="55">
        <f t="shared" si="229"/>
        <v>0.25661400000000001</v>
      </c>
      <c r="BW192" s="55">
        <f t="shared" si="229"/>
        <v>-7.8424999999999995E-2</v>
      </c>
      <c r="BX192" s="55">
        <f t="shared" si="229"/>
        <v>0.83231200000000005</v>
      </c>
      <c r="BY192" s="55">
        <f t="shared" si="229"/>
        <v>-0.28163100000000002</v>
      </c>
      <c r="BZ192" s="55">
        <f t="shared" si="227"/>
        <v>-0.18229799999999999</v>
      </c>
      <c r="CA192" s="55">
        <f t="shared" si="227"/>
        <v>0.49211300000000002</v>
      </c>
      <c r="CB192" s="55">
        <f t="shared" si="227"/>
        <v>1.135105</v>
      </c>
      <c r="CC192" s="55">
        <f t="shared" si="227"/>
        <v>-0.13441500000000001</v>
      </c>
      <c r="CD192" s="55">
        <f t="shared" si="227"/>
        <v>0.28303899999999999</v>
      </c>
      <c r="CE192" s="55">
        <f t="shared" si="227"/>
        <v>4.4645999999999998E-2</v>
      </c>
      <c r="CF192" s="55">
        <f t="shared" si="227"/>
        <v>0.783196</v>
      </c>
      <c r="CG192" s="55">
        <f t="shared" si="227"/>
        <v>-0.25130000000000002</v>
      </c>
      <c r="CH192" s="55">
        <f t="shared" si="227"/>
        <v>1.254807</v>
      </c>
      <c r="CI192" s="55">
        <f t="shared" si="227"/>
        <v>0.24223800000000001</v>
      </c>
      <c r="CJ192" s="55">
        <f t="shared" si="227"/>
        <v>-0.66971400000000003</v>
      </c>
      <c r="CK192" s="55">
        <f t="shared" si="227"/>
        <v>-0.63559399999999999</v>
      </c>
      <c r="CL192" s="55">
        <f t="shared" si="227"/>
        <v>0.83333999999999997</v>
      </c>
      <c r="CM192" s="55">
        <f t="shared" si="227"/>
        <v>-0.51413600000000004</v>
      </c>
      <c r="CN192" s="55">
        <f t="shared" si="227"/>
        <v>0.59201899999999996</v>
      </c>
      <c r="CO192" s="55">
        <f t="shared" si="228"/>
        <v>-0.88652399999999998</v>
      </c>
      <c r="CP192" s="55">
        <f t="shared" si="228"/>
        <v>0.37301200000000001</v>
      </c>
      <c r="CQ192" s="55">
        <f t="shared" si="228"/>
        <v>-0.210336</v>
      </c>
      <c r="CR192" s="55">
        <f t="shared" si="228"/>
        <v>0.299093</v>
      </c>
      <c r="CS192" s="55">
        <f t="shared" si="228"/>
        <v>1.491269</v>
      </c>
      <c r="CT192" s="55">
        <f t="shared" si="228"/>
        <v>0.41825699999999999</v>
      </c>
      <c r="CU192" s="55">
        <f t="shared" si="228"/>
        <v>0.101591</v>
      </c>
      <c r="CV192" s="55">
        <f t="shared" si="228"/>
        <v>-0.26250099999999998</v>
      </c>
      <c r="CW192" s="55">
        <f t="shared" si="228"/>
        <v>0.44266100000000003</v>
      </c>
      <c r="CX192" s="55">
        <f t="shared" si="228"/>
        <v>0.94009100000000001</v>
      </c>
      <c r="CY192" s="55">
        <f t="shared" si="228"/>
        <v>0.54240699999999997</v>
      </c>
      <c r="CZ192" s="55">
        <f t="shared" si="228"/>
        <v>0.25891700000000001</v>
      </c>
      <c r="DA192" s="55">
        <f t="shared" si="228"/>
        <v>-0.27995100000000001</v>
      </c>
      <c r="DB192" s="55">
        <f t="shared" si="228"/>
        <v>-0.27900700000000001</v>
      </c>
      <c r="DC192" s="55">
        <f t="shared" si="228"/>
        <v>-0.518536</v>
      </c>
      <c r="DD192" s="55">
        <f t="shared" si="228"/>
        <v>-1.1963159999999999</v>
      </c>
      <c r="DE192" s="55">
        <f t="shared" si="226"/>
        <v>-0.195964</v>
      </c>
      <c r="DF192" s="55">
        <f t="shared" si="226"/>
        <v>1.0676159999999999</v>
      </c>
      <c r="DG192" s="55">
        <f t="shared" si="226"/>
        <v>-0.19059999999999999</v>
      </c>
      <c r="DI192" s="55">
        <f t="shared" ca="1" si="65"/>
        <v>1.201147</v>
      </c>
      <c r="DJ192" s="55">
        <f t="shared" ca="1" si="66"/>
        <v>0.79544800000000004</v>
      </c>
      <c r="DK192" s="55">
        <f t="shared" ca="1" si="67"/>
        <v>-0.347964</v>
      </c>
      <c r="DL192" s="55">
        <f t="shared" ca="1" si="68"/>
        <v>0.64128600000000002</v>
      </c>
      <c r="DM192" s="55">
        <f t="shared" ca="1" si="69"/>
        <v>-1.14191</v>
      </c>
      <c r="DN192" s="55">
        <f t="shared" ca="1" si="70"/>
        <v>-0.75992899999999997</v>
      </c>
      <c r="DO192" s="55">
        <f t="shared" ca="1" si="71"/>
        <v>-1.604358</v>
      </c>
      <c r="DP192" s="55">
        <f t="shared" ca="1" si="72"/>
        <v>0.857491</v>
      </c>
      <c r="DQ192" s="55">
        <f t="shared" ca="1" si="73"/>
        <v>-0.38516099999999998</v>
      </c>
      <c r="DR192" s="55">
        <f t="shared" ca="1" si="74"/>
        <v>-0.71442099999999997</v>
      </c>
      <c r="DS192" s="55">
        <f t="shared" ca="1" si="75"/>
        <v>0.24291399999999999</v>
      </c>
      <c r="DT192" s="55">
        <f t="shared" ca="1" si="76"/>
        <v>0.67096800000000001</v>
      </c>
      <c r="DU192" s="55">
        <f t="shared" ca="1" si="77"/>
        <v>-0.96941600000000006</v>
      </c>
      <c r="DV192" s="55">
        <f t="shared" ca="1" si="78"/>
        <v>0.99116300000000002</v>
      </c>
      <c r="DW192" s="55">
        <f t="shared" ca="1" si="79"/>
        <v>-0.74195800000000001</v>
      </c>
      <c r="DX192" s="55">
        <f t="shared" ca="1" si="80"/>
        <v>-0.86413799999999996</v>
      </c>
      <c r="DY192" s="55">
        <f t="shared" ca="1" si="81"/>
        <v>0.40667399999999998</v>
      </c>
      <c r="DZ192" s="55">
        <f t="shared" ca="1" si="82"/>
        <v>-0.128631</v>
      </c>
      <c r="EA192" s="55">
        <f t="shared" ca="1" si="83"/>
        <v>0.52541599999999999</v>
      </c>
      <c r="EB192" s="55">
        <f t="shared" ca="1" si="84"/>
        <v>-0.70207799999999998</v>
      </c>
      <c r="EC192" s="55">
        <f t="shared" ca="1" si="85"/>
        <v>0.44840099999999999</v>
      </c>
      <c r="ED192" s="55">
        <f t="shared" ca="1" si="86"/>
        <v>0.16995399999999999</v>
      </c>
      <c r="EE192" s="55">
        <f t="shared" ca="1" si="87"/>
        <v>-0.86248899999999995</v>
      </c>
      <c r="EF192" s="55">
        <f t="shared" ca="1" si="88"/>
        <v>-0.22888700000000001</v>
      </c>
      <c r="EG192" s="55">
        <f t="shared" ca="1" si="89"/>
        <v>0.45491999999999999</v>
      </c>
      <c r="EH192" s="55">
        <f t="shared" ca="1" si="90"/>
        <v>-0.72645800000000005</v>
      </c>
      <c r="EI192" s="55">
        <f t="shared" ca="1" si="91"/>
        <v>1.391367</v>
      </c>
      <c r="EJ192" s="55">
        <f t="shared" ca="1" si="92"/>
        <v>9.3720000000000001E-3</v>
      </c>
      <c r="EK192" s="55">
        <f t="shared" ca="1" si="93"/>
        <v>0.78249100000000005</v>
      </c>
      <c r="EL192" s="55">
        <f t="shared" ca="1" si="94"/>
        <v>0.10928599999999999</v>
      </c>
      <c r="EM192" s="55">
        <f t="shared" ca="1" si="95"/>
        <v>0.149314</v>
      </c>
      <c r="EN192" s="55">
        <f t="shared" ca="1" si="96"/>
        <v>-0.14735699999999999</v>
      </c>
      <c r="EO192" s="55">
        <f t="shared" ca="1" si="97"/>
        <v>-0.37022500000000003</v>
      </c>
      <c r="EP192" s="55">
        <f t="shared" ca="1" si="98"/>
        <v>0.68862100000000004</v>
      </c>
      <c r="EQ192" s="55">
        <f t="shared" ca="1" si="99"/>
        <v>0.116507</v>
      </c>
      <c r="ER192" s="55">
        <f t="shared" ca="1" si="100"/>
        <v>0.70454499999999998</v>
      </c>
      <c r="ES192" s="55">
        <f t="shared" ca="1" si="101"/>
        <v>0.409330048196</v>
      </c>
      <c r="ET192" s="55">
        <f t="shared" ca="1" si="102"/>
        <v>0.128674758784</v>
      </c>
      <c r="EU192" s="55">
        <f t="shared" ca="1" si="103"/>
        <v>-0.22351506901799997</v>
      </c>
      <c r="EV192" s="55">
        <f t="shared" ca="1" si="104"/>
        <v>0.43946957236400003</v>
      </c>
      <c r="EW192" s="55">
        <f t="shared" ca="1" si="105"/>
        <v>0.966784037002</v>
      </c>
      <c r="EX192" s="55">
        <f t="shared" ca="1" si="106"/>
        <v>0.56113948050599993</v>
      </c>
      <c r="EY192" s="55">
        <f t="shared" ca="1" si="107"/>
        <v>-3.2625000000000001E-2</v>
      </c>
      <c r="EZ192" s="55">
        <f t="shared" ca="1" si="108"/>
        <v>0.20579900000000001</v>
      </c>
      <c r="FA192" s="55">
        <f t="shared" ca="1" si="109"/>
        <v>0.16142899999999999</v>
      </c>
      <c r="FB192" s="55">
        <f t="shared" ca="1" si="110"/>
        <v>0.53557699999999997</v>
      </c>
      <c r="FC192" s="55">
        <f t="shared" ca="1" si="111"/>
        <v>2.696E-3</v>
      </c>
      <c r="FD192" s="55">
        <f t="shared" ca="1" si="112"/>
        <v>0.41212700000000002</v>
      </c>
      <c r="FE192" s="55">
        <f t="shared" ca="1" si="113"/>
        <v>-9.1273000000000007E-2</v>
      </c>
      <c r="FF192" s="55">
        <f t="shared" ca="1" si="114"/>
        <v>-9.8309999999999995E-2</v>
      </c>
      <c r="FH192" s="55">
        <f t="shared" ca="1" si="115"/>
        <v>0</v>
      </c>
      <c r="FI192" s="55">
        <f t="shared" ca="1" si="207"/>
        <v>0</v>
      </c>
      <c r="FJ192" s="55">
        <f t="shared" ca="1" si="208"/>
        <v>0</v>
      </c>
      <c r="FK192" s="55">
        <f t="shared" ca="1" si="209"/>
        <v>0</v>
      </c>
      <c r="FL192" s="55">
        <f t="shared" ca="1" si="210"/>
        <v>0</v>
      </c>
      <c r="FM192" s="55">
        <f t="shared" ca="1" si="211"/>
        <v>0</v>
      </c>
      <c r="FN192" s="55">
        <f t="shared" ca="1" si="212"/>
        <v>0</v>
      </c>
      <c r="FO192" s="55">
        <f t="shared" ca="1" si="213"/>
        <v>0</v>
      </c>
      <c r="FP192" s="55">
        <f t="shared" ca="1" si="214"/>
        <v>0</v>
      </c>
      <c r="FQ192" s="55">
        <f t="shared" ca="1" si="215"/>
        <v>0</v>
      </c>
      <c r="FR192" s="55">
        <f t="shared" ca="1" si="216"/>
        <v>0</v>
      </c>
      <c r="FS192" s="55">
        <f t="shared" ca="1" si="158"/>
        <v>0</v>
      </c>
      <c r="FT192" s="55">
        <f t="shared" ca="1" si="159"/>
        <v>0</v>
      </c>
      <c r="FU192" s="55">
        <f t="shared" ca="1" si="160"/>
        <v>0</v>
      </c>
      <c r="FV192" s="55">
        <f t="shared" ca="1" si="161"/>
        <v>0</v>
      </c>
      <c r="FW192" s="55">
        <f t="shared" ca="1" si="162"/>
        <v>0</v>
      </c>
      <c r="FX192" s="55">
        <f t="shared" ca="1" si="163"/>
        <v>0</v>
      </c>
      <c r="FY192" s="55">
        <f t="shared" ca="1" si="164"/>
        <v>0</v>
      </c>
      <c r="FZ192" s="55">
        <f t="shared" ca="1" si="165"/>
        <v>0</v>
      </c>
      <c r="GA192" s="55">
        <f t="shared" ca="1" si="166"/>
        <v>0</v>
      </c>
      <c r="GB192" s="55">
        <f t="shared" ca="1" si="167"/>
        <v>0</v>
      </c>
      <c r="GC192" s="55">
        <f t="shared" ca="1" si="168"/>
        <v>0</v>
      </c>
      <c r="GD192" s="55">
        <f t="shared" ca="1" si="169"/>
        <v>0</v>
      </c>
      <c r="GE192" s="55">
        <f t="shared" ca="1" si="170"/>
        <v>0</v>
      </c>
      <c r="GF192" s="55">
        <f t="shared" ca="1" si="171"/>
        <v>0</v>
      </c>
      <c r="GG192" s="55">
        <f t="shared" ca="1" si="172"/>
        <v>0</v>
      </c>
      <c r="GH192" s="55">
        <f t="shared" ca="1" si="173"/>
        <v>0</v>
      </c>
      <c r="GI192" s="55">
        <f t="shared" ca="1" si="174"/>
        <v>0</v>
      </c>
      <c r="GJ192" s="55">
        <f t="shared" ca="1" si="175"/>
        <v>0</v>
      </c>
      <c r="GK192" s="55">
        <f t="shared" ca="1" si="176"/>
        <v>0</v>
      </c>
      <c r="GL192" s="55">
        <f t="shared" ca="1" si="177"/>
        <v>0</v>
      </c>
      <c r="GM192" s="55">
        <f t="shared" ca="1" si="178"/>
        <v>0</v>
      </c>
      <c r="GN192" s="55">
        <f t="shared" ca="1" si="179"/>
        <v>0</v>
      </c>
      <c r="GO192" s="55">
        <f t="shared" ca="1" si="180"/>
        <v>0</v>
      </c>
      <c r="GP192" s="55">
        <f t="shared" ca="1" si="181"/>
        <v>0</v>
      </c>
      <c r="GQ192" s="55">
        <f t="shared" ca="1" si="182"/>
        <v>0</v>
      </c>
      <c r="GR192" s="55">
        <f t="shared" ca="1" si="183"/>
        <v>0.15015904819600001</v>
      </c>
      <c r="GS192" s="55">
        <f t="shared" ca="1" si="184"/>
        <v>-0.45557224121599993</v>
      </c>
      <c r="GT192" s="55">
        <f t="shared" ca="1" si="185"/>
        <v>-0.65577706901799993</v>
      </c>
      <c r="GU192" s="55">
        <f t="shared" ca="1" si="186"/>
        <v>5.3682572364000036E-2</v>
      </c>
      <c r="GV192" s="55">
        <f t="shared" ca="1" si="187"/>
        <v>-0.44899996299799994</v>
      </c>
      <c r="GW192" s="55">
        <f t="shared" ca="1" si="188"/>
        <v>-0.31509651949400008</v>
      </c>
      <c r="GX192" s="55">
        <f t="shared" ca="1" si="189"/>
        <v>0</v>
      </c>
      <c r="GY192" s="55">
        <f t="shared" ca="1" si="190"/>
        <v>0</v>
      </c>
      <c r="GZ192" s="55">
        <f t="shared" ca="1" si="191"/>
        <v>0</v>
      </c>
      <c r="HA192" s="55">
        <f t="shared" ca="1" si="192"/>
        <v>0</v>
      </c>
      <c r="HB192" s="55">
        <f t="shared" ca="1" si="193"/>
        <v>0</v>
      </c>
      <c r="HC192" s="55">
        <f t="shared" ca="1" si="194"/>
        <v>0</v>
      </c>
      <c r="HD192" s="55">
        <f t="shared" ca="1" si="195"/>
        <v>0</v>
      </c>
      <c r="HE192" s="55">
        <f t="shared" ca="1" si="196"/>
        <v>0</v>
      </c>
    </row>
    <row r="193" spans="1:213">
      <c r="A193" s="27">
        <v>56</v>
      </c>
      <c r="B193" s="27">
        <v>38</v>
      </c>
      <c r="C193" s="27">
        <v>0.52856300000000001</v>
      </c>
      <c r="D193" s="27">
        <v>0.644733</v>
      </c>
      <c r="E193" s="27">
        <v>34</v>
      </c>
      <c r="F193" s="27">
        <f t="shared" ca="1" si="59"/>
        <v>48</v>
      </c>
      <c r="G193" s="27">
        <f t="shared" si="221"/>
        <v>0</v>
      </c>
      <c r="H193" s="27" t="str">
        <f t="shared" si="60"/>
        <v>Sim</v>
      </c>
      <c r="I193" s="27">
        <f t="shared" si="61"/>
        <v>0</v>
      </c>
      <c r="J193" s="37">
        <f t="shared" si="62"/>
        <v>1</v>
      </c>
      <c r="K193" s="55">
        <f t="shared" si="63"/>
        <v>0.69282900000000003</v>
      </c>
      <c r="L193" s="55">
        <f t="shared" si="197"/>
        <v>0.71467999999999998</v>
      </c>
      <c r="M193" s="55">
        <f t="shared" si="198"/>
        <v>1.2126570000000001</v>
      </c>
      <c r="N193" s="55">
        <f t="shared" si="199"/>
        <v>0.45126899999999998</v>
      </c>
      <c r="O193" s="55">
        <f t="shared" si="200"/>
        <v>0.98350499999999996</v>
      </c>
      <c r="P193" s="55">
        <f t="shared" si="201"/>
        <v>0.68548600000000004</v>
      </c>
      <c r="Q193" s="55">
        <f t="shared" si="202"/>
        <v>-0.48544799999999999</v>
      </c>
      <c r="R193" s="55">
        <f t="shared" si="203"/>
        <v>-0.589256</v>
      </c>
      <c r="S193" s="55">
        <f t="shared" si="204"/>
        <v>1.5953120000000001</v>
      </c>
      <c r="T193" s="55">
        <f t="shared" si="205"/>
        <v>0.53074600000000005</v>
      </c>
      <c r="U193" s="55">
        <f t="shared" si="206"/>
        <v>0.60611800000000005</v>
      </c>
      <c r="V193" s="55">
        <f t="shared" si="116"/>
        <v>-0.25597799999999998</v>
      </c>
      <c r="W193" s="55">
        <f t="shared" si="117"/>
        <v>-0.82231299999999996</v>
      </c>
      <c r="X193" s="55">
        <f t="shared" si="118"/>
        <v>0.101855</v>
      </c>
      <c r="Y193" s="55">
        <f t="shared" si="119"/>
        <v>-5.0455E-2</v>
      </c>
      <c r="Z193" s="55">
        <f t="shared" si="120"/>
        <v>-0.49763299999999999</v>
      </c>
      <c r="AA193" s="55">
        <f t="shared" si="121"/>
        <v>-0.41728700000000002</v>
      </c>
      <c r="AB193" s="55">
        <f t="shared" si="122"/>
        <v>0.94844899999999999</v>
      </c>
      <c r="AC193" s="55">
        <f t="shared" si="123"/>
        <v>1.5517179999999999</v>
      </c>
      <c r="AD193" s="55">
        <f t="shared" si="124"/>
        <v>-0.74891399999999997</v>
      </c>
      <c r="AE193" s="55">
        <f t="shared" si="125"/>
        <v>-5.0248000000000001E-2</v>
      </c>
      <c r="AF193" s="55">
        <f t="shared" si="126"/>
        <v>-1.2618000000000001E-2</v>
      </c>
      <c r="AG193" s="55">
        <f t="shared" si="127"/>
        <v>0.34831000000000001</v>
      </c>
      <c r="AH193" s="55">
        <f t="shared" si="128"/>
        <v>0.63383100000000003</v>
      </c>
      <c r="AI193" s="55">
        <f t="shared" si="129"/>
        <v>0.53678700000000001</v>
      </c>
      <c r="AJ193" s="55">
        <f t="shared" si="130"/>
        <v>0.40151300000000001</v>
      </c>
      <c r="AK193" s="55">
        <f t="shared" si="131"/>
        <v>-2.4989999999999998E-2</v>
      </c>
      <c r="AL193" s="55">
        <f t="shared" si="132"/>
        <v>-0.154254</v>
      </c>
      <c r="AM193" s="55">
        <f t="shared" si="133"/>
        <v>-0.74421000000000004</v>
      </c>
      <c r="AN193" s="55">
        <f t="shared" si="134"/>
        <v>0.69545599999999996</v>
      </c>
      <c r="AO193" s="55">
        <f t="shared" si="135"/>
        <v>0.92507300000000003</v>
      </c>
      <c r="AP193" s="55">
        <f t="shared" si="136"/>
        <v>0.50984099999999999</v>
      </c>
      <c r="AQ193" s="55">
        <f t="shared" si="137"/>
        <v>1.180007</v>
      </c>
      <c r="AR193" s="55">
        <f t="shared" si="138"/>
        <v>-0.68346700000000005</v>
      </c>
      <c r="AS193" s="55">
        <f t="shared" si="139"/>
        <v>0.350964</v>
      </c>
      <c r="AT193" s="55">
        <f t="shared" si="140"/>
        <v>-0.80468099999999998</v>
      </c>
      <c r="AU193" s="55">
        <f t="shared" si="141"/>
        <v>-0.99315799999999999</v>
      </c>
      <c r="AV193" s="55">
        <f t="shared" si="142"/>
        <v>0.50609499999999996</v>
      </c>
      <c r="AW193" s="55">
        <f t="shared" si="143"/>
        <v>3.9163999999999997E-2</v>
      </c>
      <c r="AX193" s="55">
        <f t="shared" si="144"/>
        <v>0.75449200000000005</v>
      </c>
      <c r="AY193" s="55">
        <f t="shared" si="145"/>
        <v>-0.72423800000000005</v>
      </c>
      <c r="AZ193" s="55">
        <f t="shared" si="146"/>
        <v>-1.437047</v>
      </c>
      <c r="BA193" s="55">
        <f t="shared" si="147"/>
        <v>0.22187799999999999</v>
      </c>
      <c r="BB193" s="55">
        <f t="shared" si="148"/>
        <v>0.92526600000000003</v>
      </c>
      <c r="BC193" s="55">
        <f t="shared" si="149"/>
        <v>0.57592299999999996</v>
      </c>
      <c r="BD193" s="55">
        <f t="shared" si="150"/>
        <v>-0.42172900000000002</v>
      </c>
      <c r="BE193" s="55">
        <f t="shared" si="151"/>
        <v>-0.86690800000000001</v>
      </c>
      <c r="BF193" s="55">
        <f t="shared" si="152"/>
        <v>-0.44526199999999999</v>
      </c>
      <c r="BG193" s="55">
        <f t="shared" si="153"/>
        <v>-0.397623</v>
      </c>
      <c r="BH193" s="55">
        <f t="shared" si="154"/>
        <v>-0.37359500000000001</v>
      </c>
      <c r="BJ193" s="55">
        <f t="shared" si="229"/>
        <v>-0.48004000000000002</v>
      </c>
      <c r="BK193" s="55">
        <f t="shared" si="229"/>
        <v>-0.29918</v>
      </c>
      <c r="BL193" s="55">
        <f t="shared" si="229"/>
        <v>-8.6808999999999997E-2</v>
      </c>
      <c r="BM193" s="55">
        <f t="shared" si="229"/>
        <v>-0.69194999999999995</v>
      </c>
      <c r="BN193" s="55">
        <f t="shared" si="229"/>
        <v>-0.40525699999999998</v>
      </c>
      <c r="BO193" s="55">
        <f t="shared" si="229"/>
        <v>-0.51694200000000001</v>
      </c>
      <c r="BP193" s="55">
        <f t="shared" si="229"/>
        <v>-0.72670100000000004</v>
      </c>
      <c r="BQ193" s="55">
        <f t="shared" si="229"/>
        <v>-3.5962000000000001E-2</v>
      </c>
      <c r="BR193" s="55">
        <f t="shared" si="229"/>
        <v>1.1259E-2</v>
      </c>
      <c r="BS193" s="55">
        <f t="shared" si="229"/>
        <v>-1.295855</v>
      </c>
      <c r="BT193" s="55">
        <f t="shared" si="229"/>
        <v>0.30219099999999999</v>
      </c>
      <c r="BU193" s="55">
        <f t="shared" si="229"/>
        <v>0.20626800000000001</v>
      </c>
      <c r="BV193" s="55">
        <f t="shared" si="229"/>
        <v>-0.99504499999999996</v>
      </c>
      <c r="BW193" s="55">
        <f t="shared" si="229"/>
        <v>-0.74937399999999998</v>
      </c>
      <c r="BX193" s="55">
        <f t="shared" si="229"/>
        <v>0.92351799999999995</v>
      </c>
      <c r="BY193" s="55">
        <f t="shared" si="229"/>
        <v>-1.7750000000000001E-3</v>
      </c>
      <c r="BZ193" s="55">
        <f t="shared" si="227"/>
        <v>0.22767699999999999</v>
      </c>
      <c r="CA193" s="55">
        <f t="shared" si="227"/>
        <v>1.220369</v>
      </c>
      <c r="CB193" s="55">
        <f t="shared" si="227"/>
        <v>-1.7805999999999999E-2</v>
      </c>
      <c r="CC193" s="55">
        <f t="shared" si="227"/>
        <v>0.156726</v>
      </c>
      <c r="CD193" s="55">
        <f t="shared" si="227"/>
        <v>0.29119299999999998</v>
      </c>
      <c r="CE193" s="55">
        <f t="shared" si="227"/>
        <v>-7.0399999999999998E-4</v>
      </c>
      <c r="CF193" s="55">
        <f t="shared" si="227"/>
        <v>1.1243050000000001</v>
      </c>
      <c r="CG193" s="55">
        <f t="shared" si="227"/>
        <v>1.16414</v>
      </c>
      <c r="CH193" s="55">
        <f t="shared" si="227"/>
        <v>-0.66853499999999999</v>
      </c>
      <c r="CI193" s="55">
        <f t="shared" si="227"/>
        <v>-0.58297600000000005</v>
      </c>
      <c r="CJ193" s="55">
        <f t="shared" si="227"/>
        <v>-0.49433300000000002</v>
      </c>
      <c r="CK193" s="55">
        <f t="shared" si="227"/>
        <v>-0.29913600000000001</v>
      </c>
      <c r="CL193" s="55">
        <f t="shared" si="227"/>
        <v>0.11497400000000001</v>
      </c>
      <c r="CM193" s="55">
        <f t="shared" si="227"/>
        <v>-0.58873399999999998</v>
      </c>
      <c r="CN193" s="55">
        <f t="shared" si="227"/>
        <v>0.15962999999999999</v>
      </c>
      <c r="CO193" s="55">
        <f t="shared" si="228"/>
        <v>-1.332638</v>
      </c>
      <c r="CP193" s="55">
        <f t="shared" si="228"/>
        <v>-0.57228599999999996</v>
      </c>
      <c r="CQ193" s="55">
        <f t="shared" si="228"/>
        <v>0.42866799999999999</v>
      </c>
      <c r="CR193" s="55">
        <f t="shared" si="228"/>
        <v>-0.416159</v>
      </c>
      <c r="CS193" s="55">
        <f t="shared" si="228"/>
        <v>-0.18428600000000001</v>
      </c>
      <c r="CT193" s="55">
        <f t="shared" si="228"/>
        <v>-0.119572</v>
      </c>
      <c r="CU193" s="55">
        <f t="shared" si="228"/>
        <v>0.54732899999999995</v>
      </c>
      <c r="CV193" s="55">
        <f t="shared" si="228"/>
        <v>1.4184840000000001</v>
      </c>
      <c r="CW193" s="55">
        <f t="shared" si="228"/>
        <v>0.75049500000000002</v>
      </c>
      <c r="CX193" s="55">
        <f t="shared" si="228"/>
        <v>-3.1882000000000001E-2</v>
      </c>
      <c r="CY193" s="55">
        <f t="shared" si="228"/>
        <v>-0.35848099999999999</v>
      </c>
      <c r="CZ193" s="55">
        <f t="shared" si="228"/>
        <v>-0.38985799999999998</v>
      </c>
      <c r="DA193" s="55">
        <f t="shared" si="228"/>
        <v>0.44205</v>
      </c>
      <c r="DB193" s="55">
        <f t="shared" si="228"/>
        <v>-8.0337000000000006E-2</v>
      </c>
      <c r="DC193" s="55">
        <f t="shared" si="228"/>
        <v>-0.148808</v>
      </c>
      <c r="DD193" s="55">
        <f t="shared" si="228"/>
        <v>-0.64418399999999998</v>
      </c>
      <c r="DE193" s="55">
        <f t="shared" si="226"/>
        <v>-0.26361800000000002</v>
      </c>
      <c r="DF193" s="55">
        <f t="shared" si="226"/>
        <v>-0.81189100000000003</v>
      </c>
      <c r="DG193" s="55">
        <f t="shared" si="226"/>
        <v>-0.15987699999999999</v>
      </c>
      <c r="DI193" s="55">
        <f t="shared" ca="1" si="65"/>
        <v>0.69282900000000003</v>
      </c>
      <c r="DJ193" s="55">
        <f t="shared" ca="1" si="66"/>
        <v>0.71467999999999998</v>
      </c>
      <c r="DK193" s="55">
        <f t="shared" ca="1" si="67"/>
        <v>1.2126570000000001</v>
      </c>
      <c r="DL193" s="55">
        <f t="shared" ca="1" si="68"/>
        <v>0.45126899999999998</v>
      </c>
      <c r="DM193" s="55">
        <f t="shared" ca="1" si="69"/>
        <v>0.98350499999999996</v>
      </c>
      <c r="DN193" s="55">
        <f t="shared" ca="1" si="70"/>
        <v>0.68548600000000004</v>
      </c>
      <c r="DO193" s="55">
        <f t="shared" ca="1" si="71"/>
        <v>-0.48544799999999999</v>
      </c>
      <c r="DP193" s="55">
        <f t="shared" ca="1" si="72"/>
        <v>-0.589256</v>
      </c>
      <c r="DQ193" s="55">
        <f t="shared" ca="1" si="73"/>
        <v>1.5953120000000001</v>
      </c>
      <c r="DR193" s="55">
        <f t="shared" ca="1" si="74"/>
        <v>0.53074600000000005</v>
      </c>
      <c r="DS193" s="55">
        <f t="shared" ca="1" si="75"/>
        <v>0.60611800000000005</v>
      </c>
      <c r="DT193" s="55">
        <f t="shared" ca="1" si="76"/>
        <v>-0.25597799999999998</v>
      </c>
      <c r="DU193" s="55">
        <f t="shared" ca="1" si="77"/>
        <v>-0.82231299999999996</v>
      </c>
      <c r="DV193" s="55">
        <f t="shared" ca="1" si="78"/>
        <v>0.101855</v>
      </c>
      <c r="DW193" s="55">
        <f t="shared" ca="1" si="79"/>
        <v>-5.0455E-2</v>
      </c>
      <c r="DX193" s="55">
        <f t="shared" ca="1" si="80"/>
        <v>-0.49763299999999999</v>
      </c>
      <c r="DY193" s="55">
        <f t="shared" ca="1" si="81"/>
        <v>-0.41728700000000002</v>
      </c>
      <c r="DZ193" s="55">
        <f t="shared" ca="1" si="82"/>
        <v>0.94844899999999999</v>
      </c>
      <c r="EA193" s="55">
        <f t="shared" ca="1" si="83"/>
        <v>1.5517179999999999</v>
      </c>
      <c r="EB193" s="55">
        <f t="shared" ca="1" si="84"/>
        <v>-0.74891399999999997</v>
      </c>
      <c r="EC193" s="55">
        <f t="shared" ca="1" si="85"/>
        <v>-5.0248000000000001E-2</v>
      </c>
      <c r="ED193" s="55">
        <f t="shared" ca="1" si="86"/>
        <v>-1.2618000000000001E-2</v>
      </c>
      <c r="EE193" s="55">
        <f t="shared" ca="1" si="87"/>
        <v>0.34831000000000001</v>
      </c>
      <c r="EF193" s="55">
        <f t="shared" ca="1" si="88"/>
        <v>0.63383100000000003</v>
      </c>
      <c r="EG193" s="55">
        <f t="shared" ca="1" si="89"/>
        <v>0.53678700000000001</v>
      </c>
      <c r="EH193" s="55">
        <f t="shared" ca="1" si="90"/>
        <v>0.40151300000000001</v>
      </c>
      <c r="EI193" s="55">
        <f t="shared" ca="1" si="91"/>
        <v>-2.4989999999999998E-2</v>
      </c>
      <c r="EJ193" s="55">
        <f t="shared" ca="1" si="92"/>
        <v>-0.154254</v>
      </c>
      <c r="EK193" s="55">
        <f t="shared" ca="1" si="93"/>
        <v>-0.74421000000000004</v>
      </c>
      <c r="EL193" s="55">
        <f t="shared" ca="1" si="94"/>
        <v>0.69545599999999996</v>
      </c>
      <c r="EM193" s="55">
        <f t="shared" ca="1" si="95"/>
        <v>0.92507300000000003</v>
      </c>
      <c r="EN193" s="55">
        <f t="shared" ca="1" si="96"/>
        <v>0.50984099999999999</v>
      </c>
      <c r="EO193" s="55">
        <f t="shared" ca="1" si="97"/>
        <v>1.180007</v>
      </c>
      <c r="EP193" s="55">
        <f t="shared" ca="1" si="98"/>
        <v>-0.68346700000000005</v>
      </c>
      <c r="EQ193" s="55">
        <f t="shared" ca="1" si="99"/>
        <v>7.8430513159000015E-2</v>
      </c>
      <c r="ER193" s="55">
        <f t="shared" ca="1" si="100"/>
        <v>-0.58427512953500005</v>
      </c>
      <c r="ES193" s="55">
        <f t="shared" ca="1" si="101"/>
        <v>-0.68280172253799998</v>
      </c>
      <c r="ET193" s="55">
        <f t="shared" ca="1" si="102"/>
        <v>0.52074407947799994</v>
      </c>
      <c r="EU193" s="55">
        <f t="shared" ca="1" si="103"/>
        <v>0.52919087844000012</v>
      </c>
      <c r="EV193" s="55">
        <f t="shared" ca="1" si="104"/>
        <v>0.75307199780100009</v>
      </c>
      <c r="EW193" s="55">
        <f t="shared" ca="1" si="105"/>
        <v>-0.47826676094800002</v>
      </c>
      <c r="EX193" s="55">
        <f t="shared" ca="1" si="106"/>
        <v>-1.053868092878</v>
      </c>
      <c r="EY193" s="55">
        <f t="shared" ca="1" si="107"/>
        <v>4.5483864879999891E-3</v>
      </c>
      <c r="EZ193" s="55">
        <f t="shared" ca="1" si="108"/>
        <v>0.75359530132800001</v>
      </c>
      <c r="FA193" s="55">
        <f t="shared" ca="1" si="109"/>
        <v>0.34277547858000001</v>
      </c>
      <c r="FB193" s="55">
        <f t="shared" ca="1" si="110"/>
        <v>-0.32476917509300002</v>
      </c>
      <c r="FC193" s="55">
        <f t="shared" ca="1" si="111"/>
        <v>-0.78778151269200003</v>
      </c>
      <c r="FD193" s="55">
        <f t="shared" ca="1" si="112"/>
        <v>-0.38072988105200001</v>
      </c>
      <c r="FE193" s="55">
        <f t="shared" ca="1" si="113"/>
        <v>-0.397623</v>
      </c>
      <c r="FF193" s="55">
        <f t="shared" ca="1" si="114"/>
        <v>-0.37359500000000001</v>
      </c>
      <c r="FH193" s="55">
        <f t="shared" ca="1" si="115"/>
        <v>0</v>
      </c>
      <c r="FI193" s="55">
        <f t="shared" ca="1" si="207"/>
        <v>0</v>
      </c>
      <c r="FJ193" s="55">
        <f t="shared" ca="1" si="208"/>
        <v>0</v>
      </c>
      <c r="FK193" s="55">
        <f t="shared" ca="1" si="209"/>
        <v>0</v>
      </c>
      <c r="FL193" s="55">
        <f t="shared" ca="1" si="210"/>
        <v>0</v>
      </c>
      <c r="FM193" s="55">
        <f t="shared" ca="1" si="211"/>
        <v>0</v>
      </c>
      <c r="FN193" s="55">
        <f t="shared" ca="1" si="212"/>
        <v>0</v>
      </c>
      <c r="FO193" s="55">
        <f t="shared" ca="1" si="213"/>
        <v>0</v>
      </c>
      <c r="FP193" s="55">
        <f t="shared" ca="1" si="214"/>
        <v>0</v>
      </c>
      <c r="FQ193" s="55">
        <f t="shared" ca="1" si="215"/>
        <v>0</v>
      </c>
      <c r="FR193" s="55">
        <f t="shared" ca="1" si="216"/>
        <v>0</v>
      </c>
      <c r="FS193" s="55">
        <f t="shared" ca="1" si="158"/>
        <v>0</v>
      </c>
      <c r="FT193" s="55">
        <f t="shared" ca="1" si="159"/>
        <v>0</v>
      </c>
      <c r="FU193" s="55">
        <f t="shared" ca="1" si="160"/>
        <v>0</v>
      </c>
      <c r="FV193" s="55">
        <f t="shared" ca="1" si="161"/>
        <v>0</v>
      </c>
      <c r="FW193" s="55">
        <f t="shared" ca="1" si="162"/>
        <v>0</v>
      </c>
      <c r="FX193" s="55">
        <f t="shared" ca="1" si="163"/>
        <v>0</v>
      </c>
      <c r="FY193" s="55">
        <f t="shared" ca="1" si="164"/>
        <v>0</v>
      </c>
      <c r="FZ193" s="55">
        <f t="shared" ca="1" si="165"/>
        <v>0</v>
      </c>
      <c r="GA193" s="55">
        <f t="shared" ca="1" si="166"/>
        <v>0</v>
      </c>
      <c r="GB193" s="55">
        <f t="shared" ca="1" si="167"/>
        <v>0</v>
      </c>
      <c r="GC193" s="55">
        <f t="shared" ca="1" si="168"/>
        <v>0</v>
      </c>
      <c r="GD193" s="55">
        <f t="shared" ca="1" si="169"/>
        <v>0</v>
      </c>
      <c r="GE193" s="55">
        <f t="shared" ca="1" si="170"/>
        <v>0</v>
      </c>
      <c r="GF193" s="55">
        <f t="shared" ca="1" si="171"/>
        <v>0</v>
      </c>
      <c r="GG193" s="55">
        <f t="shared" ca="1" si="172"/>
        <v>0</v>
      </c>
      <c r="GH193" s="55">
        <f t="shared" ca="1" si="173"/>
        <v>0</v>
      </c>
      <c r="GI193" s="55">
        <f t="shared" ca="1" si="174"/>
        <v>0</v>
      </c>
      <c r="GJ193" s="55">
        <f t="shared" ca="1" si="175"/>
        <v>0</v>
      </c>
      <c r="GK193" s="55">
        <f t="shared" ca="1" si="176"/>
        <v>0</v>
      </c>
      <c r="GL193" s="55">
        <f t="shared" ca="1" si="177"/>
        <v>0</v>
      </c>
      <c r="GM193" s="55">
        <f t="shared" ca="1" si="178"/>
        <v>0</v>
      </c>
      <c r="GN193" s="55">
        <f t="shared" ca="1" si="179"/>
        <v>0</v>
      </c>
      <c r="GO193" s="55">
        <f t="shared" ca="1" si="180"/>
        <v>0</v>
      </c>
      <c r="GP193" s="55">
        <f t="shared" ca="1" si="181"/>
        <v>-0.27253348684099998</v>
      </c>
      <c r="GQ193" s="55">
        <f t="shared" ca="1" si="182"/>
        <v>0.22040587046499993</v>
      </c>
      <c r="GR193" s="55">
        <f t="shared" ca="1" si="183"/>
        <v>0.31035627746200001</v>
      </c>
      <c r="GS193" s="55">
        <f t="shared" ca="1" si="184"/>
        <v>1.4649079477999982E-2</v>
      </c>
      <c r="GT193" s="55">
        <f t="shared" ca="1" si="185"/>
        <v>0.49002687844000015</v>
      </c>
      <c r="GU193" s="55">
        <f t="shared" ca="1" si="186"/>
        <v>-1.4200021989999589E-3</v>
      </c>
      <c r="GV193" s="55">
        <f t="shared" ca="1" si="187"/>
        <v>0.24597123905200002</v>
      </c>
      <c r="GW193" s="55">
        <f t="shared" ca="1" si="188"/>
        <v>0.38317890712199998</v>
      </c>
      <c r="GX193" s="55">
        <f t="shared" ca="1" si="189"/>
        <v>-0.217329613512</v>
      </c>
      <c r="GY193" s="55">
        <f t="shared" ca="1" si="190"/>
        <v>-0.17167069867200002</v>
      </c>
      <c r="GZ193" s="55">
        <f t="shared" ca="1" si="191"/>
        <v>-0.23314752141999995</v>
      </c>
      <c r="HA193" s="55">
        <f t="shared" ca="1" si="192"/>
        <v>9.6959824907000003E-2</v>
      </c>
      <c r="HB193" s="55">
        <f t="shared" ca="1" si="193"/>
        <v>7.9126487307999982E-2</v>
      </c>
      <c r="HC193" s="55">
        <f t="shared" ca="1" si="194"/>
        <v>6.4532118947999983E-2</v>
      </c>
      <c r="HD193" s="55">
        <f t="shared" ca="1" si="195"/>
        <v>0</v>
      </c>
      <c r="HE193" s="55">
        <f t="shared" ca="1" si="196"/>
        <v>0</v>
      </c>
    </row>
    <row r="194" spans="1:213">
      <c r="A194" s="27">
        <v>57</v>
      </c>
      <c r="B194" s="27">
        <v>9</v>
      </c>
      <c r="C194" s="27">
        <v>0.910721</v>
      </c>
      <c r="D194" s="27">
        <v>0.173816</v>
      </c>
      <c r="E194" s="27">
        <v>17</v>
      </c>
      <c r="F194" s="27">
        <f t="shared" ca="1" si="59"/>
        <v>23</v>
      </c>
      <c r="G194" s="27">
        <f t="shared" si="221"/>
        <v>0</v>
      </c>
      <c r="H194" s="27" t="str">
        <f t="shared" si="60"/>
        <v>Não</v>
      </c>
      <c r="I194" s="27">
        <f t="shared" si="61"/>
        <v>0</v>
      </c>
      <c r="J194" s="37">
        <f t="shared" si="62"/>
        <v>0</v>
      </c>
      <c r="K194" s="55">
        <f t="shared" si="63"/>
        <v>-0.64072499999999999</v>
      </c>
      <c r="L194" s="55">
        <f t="shared" si="197"/>
        <v>0.26803700000000003</v>
      </c>
      <c r="M194" s="55">
        <f t="shared" si="198"/>
        <v>-0.239621</v>
      </c>
      <c r="N194" s="55">
        <f t="shared" si="199"/>
        <v>0.25725999999999999</v>
      </c>
      <c r="O194" s="55">
        <f t="shared" si="200"/>
        <v>-0.13240499999999999</v>
      </c>
      <c r="P194" s="55">
        <f t="shared" si="201"/>
        <v>-0.69857199999999997</v>
      </c>
      <c r="Q194" s="55">
        <f t="shared" si="202"/>
        <v>-0.45666099999999998</v>
      </c>
      <c r="R194" s="55">
        <f t="shared" si="203"/>
        <v>-0.89855799999999997</v>
      </c>
      <c r="S194" s="55">
        <f t="shared" si="204"/>
        <v>-0.68262</v>
      </c>
      <c r="T194" s="55">
        <f t="shared" si="205"/>
        <v>0.90382099999999999</v>
      </c>
      <c r="U194" s="55">
        <f t="shared" si="206"/>
        <v>-1.22786</v>
      </c>
      <c r="V194" s="55">
        <f t="shared" si="116"/>
        <v>-0.10549</v>
      </c>
      <c r="W194" s="55">
        <f t="shared" si="117"/>
        <v>0.36602600000000002</v>
      </c>
      <c r="X194" s="55">
        <f t="shared" si="118"/>
        <v>-3.9303999999999999E-2</v>
      </c>
      <c r="Y194" s="55">
        <f t="shared" si="119"/>
        <v>-0.29153200000000001</v>
      </c>
      <c r="Z194" s="55">
        <f t="shared" si="120"/>
        <v>-0.24004600000000001</v>
      </c>
      <c r="AA194" s="55">
        <f t="shared" si="121"/>
        <v>-0.365172</v>
      </c>
      <c r="AB194" s="55">
        <f t="shared" si="122"/>
        <v>-1.7680560000000001</v>
      </c>
      <c r="AC194" s="55">
        <f t="shared" si="123"/>
        <v>-0.48832300000000001</v>
      </c>
      <c r="AD194" s="55">
        <f t="shared" si="124"/>
        <v>0.158077</v>
      </c>
      <c r="AE194" s="55">
        <f t="shared" si="125"/>
        <v>-0.701048</v>
      </c>
      <c r="AF194" s="55">
        <f t="shared" si="126"/>
        <v>-0.14253199999999999</v>
      </c>
      <c r="AG194" s="55">
        <f t="shared" si="127"/>
        <v>3.8005999999999998E-2</v>
      </c>
      <c r="AH194" s="55">
        <f t="shared" si="128"/>
        <v>-0.114546</v>
      </c>
      <c r="AI194" s="55">
        <f t="shared" si="129"/>
        <v>0.33164199999999999</v>
      </c>
      <c r="AJ194" s="55">
        <f t="shared" si="130"/>
        <v>0.84590500000000002</v>
      </c>
      <c r="AK194" s="55">
        <f t="shared" si="131"/>
        <v>-1.754562</v>
      </c>
      <c r="AL194" s="55">
        <f t="shared" si="132"/>
        <v>1.178931</v>
      </c>
      <c r="AM194" s="55">
        <f t="shared" si="133"/>
        <v>0.928234</v>
      </c>
      <c r="AN194" s="55">
        <f t="shared" si="134"/>
        <v>-1.0962190000000001</v>
      </c>
      <c r="AO194" s="55">
        <f t="shared" si="135"/>
        <v>-0.82793399999999995</v>
      </c>
      <c r="AP194" s="55">
        <f t="shared" si="136"/>
        <v>0.74485400000000002</v>
      </c>
      <c r="AQ194" s="55">
        <f t="shared" si="137"/>
        <v>-1.6927749999999999</v>
      </c>
      <c r="AR194" s="55">
        <f t="shared" si="138"/>
        <v>0.249553</v>
      </c>
      <c r="AS194" s="55">
        <f t="shared" si="139"/>
        <v>-0.37673699999999999</v>
      </c>
      <c r="AT194" s="55">
        <f t="shared" si="140"/>
        <v>-0.35931999999999997</v>
      </c>
      <c r="AU194" s="55">
        <f t="shared" si="141"/>
        <v>0.83486400000000005</v>
      </c>
      <c r="AV194" s="55">
        <f t="shared" si="142"/>
        <v>0.14965300000000001</v>
      </c>
      <c r="AW194" s="55">
        <f t="shared" si="143"/>
        <v>0.442075</v>
      </c>
      <c r="AX194" s="55">
        <f t="shared" si="144"/>
        <v>0.174349</v>
      </c>
      <c r="AY194" s="55">
        <f t="shared" si="145"/>
        <v>-0.62146000000000001</v>
      </c>
      <c r="AZ194" s="55">
        <f t="shared" si="146"/>
        <v>1.086551</v>
      </c>
      <c r="BA194" s="55">
        <f t="shared" si="147"/>
        <v>1.34995</v>
      </c>
      <c r="BB194" s="55">
        <f t="shared" si="148"/>
        <v>0.109746</v>
      </c>
      <c r="BC194" s="55">
        <f t="shared" si="149"/>
        <v>-0.40096199999999999</v>
      </c>
      <c r="BD194" s="55">
        <f t="shared" si="150"/>
        <v>-0.50676600000000005</v>
      </c>
      <c r="BE194" s="55">
        <f t="shared" si="151"/>
        <v>0.16062199999999999</v>
      </c>
      <c r="BF194" s="55">
        <f t="shared" si="152"/>
        <v>-0.47307700000000003</v>
      </c>
      <c r="BG194" s="55">
        <f t="shared" si="153"/>
        <v>-0.945766</v>
      </c>
      <c r="BH194" s="55">
        <f t="shared" si="154"/>
        <v>-0.22873299999999999</v>
      </c>
      <c r="BJ194" s="55">
        <f t="shared" si="229"/>
        <v>-0.33737299999999998</v>
      </c>
      <c r="BK194" s="55">
        <f t="shared" si="229"/>
        <v>-3.2556000000000002E-2</v>
      </c>
      <c r="BL194" s="55">
        <f t="shared" si="229"/>
        <v>0.49451899999999999</v>
      </c>
      <c r="BM194" s="55">
        <f t="shared" si="229"/>
        <v>0.80033900000000002</v>
      </c>
      <c r="BN194" s="55">
        <f t="shared" si="229"/>
        <v>-0.41122799999999998</v>
      </c>
      <c r="BO194" s="55">
        <f t="shared" si="229"/>
        <v>0.103978</v>
      </c>
      <c r="BP194" s="55">
        <f t="shared" si="229"/>
        <v>-0.45666099999999998</v>
      </c>
      <c r="BQ194" s="55">
        <f t="shared" si="229"/>
        <v>-0.89855799999999997</v>
      </c>
      <c r="BR194" s="55">
        <f t="shared" si="229"/>
        <v>2.3390000000000001E-2</v>
      </c>
      <c r="BS194" s="55">
        <f t="shared" si="229"/>
        <v>0.76636599999999999</v>
      </c>
      <c r="BT194" s="55">
        <f t="shared" si="229"/>
        <v>-0.52148700000000003</v>
      </c>
      <c r="BU194" s="55">
        <f t="shared" si="229"/>
        <v>-0.48751299999999997</v>
      </c>
      <c r="BV194" s="55">
        <f t="shared" si="229"/>
        <v>-0.45302399999999998</v>
      </c>
      <c r="BW194" s="55">
        <f t="shared" si="229"/>
        <v>-3.8660000000000001E-3</v>
      </c>
      <c r="BX194" s="55">
        <f t="shared" si="229"/>
        <v>-0.29153200000000001</v>
      </c>
      <c r="BY194" s="55">
        <f t="shared" si="229"/>
        <v>-4.9637000000000001E-2</v>
      </c>
      <c r="BZ194" s="55">
        <f t="shared" si="227"/>
        <v>-0.82672299999999999</v>
      </c>
      <c r="CA194" s="55">
        <f t="shared" si="227"/>
        <v>-1.569612</v>
      </c>
      <c r="CB194" s="55">
        <f t="shared" si="227"/>
        <v>-1.192097</v>
      </c>
      <c r="CC194" s="55">
        <f t="shared" si="227"/>
        <v>0.68378499999999998</v>
      </c>
      <c r="CD194" s="55">
        <f t="shared" si="227"/>
        <v>-0.39924100000000001</v>
      </c>
      <c r="CE194" s="55">
        <f t="shared" si="227"/>
        <v>-0.43151</v>
      </c>
      <c r="CF194" s="55">
        <f t="shared" si="227"/>
        <v>-0.41017799999999999</v>
      </c>
      <c r="CG194" s="55">
        <f t="shared" si="227"/>
        <v>0.304643</v>
      </c>
      <c r="CH194" s="55">
        <f t="shared" si="227"/>
        <v>-0.24080199999999999</v>
      </c>
      <c r="CI194" s="55">
        <f t="shared" si="227"/>
        <v>0.70867400000000003</v>
      </c>
      <c r="CJ194" s="55">
        <f t="shared" si="227"/>
        <v>-0.61898600000000004</v>
      </c>
      <c r="CK194" s="55">
        <f t="shared" si="227"/>
        <v>1.5591729999999999</v>
      </c>
      <c r="CL194" s="55">
        <f t="shared" si="227"/>
        <v>0.53772399999999998</v>
      </c>
      <c r="CM194" s="55">
        <f t="shared" si="227"/>
        <v>2.5140000000000002E-3</v>
      </c>
      <c r="CN194" s="55">
        <f t="shared" si="227"/>
        <v>-0.184424</v>
      </c>
      <c r="CO194" s="55">
        <f t="shared" si="228"/>
        <v>0.42896499999999999</v>
      </c>
      <c r="CP194" s="55">
        <f t="shared" si="228"/>
        <v>-0.33809499999999998</v>
      </c>
      <c r="CQ194" s="55">
        <f t="shared" si="228"/>
        <v>0.139071</v>
      </c>
      <c r="CR194" s="55">
        <f t="shared" si="228"/>
        <v>0.21063899999999999</v>
      </c>
      <c r="CS194" s="55">
        <f t="shared" si="228"/>
        <v>-0.16170699999999999</v>
      </c>
      <c r="CT194" s="55">
        <f t="shared" si="228"/>
        <v>0.37043399999999999</v>
      </c>
      <c r="CU194" s="55">
        <f t="shared" si="228"/>
        <v>0.120472</v>
      </c>
      <c r="CV194" s="55">
        <f t="shared" si="228"/>
        <v>-0.24499699999999999</v>
      </c>
      <c r="CW194" s="55">
        <f t="shared" si="228"/>
        <v>-0.50331199999999998</v>
      </c>
      <c r="CX194" s="55">
        <f t="shared" si="228"/>
        <v>0.159106</v>
      </c>
      <c r="CY194" s="55">
        <f t="shared" si="228"/>
        <v>0.24166499999999999</v>
      </c>
      <c r="CZ194" s="55">
        <f t="shared" si="228"/>
        <v>1.4123540000000001</v>
      </c>
      <c r="DA194" s="55">
        <f t="shared" si="228"/>
        <v>0.39681</v>
      </c>
      <c r="DB194" s="55">
        <f t="shared" si="228"/>
        <v>0.56566499999999997</v>
      </c>
      <c r="DC194" s="55">
        <f t="shared" si="228"/>
        <v>-0.61748700000000001</v>
      </c>
      <c r="DD194" s="55">
        <f t="shared" si="228"/>
        <v>0.48023900000000003</v>
      </c>
      <c r="DE194" s="55">
        <f t="shared" si="226"/>
        <v>-9.0085999999999999E-2</v>
      </c>
      <c r="DF194" s="55">
        <f t="shared" si="226"/>
        <v>-0.34352100000000002</v>
      </c>
      <c r="DG194" s="55">
        <f t="shared" si="226"/>
        <v>-0.52598800000000001</v>
      </c>
      <c r="DI194" s="55">
        <f t="shared" ca="1" si="65"/>
        <v>-0.64072499999999999</v>
      </c>
      <c r="DJ194" s="55">
        <f t="shared" ca="1" si="66"/>
        <v>0.26803700000000003</v>
      </c>
      <c r="DK194" s="55">
        <f t="shared" ca="1" si="67"/>
        <v>-0.239621</v>
      </c>
      <c r="DL194" s="55">
        <f t="shared" ca="1" si="68"/>
        <v>0.25725999999999999</v>
      </c>
      <c r="DM194" s="55">
        <f t="shared" ca="1" si="69"/>
        <v>-0.13240499999999999</v>
      </c>
      <c r="DN194" s="55">
        <f t="shared" ca="1" si="70"/>
        <v>-0.69857199999999997</v>
      </c>
      <c r="DO194" s="55">
        <f t="shared" ca="1" si="71"/>
        <v>-0.45666099999999998</v>
      </c>
      <c r="DP194" s="55">
        <f t="shared" ca="1" si="72"/>
        <v>-0.89855799999999997</v>
      </c>
      <c r="DQ194" s="55">
        <f t="shared" ca="1" si="73"/>
        <v>-0.68262</v>
      </c>
      <c r="DR194" s="55">
        <f t="shared" ca="1" si="74"/>
        <v>0.90382099999999999</v>
      </c>
      <c r="DS194" s="55">
        <f t="shared" ca="1" si="75"/>
        <v>-1.22786</v>
      </c>
      <c r="DT194" s="55">
        <f t="shared" ca="1" si="76"/>
        <v>-0.10549</v>
      </c>
      <c r="DU194" s="55">
        <f t="shared" ca="1" si="77"/>
        <v>0.36602600000000002</v>
      </c>
      <c r="DV194" s="55">
        <f t="shared" ca="1" si="78"/>
        <v>-3.9303999999999999E-2</v>
      </c>
      <c r="DW194" s="55">
        <f t="shared" ca="1" si="79"/>
        <v>-0.29153200000000001</v>
      </c>
      <c r="DX194" s="55">
        <f t="shared" ca="1" si="80"/>
        <v>-0.24004600000000001</v>
      </c>
      <c r="DY194" s="55">
        <f t="shared" ca="1" si="81"/>
        <v>-0.365172</v>
      </c>
      <c r="DZ194" s="55">
        <f t="shared" ca="1" si="82"/>
        <v>-1.7680560000000001</v>
      </c>
      <c r="EA194" s="55">
        <f t="shared" ca="1" si="83"/>
        <v>-0.48832300000000001</v>
      </c>
      <c r="EB194" s="55">
        <f t="shared" ca="1" si="84"/>
        <v>0.158077</v>
      </c>
      <c r="EC194" s="55">
        <f t="shared" ca="1" si="85"/>
        <v>-0.701048</v>
      </c>
      <c r="ED194" s="55">
        <f t="shared" ca="1" si="86"/>
        <v>-0.14253199999999999</v>
      </c>
      <c r="EE194" s="55">
        <f t="shared" ca="1" si="87"/>
        <v>3.8005999999999998E-2</v>
      </c>
      <c r="EF194" s="55">
        <f t="shared" ca="1" si="88"/>
        <v>-0.114546</v>
      </c>
      <c r="EG194" s="55">
        <f t="shared" ca="1" si="89"/>
        <v>0.33164199999999999</v>
      </c>
      <c r="EH194" s="55">
        <f t="shared" ca="1" si="90"/>
        <v>0.84590500000000002</v>
      </c>
      <c r="EI194" s="55">
        <f t="shared" ca="1" si="91"/>
        <v>-1.754562</v>
      </c>
      <c r="EJ194" s="55">
        <f t="shared" ca="1" si="92"/>
        <v>1.178931</v>
      </c>
      <c r="EK194" s="55">
        <f t="shared" ca="1" si="93"/>
        <v>0.928234</v>
      </c>
      <c r="EL194" s="55">
        <f t="shared" ca="1" si="94"/>
        <v>-1.0962190000000001</v>
      </c>
      <c r="EM194" s="55">
        <f t="shared" ca="1" si="95"/>
        <v>-0.82793399999999995</v>
      </c>
      <c r="EN194" s="55">
        <f t="shared" ca="1" si="96"/>
        <v>0.74485400000000002</v>
      </c>
      <c r="EO194" s="55">
        <f t="shared" ca="1" si="97"/>
        <v>-1.6927749999999999</v>
      </c>
      <c r="EP194" s="55">
        <f t="shared" ca="1" si="98"/>
        <v>0.249553</v>
      </c>
      <c r="EQ194" s="55">
        <f t="shared" ca="1" si="99"/>
        <v>-0.37673699999999999</v>
      </c>
      <c r="ER194" s="55">
        <f t="shared" ca="1" si="100"/>
        <v>-0.35931999999999997</v>
      </c>
      <c r="ES194" s="55">
        <f t="shared" ca="1" si="101"/>
        <v>0.83486400000000005</v>
      </c>
      <c r="ET194" s="55">
        <f t="shared" ca="1" si="102"/>
        <v>0.14965300000000001</v>
      </c>
      <c r="EU194" s="55">
        <f t="shared" ca="1" si="103"/>
        <v>0.442075</v>
      </c>
      <c r="EV194" s="55">
        <f t="shared" ca="1" si="104"/>
        <v>0.174349</v>
      </c>
      <c r="EW194" s="55">
        <f t="shared" ca="1" si="105"/>
        <v>-0.62146000000000001</v>
      </c>
      <c r="EX194" s="55">
        <f t="shared" ca="1" si="106"/>
        <v>1.086551</v>
      </c>
      <c r="EY194" s="55">
        <f t="shared" ca="1" si="107"/>
        <v>1.34995</v>
      </c>
      <c r="EZ194" s="55">
        <f t="shared" ca="1" si="108"/>
        <v>0.109746</v>
      </c>
      <c r="FA194" s="55">
        <f t="shared" ca="1" si="109"/>
        <v>-0.40096199999999999</v>
      </c>
      <c r="FB194" s="55">
        <f t="shared" ca="1" si="110"/>
        <v>-0.50676600000000005</v>
      </c>
      <c r="FC194" s="55">
        <f t="shared" ca="1" si="111"/>
        <v>0.16062199999999999</v>
      </c>
      <c r="FD194" s="55">
        <f t="shared" ca="1" si="112"/>
        <v>-0.47307700000000003</v>
      </c>
      <c r="FE194" s="55">
        <f t="shared" ca="1" si="113"/>
        <v>-0.945766</v>
      </c>
      <c r="FF194" s="55">
        <f t="shared" ca="1" si="114"/>
        <v>-0.22873299999999999</v>
      </c>
      <c r="FH194" s="55">
        <f t="shared" ca="1" si="115"/>
        <v>0</v>
      </c>
      <c r="FI194" s="55">
        <f t="shared" ca="1" si="207"/>
        <v>0</v>
      </c>
      <c r="FJ194" s="55">
        <f t="shared" ca="1" si="208"/>
        <v>0</v>
      </c>
      <c r="FK194" s="55">
        <f t="shared" ca="1" si="209"/>
        <v>0</v>
      </c>
      <c r="FL194" s="55">
        <f t="shared" ca="1" si="210"/>
        <v>0</v>
      </c>
      <c r="FM194" s="55">
        <f t="shared" ca="1" si="211"/>
        <v>0</v>
      </c>
      <c r="FN194" s="55">
        <f t="shared" ca="1" si="212"/>
        <v>0</v>
      </c>
      <c r="FO194" s="55">
        <f t="shared" ca="1" si="213"/>
        <v>0</v>
      </c>
      <c r="FP194" s="55">
        <f t="shared" ca="1" si="214"/>
        <v>0</v>
      </c>
      <c r="FQ194" s="55">
        <f t="shared" ca="1" si="215"/>
        <v>0</v>
      </c>
      <c r="FR194" s="55">
        <f t="shared" ca="1" si="216"/>
        <v>0</v>
      </c>
      <c r="FS194" s="55">
        <f t="shared" ca="1" si="158"/>
        <v>0</v>
      </c>
      <c r="FT194" s="55">
        <f t="shared" ca="1" si="159"/>
        <v>0</v>
      </c>
      <c r="FU194" s="55">
        <f t="shared" ca="1" si="160"/>
        <v>0</v>
      </c>
      <c r="FV194" s="55">
        <f t="shared" ca="1" si="161"/>
        <v>0</v>
      </c>
      <c r="FW194" s="55">
        <f t="shared" ca="1" si="162"/>
        <v>0</v>
      </c>
      <c r="FX194" s="55">
        <f t="shared" ca="1" si="163"/>
        <v>0</v>
      </c>
      <c r="FY194" s="55">
        <f t="shared" ca="1" si="164"/>
        <v>0</v>
      </c>
      <c r="FZ194" s="55">
        <f t="shared" ca="1" si="165"/>
        <v>0</v>
      </c>
      <c r="GA194" s="55">
        <f t="shared" ca="1" si="166"/>
        <v>0</v>
      </c>
      <c r="GB194" s="55">
        <f t="shared" ca="1" si="167"/>
        <v>0</v>
      </c>
      <c r="GC194" s="55">
        <f t="shared" ca="1" si="168"/>
        <v>0</v>
      </c>
      <c r="GD194" s="55">
        <f t="shared" ca="1" si="169"/>
        <v>0</v>
      </c>
      <c r="GE194" s="55">
        <f t="shared" ca="1" si="170"/>
        <v>0</v>
      </c>
      <c r="GF194" s="55">
        <f t="shared" ca="1" si="171"/>
        <v>0</v>
      </c>
      <c r="GG194" s="55">
        <f t="shared" ca="1" si="172"/>
        <v>0</v>
      </c>
      <c r="GH194" s="55">
        <f t="shared" ca="1" si="173"/>
        <v>0</v>
      </c>
      <c r="GI194" s="55">
        <f t="shared" ca="1" si="174"/>
        <v>0</v>
      </c>
      <c r="GJ194" s="55">
        <f t="shared" ca="1" si="175"/>
        <v>0</v>
      </c>
      <c r="GK194" s="55">
        <f t="shared" ca="1" si="176"/>
        <v>0</v>
      </c>
      <c r="GL194" s="55">
        <f t="shared" ca="1" si="177"/>
        <v>0</v>
      </c>
      <c r="GM194" s="55">
        <f t="shared" ca="1" si="178"/>
        <v>0</v>
      </c>
      <c r="GN194" s="55">
        <f t="shared" ca="1" si="179"/>
        <v>0</v>
      </c>
      <c r="GO194" s="55">
        <f t="shared" ca="1" si="180"/>
        <v>0</v>
      </c>
      <c r="GP194" s="55">
        <f t="shared" ca="1" si="181"/>
        <v>0</v>
      </c>
      <c r="GQ194" s="55">
        <f t="shared" ca="1" si="182"/>
        <v>0</v>
      </c>
      <c r="GR194" s="55">
        <f t="shared" ca="1" si="183"/>
        <v>0</v>
      </c>
      <c r="GS194" s="55">
        <f t="shared" ca="1" si="184"/>
        <v>0</v>
      </c>
      <c r="GT194" s="55">
        <f t="shared" ca="1" si="185"/>
        <v>0</v>
      </c>
      <c r="GU194" s="55">
        <f t="shared" ca="1" si="186"/>
        <v>0</v>
      </c>
      <c r="GV194" s="55">
        <f t="shared" ca="1" si="187"/>
        <v>0</v>
      </c>
      <c r="GW194" s="55">
        <f t="shared" ca="1" si="188"/>
        <v>0</v>
      </c>
      <c r="GX194" s="55">
        <f t="shared" ca="1" si="189"/>
        <v>0</v>
      </c>
      <c r="GY194" s="55">
        <f t="shared" ca="1" si="190"/>
        <v>0</v>
      </c>
      <c r="GZ194" s="55">
        <f t="shared" ca="1" si="191"/>
        <v>0</v>
      </c>
      <c r="HA194" s="55">
        <f t="shared" ca="1" si="192"/>
        <v>0</v>
      </c>
      <c r="HB194" s="55">
        <f t="shared" ca="1" si="193"/>
        <v>0</v>
      </c>
      <c r="HC194" s="55">
        <f t="shared" ca="1" si="194"/>
        <v>0</v>
      </c>
      <c r="HD194" s="55">
        <f t="shared" ca="1" si="195"/>
        <v>0</v>
      </c>
      <c r="HE194" s="55">
        <f t="shared" ca="1" si="196"/>
        <v>0</v>
      </c>
    </row>
    <row r="195" spans="1:213">
      <c r="A195" s="27">
        <v>58</v>
      </c>
      <c r="B195" s="27">
        <v>36</v>
      </c>
      <c r="C195" s="27">
        <v>0.48220299999999999</v>
      </c>
      <c r="D195" s="27">
        <v>0.81632099999999996</v>
      </c>
      <c r="E195" s="27">
        <v>32</v>
      </c>
      <c r="F195" s="27">
        <f t="shared" ca="1" si="59"/>
        <v>46</v>
      </c>
      <c r="G195" s="27">
        <f t="shared" si="221"/>
        <v>0</v>
      </c>
      <c r="H195" s="27" t="str">
        <f t="shared" si="60"/>
        <v>Sim</v>
      </c>
      <c r="I195" s="27">
        <f t="shared" si="61"/>
        <v>0</v>
      </c>
      <c r="J195" s="37">
        <f t="shared" si="62"/>
        <v>1</v>
      </c>
      <c r="K195" s="55">
        <f t="shared" si="63"/>
        <v>1.0107900000000001</v>
      </c>
      <c r="L195" s="55">
        <f t="shared" si="197"/>
        <v>-0.88376999999999994</v>
      </c>
      <c r="M195" s="55">
        <f t="shared" si="198"/>
        <v>-0.74157600000000001</v>
      </c>
      <c r="N195" s="55">
        <f t="shared" si="199"/>
        <v>-0.76297199999999998</v>
      </c>
      <c r="O195" s="55">
        <f t="shared" si="200"/>
        <v>-0.84866399999999997</v>
      </c>
      <c r="P195" s="55">
        <f t="shared" si="201"/>
        <v>0.29241699999999998</v>
      </c>
      <c r="Q195" s="55">
        <f t="shared" si="202"/>
        <v>-0.57423900000000005</v>
      </c>
      <c r="R195" s="55">
        <f t="shared" si="203"/>
        <v>0.78362399999999999</v>
      </c>
      <c r="S195" s="55">
        <f t="shared" si="204"/>
        <v>0.84691899999999998</v>
      </c>
      <c r="T195" s="55">
        <f t="shared" si="205"/>
        <v>0.54095300000000002</v>
      </c>
      <c r="U195" s="55">
        <f t="shared" si="206"/>
        <v>-1.2010559999999999</v>
      </c>
      <c r="V195" s="55">
        <f t="shared" si="116"/>
        <v>0.90051000000000003</v>
      </c>
      <c r="W195" s="55">
        <f t="shared" si="117"/>
        <v>0.25661400000000001</v>
      </c>
      <c r="X195" s="55">
        <f t="shared" si="118"/>
        <v>-7.8424999999999995E-2</v>
      </c>
      <c r="Y195" s="55">
        <f t="shared" si="119"/>
        <v>0.83231200000000005</v>
      </c>
      <c r="Z195" s="55">
        <f t="shared" si="120"/>
        <v>-0.28163100000000002</v>
      </c>
      <c r="AA195" s="55">
        <f t="shared" si="121"/>
        <v>-0.18229799999999999</v>
      </c>
      <c r="AB195" s="55">
        <f t="shared" si="122"/>
        <v>0.49211300000000002</v>
      </c>
      <c r="AC195" s="55">
        <f t="shared" si="123"/>
        <v>1.135105</v>
      </c>
      <c r="AD195" s="55">
        <f t="shared" si="124"/>
        <v>-0.13441500000000001</v>
      </c>
      <c r="AE195" s="55">
        <f t="shared" si="125"/>
        <v>0.28303899999999999</v>
      </c>
      <c r="AF195" s="55">
        <f t="shared" si="126"/>
        <v>4.4645999999999998E-2</v>
      </c>
      <c r="AG195" s="55">
        <f t="shared" si="127"/>
        <v>0.783196</v>
      </c>
      <c r="AH195" s="55">
        <f t="shared" si="128"/>
        <v>-0.25130000000000002</v>
      </c>
      <c r="AI195" s="55">
        <f t="shared" si="129"/>
        <v>1.254807</v>
      </c>
      <c r="AJ195" s="55">
        <f t="shared" si="130"/>
        <v>0.24223800000000001</v>
      </c>
      <c r="AK195" s="55">
        <f t="shared" si="131"/>
        <v>-0.66971400000000003</v>
      </c>
      <c r="AL195" s="55">
        <f t="shared" si="132"/>
        <v>-0.63559399999999999</v>
      </c>
      <c r="AM195" s="55">
        <f t="shared" si="133"/>
        <v>0.83333999999999997</v>
      </c>
      <c r="AN195" s="55">
        <f t="shared" si="134"/>
        <v>-0.51413600000000004</v>
      </c>
      <c r="AO195" s="55">
        <f t="shared" si="135"/>
        <v>0.59201899999999996</v>
      </c>
      <c r="AP195" s="55">
        <f t="shared" si="136"/>
        <v>-0.88652399999999998</v>
      </c>
      <c r="AQ195" s="55">
        <f t="shared" si="137"/>
        <v>0.37301200000000001</v>
      </c>
      <c r="AR195" s="55">
        <f t="shared" si="138"/>
        <v>-0.210336</v>
      </c>
      <c r="AS195" s="55">
        <f t="shared" si="139"/>
        <v>0.299093</v>
      </c>
      <c r="AT195" s="55">
        <f t="shared" si="140"/>
        <v>1.491269</v>
      </c>
      <c r="AU195" s="55">
        <f t="shared" si="141"/>
        <v>0.41825699999999999</v>
      </c>
      <c r="AV195" s="55">
        <f t="shared" si="142"/>
        <v>0.101591</v>
      </c>
      <c r="AW195" s="55">
        <f t="shared" si="143"/>
        <v>-0.26250099999999998</v>
      </c>
      <c r="AX195" s="55">
        <f t="shared" si="144"/>
        <v>0.44266100000000003</v>
      </c>
      <c r="AY195" s="55">
        <f t="shared" si="145"/>
        <v>0.94009100000000001</v>
      </c>
      <c r="AZ195" s="55">
        <f t="shared" si="146"/>
        <v>0.54240699999999997</v>
      </c>
      <c r="BA195" s="55">
        <f t="shared" si="147"/>
        <v>0.25891700000000001</v>
      </c>
      <c r="BB195" s="55">
        <f t="shared" si="148"/>
        <v>-0.27995100000000001</v>
      </c>
      <c r="BC195" s="55">
        <f t="shared" si="149"/>
        <v>-0.27900700000000001</v>
      </c>
      <c r="BD195" s="55">
        <f t="shared" si="150"/>
        <v>-0.518536</v>
      </c>
      <c r="BE195" s="55">
        <f t="shared" si="151"/>
        <v>-1.1963159999999999</v>
      </c>
      <c r="BF195" s="55">
        <f t="shared" si="152"/>
        <v>-0.195964</v>
      </c>
      <c r="BG195" s="55">
        <f t="shared" si="153"/>
        <v>1.0676159999999999</v>
      </c>
      <c r="BH195" s="55">
        <f t="shared" si="154"/>
        <v>-0.19059999999999999</v>
      </c>
      <c r="BJ195" s="55">
        <f t="shared" si="229"/>
        <v>0.14194000000000001</v>
      </c>
      <c r="BK195" s="55">
        <f t="shared" si="229"/>
        <v>1.2506390000000001</v>
      </c>
      <c r="BL195" s="55">
        <f t="shared" si="229"/>
        <v>-0.81791199999999997</v>
      </c>
      <c r="BM195" s="55">
        <f t="shared" si="229"/>
        <v>0.54447299999999998</v>
      </c>
      <c r="BN195" s="55">
        <f t="shared" si="229"/>
        <v>-0.45896700000000001</v>
      </c>
      <c r="BO195" s="55">
        <f t="shared" si="229"/>
        <v>0.69933100000000004</v>
      </c>
      <c r="BP195" s="55">
        <f t="shared" si="229"/>
        <v>0.81448100000000001</v>
      </c>
      <c r="BQ195" s="55">
        <f t="shared" si="229"/>
        <v>-0.191992</v>
      </c>
      <c r="BR195" s="55">
        <f t="shared" si="229"/>
        <v>-0.18806999999999999</v>
      </c>
      <c r="BS195" s="55">
        <f t="shared" si="229"/>
        <v>0.104064</v>
      </c>
      <c r="BT195" s="55">
        <f t="shared" si="229"/>
        <v>-0.58274999999999999</v>
      </c>
      <c r="BU195" s="55">
        <f t="shared" si="229"/>
        <v>0.21702199999999999</v>
      </c>
      <c r="BV195" s="55">
        <f t="shared" si="229"/>
        <v>-0.42371900000000001</v>
      </c>
      <c r="BW195" s="55">
        <f t="shared" si="229"/>
        <v>0.85927600000000004</v>
      </c>
      <c r="BX195" s="55">
        <f t="shared" si="229"/>
        <v>0.43825799999999998</v>
      </c>
      <c r="BY195" s="55">
        <f t="shared" si="229"/>
        <v>-0.80034700000000003</v>
      </c>
      <c r="BZ195" s="55">
        <f t="shared" si="227"/>
        <v>-0.74512299999999998</v>
      </c>
      <c r="CA195" s="55">
        <f t="shared" si="227"/>
        <v>-0.32855600000000001</v>
      </c>
      <c r="CB195" s="55">
        <f t="shared" si="227"/>
        <v>1.5563480000000001</v>
      </c>
      <c r="CC195" s="55">
        <f t="shared" si="227"/>
        <v>-1.0259309999999999</v>
      </c>
      <c r="CD195" s="55">
        <f t="shared" si="227"/>
        <v>-0.40920400000000001</v>
      </c>
      <c r="CE195" s="55">
        <f t="shared" si="227"/>
        <v>9.3523999999999996E-2</v>
      </c>
      <c r="CF195" s="55">
        <f t="shared" si="227"/>
        <v>6.3188999999999995E-2</v>
      </c>
      <c r="CG195" s="55">
        <f t="shared" si="227"/>
        <v>0.15293499999999999</v>
      </c>
      <c r="CH195" s="55">
        <f t="shared" si="227"/>
        <v>-0.72272800000000004</v>
      </c>
      <c r="CI195" s="55">
        <f t="shared" si="227"/>
        <v>-0.51946199999999998</v>
      </c>
      <c r="CJ195" s="55">
        <f t="shared" si="227"/>
        <v>0.13444999999999999</v>
      </c>
      <c r="CK195" s="55">
        <f t="shared" si="227"/>
        <v>0.94771300000000003</v>
      </c>
      <c r="CL195" s="55">
        <f t="shared" si="227"/>
        <v>0.21096799999999999</v>
      </c>
      <c r="CM195" s="55">
        <f t="shared" si="227"/>
        <v>0.60152000000000005</v>
      </c>
      <c r="CN195" s="55">
        <f t="shared" si="227"/>
        <v>0.15823899999999999</v>
      </c>
      <c r="CO195" s="55">
        <f t="shared" si="228"/>
        <v>-0.80809200000000003</v>
      </c>
      <c r="CP195" s="55">
        <f t="shared" si="228"/>
        <v>0.320656</v>
      </c>
      <c r="CQ195" s="55">
        <f t="shared" si="228"/>
        <v>-0.56914699999999996</v>
      </c>
      <c r="CR195" s="55">
        <f t="shared" si="228"/>
        <v>0.104336</v>
      </c>
      <c r="CS195" s="55">
        <f t="shared" si="228"/>
        <v>-0.14121300000000001</v>
      </c>
      <c r="CT195" s="55">
        <f t="shared" si="228"/>
        <v>3.6859000000000003E-2</v>
      </c>
      <c r="CU195" s="55">
        <f t="shared" si="228"/>
        <v>-0.66616200000000003</v>
      </c>
      <c r="CV195" s="55">
        <f t="shared" si="228"/>
        <v>0.64614499999999997</v>
      </c>
      <c r="CW195" s="55">
        <f t="shared" si="228"/>
        <v>0.16065399999999999</v>
      </c>
      <c r="CX195" s="55">
        <f t="shared" si="228"/>
        <v>1.140854</v>
      </c>
      <c r="CY195" s="55">
        <f t="shared" si="228"/>
        <v>0.75732500000000003</v>
      </c>
      <c r="CZ195" s="55">
        <f t="shared" si="228"/>
        <v>0.56845500000000004</v>
      </c>
      <c r="DA195" s="55">
        <f t="shared" si="228"/>
        <v>-1.2027939999999999</v>
      </c>
      <c r="DB195" s="55">
        <f t="shared" si="228"/>
        <v>-6.7622000000000002E-2</v>
      </c>
      <c r="DC195" s="55">
        <f t="shared" si="228"/>
        <v>-0.34335500000000002</v>
      </c>
      <c r="DD195" s="55">
        <f t="shared" si="228"/>
        <v>0.84750599999999998</v>
      </c>
      <c r="DE195" s="55">
        <f t="shared" si="226"/>
        <v>-0.29188599999999998</v>
      </c>
      <c r="DF195" s="55">
        <f t="shared" si="226"/>
        <v>-0.28097</v>
      </c>
      <c r="DG195" s="55">
        <f t="shared" si="226"/>
        <v>-0.70093300000000003</v>
      </c>
      <c r="DI195" s="55">
        <f t="shared" ca="1" si="65"/>
        <v>1.0107900000000001</v>
      </c>
      <c r="DJ195" s="55">
        <f t="shared" ca="1" si="66"/>
        <v>-0.88376999999999994</v>
      </c>
      <c r="DK195" s="55">
        <f t="shared" ca="1" si="67"/>
        <v>-0.74157600000000001</v>
      </c>
      <c r="DL195" s="55">
        <f t="shared" ca="1" si="68"/>
        <v>-0.76297199999999998</v>
      </c>
      <c r="DM195" s="55">
        <f t="shared" ca="1" si="69"/>
        <v>-0.84866399999999997</v>
      </c>
      <c r="DN195" s="55">
        <f t="shared" ca="1" si="70"/>
        <v>0.29241699999999998</v>
      </c>
      <c r="DO195" s="55">
        <f t="shared" ca="1" si="71"/>
        <v>-0.57423900000000005</v>
      </c>
      <c r="DP195" s="55">
        <f t="shared" ca="1" si="72"/>
        <v>0.78362399999999999</v>
      </c>
      <c r="DQ195" s="55">
        <f t="shared" ca="1" si="73"/>
        <v>0.84691899999999998</v>
      </c>
      <c r="DR195" s="55">
        <f t="shared" ca="1" si="74"/>
        <v>0.54095300000000002</v>
      </c>
      <c r="DS195" s="55">
        <f t="shared" ca="1" si="75"/>
        <v>-1.2010559999999999</v>
      </c>
      <c r="DT195" s="55">
        <f t="shared" ca="1" si="76"/>
        <v>0.90051000000000003</v>
      </c>
      <c r="DU195" s="55">
        <f t="shared" ca="1" si="77"/>
        <v>0.25661400000000001</v>
      </c>
      <c r="DV195" s="55">
        <f t="shared" ca="1" si="78"/>
        <v>-7.8424999999999995E-2</v>
      </c>
      <c r="DW195" s="55">
        <f t="shared" ca="1" si="79"/>
        <v>0.83231200000000005</v>
      </c>
      <c r="DX195" s="55">
        <f t="shared" ca="1" si="80"/>
        <v>-0.28163100000000002</v>
      </c>
      <c r="DY195" s="55">
        <f t="shared" ca="1" si="81"/>
        <v>-0.18229799999999999</v>
      </c>
      <c r="DZ195" s="55">
        <f t="shared" ca="1" si="82"/>
        <v>0.49211300000000002</v>
      </c>
      <c r="EA195" s="55">
        <f t="shared" ca="1" si="83"/>
        <v>1.135105</v>
      </c>
      <c r="EB195" s="55">
        <f t="shared" ca="1" si="84"/>
        <v>-0.13441500000000001</v>
      </c>
      <c r="EC195" s="55">
        <f t="shared" ca="1" si="85"/>
        <v>0.28303899999999999</v>
      </c>
      <c r="ED195" s="55">
        <f t="shared" ca="1" si="86"/>
        <v>4.4645999999999998E-2</v>
      </c>
      <c r="EE195" s="55">
        <f t="shared" ca="1" si="87"/>
        <v>0.783196</v>
      </c>
      <c r="EF195" s="55">
        <f t="shared" ca="1" si="88"/>
        <v>-0.25130000000000002</v>
      </c>
      <c r="EG195" s="55">
        <f t="shared" ca="1" si="89"/>
        <v>1.254807</v>
      </c>
      <c r="EH195" s="55">
        <f t="shared" ca="1" si="90"/>
        <v>0.24223800000000001</v>
      </c>
      <c r="EI195" s="55">
        <f t="shared" ca="1" si="91"/>
        <v>-0.66971400000000003</v>
      </c>
      <c r="EJ195" s="55">
        <f t="shared" ca="1" si="92"/>
        <v>-0.63559399999999999</v>
      </c>
      <c r="EK195" s="55">
        <f t="shared" ca="1" si="93"/>
        <v>0.83333999999999997</v>
      </c>
      <c r="EL195" s="55">
        <f t="shared" ca="1" si="94"/>
        <v>-0.51413600000000004</v>
      </c>
      <c r="EM195" s="55">
        <f t="shared" ca="1" si="95"/>
        <v>0.59201899999999996</v>
      </c>
      <c r="EN195" s="55">
        <f t="shared" ca="1" si="96"/>
        <v>-0.88652399999999998</v>
      </c>
      <c r="EO195" s="55">
        <f t="shared" ca="1" si="97"/>
        <v>0.36339530227599998</v>
      </c>
      <c r="EP195" s="55">
        <f t="shared" ca="1" si="98"/>
        <v>-0.27624204566900001</v>
      </c>
      <c r="EQ195" s="55">
        <f t="shared" ca="1" si="99"/>
        <v>0.26332022899699997</v>
      </c>
      <c r="ER195" s="55">
        <f t="shared" ca="1" si="100"/>
        <v>1.191416338722</v>
      </c>
      <c r="ES195" s="55">
        <f t="shared" ca="1" si="101"/>
        <v>0.34820219675799996</v>
      </c>
      <c r="ET195" s="55">
        <f t="shared" ca="1" si="102"/>
        <v>-3.9429103287000028E-2</v>
      </c>
      <c r="EU195" s="55">
        <f t="shared" ca="1" si="103"/>
        <v>-9.5601811365999961E-2</v>
      </c>
      <c r="EV195" s="55">
        <f t="shared" ca="1" si="104"/>
        <v>0.39086223624700001</v>
      </c>
      <c r="EW195" s="55">
        <f t="shared" ca="1" si="105"/>
        <v>0.97696694707699994</v>
      </c>
      <c r="EX195" s="55">
        <f t="shared" ca="1" si="106"/>
        <v>0.58188292332199998</v>
      </c>
      <c r="EY195" s="55">
        <f t="shared" ca="1" si="107"/>
        <v>0.31577263030200003</v>
      </c>
      <c r="EZ195" s="55">
        <f t="shared" ca="1" si="108"/>
        <v>-0.44945787939699999</v>
      </c>
      <c r="FA195" s="55">
        <f t="shared" ca="1" si="109"/>
        <v>-0.24018001458499999</v>
      </c>
      <c r="FB195" s="55">
        <f t="shared" ca="1" si="110"/>
        <v>-0.48635892910099998</v>
      </c>
      <c r="FC195" s="55">
        <f t="shared" ca="1" si="111"/>
        <v>-1.1963159999999999</v>
      </c>
      <c r="FD195" s="55">
        <f t="shared" ca="1" si="112"/>
        <v>-0.195964</v>
      </c>
      <c r="FE195" s="55">
        <f t="shared" ca="1" si="113"/>
        <v>1.0676159999999999</v>
      </c>
      <c r="FF195" s="55">
        <f t="shared" ca="1" si="114"/>
        <v>-0.19059999999999999</v>
      </c>
      <c r="FH195" s="55">
        <f t="shared" ca="1" si="115"/>
        <v>0</v>
      </c>
      <c r="FI195" s="55">
        <f t="shared" ca="1" si="207"/>
        <v>0</v>
      </c>
      <c r="FJ195" s="55">
        <f t="shared" ca="1" si="208"/>
        <v>0</v>
      </c>
      <c r="FK195" s="55">
        <f t="shared" ca="1" si="209"/>
        <v>0</v>
      </c>
      <c r="FL195" s="55">
        <f t="shared" ca="1" si="210"/>
        <v>0</v>
      </c>
      <c r="FM195" s="55">
        <f t="shared" ca="1" si="211"/>
        <v>0</v>
      </c>
      <c r="FN195" s="55">
        <f t="shared" ca="1" si="212"/>
        <v>0</v>
      </c>
      <c r="FO195" s="55">
        <f t="shared" ca="1" si="213"/>
        <v>0</v>
      </c>
      <c r="FP195" s="55">
        <f t="shared" ca="1" si="214"/>
        <v>0</v>
      </c>
      <c r="FQ195" s="55">
        <f t="shared" ca="1" si="215"/>
        <v>0</v>
      </c>
      <c r="FR195" s="55">
        <f t="shared" ca="1" si="216"/>
        <v>0</v>
      </c>
      <c r="FS195" s="55">
        <f t="shared" ca="1" si="158"/>
        <v>0</v>
      </c>
      <c r="FT195" s="55">
        <f t="shared" ca="1" si="159"/>
        <v>0</v>
      </c>
      <c r="FU195" s="55">
        <f t="shared" ca="1" si="160"/>
        <v>0</v>
      </c>
      <c r="FV195" s="55">
        <f t="shared" ca="1" si="161"/>
        <v>0</v>
      </c>
      <c r="FW195" s="55">
        <f t="shared" ca="1" si="162"/>
        <v>0</v>
      </c>
      <c r="FX195" s="55">
        <f t="shared" ca="1" si="163"/>
        <v>0</v>
      </c>
      <c r="FY195" s="55">
        <f t="shared" ca="1" si="164"/>
        <v>0</v>
      </c>
      <c r="FZ195" s="55">
        <f t="shared" ca="1" si="165"/>
        <v>0</v>
      </c>
      <c r="GA195" s="55">
        <f t="shared" ca="1" si="166"/>
        <v>0</v>
      </c>
      <c r="GB195" s="55">
        <f t="shared" ca="1" si="167"/>
        <v>0</v>
      </c>
      <c r="GC195" s="55">
        <f t="shared" ca="1" si="168"/>
        <v>0</v>
      </c>
      <c r="GD195" s="55">
        <f t="shared" ca="1" si="169"/>
        <v>0</v>
      </c>
      <c r="GE195" s="55">
        <f t="shared" ca="1" si="170"/>
        <v>0</v>
      </c>
      <c r="GF195" s="55">
        <f t="shared" ca="1" si="171"/>
        <v>0</v>
      </c>
      <c r="GG195" s="55">
        <f t="shared" ca="1" si="172"/>
        <v>0</v>
      </c>
      <c r="GH195" s="55">
        <f t="shared" ca="1" si="173"/>
        <v>0</v>
      </c>
      <c r="GI195" s="55">
        <f t="shared" ca="1" si="174"/>
        <v>0</v>
      </c>
      <c r="GJ195" s="55">
        <f t="shared" ca="1" si="175"/>
        <v>0</v>
      </c>
      <c r="GK195" s="55">
        <f t="shared" ca="1" si="176"/>
        <v>0</v>
      </c>
      <c r="GL195" s="55">
        <f t="shared" ca="1" si="177"/>
        <v>0</v>
      </c>
      <c r="GM195" s="55">
        <f t="shared" ca="1" si="178"/>
        <v>0</v>
      </c>
      <c r="GN195" s="55">
        <f t="shared" ca="1" si="179"/>
        <v>-9.616697724000034E-3</v>
      </c>
      <c r="GO195" s="55">
        <f t="shared" ca="1" si="180"/>
        <v>-6.5906045669000018E-2</v>
      </c>
      <c r="GP195" s="55">
        <f t="shared" ca="1" si="181"/>
        <v>-3.5772771003000026E-2</v>
      </c>
      <c r="GQ195" s="55">
        <f t="shared" ca="1" si="182"/>
        <v>-0.29985266127799992</v>
      </c>
      <c r="GR195" s="55">
        <f t="shared" ca="1" si="183"/>
        <v>-7.005480324200003E-2</v>
      </c>
      <c r="GS195" s="55">
        <f t="shared" ca="1" si="184"/>
        <v>-0.14102010328700004</v>
      </c>
      <c r="GT195" s="55">
        <f t="shared" ca="1" si="185"/>
        <v>0.16689918863400002</v>
      </c>
      <c r="GU195" s="55">
        <f t="shared" ca="1" si="186"/>
        <v>-5.1798763753000021E-2</v>
      </c>
      <c r="GV195" s="55">
        <f t="shared" ca="1" si="187"/>
        <v>3.6875947076999926E-2</v>
      </c>
      <c r="GW195" s="55">
        <f t="shared" ca="1" si="188"/>
        <v>3.9475923322000006E-2</v>
      </c>
      <c r="GX195" s="55">
        <f t="shared" ca="1" si="189"/>
        <v>5.6855630302000026E-2</v>
      </c>
      <c r="GY195" s="55">
        <f t="shared" ca="1" si="190"/>
        <v>-0.16950687939699999</v>
      </c>
      <c r="GZ195" s="55">
        <f t="shared" ca="1" si="191"/>
        <v>3.8826985415000015E-2</v>
      </c>
      <c r="HA195" s="55">
        <f t="shared" ca="1" si="192"/>
        <v>3.2177070899000015E-2</v>
      </c>
      <c r="HB195" s="55">
        <f t="shared" ca="1" si="193"/>
        <v>0</v>
      </c>
      <c r="HC195" s="55">
        <f t="shared" ca="1" si="194"/>
        <v>0</v>
      </c>
      <c r="HD195" s="55">
        <f t="shared" ca="1" si="195"/>
        <v>0</v>
      </c>
      <c r="HE195" s="55">
        <f t="shared" ca="1" si="196"/>
        <v>0</v>
      </c>
    </row>
    <row r="196" spans="1:213">
      <c r="A196" s="27">
        <v>59</v>
      </c>
      <c r="B196" s="27">
        <v>53</v>
      </c>
      <c r="C196" s="27">
        <v>0.26710200000000001</v>
      </c>
      <c r="D196" s="27">
        <v>0.35659000000000002</v>
      </c>
      <c r="E196" s="27">
        <v>25</v>
      </c>
      <c r="F196" s="27">
        <f t="shared" ca="1" si="59"/>
        <v>44</v>
      </c>
      <c r="G196" s="27">
        <f t="shared" si="221"/>
        <v>0</v>
      </c>
      <c r="H196" s="27" t="str">
        <f t="shared" si="60"/>
        <v>Sim</v>
      </c>
      <c r="I196" s="27">
        <f t="shared" si="61"/>
        <v>0</v>
      </c>
      <c r="J196" s="37">
        <f t="shared" si="62"/>
        <v>1</v>
      </c>
      <c r="K196" s="55">
        <f t="shared" si="63"/>
        <v>0.26916400000000001</v>
      </c>
      <c r="L196" s="55">
        <f t="shared" si="197"/>
        <v>-1.3101799999999999</v>
      </c>
      <c r="M196" s="55">
        <f t="shared" si="198"/>
        <v>0.52901100000000001</v>
      </c>
      <c r="N196" s="55">
        <f t="shared" si="199"/>
        <v>-0.44570799999999999</v>
      </c>
      <c r="O196" s="55">
        <f t="shared" si="200"/>
        <v>0.55388999999999999</v>
      </c>
      <c r="P196" s="55">
        <f t="shared" si="201"/>
        <v>0.846244</v>
      </c>
      <c r="Q196" s="55">
        <f t="shared" si="202"/>
        <v>-0.40750900000000001</v>
      </c>
      <c r="R196" s="55">
        <f t="shared" si="203"/>
        <v>-0.78264500000000004</v>
      </c>
      <c r="S196" s="55">
        <f t="shared" si="204"/>
        <v>8.3086999999999994E-2</v>
      </c>
      <c r="T196" s="55">
        <f t="shared" si="205"/>
        <v>0.43715199999999999</v>
      </c>
      <c r="U196" s="55">
        <f t="shared" si="206"/>
        <v>2.7615000000000001E-2</v>
      </c>
      <c r="V196" s="55">
        <f t="shared" si="116"/>
        <v>0.200211</v>
      </c>
      <c r="W196" s="55">
        <f t="shared" si="117"/>
        <v>-1.3780669999999999</v>
      </c>
      <c r="X196" s="55">
        <f t="shared" si="118"/>
        <v>1.7145189999999999</v>
      </c>
      <c r="Y196" s="55">
        <f t="shared" si="119"/>
        <v>0.93861499999999998</v>
      </c>
      <c r="Z196" s="55">
        <f t="shared" si="120"/>
        <v>-0.81486199999999998</v>
      </c>
      <c r="AA196" s="55">
        <f t="shared" si="121"/>
        <v>-1.705659</v>
      </c>
      <c r="AB196" s="55">
        <f t="shared" si="122"/>
        <v>0.21678700000000001</v>
      </c>
      <c r="AC196" s="55">
        <f t="shared" si="123"/>
        <v>1.0476019999999999</v>
      </c>
      <c r="AD196" s="55">
        <f t="shared" si="124"/>
        <v>0.86004400000000003</v>
      </c>
      <c r="AE196" s="55">
        <f t="shared" si="125"/>
        <v>1.214334</v>
      </c>
      <c r="AF196" s="55">
        <f t="shared" si="126"/>
        <v>-0.372975</v>
      </c>
      <c r="AG196" s="55">
        <f t="shared" si="127"/>
        <v>-3.4550999999999998E-2</v>
      </c>
      <c r="AH196" s="55">
        <f t="shared" si="128"/>
        <v>-0.82369300000000001</v>
      </c>
      <c r="AI196" s="55">
        <f t="shared" si="129"/>
        <v>0.141236</v>
      </c>
      <c r="AJ196" s="55">
        <f t="shared" si="130"/>
        <v>0.97076099999999999</v>
      </c>
      <c r="AK196" s="55">
        <f t="shared" si="131"/>
        <v>1.3347340000000001</v>
      </c>
      <c r="AL196" s="55">
        <f t="shared" si="132"/>
        <v>0.42351100000000003</v>
      </c>
      <c r="AM196" s="55">
        <f t="shared" si="133"/>
        <v>-0.16927600000000001</v>
      </c>
      <c r="AN196" s="55">
        <f t="shared" si="134"/>
        <v>-0.60954900000000001</v>
      </c>
      <c r="AO196" s="55">
        <f t="shared" si="135"/>
        <v>-0.21874399999999999</v>
      </c>
      <c r="AP196" s="55">
        <f t="shared" si="136"/>
        <v>0.67683800000000005</v>
      </c>
      <c r="AQ196" s="55">
        <f t="shared" si="137"/>
        <v>-0.34503200000000001</v>
      </c>
      <c r="AR196" s="55">
        <f t="shared" si="138"/>
        <v>-1.592784</v>
      </c>
      <c r="AS196" s="55">
        <f t="shared" si="139"/>
        <v>-0.178647</v>
      </c>
      <c r="AT196" s="55">
        <f t="shared" si="140"/>
        <v>-1.0733680000000001</v>
      </c>
      <c r="AU196" s="55">
        <f t="shared" si="141"/>
        <v>-1.0494779999999999</v>
      </c>
      <c r="AV196" s="55">
        <f t="shared" si="142"/>
        <v>-1.740615</v>
      </c>
      <c r="AW196" s="55">
        <f t="shared" si="143"/>
        <v>-0.25975799999999999</v>
      </c>
      <c r="AX196" s="55">
        <f t="shared" si="144"/>
        <v>0.314857</v>
      </c>
      <c r="AY196" s="55">
        <f t="shared" si="145"/>
        <v>0.25784200000000002</v>
      </c>
      <c r="AZ196" s="55">
        <f t="shared" si="146"/>
        <v>-0.28676000000000001</v>
      </c>
      <c r="BA196" s="55">
        <f t="shared" si="147"/>
        <v>0.72355199999999997</v>
      </c>
      <c r="BB196" s="55">
        <f t="shared" si="148"/>
        <v>-0.34642800000000001</v>
      </c>
      <c r="BC196" s="55">
        <f t="shared" si="149"/>
        <v>0.44734299999999999</v>
      </c>
      <c r="BD196" s="55">
        <f t="shared" si="150"/>
        <v>0.52679399999999998</v>
      </c>
      <c r="BE196" s="55">
        <f t="shared" si="151"/>
        <v>0.78414499999999998</v>
      </c>
      <c r="BF196" s="55">
        <f t="shared" si="152"/>
        <v>0.114131</v>
      </c>
      <c r="BG196" s="55">
        <f t="shared" si="153"/>
        <v>-0.21354300000000001</v>
      </c>
      <c r="BH196" s="55">
        <f t="shared" si="154"/>
        <v>0.89874399999999999</v>
      </c>
      <c r="BJ196" s="55">
        <f t="shared" si="229"/>
        <v>-0.252108</v>
      </c>
      <c r="BK196" s="55">
        <f t="shared" si="229"/>
        <v>-1.254791</v>
      </c>
      <c r="BL196" s="55">
        <f t="shared" si="229"/>
        <v>0.85070100000000004</v>
      </c>
      <c r="BM196" s="55">
        <f t="shared" si="229"/>
        <v>0.45818900000000001</v>
      </c>
      <c r="BN196" s="55">
        <f t="shared" si="229"/>
        <v>-1.107664</v>
      </c>
      <c r="BO196" s="55">
        <f t="shared" si="229"/>
        <v>-0.62712999999999997</v>
      </c>
      <c r="BP196" s="55">
        <f t="shared" si="229"/>
        <v>-0.87274200000000002</v>
      </c>
      <c r="BQ196" s="55">
        <f t="shared" si="229"/>
        <v>0.69743699999999997</v>
      </c>
      <c r="BR196" s="55">
        <f t="shared" si="229"/>
        <v>-0.50827100000000003</v>
      </c>
      <c r="BS196" s="55">
        <f t="shared" si="229"/>
        <v>-0.17824699999999999</v>
      </c>
      <c r="BT196" s="55">
        <f t="shared" si="229"/>
        <v>-0.21669099999999999</v>
      </c>
      <c r="BU196" s="55">
        <f t="shared" si="229"/>
        <v>-0.156221</v>
      </c>
      <c r="BV196" s="55">
        <f t="shared" si="229"/>
        <v>-1.057574</v>
      </c>
      <c r="BW196" s="55">
        <f t="shared" si="229"/>
        <v>0.95014900000000002</v>
      </c>
      <c r="BX196" s="55">
        <f t="shared" si="229"/>
        <v>0.287993</v>
      </c>
      <c r="BY196" s="55">
        <f t="shared" si="229"/>
        <v>0.70925700000000003</v>
      </c>
      <c r="BZ196" s="55">
        <f t="shared" si="227"/>
        <v>-0.20768300000000001</v>
      </c>
      <c r="CA196" s="55">
        <f t="shared" si="227"/>
        <v>-0.45103900000000002</v>
      </c>
      <c r="CB196" s="55">
        <f t="shared" si="227"/>
        <v>0.44376500000000002</v>
      </c>
      <c r="CC196" s="55">
        <f t="shared" si="227"/>
        <v>0.98195399999999999</v>
      </c>
      <c r="CD196" s="55">
        <f t="shared" si="227"/>
        <v>0.62348199999999998</v>
      </c>
      <c r="CE196" s="55">
        <f t="shared" si="227"/>
        <v>0.57149399999999995</v>
      </c>
      <c r="CF196" s="55">
        <f t="shared" si="227"/>
        <v>0.532169</v>
      </c>
      <c r="CG196" s="55">
        <f t="shared" si="227"/>
        <v>1.39242</v>
      </c>
      <c r="CH196" s="55">
        <f t="shared" si="227"/>
        <v>8.8690000000000005E-2</v>
      </c>
      <c r="CI196" s="55">
        <f t="shared" si="227"/>
        <v>-1.7580560000000001</v>
      </c>
      <c r="CJ196" s="55">
        <f t="shared" si="227"/>
        <v>0.68662299999999998</v>
      </c>
      <c r="CK196" s="55">
        <f t="shared" si="227"/>
        <v>0.81466400000000005</v>
      </c>
      <c r="CL196" s="55">
        <f t="shared" si="227"/>
        <v>-0.62037600000000004</v>
      </c>
      <c r="CM196" s="55">
        <f t="shared" si="227"/>
        <v>-0.72668100000000002</v>
      </c>
      <c r="CN196" s="55">
        <f t="shared" si="227"/>
        <v>0.82117099999999998</v>
      </c>
      <c r="CO196" s="55">
        <f t="shared" si="228"/>
        <v>-0.90939599999999998</v>
      </c>
      <c r="CP196" s="55">
        <f t="shared" si="228"/>
        <v>1.2582930000000001</v>
      </c>
      <c r="CQ196" s="55">
        <f t="shared" si="228"/>
        <v>-0.77181500000000003</v>
      </c>
      <c r="CR196" s="55">
        <f t="shared" si="228"/>
        <v>0.26988899999999999</v>
      </c>
      <c r="CS196" s="55">
        <f t="shared" si="228"/>
        <v>-0.31845499999999999</v>
      </c>
      <c r="CT196" s="55">
        <f t="shared" si="228"/>
        <v>-0.89831000000000005</v>
      </c>
      <c r="CU196" s="55">
        <f t="shared" si="228"/>
        <v>-0.80399500000000002</v>
      </c>
      <c r="CV196" s="55">
        <f t="shared" si="228"/>
        <v>-1.174266</v>
      </c>
      <c r="CW196" s="55">
        <f t="shared" si="228"/>
        <v>-0.41018500000000002</v>
      </c>
      <c r="CX196" s="55">
        <f t="shared" si="228"/>
        <v>-2.2689000000000001E-2</v>
      </c>
      <c r="CY196" s="55">
        <f t="shared" si="228"/>
        <v>-9.2197000000000001E-2</v>
      </c>
      <c r="CZ196" s="55">
        <f t="shared" si="228"/>
        <v>-0.20809</v>
      </c>
      <c r="DA196" s="55">
        <f t="shared" si="228"/>
        <v>0.20910000000000001</v>
      </c>
      <c r="DB196" s="55">
        <f t="shared" si="228"/>
        <v>-0.84453800000000001</v>
      </c>
      <c r="DC196" s="55">
        <f t="shared" si="228"/>
        <v>-0.78732199999999997</v>
      </c>
      <c r="DD196" s="55">
        <f t="shared" si="228"/>
        <v>0.112526</v>
      </c>
      <c r="DE196" s="55">
        <f t="shared" si="226"/>
        <v>-0.17535300000000001</v>
      </c>
      <c r="DF196" s="55">
        <f t="shared" si="226"/>
        <v>0.39268199999999998</v>
      </c>
      <c r="DG196" s="55">
        <f t="shared" si="226"/>
        <v>-1.261163</v>
      </c>
      <c r="DI196" s="55">
        <f t="shared" ca="1" si="65"/>
        <v>0.26916400000000001</v>
      </c>
      <c r="DJ196" s="55">
        <f t="shared" ca="1" si="66"/>
        <v>-1.3101799999999999</v>
      </c>
      <c r="DK196" s="55">
        <f t="shared" ca="1" si="67"/>
        <v>0.52901100000000001</v>
      </c>
      <c r="DL196" s="55">
        <f t="shared" ca="1" si="68"/>
        <v>-0.44570799999999999</v>
      </c>
      <c r="DM196" s="55">
        <f t="shared" ca="1" si="69"/>
        <v>0.55388999999999999</v>
      </c>
      <c r="DN196" s="55">
        <f t="shared" ca="1" si="70"/>
        <v>0.846244</v>
      </c>
      <c r="DO196" s="55">
        <f t="shared" ca="1" si="71"/>
        <v>-0.40750900000000001</v>
      </c>
      <c r="DP196" s="55">
        <f t="shared" ca="1" si="72"/>
        <v>-0.78264500000000004</v>
      </c>
      <c r="DQ196" s="55">
        <f t="shared" ca="1" si="73"/>
        <v>8.3086999999999994E-2</v>
      </c>
      <c r="DR196" s="55">
        <f t="shared" ca="1" si="74"/>
        <v>0.43715199999999999</v>
      </c>
      <c r="DS196" s="55">
        <f t="shared" ca="1" si="75"/>
        <v>2.7615000000000001E-2</v>
      </c>
      <c r="DT196" s="55">
        <f t="shared" ca="1" si="76"/>
        <v>0.200211</v>
      </c>
      <c r="DU196" s="55">
        <f t="shared" ca="1" si="77"/>
        <v>-1.3780669999999999</v>
      </c>
      <c r="DV196" s="55">
        <f t="shared" ca="1" si="78"/>
        <v>1.7145189999999999</v>
      </c>
      <c r="DW196" s="55">
        <f t="shared" ca="1" si="79"/>
        <v>0.93861499999999998</v>
      </c>
      <c r="DX196" s="55">
        <f t="shared" ca="1" si="80"/>
        <v>-0.81486199999999998</v>
      </c>
      <c r="DY196" s="55">
        <f t="shared" ca="1" si="81"/>
        <v>-1.705659</v>
      </c>
      <c r="DZ196" s="55">
        <f t="shared" ca="1" si="82"/>
        <v>0.21678700000000001</v>
      </c>
      <c r="EA196" s="55">
        <f t="shared" ca="1" si="83"/>
        <v>1.0476019999999999</v>
      </c>
      <c r="EB196" s="55">
        <f t="shared" ca="1" si="84"/>
        <v>0.86004400000000003</v>
      </c>
      <c r="EC196" s="55">
        <f t="shared" ca="1" si="85"/>
        <v>1.214334</v>
      </c>
      <c r="ED196" s="55">
        <f t="shared" ca="1" si="86"/>
        <v>-0.372975</v>
      </c>
      <c r="EE196" s="55">
        <f t="shared" ca="1" si="87"/>
        <v>-3.4550999999999998E-2</v>
      </c>
      <c r="EF196" s="55">
        <f t="shared" ca="1" si="88"/>
        <v>-0.82369300000000001</v>
      </c>
      <c r="EG196" s="55">
        <f t="shared" ca="1" si="89"/>
        <v>0.141236</v>
      </c>
      <c r="EH196" s="55">
        <f t="shared" ca="1" si="90"/>
        <v>-0.78498714597000019</v>
      </c>
      <c r="EI196" s="55">
        <f t="shared" ca="1" si="91"/>
        <v>0.91773290149000009</v>
      </c>
      <c r="EJ196" s="55">
        <f t="shared" ca="1" si="92"/>
        <v>0.67518275173000009</v>
      </c>
      <c r="EK196" s="55">
        <f t="shared" ca="1" si="93"/>
        <v>-0.4595182510000001</v>
      </c>
      <c r="EL196" s="55">
        <f t="shared" ca="1" si="94"/>
        <v>-0.68491290012000006</v>
      </c>
      <c r="EM196" s="55">
        <f t="shared" ca="1" si="95"/>
        <v>0.45034771015000008</v>
      </c>
      <c r="EN196" s="55">
        <f t="shared" ca="1" si="96"/>
        <v>-0.34376081794000002</v>
      </c>
      <c r="EO196" s="55">
        <f t="shared" ca="1" si="97"/>
        <v>0.68656333825000015</v>
      </c>
      <c r="EP196" s="55">
        <f t="shared" ca="1" si="98"/>
        <v>-1.0645643357100001</v>
      </c>
      <c r="EQ196" s="55">
        <f t="shared" ca="1" si="99"/>
        <v>0.10994554776</v>
      </c>
      <c r="ER196" s="55">
        <f t="shared" ca="1" si="100"/>
        <v>-0.58764942667000009</v>
      </c>
      <c r="ES196" s="55">
        <f t="shared" ca="1" si="101"/>
        <v>-0.95221499712000002</v>
      </c>
      <c r="ET196" s="55">
        <f t="shared" ca="1" si="102"/>
        <v>-1.1379843258000002</v>
      </c>
      <c r="EU196" s="55">
        <f t="shared" ca="1" si="103"/>
        <v>-0.8481615922800001</v>
      </c>
      <c r="EV196" s="55">
        <f t="shared" ca="1" si="104"/>
        <v>-0.15164227322000001</v>
      </c>
      <c r="EW196" s="55">
        <f t="shared" ca="1" si="105"/>
        <v>7.734554929000001E-2</v>
      </c>
      <c r="EX196" s="55">
        <f t="shared" ca="1" si="106"/>
        <v>-0.16157622017000001</v>
      </c>
      <c r="EY196" s="55">
        <f t="shared" ca="1" si="107"/>
        <v>0.12412422078000002</v>
      </c>
      <c r="EZ196" s="55">
        <f t="shared" ca="1" si="108"/>
        <v>1.1004270479999995E-2</v>
      </c>
      <c r="FA196" s="55">
        <f t="shared" ca="1" si="109"/>
        <v>0.44734299999999999</v>
      </c>
      <c r="FB196" s="55">
        <f t="shared" ca="1" si="110"/>
        <v>0.52679399999999998</v>
      </c>
      <c r="FC196" s="55">
        <f t="shared" ca="1" si="111"/>
        <v>0.78414499999999998</v>
      </c>
      <c r="FD196" s="55">
        <f t="shared" ca="1" si="112"/>
        <v>0.114131</v>
      </c>
      <c r="FE196" s="55">
        <f t="shared" ca="1" si="113"/>
        <v>-0.21354300000000001</v>
      </c>
      <c r="FF196" s="55">
        <f t="shared" ca="1" si="114"/>
        <v>0.89874399999999999</v>
      </c>
      <c r="FH196" s="55">
        <f t="shared" ca="1" si="115"/>
        <v>0</v>
      </c>
      <c r="FI196" s="55">
        <f t="shared" ca="1" si="207"/>
        <v>0</v>
      </c>
      <c r="FJ196" s="55">
        <f t="shared" ca="1" si="208"/>
        <v>0</v>
      </c>
      <c r="FK196" s="55">
        <f t="shared" ca="1" si="209"/>
        <v>0</v>
      </c>
      <c r="FL196" s="55">
        <f t="shared" ca="1" si="210"/>
        <v>0</v>
      </c>
      <c r="FM196" s="55">
        <f t="shared" ca="1" si="211"/>
        <v>0</v>
      </c>
      <c r="FN196" s="55">
        <f t="shared" ca="1" si="212"/>
        <v>0</v>
      </c>
      <c r="FO196" s="55">
        <f t="shared" ca="1" si="213"/>
        <v>0</v>
      </c>
      <c r="FP196" s="55">
        <f t="shared" ca="1" si="214"/>
        <v>0</v>
      </c>
      <c r="FQ196" s="55">
        <f t="shared" ca="1" si="215"/>
        <v>0</v>
      </c>
      <c r="FR196" s="55">
        <f t="shared" ca="1" si="216"/>
        <v>0</v>
      </c>
      <c r="FS196" s="55">
        <f t="shared" ca="1" si="158"/>
        <v>0</v>
      </c>
      <c r="FT196" s="55">
        <f t="shared" ca="1" si="159"/>
        <v>0</v>
      </c>
      <c r="FU196" s="55">
        <f t="shared" ca="1" si="160"/>
        <v>0</v>
      </c>
      <c r="FV196" s="55">
        <f t="shared" ca="1" si="161"/>
        <v>0</v>
      </c>
      <c r="FW196" s="55">
        <f t="shared" ca="1" si="162"/>
        <v>0</v>
      </c>
      <c r="FX196" s="55">
        <f t="shared" ca="1" si="163"/>
        <v>0</v>
      </c>
      <c r="FY196" s="55">
        <f t="shared" ca="1" si="164"/>
        <v>0</v>
      </c>
      <c r="FZ196" s="55">
        <f t="shared" ca="1" si="165"/>
        <v>0</v>
      </c>
      <c r="GA196" s="55">
        <f t="shared" ca="1" si="166"/>
        <v>0</v>
      </c>
      <c r="GB196" s="55">
        <f t="shared" ca="1" si="167"/>
        <v>0</v>
      </c>
      <c r="GC196" s="55">
        <f t="shared" ca="1" si="168"/>
        <v>0</v>
      </c>
      <c r="GD196" s="55">
        <f t="shared" ca="1" si="169"/>
        <v>0</v>
      </c>
      <c r="GE196" s="55">
        <f t="shared" ca="1" si="170"/>
        <v>0</v>
      </c>
      <c r="GF196" s="55">
        <f t="shared" ca="1" si="171"/>
        <v>0</v>
      </c>
      <c r="GG196" s="55">
        <f t="shared" ca="1" si="172"/>
        <v>-1.7557481459700002</v>
      </c>
      <c r="GH196" s="55">
        <f t="shared" ca="1" si="173"/>
        <v>-0.41700109851</v>
      </c>
      <c r="GI196" s="55">
        <f t="shared" ca="1" si="174"/>
        <v>0.25167175173000006</v>
      </c>
      <c r="GJ196" s="55">
        <f t="shared" ca="1" si="175"/>
        <v>-0.29024225100000012</v>
      </c>
      <c r="GK196" s="55">
        <f t="shared" ca="1" si="176"/>
        <v>-7.5363900120000049E-2</v>
      </c>
      <c r="GL196" s="55">
        <f t="shared" ca="1" si="177"/>
        <v>0.66909171015000002</v>
      </c>
      <c r="GM196" s="55">
        <f t="shared" ca="1" si="178"/>
        <v>-1.0205988179400001</v>
      </c>
      <c r="GN196" s="55">
        <f t="shared" ca="1" si="179"/>
        <v>1.0315953382500003</v>
      </c>
      <c r="GO196" s="55">
        <f t="shared" ca="1" si="180"/>
        <v>0.52821966428999989</v>
      </c>
      <c r="GP196" s="55">
        <f t="shared" ca="1" si="181"/>
        <v>0.28859254775999998</v>
      </c>
      <c r="GQ196" s="55">
        <f t="shared" ca="1" si="182"/>
        <v>0.48571857333000001</v>
      </c>
      <c r="GR196" s="55">
        <f t="shared" ca="1" si="183"/>
        <v>9.7263002879999894E-2</v>
      </c>
      <c r="GS196" s="55">
        <f t="shared" ca="1" si="184"/>
        <v>0.60263067419999983</v>
      </c>
      <c r="GT196" s="55">
        <f t="shared" ca="1" si="185"/>
        <v>-0.58840359228000017</v>
      </c>
      <c r="GU196" s="55">
        <f t="shared" ca="1" si="186"/>
        <v>-0.46649927322000001</v>
      </c>
      <c r="GV196" s="55">
        <f t="shared" ca="1" si="187"/>
        <v>-0.18049645071000001</v>
      </c>
      <c r="GW196" s="55">
        <f t="shared" ca="1" si="188"/>
        <v>0.12518377983000001</v>
      </c>
      <c r="GX196" s="55">
        <f t="shared" ca="1" si="189"/>
        <v>-0.59942777922000001</v>
      </c>
      <c r="GY196" s="55">
        <f t="shared" ca="1" si="190"/>
        <v>0.35743227048000004</v>
      </c>
      <c r="GZ196" s="55">
        <f t="shared" ca="1" si="191"/>
        <v>0</v>
      </c>
      <c r="HA196" s="55">
        <f t="shared" ca="1" si="192"/>
        <v>0</v>
      </c>
      <c r="HB196" s="55">
        <f t="shared" ca="1" si="193"/>
        <v>0</v>
      </c>
      <c r="HC196" s="55">
        <f t="shared" ca="1" si="194"/>
        <v>0</v>
      </c>
      <c r="HD196" s="55">
        <f t="shared" ca="1" si="195"/>
        <v>0</v>
      </c>
      <c r="HE196" s="55">
        <f t="shared" ca="1" si="196"/>
        <v>0</v>
      </c>
    </row>
    <row r="197" spans="1:213">
      <c r="A197" s="27">
        <v>60</v>
      </c>
      <c r="B197" s="27">
        <v>27</v>
      </c>
      <c r="C197" s="27">
        <v>0.815415</v>
      </c>
      <c r="D197" s="27">
        <v>0.50320200000000004</v>
      </c>
      <c r="E197" s="27">
        <v>43</v>
      </c>
      <c r="F197" s="27">
        <f t="shared" ca="1" si="59"/>
        <v>44</v>
      </c>
      <c r="G197" s="27">
        <f t="shared" si="221"/>
        <v>0</v>
      </c>
      <c r="H197" s="27" t="str">
        <f t="shared" si="60"/>
        <v>Não</v>
      </c>
      <c r="I197" s="27">
        <f t="shared" si="61"/>
        <v>0</v>
      </c>
      <c r="J197" s="37">
        <f t="shared" si="62"/>
        <v>0</v>
      </c>
      <c r="K197" s="55">
        <f t="shared" si="63"/>
        <v>-0.64072499999999999</v>
      </c>
      <c r="L197" s="55">
        <f t="shared" si="197"/>
        <v>0.26803700000000003</v>
      </c>
      <c r="M197" s="55">
        <f t="shared" si="198"/>
        <v>-0.239621</v>
      </c>
      <c r="N197" s="55">
        <f t="shared" si="199"/>
        <v>0.25725999999999999</v>
      </c>
      <c r="O197" s="55">
        <f t="shared" si="200"/>
        <v>-0.13240499999999999</v>
      </c>
      <c r="P197" s="55">
        <f t="shared" si="201"/>
        <v>-0.69857199999999997</v>
      </c>
      <c r="Q197" s="55">
        <f t="shared" si="202"/>
        <v>-0.45666099999999998</v>
      </c>
      <c r="R197" s="55">
        <f t="shared" si="203"/>
        <v>-0.89855799999999997</v>
      </c>
      <c r="S197" s="55">
        <f t="shared" si="204"/>
        <v>-0.68262</v>
      </c>
      <c r="T197" s="55">
        <f t="shared" si="205"/>
        <v>0.90382099999999999</v>
      </c>
      <c r="U197" s="55">
        <f t="shared" si="206"/>
        <v>-1.22786</v>
      </c>
      <c r="V197" s="55">
        <f t="shared" si="116"/>
        <v>-0.10549</v>
      </c>
      <c r="W197" s="55">
        <f t="shared" si="117"/>
        <v>0.36602600000000002</v>
      </c>
      <c r="X197" s="55">
        <f t="shared" si="118"/>
        <v>-3.9303999999999999E-2</v>
      </c>
      <c r="Y197" s="55">
        <f t="shared" si="119"/>
        <v>-0.29153200000000001</v>
      </c>
      <c r="Z197" s="55">
        <f t="shared" si="120"/>
        <v>-0.24004600000000001</v>
      </c>
      <c r="AA197" s="55">
        <f t="shared" si="121"/>
        <v>-0.365172</v>
      </c>
      <c r="AB197" s="55">
        <f t="shared" si="122"/>
        <v>-1.7680560000000001</v>
      </c>
      <c r="AC197" s="55">
        <f t="shared" si="123"/>
        <v>-0.48832300000000001</v>
      </c>
      <c r="AD197" s="55">
        <f t="shared" si="124"/>
        <v>0.158077</v>
      </c>
      <c r="AE197" s="55">
        <f t="shared" si="125"/>
        <v>-0.701048</v>
      </c>
      <c r="AF197" s="55">
        <f t="shared" si="126"/>
        <v>-0.14253199999999999</v>
      </c>
      <c r="AG197" s="55">
        <f t="shared" si="127"/>
        <v>3.8005999999999998E-2</v>
      </c>
      <c r="AH197" s="55">
        <f t="shared" si="128"/>
        <v>-0.114546</v>
      </c>
      <c r="AI197" s="55">
        <f t="shared" si="129"/>
        <v>0.33164199999999999</v>
      </c>
      <c r="AJ197" s="55">
        <f t="shared" si="130"/>
        <v>0.84590500000000002</v>
      </c>
      <c r="AK197" s="55">
        <f t="shared" si="131"/>
        <v>-1.754562</v>
      </c>
      <c r="AL197" s="55">
        <f t="shared" si="132"/>
        <v>1.178931</v>
      </c>
      <c r="AM197" s="55">
        <f t="shared" si="133"/>
        <v>0.928234</v>
      </c>
      <c r="AN197" s="55">
        <f t="shared" si="134"/>
        <v>-1.0962190000000001</v>
      </c>
      <c r="AO197" s="55">
        <f t="shared" si="135"/>
        <v>-0.82793399999999995</v>
      </c>
      <c r="AP197" s="55">
        <f t="shared" si="136"/>
        <v>0.74485400000000002</v>
      </c>
      <c r="AQ197" s="55">
        <f t="shared" si="137"/>
        <v>-1.6927749999999999</v>
      </c>
      <c r="AR197" s="55">
        <f t="shared" si="138"/>
        <v>0.249553</v>
      </c>
      <c r="AS197" s="55">
        <f t="shared" si="139"/>
        <v>-0.37673699999999999</v>
      </c>
      <c r="AT197" s="55">
        <f t="shared" si="140"/>
        <v>-0.35931999999999997</v>
      </c>
      <c r="AU197" s="55">
        <f t="shared" si="141"/>
        <v>0.83486400000000005</v>
      </c>
      <c r="AV197" s="55">
        <f t="shared" si="142"/>
        <v>0.14965300000000001</v>
      </c>
      <c r="AW197" s="55">
        <f t="shared" si="143"/>
        <v>0.442075</v>
      </c>
      <c r="AX197" s="55">
        <f t="shared" si="144"/>
        <v>0.174349</v>
      </c>
      <c r="AY197" s="55">
        <f t="shared" si="145"/>
        <v>-0.62146000000000001</v>
      </c>
      <c r="AZ197" s="55">
        <f t="shared" si="146"/>
        <v>1.086551</v>
      </c>
      <c r="BA197" s="55">
        <f t="shared" si="147"/>
        <v>1.34995</v>
      </c>
      <c r="BB197" s="55">
        <f t="shared" si="148"/>
        <v>0.109746</v>
      </c>
      <c r="BC197" s="55">
        <f t="shared" si="149"/>
        <v>-0.40096199999999999</v>
      </c>
      <c r="BD197" s="55">
        <f t="shared" si="150"/>
        <v>-0.50676600000000005</v>
      </c>
      <c r="BE197" s="55">
        <f t="shared" si="151"/>
        <v>0.16062199999999999</v>
      </c>
      <c r="BF197" s="55">
        <f t="shared" si="152"/>
        <v>-0.47307700000000003</v>
      </c>
      <c r="BG197" s="55">
        <f t="shared" si="153"/>
        <v>-0.945766</v>
      </c>
      <c r="BH197" s="55">
        <f t="shared" si="154"/>
        <v>-0.22873299999999999</v>
      </c>
      <c r="BJ197" s="55">
        <f t="shared" si="229"/>
        <v>0.80271800000000004</v>
      </c>
      <c r="BK197" s="55">
        <f t="shared" si="229"/>
        <v>0.41569299999999998</v>
      </c>
      <c r="BL197" s="55">
        <f t="shared" si="229"/>
        <v>-0.65010199999999996</v>
      </c>
      <c r="BM197" s="55">
        <f t="shared" si="229"/>
        <v>1.421875</v>
      </c>
      <c r="BN197" s="55">
        <f t="shared" si="229"/>
        <v>-1.3561369999999999</v>
      </c>
      <c r="BO197" s="55">
        <f t="shared" si="229"/>
        <v>-0.280613</v>
      </c>
      <c r="BP197" s="55">
        <f t="shared" si="229"/>
        <v>-0.77776800000000001</v>
      </c>
      <c r="BQ197" s="55">
        <f t="shared" si="229"/>
        <v>0.216886</v>
      </c>
      <c r="BR197" s="55">
        <f t="shared" si="229"/>
        <v>-9.5966999999999997E-2</v>
      </c>
      <c r="BS197" s="55">
        <f t="shared" si="229"/>
        <v>-1.415297</v>
      </c>
      <c r="BT197" s="55">
        <f t="shared" si="229"/>
        <v>0.40227499999999999</v>
      </c>
      <c r="BU197" s="55">
        <f t="shared" si="229"/>
        <v>5.2469999999999999E-3</v>
      </c>
      <c r="BV197" s="55">
        <f t="shared" si="229"/>
        <v>-0.25848399999999999</v>
      </c>
      <c r="BW197" s="55">
        <f t="shared" si="229"/>
        <v>-0.59054499999999999</v>
      </c>
      <c r="BX197" s="55">
        <f t="shared" si="229"/>
        <v>-0.66590099999999997</v>
      </c>
      <c r="BY197" s="55">
        <f t="shared" si="229"/>
        <v>-1.029955</v>
      </c>
      <c r="BZ197" s="55">
        <f t="shared" si="227"/>
        <v>0.46449499999999999</v>
      </c>
      <c r="CA197" s="55">
        <f t="shared" si="227"/>
        <v>1.274626</v>
      </c>
      <c r="CB197" s="55">
        <f t="shared" si="227"/>
        <v>-0.88309400000000005</v>
      </c>
      <c r="CC197" s="55">
        <f t="shared" si="227"/>
        <v>0.18010200000000001</v>
      </c>
      <c r="CD197" s="55">
        <f t="shared" si="227"/>
        <v>-2.7584000000000001E-2</v>
      </c>
      <c r="CE197" s="55">
        <f t="shared" si="227"/>
        <v>0.92403800000000003</v>
      </c>
      <c r="CF197" s="55">
        <f t="shared" si="227"/>
        <v>0.16814299999999999</v>
      </c>
      <c r="CG197" s="55">
        <f t="shared" si="227"/>
        <v>0.79659800000000003</v>
      </c>
      <c r="CH197" s="55">
        <f t="shared" si="227"/>
        <v>-0.64390000000000003</v>
      </c>
      <c r="CI197" s="55">
        <f t="shared" si="227"/>
        <v>-0.66383000000000003</v>
      </c>
      <c r="CJ197" s="55">
        <f t="shared" si="227"/>
        <v>-0.73873999999999995</v>
      </c>
      <c r="CK197" s="55">
        <f t="shared" si="227"/>
        <v>-0.97223599999999999</v>
      </c>
      <c r="CL197" s="55">
        <f t="shared" si="227"/>
        <v>0.71340599999999998</v>
      </c>
      <c r="CM197" s="55">
        <f t="shared" si="227"/>
        <v>0.93837599999999999</v>
      </c>
      <c r="CN197" s="55">
        <f t="shared" si="227"/>
        <v>-0.27566000000000002</v>
      </c>
      <c r="CO197" s="55">
        <f t="shared" si="228"/>
        <v>-0.31607000000000002</v>
      </c>
      <c r="CP197" s="55">
        <f t="shared" si="228"/>
        <v>1.2694879999999999</v>
      </c>
      <c r="CQ197" s="55">
        <f t="shared" si="228"/>
        <v>0.28856700000000002</v>
      </c>
      <c r="CR197" s="55">
        <f t="shared" si="228"/>
        <v>4.6719999999999999E-3</v>
      </c>
      <c r="CS197" s="55">
        <f t="shared" si="228"/>
        <v>-1.6549000000000001E-2</v>
      </c>
      <c r="CT197" s="55">
        <f t="shared" si="228"/>
        <v>0.64384699999999995</v>
      </c>
      <c r="CU197" s="55">
        <f t="shared" si="228"/>
        <v>0.36836799999999997</v>
      </c>
      <c r="CV197" s="55">
        <f t="shared" si="228"/>
        <v>0.689689</v>
      </c>
      <c r="CW197" s="55">
        <f t="shared" si="228"/>
        <v>0.12138500000000001</v>
      </c>
      <c r="CX197" s="55">
        <f t="shared" si="228"/>
        <v>0.36139500000000002</v>
      </c>
      <c r="CY197" s="55">
        <f t="shared" si="228"/>
        <v>1.077331</v>
      </c>
      <c r="CZ197" s="55">
        <f t="shared" si="228"/>
        <v>-1.804222</v>
      </c>
      <c r="DA197" s="55">
        <f t="shared" si="228"/>
        <v>-0.78857100000000002</v>
      </c>
      <c r="DB197" s="55">
        <f t="shared" si="228"/>
        <v>-1.718933</v>
      </c>
      <c r="DC197" s="55">
        <f t="shared" si="228"/>
        <v>0.42726199999999998</v>
      </c>
      <c r="DD197" s="55">
        <f t="shared" si="228"/>
        <v>0.47566399999999998</v>
      </c>
      <c r="DE197" s="55">
        <f t="shared" si="226"/>
        <v>0.336169</v>
      </c>
      <c r="DF197" s="55">
        <f t="shared" si="226"/>
        <v>0.69408199999999998</v>
      </c>
      <c r="DG197" s="55">
        <f t="shared" si="226"/>
        <v>-0.95454600000000001</v>
      </c>
      <c r="DI197" s="55">
        <f t="shared" ca="1" si="65"/>
        <v>-0.64072499999999999</v>
      </c>
      <c r="DJ197" s="55">
        <f t="shared" ca="1" si="66"/>
        <v>0.26803700000000003</v>
      </c>
      <c r="DK197" s="55">
        <f t="shared" ca="1" si="67"/>
        <v>-0.239621</v>
      </c>
      <c r="DL197" s="55">
        <f t="shared" ca="1" si="68"/>
        <v>0.25725999999999999</v>
      </c>
      <c r="DM197" s="55">
        <f t="shared" ca="1" si="69"/>
        <v>-0.13240499999999999</v>
      </c>
      <c r="DN197" s="55">
        <f t="shared" ca="1" si="70"/>
        <v>-0.69857199999999997</v>
      </c>
      <c r="DO197" s="55">
        <f t="shared" ca="1" si="71"/>
        <v>-0.45666099999999998</v>
      </c>
      <c r="DP197" s="55">
        <f t="shared" ca="1" si="72"/>
        <v>-0.89855799999999997</v>
      </c>
      <c r="DQ197" s="55">
        <f t="shared" ca="1" si="73"/>
        <v>-0.68262</v>
      </c>
      <c r="DR197" s="55">
        <f t="shared" ca="1" si="74"/>
        <v>0.90382099999999999</v>
      </c>
      <c r="DS197" s="55">
        <f t="shared" ca="1" si="75"/>
        <v>-1.22786</v>
      </c>
      <c r="DT197" s="55">
        <f t="shared" ca="1" si="76"/>
        <v>-0.10549</v>
      </c>
      <c r="DU197" s="55">
        <f t="shared" ca="1" si="77"/>
        <v>0.36602600000000002</v>
      </c>
      <c r="DV197" s="55">
        <f t="shared" ca="1" si="78"/>
        <v>-3.9303999999999999E-2</v>
      </c>
      <c r="DW197" s="55">
        <f t="shared" ca="1" si="79"/>
        <v>-0.29153200000000001</v>
      </c>
      <c r="DX197" s="55">
        <f t="shared" ca="1" si="80"/>
        <v>-0.24004600000000001</v>
      </c>
      <c r="DY197" s="55">
        <f t="shared" ca="1" si="81"/>
        <v>-0.365172</v>
      </c>
      <c r="DZ197" s="55">
        <f t="shared" ca="1" si="82"/>
        <v>-1.7680560000000001</v>
      </c>
      <c r="EA197" s="55">
        <f t="shared" ca="1" si="83"/>
        <v>-0.48832300000000001</v>
      </c>
      <c r="EB197" s="55">
        <f t="shared" ca="1" si="84"/>
        <v>0.158077</v>
      </c>
      <c r="EC197" s="55">
        <f t="shared" ca="1" si="85"/>
        <v>-0.701048</v>
      </c>
      <c r="ED197" s="55">
        <f t="shared" ca="1" si="86"/>
        <v>-0.14253199999999999</v>
      </c>
      <c r="EE197" s="55">
        <f t="shared" ca="1" si="87"/>
        <v>3.8005999999999998E-2</v>
      </c>
      <c r="EF197" s="55">
        <f t="shared" ca="1" si="88"/>
        <v>-0.114546</v>
      </c>
      <c r="EG197" s="55">
        <f t="shared" ca="1" si="89"/>
        <v>0.33164199999999999</v>
      </c>
      <c r="EH197" s="55">
        <f t="shared" ca="1" si="90"/>
        <v>0.84590500000000002</v>
      </c>
      <c r="EI197" s="55">
        <f t="shared" ca="1" si="91"/>
        <v>-1.754562</v>
      </c>
      <c r="EJ197" s="55">
        <f t="shared" ca="1" si="92"/>
        <v>1.178931</v>
      </c>
      <c r="EK197" s="55">
        <f t="shared" ca="1" si="93"/>
        <v>0.928234</v>
      </c>
      <c r="EL197" s="55">
        <f t="shared" ca="1" si="94"/>
        <v>-1.0962190000000001</v>
      </c>
      <c r="EM197" s="55">
        <f t="shared" ca="1" si="95"/>
        <v>-0.82793399999999995</v>
      </c>
      <c r="EN197" s="55">
        <f t="shared" ca="1" si="96"/>
        <v>0.74485400000000002</v>
      </c>
      <c r="EO197" s="55">
        <f t="shared" ca="1" si="97"/>
        <v>-1.6927749999999999</v>
      </c>
      <c r="EP197" s="55">
        <f t="shared" ca="1" si="98"/>
        <v>0.249553</v>
      </c>
      <c r="EQ197" s="55">
        <f t="shared" ca="1" si="99"/>
        <v>-0.37673699999999999</v>
      </c>
      <c r="ER197" s="55">
        <f t="shared" ca="1" si="100"/>
        <v>-0.35931999999999997</v>
      </c>
      <c r="ES197" s="55">
        <f t="shared" ca="1" si="101"/>
        <v>0.83486400000000005</v>
      </c>
      <c r="ET197" s="55">
        <f t="shared" ca="1" si="102"/>
        <v>0.14965300000000001</v>
      </c>
      <c r="EU197" s="55">
        <f t="shared" ca="1" si="103"/>
        <v>0.442075</v>
      </c>
      <c r="EV197" s="55">
        <f t="shared" ca="1" si="104"/>
        <v>0.174349</v>
      </c>
      <c r="EW197" s="55">
        <f t="shared" ca="1" si="105"/>
        <v>-0.62146000000000001</v>
      </c>
      <c r="EX197" s="55">
        <f t="shared" ca="1" si="106"/>
        <v>1.086551</v>
      </c>
      <c r="EY197" s="55">
        <f t="shared" ca="1" si="107"/>
        <v>1.34995</v>
      </c>
      <c r="EZ197" s="55">
        <f t="shared" ca="1" si="108"/>
        <v>0.109746</v>
      </c>
      <c r="FA197" s="55">
        <f t="shared" ca="1" si="109"/>
        <v>-0.40096199999999999</v>
      </c>
      <c r="FB197" s="55">
        <f t="shared" ca="1" si="110"/>
        <v>-0.50676600000000005</v>
      </c>
      <c r="FC197" s="55">
        <f t="shared" ca="1" si="111"/>
        <v>0.16062199999999999</v>
      </c>
      <c r="FD197" s="55">
        <f t="shared" ca="1" si="112"/>
        <v>-0.47307700000000003</v>
      </c>
      <c r="FE197" s="55">
        <f t="shared" ca="1" si="113"/>
        <v>-0.945766</v>
      </c>
      <c r="FF197" s="55">
        <f t="shared" ca="1" si="114"/>
        <v>-0.22873299999999999</v>
      </c>
      <c r="FH197" s="55">
        <f t="shared" ca="1" si="115"/>
        <v>0</v>
      </c>
      <c r="FI197" s="55">
        <f t="shared" ca="1" si="207"/>
        <v>0</v>
      </c>
      <c r="FJ197" s="55">
        <f t="shared" ca="1" si="208"/>
        <v>0</v>
      </c>
      <c r="FK197" s="55">
        <f t="shared" ca="1" si="209"/>
        <v>0</v>
      </c>
      <c r="FL197" s="55">
        <f t="shared" ca="1" si="210"/>
        <v>0</v>
      </c>
      <c r="FM197" s="55">
        <f t="shared" ca="1" si="211"/>
        <v>0</v>
      </c>
      <c r="FN197" s="55">
        <f t="shared" ca="1" si="212"/>
        <v>0</v>
      </c>
      <c r="FO197" s="55">
        <f t="shared" ca="1" si="213"/>
        <v>0</v>
      </c>
      <c r="FP197" s="55">
        <f t="shared" ca="1" si="214"/>
        <v>0</v>
      </c>
      <c r="FQ197" s="55">
        <f t="shared" ca="1" si="215"/>
        <v>0</v>
      </c>
      <c r="FR197" s="55">
        <f t="shared" ca="1" si="216"/>
        <v>0</v>
      </c>
      <c r="FS197" s="55">
        <f t="shared" ca="1" si="158"/>
        <v>0</v>
      </c>
      <c r="FT197" s="55">
        <f t="shared" ca="1" si="159"/>
        <v>0</v>
      </c>
      <c r="FU197" s="55">
        <f t="shared" ca="1" si="160"/>
        <v>0</v>
      </c>
      <c r="FV197" s="55">
        <f t="shared" ca="1" si="161"/>
        <v>0</v>
      </c>
      <c r="FW197" s="55">
        <f t="shared" ca="1" si="162"/>
        <v>0</v>
      </c>
      <c r="FX197" s="55">
        <f t="shared" ca="1" si="163"/>
        <v>0</v>
      </c>
      <c r="FY197" s="55">
        <f t="shared" ca="1" si="164"/>
        <v>0</v>
      </c>
      <c r="FZ197" s="55">
        <f t="shared" ca="1" si="165"/>
        <v>0</v>
      </c>
      <c r="GA197" s="55">
        <f t="shared" ca="1" si="166"/>
        <v>0</v>
      </c>
      <c r="GB197" s="55">
        <f t="shared" ca="1" si="167"/>
        <v>0</v>
      </c>
      <c r="GC197" s="55">
        <f t="shared" ca="1" si="168"/>
        <v>0</v>
      </c>
      <c r="GD197" s="55">
        <f t="shared" ca="1" si="169"/>
        <v>0</v>
      </c>
      <c r="GE197" s="55">
        <f t="shared" ca="1" si="170"/>
        <v>0</v>
      </c>
      <c r="GF197" s="55">
        <f t="shared" ca="1" si="171"/>
        <v>0</v>
      </c>
      <c r="GG197" s="55">
        <f t="shared" ca="1" si="172"/>
        <v>0</v>
      </c>
      <c r="GH197" s="55">
        <f t="shared" ca="1" si="173"/>
        <v>0</v>
      </c>
      <c r="GI197" s="55">
        <f t="shared" ca="1" si="174"/>
        <v>0</v>
      </c>
      <c r="GJ197" s="55">
        <f t="shared" ca="1" si="175"/>
        <v>0</v>
      </c>
      <c r="GK197" s="55">
        <f t="shared" ca="1" si="176"/>
        <v>0</v>
      </c>
      <c r="GL197" s="55">
        <f t="shared" ca="1" si="177"/>
        <v>0</v>
      </c>
      <c r="GM197" s="55">
        <f t="shared" ca="1" si="178"/>
        <v>0</v>
      </c>
      <c r="GN197" s="55">
        <f t="shared" ca="1" si="179"/>
        <v>0</v>
      </c>
      <c r="GO197" s="55">
        <f t="shared" ca="1" si="180"/>
        <v>0</v>
      </c>
      <c r="GP197" s="55">
        <f t="shared" ca="1" si="181"/>
        <v>0</v>
      </c>
      <c r="GQ197" s="55">
        <f t="shared" ca="1" si="182"/>
        <v>0</v>
      </c>
      <c r="GR197" s="55">
        <f t="shared" ca="1" si="183"/>
        <v>0</v>
      </c>
      <c r="GS197" s="55">
        <f t="shared" ca="1" si="184"/>
        <v>0</v>
      </c>
      <c r="GT197" s="55">
        <f t="shared" ca="1" si="185"/>
        <v>0</v>
      </c>
      <c r="GU197" s="55">
        <f t="shared" ca="1" si="186"/>
        <v>0</v>
      </c>
      <c r="GV197" s="55">
        <f t="shared" ca="1" si="187"/>
        <v>0</v>
      </c>
      <c r="GW197" s="55">
        <f t="shared" ca="1" si="188"/>
        <v>0</v>
      </c>
      <c r="GX197" s="55">
        <f t="shared" ca="1" si="189"/>
        <v>0</v>
      </c>
      <c r="GY197" s="55">
        <f t="shared" ca="1" si="190"/>
        <v>0</v>
      </c>
      <c r="GZ197" s="55">
        <f t="shared" ca="1" si="191"/>
        <v>0</v>
      </c>
      <c r="HA197" s="55">
        <f t="shared" ca="1" si="192"/>
        <v>0</v>
      </c>
      <c r="HB197" s="55">
        <f t="shared" ca="1" si="193"/>
        <v>0</v>
      </c>
      <c r="HC197" s="55">
        <f t="shared" ca="1" si="194"/>
        <v>0</v>
      </c>
      <c r="HD197" s="55">
        <f t="shared" ca="1" si="195"/>
        <v>0</v>
      </c>
      <c r="HE197" s="55">
        <f t="shared" ca="1" si="196"/>
        <v>0</v>
      </c>
    </row>
    <row r="198" spans="1:213">
      <c r="A198" s="27">
        <v>61</v>
      </c>
      <c r="B198" s="27">
        <v>20</v>
      </c>
      <c r="C198" s="27">
        <v>0.477155</v>
      </c>
      <c r="D198" s="27">
        <v>0.34600999999999998</v>
      </c>
      <c r="E198" s="27">
        <v>45</v>
      </c>
      <c r="F198" s="27">
        <f t="shared" ca="1" si="59"/>
        <v>46</v>
      </c>
      <c r="G198" s="27">
        <f t="shared" si="221"/>
        <v>0</v>
      </c>
      <c r="H198" s="27" t="str">
        <f t="shared" si="60"/>
        <v>Sim</v>
      </c>
      <c r="I198" s="27">
        <f t="shared" si="61"/>
        <v>0</v>
      </c>
      <c r="J198" s="37">
        <f t="shared" si="62"/>
        <v>1</v>
      </c>
      <c r="K198" s="55">
        <f t="shared" si="63"/>
        <v>1.6254040000000001</v>
      </c>
      <c r="L198" s="55">
        <f t="shared" si="197"/>
        <v>-0.32974100000000001</v>
      </c>
      <c r="M198" s="55">
        <f t="shared" si="198"/>
        <v>-0.96115799999999996</v>
      </c>
      <c r="N198" s="55">
        <f t="shared" si="199"/>
        <v>-0.70081599999999999</v>
      </c>
      <c r="O198" s="55">
        <f t="shared" si="200"/>
        <v>-1.4411430000000001</v>
      </c>
      <c r="P198" s="55">
        <f t="shared" si="201"/>
        <v>-0.68226600000000004</v>
      </c>
      <c r="Q198" s="55">
        <f t="shared" si="202"/>
        <v>-0.89169799999999999</v>
      </c>
      <c r="R198" s="55">
        <f t="shared" si="203"/>
        <v>0.85860499999999995</v>
      </c>
      <c r="S198" s="55">
        <f t="shared" si="204"/>
        <v>-0.48549900000000001</v>
      </c>
      <c r="T198" s="55">
        <f t="shared" si="205"/>
        <v>0.76777899999999999</v>
      </c>
      <c r="U198" s="55">
        <f t="shared" si="206"/>
        <v>0.54898499999999995</v>
      </c>
      <c r="V198" s="55">
        <f t="shared" si="116"/>
        <v>-0.81550199999999995</v>
      </c>
      <c r="W198" s="55">
        <f t="shared" si="117"/>
        <v>-0.86378900000000003</v>
      </c>
      <c r="X198" s="55">
        <f t="shared" si="118"/>
        <v>0.79839000000000004</v>
      </c>
      <c r="Y198" s="55">
        <f t="shared" si="119"/>
        <v>-0.55228100000000002</v>
      </c>
      <c r="Z198" s="55">
        <f t="shared" si="120"/>
        <v>0.314245</v>
      </c>
      <c r="AA198" s="55">
        <f t="shared" si="121"/>
        <v>-1.4318789999999999</v>
      </c>
      <c r="AB198" s="55">
        <f t="shared" si="122"/>
        <v>-0.92930100000000004</v>
      </c>
      <c r="AC198" s="55">
        <f t="shared" si="123"/>
        <v>0.57114299999999996</v>
      </c>
      <c r="AD198" s="55">
        <f t="shared" si="124"/>
        <v>-0.26586100000000001</v>
      </c>
      <c r="AE198" s="55">
        <f t="shared" si="125"/>
        <v>0.451239</v>
      </c>
      <c r="AF198" s="55">
        <f t="shared" si="126"/>
        <v>-0.236091</v>
      </c>
      <c r="AG198" s="55">
        <f t="shared" si="127"/>
        <v>1.634371</v>
      </c>
      <c r="AH198" s="55">
        <f t="shared" si="128"/>
        <v>8.8885000000000006E-2</v>
      </c>
      <c r="AI198" s="55">
        <f t="shared" si="129"/>
        <v>-1.4460789999999999</v>
      </c>
      <c r="AJ198" s="55">
        <f t="shared" si="130"/>
        <v>0.106548</v>
      </c>
      <c r="AK198" s="55">
        <f t="shared" si="131"/>
        <v>0.447882</v>
      </c>
      <c r="AL198" s="55">
        <f t="shared" si="132"/>
        <v>-0.80142199999999997</v>
      </c>
      <c r="AM198" s="55">
        <f t="shared" si="133"/>
        <v>-0.182949</v>
      </c>
      <c r="AN198" s="55">
        <f t="shared" si="134"/>
        <v>0.85319900000000004</v>
      </c>
      <c r="AO198" s="55">
        <f t="shared" si="135"/>
        <v>0.76485499999999995</v>
      </c>
      <c r="AP198" s="55">
        <f t="shared" si="136"/>
        <v>-1.4253290000000001</v>
      </c>
      <c r="AQ198" s="55">
        <f t="shared" si="137"/>
        <v>-0.37792199999999998</v>
      </c>
      <c r="AR198" s="55">
        <f t="shared" si="138"/>
        <v>-0.102326</v>
      </c>
      <c r="AS198" s="55">
        <f t="shared" si="139"/>
        <v>0.76357299999999995</v>
      </c>
      <c r="AT198" s="55">
        <f t="shared" si="140"/>
        <v>1.8122400000000001</v>
      </c>
      <c r="AU198" s="55">
        <f t="shared" si="141"/>
        <v>7.0805000000000007E-2</v>
      </c>
      <c r="AV198" s="55">
        <f t="shared" si="142"/>
        <v>-7.2219000000000005E-2</v>
      </c>
      <c r="AW198" s="55">
        <f t="shared" si="143"/>
        <v>0.31185000000000002</v>
      </c>
      <c r="AX198" s="55">
        <f t="shared" si="144"/>
        <v>-0.25651600000000002</v>
      </c>
      <c r="AY198" s="55">
        <f t="shared" si="145"/>
        <v>-0.31519399999999997</v>
      </c>
      <c r="AZ198" s="55">
        <f t="shared" si="146"/>
        <v>6.9620000000000003E-3</v>
      </c>
      <c r="BA198" s="55">
        <f t="shared" si="147"/>
        <v>0.72981499999999999</v>
      </c>
      <c r="BB198" s="55">
        <f t="shared" si="148"/>
        <v>0.65998199999999996</v>
      </c>
      <c r="BC198" s="55">
        <f t="shared" si="149"/>
        <v>0.22279599999999999</v>
      </c>
      <c r="BD198" s="55">
        <f t="shared" si="150"/>
        <v>8.8345000000000007E-2</v>
      </c>
      <c r="BE198" s="55">
        <f t="shared" si="151"/>
        <v>0.31037700000000001</v>
      </c>
      <c r="BF198" s="55">
        <f t="shared" si="152"/>
        <v>-0.64868899999999996</v>
      </c>
      <c r="BG198" s="55">
        <f t="shared" si="153"/>
        <v>-0.58344099999999999</v>
      </c>
      <c r="BH198" s="55">
        <f t="shared" si="154"/>
        <v>-0.49345800000000001</v>
      </c>
      <c r="BJ198" s="55">
        <f t="shared" si="229"/>
        <v>-8.9701000000000003E-2</v>
      </c>
      <c r="BK198" s="55">
        <f t="shared" si="229"/>
        <v>-1.062033</v>
      </c>
      <c r="BL198" s="55">
        <f t="shared" si="229"/>
        <v>0.99671799999999999</v>
      </c>
      <c r="BM198" s="55">
        <f t="shared" si="229"/>
        <v>-0.50319899999999995</v>
      </c>
      <c r="BN198" s="55">
        <f t="shared" si="229"/>
        <v>-1.3004290000000001</v>
      </c>
      <c r="BO198" s="55">
        <f t="shared" si="229"/>
        <v>-3.0889E-2</v>
      </c>
      <c r="BP198" s="55">
        <f t="shared" si="229"/>
        <v>0.88186699999999996</v>
      </c>
      <c r="BQ198" s="55">
        <f t="shared" si="229"/>
        <v>0.71436999999999995</v>
      </c>
      <c r="BR198" s="55">
        <f t="shared" si="229"/>
        <v>-0.26535799999999998</v>
      </c>
      <c r="BS198" s="55">
        <f t="shared" si="229"/>
        <v>-0.51729899999999995</v>
      </c>
      <c r="BT198" s="55">
        <f t="shared" si="229"/>
        <v>-1.3392459999999999</v>
      </c>
      <c r="BU198" s="55">
        <f t="shared" si="229"/>
        <v>7.4237999999999998E-2</v>
      </c>
      <c r="BV198" s="55">
        <f t="shared" si="229"/>
        <v>0.51790199999999997</v>
      </c>
      <c r="BW198" s="55">
        <f t="shared" si="229"/>
        <v>-0.42674699999999999</v>
      </c>
      <c r="BX198" s="55">
        <f t="shared" si="229"/>
        <v>0.20774899999999999</v>
      </c>
      <c r="BY198" s="55">
        <f t="shared" si="229"/>
        <v>-0.73572700000000002</v>
      </c>
      <c r="BZ198" s="55">
        <f t="shared" si="227"/>
        <v>0.70632300000000003</v>
      </c>
      <c r="CA198" s="55">
        <f t="shared" si="227"/>
        <v>0.33780100000000002</v>
      </c>
      <c r="CB198" s="55">
        <f t="shared" si="227"/>
        <v>0.563886</v>
      </c>
      <c r="CC198" s="55">
        <f t="shared" si="227"/>
        <v>-0.70856399999999997</v>
      </c>
      <c r="CD198" s="55">
        <f t="shared" si="227"/>
        <v>0.72263100000000002</v>
      </c>
      <c r="CE198" s="55">
        <f t="shared" si="227"/>
        <v>-0.23342099999999999</v>
      </c>
      <c r="CF198" s="55">
        <f t="shared" si="227"/>
        <v>-7.2009000000000004E-2</v>
      </c>
      <c r="CG198" s="55">
        <f t="shared" si="227"/>
        <v>-1.2075830000000001</v>
      </c>
      <c r="CH198" s="55">
        <f t="shared" si="227"/>
        <v>-0.440944</v>
      </c>
      <c r="CI198" s="55">
        <f t="shared" si="227"/>
        <v>1.379237</v>
      </c>
      <c r="CJ198" s="55">
        <f t="shared" si="227"/>
        <v>1.701673</v>
      </c>
      <c r="CK198" s="55">
        <f t="shared" si="227"/>
        <v>-0.17763499999999999</v>
      </c>
      <c r="CL198" s="55">
        <f t="shared" si="227"/>
        <v>-0.97233800000000004</v>
      </c>
      <c r="CM198" s="55">
        <f t="shared" si="227"/>
        <v>-0.75466800000000001</v>
      </c>
      <c r="CN198" s="55">
        <f t="shared" si="227"/>
        <v>0.47717900000000002</v>
      </c>
      <c r="CO198" s="55">
        <f t="shared" si="228"/>
        <v>-1.487E-2</v>
      </c>
      <c r="CP198" s="55">
        <f t="shared" si="228"/>
        <v>0.19036</v>
      </c>
      <c r="CQ198" s="55">
        <f t="shared" si="228"/>
        <v>-5.2224E-2</v>
      </c>
      <c r="CR198" s="55">
        <f t="shared" si="228"/>
        <v>-0.67636700000000005</v>
      </c>
      <c r="CS198" s="55">
        <f t="shared" si="228"/>
        <v>-0.44637100000000002</v>
      </c>
      <c r="CT198" s="55">
        <f t="shared" si="228"/>
        <v>0.46221600000000002</v>
      </c>
      <c r="CU198" s="55">
        <f t="shared" si="228"/>
        <v>0.33387099999999997</v>
      </c>
      <c r="CV198" s="55">
        <f t="shared" si="228"/>
        <v>1.359496</v>
      </c>
      <c r="CW198" s="55">
        <f t="shared" si="228"/>
        <v>0.58911400000000003</v>
      </c>
      <c r="CX198" s="55">
        <f t="shared" si="228"/>
        <v>-0.38329999999999997</v>
      </c>
      <c r="CY198" s="55">
        <f t="shared" si="228"/>
        <v>0.37964500000000001</v>
      </c>
      <c r="CZ198" s="55">
        <f t="shared" si="228"/>
        <v>-0.30181799999999998</v>
      </c>
      <c r="DA198" s="55">
        <f t="shared" si="228"/>
        <v>7.979E-2</v>
      </c>
      <c r="DB198" s="55">
        <f t="shared" si="228"/>
        <v>-0.33604899999999999</v>
      </c>
      <c r="DC198" s="55">
        <f t="shared" si="228"/>
        <v>0.165774</v>
      </c>
      <c r="DD198" s="55">
        <f t="shared" si="228"/>
        <v>0.53484799999999999</v>
      </c>
      <c r="DE198" s="55">
        <f t="shared" si="226"/>
        <v>0.34875499999999998</v>
      </c>
      <c r="DF198" s="55">
        <f t="shared" si="226"/>
        <v>-3.4063999999999997E-2</v>
      </c>
      <c r="DG198" s="55">
        <f t="shared" si="226"/>
        <v>0.59342600000000001</v>
      </c>
      <c r="DI198" s="55">
        <f t="shared" ca="1" si="65"/>
        <v>1.6254040000000001</v>
      </c>
      <c r="DJ198" s="55">
        <f t="shared" ca="1" si="66"/>
        <v>-0.32974100000000001</v>
      </c>
      <c r="DK198" s="55">
        <f t="shared" ca="1" si="67"/>
        <v>-0.96115799999999996</v>
      </c>
      <c r="DL198" s="55">
        <f t="shared" ca="1" si="68"/>
        <v>-0.70081599999999999</v>
      </c>
      <c r="DM198" s="55">
        <f t="shared" ca="1" si="69"/>
        <v>-1.4411430000000001</v>
      </c>
      <c r="DN198" s="55">
        <f t="shared" ca="1" si="70"/>
        <v>-0.68226600000000004</v>
      </c>
      <c r="DO198" s="55">
        <f t="shared" ca="1" si="71"/>
        <v>-0.89169799999999999</v>
      </c>
      <c r="DP198" s="55">
        <f t="shared" ca="1" si="72"/>
        <v>0.85860499999999995</v>
      </c>
      <c r="DQ198" s="55">
        <f t="shared" ca="1" si="73"/>
        <v>-0.48549900000000001</v>
      </c>
      <c r="DR198" s="55">
        <f t="shared" ca="1" si="74"/>
        <v>0.76777899999999999</v>
      </c>
      <c r="DS198" s="55">
        <f t="shared" ca="1" si="75"/>
        <v>0.54898499999999995</v>
      </c>
      <c r="DT198" s="55">
        <f t="shared" ca="1" si="76"/>
        <v>-0.81550199999999995</v>
      </c>
      <c r="DU198" s="55">
        <f t="shared" ca="1" si="77"/>
        <v>-0.86378900000000003</v>
      </c>
      <c r="DV198" s="55">
        <f t="shared" ca="1" si="78"/>
        <v>0.79839000000000004</v>
      </c>
      <c r="DW198" s="55">
        <f t="shared" ca="1" si="79"/>
        <v>-0.55228100000000002</v>
      </c>
      <c r="DX198" s="55">
        <f t="shared" ca="1" si="80"/>
        <v>0.314245</v>
      </c>
      <c r="DY198" s="55">
        <f t="shared" ca="1" si="81"/>
        <v>-1.4318789999999999</v>
      </c>
      <c r="DZ198" s="55">
        <f t="shared" ca="1" si="82"/>
        <v>-0.92930100000000004</v>
      </c>
      <c r="EA198" s="55">
        <f t="shared" ca="1" si="83"/>
        <v>0.57114299999999996</v>
      </c>
      <c r="EB198" s="55">
        <f t="shared" ca="1" si="84"/>
        <v>-0.26586100000000001</v>
      </c>
      <c r="EC198" s="55">
        <f t="shared" ca="1" si="85"/>
        <v>0.451239</v>
      </c>
      <c r="ED198" s="55">
        <f t="shared" ca="1" si="86"/>
        <v>-0.236091</v>
      </c>
      <c r="EE198" s="55">
        <f t="shared" ca="1" si="87"/>
        <v>1.634371</v>
      </c>
      <c r="EF198" s="55">
        <f t="shared" ca="1" si="88"/>
        <v>8.8885000000000006E-2</v>
      </c>
      <c r="EG198" s="55">
        <f t="shared" ca="1" si="89"/>
        <v>-1.4460789999999999</v>
      </c>
      <c r="EH198" s="55">
        <f t="shared" ca="1" si="90"/>
        <v>0.106548</v>
      </c>
      <c r="EI198" s="55">
        <f t="shared" ca="1" si="91"/>
        <v>0.447882</v>
      </c>
      <c r="EJ198" s="55">
        <f t="shared" ca="1" si="92"/>
        <v>-0.80142199999999997</v>
      </c>
      <c r="EK198" s="55">
        <f t="shared" ca="1" si="93"/>
        <v>-0.182949</v>
      </c>
      <c r="EL198" s="55">
        <f t="shared" ca="1" si="94"/>
        <v>0.85319900000000004</v>
      </c>
      <c r="EM198" s="55">
        <f t="shared" ca="1" si="95"/>
        <v>0.76485499999999995</v>
      </c>
      <c r="EN198" s="55">
        <f t="shared" ca="1" si="96"/>
        <v>-1.4253290000000001</v>
      </c>
      <c r="EO198" s="55">
        <f t="shared" ca="1" si="97"/>
        <v>-0.37792199999999998</v>
      </c>
      <c r="EP198" s="55">
        <f t="shared" ca="1" si="98"/>
        <v>-0.102326</v>
      </c>
      <c r="EQ198" s="55">
        <f t="shared" ca="1" si="99"/>
        <v>0.76357299999999995</v>
      </c>
      <c r="ER198" s="55">
        <f t="shared" ca="1" si="100"/>
        <v>1.8122400000000001</v>
      </c>
      <c r="ES198" s="55">
        <f t="shared" ca="1" si="101"/>
        <v>7.0805000000000007E-2</v>
      </c>
      <c r="ET198" s="55">
        <f t="shared" ca="1" si="102"/>
        <v>-7.2219000000000005E-2</v>
      </c>
      <c r="EU198" s="55">
        <f t="shared" ca="1" si="103"/>
        <v>0.31185000000000002</v>
      </c>
      <c r="EV198" s="55">
        <f t="shared" ca="1" si="104"/>
        <v>-0.25651600000000002</v>
      </c>
      <c r="EW198" s="55">
        <f t="shared" ca="1" si="105"/>
        <v>-0.31519399999999997</v>
      </c>
      <c r="EX198" s="55">
        <f t="shared" ca="1" si="106"/>
        <v>6.9620000000000003E-3</v>
      </c>
      <c r="EY198" s="55">
        <f t="shared" ca="1" si="107"/>
        <v>0.72981499999999999</v>
      </c>
      <c r="EZ198" s="55">
        <f t="shared" ca="1" si="108"/>
        <v>0.65998199999999996</v>
      </c>
      <c r="FA198" s="55">
        <f t="shared" ca="1" si="109"/>
        <v>0.22279599999999999</v>
      </c>
      <c r="FB198" s="55">
        <f t="shared" ca="1" si="110"/>
        <v>0.13898279171000003</v>
      </c>
      <c r="FC198" s="55">
        <f t="shared" ca="1" si="111"/>
        <v>0.31037700000000001</v>
      </c>
      <c r="FD198" s="55">
        <f t="shared" ca="1" si="112"/>
        <v>-0.64868899999999996</v>
      </c>
      <c r="FE198" s="55">
        <f t="shared" ca="1" si="113"/>
        <v>-0.58344099999999999</v>
      </c>
      <c r="FF198" s="55">
        <f t="shared" ca="1" si="114"/>
        <v>-0.49345800000000001</v>
      </c>
      <c r="FH198" s="55">
        <f t="shared" ca="1" si="115"/>
        <v>0</v>
      </c>
      <c r="FI198" s="55">
        <f t="shared" ca="1" si="207"/>
        <v>0</v>
      </c>
      <c r="FJ198" s="55">
        <f t="shared" ca="1" si="208"/>
        <v>0</v>
      </c>
      <c r="FK198" s="55">
        <f t="shared" ca="1" si="209"/>
        <v>0</v>
      </c>
      <c r="FL198" s="55">
        <f t="shared" ca="1" si="210"/>
        <v>0</v>
      </c>
      <c r="FM198" s="55">
        <f t="shared" ca="1" si="211"/>
        <v>0</v>
      </c>
      <c r="FN198" s="55">
        <f t="shared" ca="1" si="212"/>
        <v>0</v>
      </c>
      <c r="FO198" s="55">
        <f t="shared" ca="1" si="213"/>
        <v>0</v>
      </c>
      <c r="FP198" s="55">
        <f t="shared" ca="1" si="214"/>
        <v>0</v>
      </c>
      <c r="FQ198" s="55">
        <f t="shared" ca="1" si="215"/>
        <v>0</v>
      </c>
      <c r="FR198" s="55">
        <f t="shared" ca="1" si="216"/>
        <v>0</v>
      </c>
      <c r="FS198" s="55">
        <f t="shared" ca="1" si="158"/>
        <v>0</v>
      </c>
      <c r="FT198" s="55">
        <f t="shared" ca="1" si="159"/>
        <v>0</v>
      </c>
      <c r="FU198" s="55">
        <f t="shared" ca="1" si="160"/>
        <v>0</v>
      </c>
      <c r="FV198" s="55">
        <f t="shared" ca="1" si="161"/>
        <v>0</v>
      </c>
      <c r="FW198" s="55">
        <f t="shared" ca="1" si="162"/>
        <v>0</v>
      </c>
      <c r="FX198" s="55">
        <f t="shared" ca="1" si="163"/>
        <v>0</v>
      </c>
      <c r="FY198" s="55">
        <f t="shared" ca="1" si="164"/>
        <v>0</v>
      </c>
      <c r="FZ198" s="55">
        <f t="shared" ca="1" si="165"/>
        <v>0</v>
      </c>
      <c r="GA198" s="55">
        <f t="shared" ca="1" si="166"/>
        <v>0</v>
      </c>
      <c r="GB198" s="55">
        <f t="shared" ca="1" si="167"/>
        <v>0</v>
      </c>
      <c r="GC198" s="55">
        <f t="shared" ca="1" si="168"/>
        <v>0</v>
      </c>
      <c r="GD198" s="55">
        <f t="shared" ca="1" si="169"/>
        <v>0</v>
      </c>
      <c r="GE198" s="55">
        <f t="shared" ca="1" si="170"/>
        <v>0</v>
      </c>
      <c r="GF198" s="55">
        <f t="shared" ca="1" si="171"/>
        <v>0</v>
      </c>
      <c r="GG198" s="55">
        <f t="shared" ca="1" si="172"/>
        <v>0</v>
      </c>
      <c r="GH198" s="55">
        <f t="shared" ca="1" si="173"/>
        <v>0</v>
      </c>
      <c r="GI198" s="55">
        <f t="shared" ca="1" si="174"/>
        <v>0</v>
      </c>
      <c r="GJ198" s="55">
        <f t="shared" ca="1" si="175"/>
        <v>0</v>
      </c>
      <c r="GK198" s="55">
        <f t="shared" ca="1" si="176"/>
        <v>0</v>
      </c>
      <c r="GL198" s="55">
        <f t="shared" ca="1" si="177"/>
        <v>0</v>
      </c>
      <c r="GM198" s="55">
        <f t="shared" ca="1" si="178"/>
        <v>0</v>
      </c>
      <c r="GN198" s="55">
        <f t="shared" ca="1" si="179"/>
        <v>0</v>
      </c>
      <c r="GO198" s="55">
        <f t="shared" ca="1" si="180"/>
        <v>0</v>
      </c>
      <c r="GP198" s="55">
        <f t="shared" ca="1" si="181"/>
        <v>0</v>
      </c>
      <c r="GQ198" s="55">
        <f t="shared" ca="1" si="182"/>
        <v>0</v>
      </c>
      <c r="GR198" s="55">
        <f t="shared" ca="1" si="183"/>
        <v>0</v>
      </c>
      <c r="GS198" s="55">
        <f t="shared" ca="1" si="184"/>
        <v>0</v>
      </c>
      <c r="GT198" s="55">
        <f t="shared" ca="1" si="185"/>
        <v>0</v>
      </c>
      <c r="GU198" s="55">
        <f t="shared" ca="1" si="186"/>
        <v>0</v>
      </c>
      <c r="GV198" s="55">
        <f t="shared" ca="1" si="187"/>
        <v>0</v>
      </c>
      <c r="GW198" s="55">
        <f t="shared" ca="1" si="188"/>
        <v>0</v>
      </c>
      <c r="GX198" s="55">
        <f t="shared" ca="1" si="189"/>
        <v>0</v>
      </c>
      <c r="GY198" s="55">
        <f t="shared" ca="1" si="190"/>
        <v>0</v>
      </c>
      <c r="GZ198" s="55">
        <f t="shared" ca="1" si="191"/>
        <v>0</v>
      </c>
      <c r="HA198" s="55">
        <f t="shared" ca="1" si="192"/>
        <v>5.0637791710000019E-2</v>
      </c>
      <c r="HB198" s="55">
        <f t="shared" ca="1" si="193"/>
        <v>0</v>
      </c>
      <c r="HC198" s="55">
        <f t="shared" ca="1" si="194"/>
        <v>0</v>
      </c>
      <c r="HD198" s="55">
        <f t="shared" ca="1" si="195"/>
        <v>0</v>
      </c>
      <c r="HE198" s="55">
        <f t="shared" ca="1" si="196"/>
        <v>0</v>
      </c>
    </row>
    <row r="199" spans="1:213">
      <c r="A199" s="27">
        <v>62</v>
      </c>
      <c r="B199" s="27">
        <v>22</v>
      </c>
      <c r="C199" s="27">
        <v>0.41907299999999997</v>
      </c>
      <c r="D199" s="27">
        <v>0.94574800000000003</v>
      </c>
      <c r="E199" s="27">
        <v>22</v>
      </c>
      <c r="F199" s="27">
        <f t="shared" ca="1" si="59"/>
        <v>40</v>
      </c>
      <c r="G199" s="27">
        <f t="shared" si="221"/>
        <v>0</v>
      </c>
      <c r="H199" s="27" t="str">
        <f t="shared" si="60"/>
        <v>Sim</v>
      </c>
      <c r="I199" s="27">
        <f t="shared" si="61"/>
        <v>0</v>
      </c>
      <c r="J199" s="37">
        <f t="shared" si="62"/>
        <v>1</v>
      </c>
      <c r="K199" s="55">
        <f t="shared" si="63"/>
        <v>0.62340799999999996</v>
      </c>
      <c r="L199" s="55">
        <f t="shared" si="197"/>
        <v>-0.388465</v>
      </c>
      <c r="M199" s="55">
        <f t="shared" si="198"/>
        <v>5.6070000000000002E-2</v>
      </c>
      <c r="N199" s="55">
        <f t="shared" si="199"/>
        <v>7.9558000000000004E-2</v>
      </c>
      <c r="O199" s="55">
        <f t="shared" si="200"/>
        <v>0.96263500000000002</v>
      </c>
      <c r="P199" s="55">
        <f t="shared" si="201"/>
        <v>0.15728300000000001</v>
      </c>
      <c r="Q199" s="55">
        <f t="shared" si="202"/>
        <v>-0.16175100000000001</v>
      </c>
      <c r="R199" s="55">
        <f t="shared" si="203"/>
        <v>0.80041499999999999</v>
      </c>
      <c r="S199" s="55">
        <f t="shared" si="204"/>
        <v>-0.85971399999999998</v>
      </c>
      <c r="T199" s="55">
        <f t="shared" si="205"/>
        <v>0.67834000000000005</v>
      </c>
      <c r="U199" s="55">
        <f t="shared" si="206"/>
        <v>5.4384000000000002E-2</v>
      </c>
      <c r="V199" s="55">
        <f t="shared" si="116"/>
        <v>-0.63309899999999997</v>
      </c>
      <c r="W199" s="55">
        <f t="shared" si="117"/>
        <v>-1.530619</v>
      </c>
      <c r="X199" s="55">
        <f t="shared" si="118"/>
        <v>-1.4579279999999999</v>
      </c>
      <c r="Y199" s="55">
        <f t="shared" si="119"/>
        <v>0.20503399999999999</v>
      </c>
      <c r="Z199" s="55">
        <f t="shared" si="120"/>
        <v>0.92105700000000001</v>
      </c>
      <c r="AA199" s="55">
        <f t="shared" si="121"/>
        <v>0.62899000000000005</v>
      </c>
      <c r="AB199" s="55">
        <f t="shared" si="122"/>
        <v>-4.3908000000000003E-2</v>
      </c>
      <c r="AC199" s="55">
        <f t="shared" si="123"/>
        <v>0.28092299999999998</v>
      </c>
      <c r="AD199" s="55">
        <f t="shared" si="124"/>
        <v>-0.456926</v>
      </c>
      <c r="AE199" s="55">
        <f t="shared" si="125"/>
        <v>0.85801099999999997</v>
      </c>
      <c r="AF199" s="55">
        <f t="shared" si="126"/>
        <v>-0.24601700000000001</v>
      </c>
      <c r="AG199" s="55">
        <f t="shared" si="127"/>
        <v>-0.61331400000000003</v>
      </c>
      <c r="AH199" s="55">
        <f t="shared" si="128"/>
        <v>-0.403613</v>
      </c>
      <c r="AI199" s="55">
        <f t="shared" si="129"/>
        <v>-0.86787400000000003</v>
      </c>
      <c r="AJ199" s="55">
        <f t="shared" si="130"/>
        <v>-8.0771999999999997E-2</v>
      </c>
      <c r="AK199" s="55">
        <f t="shared" si="131"/>
        <v>-0.50662700000000005</v>
      </c>
      <c r="AL199" s="55">
        <f t="shared" si="132"/>
        <v>-5.1968E-2</v>
      </c>
      <c r="AM199" s="55">
        <f t="shared" si="133"/>
        <v>1.2316450000000001</v>
      </c>
      <c r="AN199" s="55">
        <f t="shared" si="134"/>
        <v>-0.17550399999999999</v>
      </c>
      <c r="AO199" s="55">
        <f t="shared" si="135"/>
        <v>0.39920099999999997</v>
      </c>
      <c r="AP199" s="55">
        <f t="shared" si="136"/>
        <v>-0.81987600000000005</v>
      </c>
      <c r="AQ199" s="55">
        <f t="shared" si="137"/>
        <v>0.87561999999999995</v>
      </c>
      <c r="AR199" s="55">
        <f t="shared" si="138"/>
        <v>0.68350100000000003</v>
      </c>
      <c r="AS199" s="55">
        <f t="shared" si="139"/>
        <v>-1.003925</v>
      </c>
      <c r="AT199" s="55">
        <f t="shared" si="140"/>
        <v>-0.71970599999999996</v>
      </c>
      <c r="AU199" s="55">
        <f t="shared" si="141"/>
        <v>0.49610500000000002</v>
      </c>
      <c r="AV199" s="55">
        <f t="shared" si="142"/>
        <v>0.11883100000000001</v>
      </c>
      <c r="AW199" s="55">
        <f t="shared" si="143"/>
        <v>0.90245799999999998</v>
      </c>
      <c r="AX199" s="55">
        <f t="shared" si="144"/>
        <v>0.146954</v>
      </c>
      <c r="AY199" s="55">
        <f t="shared" si="145"/>
        <v>3.9683000000000003E-2</v>
      </c>
      <c r="AZ199" s="55">
        <f t="shared" si="146"/>
        <v>-1.390312</v>
      </c>
      <c r="BA199" s="55">
        <f t="shared" si="147"/>
        <v>0.51397999999999999</v>
      </c>
      <c r="BB199" s="55">
        <f t="shared" si="148"/>
        <v>-0.69938699999999998</v>
      </c>
      <c r="BC199" s="55">
        <f t="shared" si="149"/>
        <v>-0.61740399999999995</v>
      </c>
      <c r="BD199" s="55">
        <f t="shared" si="150"/>
        <v>-0.36079800000000001</v>
      </c>
      <c r="BE199" s="55">
        <f t="shared" si="151"/>
        <v>-0.52576500000000004</v>
      </c>
      <c r="BF199" s="55">
        <f t="shared" si="152"/>
        <v>0.21933800000000001</v>
      </c>
      <c r="BG199" s="55">
        <f t="shared" si="153"/>
        <v>-0.73863699999999999</v>
      </c>
      <c r="BH199" s="55">
        <f t="shared" si="154"/>
        <v>0.98329599999999995</v>
      </c>
      <c r="BJ199" s="55">
        <f t="shared" si="229"/>
        <v>0.89290999999999998</v>
      </c>
      <c r="BK199" s="55">
        <f t="shared" si="229"/>
        <v>-0.92225699999999999</v>
      </c>
      <c r="BL199" s="55">
        <f t="shared" si="229"/>
        <v>0.44889099999999998</v>
      </c>
      <c r="BM199" s="55">
        <f t="shared" si="229"/>
        <v>-0.339088</v>
      </c>
      <c r="BN199" s="55">
        <f t="shared" si="229"/>
        <v>0.77873899999999996</v>
      </c>
      <c r="BO199" s="55">
        <f t="shared" si="229"/>
        <v>0.178679</v>
      </c>
      <c r="BP199" s="55">
        <f t="shared" si="229"/>
        <v>-0.550404</v>
      </c>
      <c r="BQ199" s="55">
        <f t="shared" si="229"/>
        <v>0.31940400000000002</v>
      </c>
      <c r="BR199" s="55">
        <f t="shared" si="229"/>
        <v>0.55406200000000005</v>
      </c>
      <c r="BS199" s="55">
        <f t="shared" si="229"/>
        <v>-1.5974600000000001</v>
      </c>
      <c r="BT199" s="55">
        <f t="shared" si="229"/>
        <v>0.62670999999999999</v>
      </c>
      <c r="BU199" s="55">
        <f t="shared" si="229"/>
        <v>-1.58036</v>
      </c>
      <c r="BV199" s="55">
        <f t="shared" si="229"/>
        <v>0.43925500000000001</v>
      </c>
      <c r="BW199" s="55">
        <f t="shared" si="229"/>
        <v>-0.21241599999999999</v>
      </c>
      <c r="BX199" s="55">
        <f t="shared" si="229"/>
        <v>-0.137293</v>
      </c>
      <c r="BY199" s="55">
        <f t="shared" si="229"/>
        <v>0.94842599999999999</v>
      </c>
      <c r="BZ199" s="55">
        <f t="shared" si="227"/>
        <v>-0.116146</v>
      </c>
      <c r="CA199" s="55">
        <f t="shared" si="227"/>
        <v>-0.47578100000000001</v>
      </c>
      <c r="CB199" s="55">
        <f t="shared" si="227"/>
        <v>0.605846</v>
      </c>
      <c r="CC199" s="55">
        <f t="shared" si="227"/>
        <v>0.57053500000000001</v>
      </c>
      <c r="CD199" s="55">
        <f t="shared" si="227"/>
        <v>0.84854099999999999</v>
      </c>
      <c r="CE199" s="55">
        <f t="shared" si="227"/>
        <v>-1.3692470000000001</v>
      </c>
      <c r="CF199" s="55">
        <f t="shared" si="227"/>
        <v>0.29556399999999999</v>
      </c>
      <c r="CG199" s="55">
        <f t="shared" si="227"/>
        <v>-0.79325199999999996</v>
      </c>
      <c r="CH199" s="55">
        <f t="shared" si="227"/>
        <v>0.54601999999999995</v>
      </c>
      <c r="CI199" s="55">
        <f t="shared" si="227"/>
        <v>-0.60622100000000001</v>
      </c>
      <c r="CJ199" s="55">
        <f t="shared" si="227"/>
        <v>0.76331599999999999</v>
      </c>
      <c r="CK199" s="55">
        <f t="shared" si="227"/>
        <v>-0.77407999999999999</v>
      </c>
      <c r="CL199" s="55">
        <f t="shared" si="227"/>
        <v>0.21528900000000001</v>
      </c>
      <c r="CM199" s="55">
        <f t="shared" si="227"/>
        <v>0.47770699999999999</v>
      </c>
      <c r="CN199" s="55">
        <f t="shared" si="227"/>
        <v>0.28191300000000002</v>
      </c>
      <c r="CO199" s="55">
        <f t="shared" si="228"/>
        <v>-0.33427200000000001</v>
      </c>
      <c r="CP199" s="55">
        <f t="shared" si="228"/>
        <v>-0.28843400000000002</v>
      </c>
      <c r="CQ199" s="55">
        <f t="shared" si="228"/>
        <v>-0.61893299999999996</v>
      </c>
      <c r="CR199" s="55">
        <f t="shared" si="228"/>
        <v>-0.99542699999999995</v>
      </c>
      <c r="CS199" s="55">
        <f t="shared" si="228"/>
        <v>1.50929</v>
      </c>
      <c r="CT199" s="55">
        <f t="shared" si="228"/>
        <v>0.49689899999999998</v>
      </c>
      <c r="CU199" s="55">
        <f t="shared" si="228"/>
        <v>0.94131100000000001</v>
      </c>
      <c r="CV199" s="55">
        <f t="shared" si="228"/>
        <v>-0.60974300000000003</v>
      </c>
      <c r="CW199" s="55">
        <f t="shared" si="228"/>
        <v>-0.35215099999999999</v>
      </c>
      <c r="CX199" s="55">
        <f t="shared" si="228"/>
        <v>-0.33057599999999998</v>
      </c>
      <c r="CY199" s="55">
        <f t="shared" si="228"/>
        <v>0.14055300000000001</v>
      </c>
      <c r="CZ199" s="55">
        <f t="shared" si="228"/>
        <v>0.67197700000000005</v>
      </c>
      <c r="DA199" s="55">
        <f t="shared" si="228"/>
        <v>-0.86238000000000004</v>
      </c>
      <c r="DB199" s="55">
        <f t="shared" si="228"/>
        <v>-1.4978E-2</v>
      </c>
      <c r="DC199" s="55">
        <f t="shared" si="228"/>
        <v>-0.68662100000000004</v>
      </c>
      <c r="DD199" s="55">
        <f t="shared" si="228"/>
        <v>-0.70351300000000005</v>
      </c>
      <c r="DE199" s="55">
        <f t="shared" si="226"/>
        <v>0.82305600000000001</v>
      </c>
      <c r="DF199" s="55">
        <f t="shared" si="226"/>
        <v>-1.439106</v>
      </c>
      <c r="DG199" s="55">
        <f t="shared" si="226"/>
        <v>-0.61887300000000001</v>
      </c>
      <c r="DI199" s="55">
        <f t="shared" ca="1" si="65"/>
        <v>0.62340799999999996</v>
      </c>
      <c r="DJ199" s="55">
        <f t="shared" ca="1" si="66"/>
        <v>-0.388465</v>
      </c>
      <c r="DK199" s="55">
        <f t="shared" ca="1" si="67"/>
        <v>5.6070000000000002E-2</v>
      </c>
      <c r="DL199" s="55">
        <f t="shared" ca="1" si="68"/>
        <v>7.9558000000000004E-2</v>
      </c>
      <c r="DM199" s="55">
        <f t="shared" ca="1" si="69"/>
        <v>0.96263500000000002</v>
      </c>
      <c r="DN199" s="55">
        <f t="shared" ca="1" si="70"/>
        <v>0.15728300000000001</v>
      </c>
      <c r="DO199" s="55">
        <f t="shared" ca="1" si="71"/>
        <v>-0.16175100000000001</v>
      </c>
      <c r="DP199" s="55">
        <f t="shared" ca="1" si="72"/>
        <v>0.80041499999999999</v>
      </c>
      <c r="DQ199" s="55">
        <f t="shared" ca="1" si="73"/>
        <v>-0.85971399999999998</v>
      </c>
      <c r="DR199" s="55">
        <f t="shared" ca="1" si="74"/>
        <v>0.67834000000000005</v>
      </c>
      <c r="DS199" s="55">
        <f t="shared" ca="1" si="75"/>
        <v>5.4384000000000002E-2</v>
      </c>
      <c r="DT199" s="55">
        <f t="shared" ca="1" si="76"/>
        <v>-0.63309899999999997</v>
      </c>
      <c r="DU199" s="55">
        <f t="shared" ca="1" si="77"/>
        <v>-1.530619</v>
      </c>
      <c r="DV199" s="55">
        <f t="shared" ca="1" si="78"/>
        <v>-1.4579279999999999</v>
      </c>
      <c r="DW199" s="55">
        <f t="shared" ca="1" si="79"/>
        <v>0.20503399999999999</v>
      </c>
      <c r="DX199" s="55">
        <f t="shared" ca="1" si="80"/>
        <v>0.92105700000000001</v>
      </c>
      <c r="DY199" s="55">
        <f t="shared" ca="1" si="81"/>
        <v>0.62899000000000005</v>
      </c>
      <c r="DZ199" s="55">
        <f t="shared" ca="1" si="82"/>
        <v>-4.3908000000000003E-2</v>
      </c>
      <c r="EA199" s="55">
        <f t="shared" ca="1" si="83"/>
        <v>0.28092299999999998</v>
      </c>
      <c r="EB199" s="55">
        <f t="shared" ca="1" si="84"/>
        <v>-0.456926</v>
      </c>
      <c r="EC199" s="55">
        <f t="shared" ca="1" si="85"/>
        <v>0.85801099999999997</v>
      </c>
      <c r="ED199" s="55">
        <f t="shared" ca="1" si="86"/>
        <v>-0.24601700000000001</v>
      </c>
      <c r="EE199" s="55">
        <f t="shared" ca="1" si="87"/>
        <v>-0.56400555074400005</v>
      </c>
      <c r="EF199" s="55">
        <f t="shared" ca="1" si="88"/>
        <v>-0.42475169502799998</v>
      </c>
      <c r="EG199" s="55">
        <f t="shared" ca="1" si="89"/>
        <v>-0.79116742271200002</v>
      </c>
      <c r="EH199" s="55">
        <f t="shared" ca="1" si="90"/>
        <v>-0.10927865914799997</v>
      </c>
      <c r="EI199" s="55">
        <f t="shared" ca="1" si="91"/>
        <v>-0.43773005236400009</v>
      </c>
      <c r="EJ199" s="55">
        <f t="shared" ca="1" si="92"/>
        <v>-9.1144020223999977E-2</v>
      </c>
      <c r="EK199" s="55">
        <f t="shared" ca="1" si="93"/>
        <v>1.1765056542880001</v>
      </c>
      <c r="EL199" s="55">
        <f t="shared" ca="1" si="94"/>
        <v>-0.14006599682800003</v>
      </c>
      <c r="EM199" s="55">
        <f t="shared" ca="1" si="95"/>
        <v>0.392837891424</v>
      </c>
      <c r="EN199" s="55">
        <f t="shared" ca="1" si="96"/>
        <v>-0.79353101179200003</v>
      </c>
      <c r="EO199" s="55">
        <f t="shared" ca="1" si="97"/>
        <v>0.81246774239200004</v>
      </c>
      <c r="EP199" s="55">
        <f t="shared" ca="1" si="98"/>
        <v>0.61284135063200007</v>
      </c>
      <c r="EQ199" s="55">
        <f t="shared" ca="1" si="99"/>
        <v>-1.0034639665039999</v>
      </c>
      <c r="ER199" s="55">
        <f t="shared" ca="1" si="100"/>
        <v>-0.598778509008</v>
      </c>
      <c r="ES199" s="55">
        <f t="shared" ca="1" si="101"/>
        <v>0.49614807608799999</v>
      </c>
      <c r="ET199" s="55">
        <f t="shared" ca="1" si="102"/>
        <v>0.16345218495999997</v>
      </c>
      <c r="EU199" s="55">
        <f t="shared" ca="1" si="103"/>
        <v>0.82041807134800004</v>
      </c>
      <c r="EV199" s="55">
        <f t="shared" ca="1" si="104"/>
        <v>0.11987655554000003</v>
      </c>
      <c r="EW199" s="55">
        <f t="shared" ca="1" si="105"/>
        <v>3.9683000000000003E-2</v>
      </c>
      <c r="EX199" s="55">
        <f t="shared" ca="1" si="106"/>
        <v>-1.390312</v>
      </c>
      <c r="EY199" s="55">
        <f t="shared" ca="1" si="107"/>
        <v>0.51397999999999999</v>
      </c>
      <c r="EZ199" s="55">
        <f t="shared" ca="1" si="108"/>
        <v>-0.69938699999999998</v>
      </c>
      <c r="FA199" s="55">
        <f t="shared" ca="1" si="109"/>
        <v>-0.61740399999999995</v>
      </c>
      <c r="FB199" s="55">
        <f t="shared" ca="1" si="110"/>
        <v>-0.36079800000000001</v>
      </c>
      <c r="FC199" s="55">
        <f t="shared" ca="1" si="111"/>
        <v>-0.52576500000000004</v>
      </c>
      <c r="FD199" s="55">
        <f t="shared" ca="1" si="112"/>
        <v>0.21933800000000001</v>
      </c>
      <c r="FE199" s="55">
        <f t="shared" ca="1" si="113"/>
        <v>-0.73863699999999999</v>
      </c>
      <c r="FF199" s="55">
        <f t="shared" ca="1" si="114"/>
        <v>0.98329599999999995</v>
      </c>
      <c r="FH199" s="55">
        <f t="shared" ca="1" si="115"/>
        <v>0</v>
      </c>
      <c r="FI199" s="55">
        <f t="shared" ca="1" si="207"/>
        <v>0</v>
      </c>
      <c r="FJ199" s="55">
        <f t="shared" ca="1" si="208"/>
        <v>0</v>
      </c>
      <c r="FK199" s="55">
        <f t="shared" ca="1" si="209"/>
        <v>0</v>
      </c>
      <c r="FL199" s="55">
        <f t="shared" ca="1" si="210"/>
        <v>0</v>
      </c>
      <c r="FM199" s="55">
        <f t="shared" ca="1" si="211"/>
        <v>0</v>
      </c>
      <c r="FN199" s="55">
        <f t="shared" ca="1" si="212"/>
        <v>0</v>
      </c>
      <c r="FO199" s="55">
        <f t="shared" ca="1" si="213"/>
        <v>0</v>
      </c>
      <c r="FP199" s="55">
        <f t="shared" ca="1" si="214"/>
        <v>0</v>
      </c>
      <c r="FQ199" s="55">
        <f t="shared" ca="1" si="215"/>
        <v>0</v>
      </c>
      <c r="FR199" s="55">
        <f t="shared" ca="1" si="216"/>
        <v>0</v>
      </c>
      <c r="FS199" s="55">
        <f t="shared" ca="1" si="158"/>
        <v>0</v>
      </c>
      <c r="FT199" s="55">
        <f t="shared" ca="1" si="159"/>
        <v>0</v>
      </c>
      <c r="FU199" s="55">
        <f t="shared" ca="1" si="160"/>
        <v>0</v>
      </c>
      <c r="FV199" s="55">
        <f t="shared" ca="1" si="161"/>
        <v>0</v>
      </c>
      <c r="FW199" s="55">
        <f t="shared" ca="1" si="162"/>
        <v>0</v>
      </c>
      <c r="FX199" s="55">
        <f t="shared" ca="1" si="163"/>
        <v>0</v>
      </c>
      <c r="FY199" s="55">
        <f t="shared" ca="1" si="164"/>
        <v>0</v>
      </c>
      <c r="FZ199" s="55">
        <f t="shared" ca="1" si="165"/>
        <v>0</v>
      </c>
      <c r="GA199" s="55">
        <f t="shared" ca="1" si="166"/>
        <v>0</v>
      </c>
      <c r="GB199" s="55">
        <f t="shared" ca="1" si="167"/>
        <v>0</v>
      </c>
      <c r="GC199" s="55">
        <f t="shared" ca="1" si="168"/>
        <v>0</v>
      </c>
      <c r="GD199" s="55">
        <f t="shared" ca="1" si="169"/>
        <v>4.9308449255999975E-2</v>
      </c>
      <c r="GE199" s="55">
        <f t="shared" ca="1" si="170"/>
        <v>-2.1138695027999976E-2</v>
      </c>
      <c r="GF199" s="55">
        <f t="shared" ca="1" si="171"/>
        <v>7.6706577288000011E-2</v>
      </c>
      <c r="GG199" s="55">
        <f t="shared" ca="1" si="172"/>
        <v>-2.8506659147999977E-2</v>
      </c>
      <c r="GH199" s="55">
        <f t="shared" ca="1" si="173"/>
        <v>6.8896947635999961E-2</v>
      </c>
      <c r="GI199" s="55">
        <f t="shared" ca="1" si="174"/>
        <v>-3.9176020223999977E-2</v>
      </c>
      <c r="GJ199" s="55">
        <f t="shared" ca="1" si="175"/>
        <v>-5.5139345711999965E-2</v>
      </c>
      <c r="GK199" s="55">
        <f t="shared" ca="1" si="176"/>
        <v>3.5438003171999966E-2</v>
      </c>
      <c r="GL199" s="55">
        <f t="shared" ca="1" si="177"/>
        <v>-6.3631085759999761E-3</v>
      </c>
      <c r="GM199" s="55">
        <f t="shared" ca="1" si="178"/>
        <v>2.634498820800002E-2</v>
      </c>
      <c r="GN199" s="55">
        <f t="shared" ca="1" si="179"/>
        <v>-6.3152257607999918E-2</v>
      </c>
      <c r="GO199" s="55">
        <f t="shared" ca="1" si="180"/>
        <v>-7.0659649367999955E-2</v>
      </c>
      <c r="GP199" s="55">
        <f t="shared" ca="1" si="181"/>
        <v>4.6103349600001842E-4</v>
      </c>
      <c r="GQ199" s="55">
        <f t="shared" ca="1" si="182"/>
        <v>0.12092749099199995</v>
      </c>
      <c r="GR199" s="55">
        <f t="shared" ca="1" si="183"/>
        <v>4.3076087999971424E-5</v>
      </c>
      <c r="GS199" s="55">
        <f t="shared" ca="1" si="184"/>
        <v>4.4621184959999963E-2</v>
      </c>
      <c r="GT199" s="55">
        <f t="shared" ca="1" si="185"/>
        <v>-8.2039928651999938E-2</v>
      </c>
      <c r="GU199" s="55">
        <f t="shared" ca="1" si="186"/>
        <v>-2.7077444459999975E-2</v>
      </c>
      <c r="GV199" s="55">
        <f t="shared" ca="1" si="187"/>
        <v>0</v>
      </c>
      <c r="GW199" s="55">
        <f t="shared" ca="1" si="188"/>
        <v>0</v>
      </c>
      <c r="GX199" s="55">
        <f t="shared" ca="1" si="189"/>
        <v>0</v>
      </c>
      <c r="GY199" s="55">
        <f t="shared" ca="1" si="190"/>
        <v>0</v>
      </c>
      <c r="GZ199" s="55">
        <f t="shared" ca="1" si="191"/>
        <v>0</v>
      </c>
      <c r="HA199" s="55">
        <f t="shared" ca="1" si="192"/>
        <v>0</v>
      </c>
      <c r="HB199" s="55">
        <f t="shared" ca="1" si="193"/>
        <v>0</v>
      </c>
      <c r="HC199" s="55">
        <f t="shared" ca="1" si="194"/>
        <v>0</v>
      </c>
      <c r="HD199" s="55">
        <f t="shared" ca="1" si="195"/>
        <v>0</v>
      </c>
      <c r="HE199" s="55">
        <f t="shared" ca="1" si="196"/>
        <v>0</v>
      </c>
    </row>
    <row r="200" spans="1:213">
      <c r="A200" s="27">
        <v>63</v>
      </c>
      <c r="B200" s="27">
        <v>84</v>
      </c>
      <c r="C200" s="27">
        <v>0.651111</v>
      </c>
      <c r="D200" s="27">
        <v>0.37881100000000001</v>
      </c>
      <c r="E200" s="27">
        <v>15</v>
      </c>
      <c r="F200" s="27">
        <f t="shared" ca="1" si="59"/>
        <v>32</v>
      </c>
      <c r="G200" s="27">
        <f t="shared" si="221"/>
        <v>0</v>
      </c>
      <c r="H200" s="27" t="str">
        <f t="shared" si="60"/>
        <v>Sim</v>
      </c>
      <c r="I200" s="27">
        <f t="shared" si="61"/>
        <v>0</v>
      </c>
      <c r="J200" s="37">
        <f t="shared" si="62"/>
        <v>1</v>
      </c>
      <c r="K200" s="55">
        <f t="shared" si="63"/>
        <v>-0.24062800000000001</v>
      </c>
      <c r="L200" s="55">
        <f t="shared" si="197"/>
        <v>-0.89815699999999998</v>
      </c>
      <c r="M200" s="55">
        <f t="shared" si="198"/>
        <v>-1.1891830000000001</v>
      </c>
      <c r="N200" s="55">
        <f t="shared" si="199"/>
        <v>0.91522499999999996</v>
      </c>
      <c r="O200" s="55">
        <f t="shared" si="200"/>
        <v>-1.3426229999999999</v>
      </c>
      <c r="P200" s="55">
        <f t="shared" si="201"/>
        <v>-1.0758650000000001</v>
      </c>
      <c r="Q200" s="55">
        <f t="shared" si="202"/>
        <v>0.72298700000000005</v>
      </c>
      <c r="R200" s="55">
        <f t="shared" si="203"/>
        <v>0.59974899999999998</v>
      </c>
      <c r="S200" s="55">
        <f t="shared" si="204"/>
        <v>-1.392889</v>
      </c>
      <c r="T200" s="55">
        <f t="shared" si="205"/>
        <v>0.11608499999999999</v>
      </c>
      <c r="U200" s="55">
        <f t="shared" si="206"/>
        <v>0.59754099999999999</v>
      </c>
      <c r="V200" s="55">
        <f t="shared" si="116"/>
        <v>0.332096</v>
      </c>
      <c r="W200" s="55">
        <f t="shared" si="117"/>
        <v>0.62007900000000005</v>
      </c>
      <c r="X200" s="55">
        <f t="shared" si="118"/>
        <v>0.663219</v>
      </c>
      <c r="Y200" s="55">
        <f t="shared" si="119"/>
        <v>0.37763799999999997</v>
      </c>
      <c r="Z200" s="55">
        <f t="shared" si="120"/>
        <v>-0.60894499999999996</v>
      </c>
      <c r="AA200" s="55">
        <f t="shared" si="121"/>
        <v>0.67616900000000002</v>
      </c>
      <c r="AB200" s="55">
        <f t="shared" si="122"/>
        <v>0.50792800000000005</v>
      </c>
      <c r="AC200" s="55">
        <f t="shared" si="123"/>
        <v>-0.57982</v>
      </c>
      <c r="AD200" s="55">
        <f t="shared" si="124"/>
        <v>-0.62389300000000003</v>
      </c>
      <c r="AE200" s="55">
        <f t="shared" si="125"/>
        <v>-7.2497000000000006E-2</v>
      </c>
      <c r="AF200" s="55">
        <f t="shared" si="126"/>
        <v>0.84505200000000003</v>
      </c>
      <c r="AG200" s="55">
        <f t="shared" si="127"/>
        <v>-0.68402700000000005</v>
      </c>
      <c r="AH200" s="55">
        <f t="shared" si="128"/>
        <v>-0.54195899999999997</v>
      </c>
      <c r="AI200" s="55">
        <f t="shared" si="129"/>
        <v>0.627911</v>
      </c>
      <c r="AJ200" s="55">
        <f t="shared" si="130"/>
        <v>0.18995300000000001</v>
      </c>
      <c r="AK200" s="55">
        <f t="shared" si="131"/>
        <v>1.5314939999999999</v>
      </c>
      <c r="AL200" s="55">
        <f t="shared" si="132"/>
        <v>-0.44142799999999999</v>
      </c>
      <c r="AM200" s="55">
        <f t="shared" si="133"/>
        <v>0.87226499999999996</v>
      </c>
      <c r="AN200" s="55">
        <f t="shared" si="134"/>
        <v>-0.29833799999999999</v>
      </c>
      <c r="AO200" s="55">
        <f t="shared" si="135"/>
        <v>-0.19894899999999999</v>
      </c>
      <c r="AP200" s="55">
        <f t="shared" si="136"/>
        <v>0.30160799999999999</v>
      </c>
      <c r="AQ200" s="55">
        <f t="shared" si="137"/>
        <v>-1.1018559999999999</v>
      </c>
      <c r="AR200" s="55">
        <f t="shared" si="138"/>
        <v>0.81671000000000005</v>
      </c>
      <c r="AS200" s="55">
        <f t="shared" si="139"/>
        <v>-0.603738</v>
      </c>
      <c r="AT200" s="55">
        <f t="shared" si="140"/>
        <v>0.70987599999999995</v>
      </c>
      <c r="AU200" s="55">
        <f t="shared" si="141"/>
        <v>-0.56420700000000001</v>
      </c>
      <c r="AV200" s="55">
        <f t="shared" si="142"/>
        <v>1.0479320000000001</v>
      </c>
      <c r="AW200" s="55">
        <f t="shared" si="143"/>
        <v>-1.159268</v>
      </c>
      <c r="AX200" s="55">
        <f t="shared" si="144"/>
        <v>-0.44070500000000001</v>
      </c>
      <c r="AY200" s="55">
        <f t="shared" si="145"/>
        <v>0.41180099999999997</v>
      </c>
      <c r="AZ200" s="55">
        <f t="shared" si="146"/>
        <v>-0.57546799999999998</v>
      </c>
      <c r="BA200" s="55">
        <f t="shared" si="147"/>
        <v>-1.441595</v>
      </c>
      <c r="BB200" s="55">
        <f t="shared" si="148"/>
        <v>-0.99476200000000004</v>
      </c>
      <c r="BC200" s="55">
        <f t="shared" si="149"/>
        <v>0.793296</v>
      </c>
      <c r="BD200" s="55">
        <f t="shared" si="150"/>
        <v>-0.101851</v>
      </c>
      <c r="BE200" s="55">
        <f t="shared" si="151"/>
        <v>0.63167300000000004</v>
      </c>
      <c r="BF200" s="55">
        <f t="shared" si="152"/>
        <v>-3.5050999999999999E-2</v>
      </c>
      <c r="BG200" s="55">
        <f t="shared" si="153"/>
        <v>-0.15506200000000001</v>
      </c>
      <c r="BH200" s="55">
        <f t="shared" si="154"/>
        <v>-0.89871599999999996</v>
      </c>
      <c r="BJ200" s="55">
        <f t="shared" si="229"/>
        <v>0.92113900000000004</v>
      </c>
      <c r="BK200" s="55">
        <f t="shared" si="229"/>
        <v>-0.29337000000000002</v>
      </c>
      <c r="BL200" s="55">
        <f t="shared" si="229"/>
        <v>0.44889099999999998</v>
      </c>
      <c r="BM200" s="55">
        <f t="shared" si="229"/>
        <v>0.75926700000000003</v>
      </c>
      <c r="BN200" s="55">
        <f t="shared" si="229"/>
        <v>1.6478440000000001</v>
      </c>
      <c r="BO200" s="55">
        <f t="shared" si="229"/>
        <v>0.93362199999999995</v>
      </c>
      <c r="BP200" s="55">
        <f t="shared" si="229"/>
        <v>5.6568E-2</v>
      </c>
      <c r="BQ200" s="55">
        <f t="shared" si="229"/>
        <v>1.2903420000000001</v>
      </c>
      <c r="BR200" s="55">
        <f t="shared" si="229"/>
        <v>0.406779</v>
      </c>
      <c r="BS200" s="55">
        <f t="shared" si="229"/>
        <v>-0.81093899999999997</v>
      </c>
      <c r="BT200" s="55">
        <f t="shared" si="229"/>
        <v>0.94307600000000003</v>
      </c>
      <c r="BU200" s="55">
        <f t="shared" si="229"/>
        <v>-0.74760400000000005</v>
      </c>
      <c r="BV200" s="55">
        <f t="shared" si="229"/>
        <v>1.547347</v>
      </c>
      <c r="BW200" s="55">
        <f t="shared" si="229"/>
        <v>-0.329567</v>
      </c>
      <c r="BX200" s="55">
        <f t="shared" si="229"/>
        <v>7.3186000000000001E-2</v>
      </c>
      <c r="BY200" s="55">
        <f t="shared" si="229"/>
        <v>-0.147924</v>
      </c>
      <c r="BZ200" s="55">
        <f t="shared" si="227"/>
        <v>1.4850099999999999</v>
      </c>
      <c r="CA200" s="55">
        <f t="shared" si="227"/>
        <v>-0.77529400000000004</v>
      </c>
      <c r="CB200" s="55">
        <f t="shared" si="227"/>
        <v>0.84227600000000002</v>
      </c>
      <c r="CC200" s="55">
        <f t="shared" si="227"/>
        <v>0.92862999999999996</v>
      </c>
      <c r="CD200" s="55">
        <f t="shared" si="227"/>
        <v>0.82414200000000004</v>
      </c>
      <c r="CE200" s="55">
        <f t="shared" si="227"/>
        <v>-0.63624700000000001</v>
      </c>
      <c r="CF200" s="55">
        <f t="shared" si="227"/>
        <v>0.323988</v>
      </c>
      <c r="CG200" s="55">
        <f t="shared" si="227"/>
        <v>0.23015099999999999</v>
      </c>
      <c r="CH200" s="55">
        <f t="shared" si="227"/>
        <v>0.44046299999999999</v>
      </c>
      <c r="CI200" s="55">
        <f t="shared" si="227"/>
        <v>-0.68194399999999999</v>
      </c>
      <c r="CJ200" s="55">
        <f t="shared" si="227"/>
        <v>0.29517700000000002</v>
      </c>
      <c r="CK200" s="55">
        <f t="shared" si="227"/>
        <v>-1.4813989999999999</v>
      </c>
      <c r="CL200" s="55">
        <f t="shared" si="227"/>
        <v>0.408771</v>
      </c>
      <c r="CM200" s="55">
        <f t="shared" si="227"/>
        <v>0.72226400000000002</v>
      </c>
      <c r="CN200" s="55">
        <f t="shared" si="227"/>
        <v>0.23936499999999999</v>
      </c>
      <c r="CO200" s="55">
        <f t="shared" si="228"/>
        <v>0.93853299999999995</v>
      </c>
      <c r="CP200" s="55">
        <f t="shared" si="228"/>
        <v>-0.94483899999999998</v>
      </c>
      <c r="CQ200" s="55">
        <f t="shared" si="228"/>
        <v>-0.971854</v>
      </c>
      <c r="CR200" s="55">
        <f t="shared" si="228"/>
        <v>-0.39461200000000002</v>
      </c>
      <c r="CS200" s="55">
        <f t="shared" si="228"/>
        <v>0.90890499999999996</v>
      </c>
      <c r="CT200" s="55">
        <f t="shared" si="228"/>
        <v>0.66777500000000001</v>
      </c>
      <c r="CU200" s="55">
        <f t="shared" si="228"/>
        <v>1.8090900000000001</v>
      </c>
      <c r="CV200" s="55">
        <f t="shared" si="228"/>
        <v>3.8622999999999998E-2</v>
      </c>
      <c r="CW200" s="55">
        <f t="shared" si="228"/>
        <v>-0.18663099999999999</v>
      </c>
      <c r="CX200" s="55">
        <f t="shared" si="228"/>
        <v>-0.28596199999999999</v>
      </c>
      <c r="CY200" s="55">
        <f t="shared" si="228"/>
        <v>0.35414800000000002</v>
      </c>
      <c r="CZ200" s="55">
        <f t="shared" si="228"/>
        <v>-0.25786999999999999</v>
      </c>
      <c r="DA200" s="55">
        <f t="shared" si="228"/>
        <v>-0.74679899999999999</v>
      </c>
      <c r="DB200" s="55">
        <f t="shared" si="228"/>
        <v>-0.64471500000000004</v>
      </c>
      <c r="DC200" s="55">
        <f t="shared" si="228"/>
        <v>-0.44550400000000001</v>
      </c>
      <c r="DD200" s="55">
        <f t="shared" si="228"/>
        <v>-0.234232</v>
      </c>
      <c r="DE200" s="55">
        <f t="shared" si="226"/>
        <v>1.110959</v>
      </c>
      <c r="DF200" s="55">
        <f t="shared" si="226"/>
        <v>-0.47712300000000002</v>
      </c>
      <c r="DG200" s="55">
        <f t="shared" si="226"/>
        <v>0.72406599999999999</v>
      </c>
      <c r="DI200" s="55">
        <f t="shared" ca="1" si="65"/>
        <v>-0.24062800000000001</v>
      </c>
      <c r="DJ200" s="55">
        <f t="shared" ca="1" si="66"/>
        <v>-0.89815699999999998</v>
      </c>
      <c r="DK200" s="55">
        <f t="shared" ca="1" si="67"/>
        <v>-1.1891830000000001</v>
      </c>
      <c r="DL200" s="55">
        <f t="shared" ca="1" si="68"/>
        <v>0.91522499999999996</v>
      </c>
      <c r="DM200" s="55">
        <f t="shared" ca="1" si="69"/>
        <v>-1.3426229999999999</v>
      </c>
      <c r="DN200" s="55">
        <f t="shared" ca="1" si="70"/>
        <v>-1.0758650000000001</v>
      </c>
      <c r="DO200" s="55">
        <f t="shared" ca="1" si="71"/>
        <v>0.72298700000000005</v>
      </c>
      <c r="DP200" s="55">
        <f t="shared" ca="1" si="72"/>
        <v>0.59974899999999998</v>
      </c>
      <c r="DQ200" s="55">
        <f t="shared" ca="1" si="73"/>
        <v>-1.392889</v>
      </c>
      <c r="DR200" s="55">
        <f t="shared" ca="1" si="74"/>
        <v>0.11608499999999999</v>
      </c>
      <c r="DS200" s="55">
        <f t="shared" ca="1" si="75"/>
        <v>0.59754099999999999</v>
      </c>
      <c r="DT200" s="55">
        <f t="shared" ca="1" si="76"/>
        <v>0.332096</v>
      </c>
      <c r="DU200" s="55">
        <f t="shared" ca="1" si="77"/>
        <v>0.62007900000000005</v>
      </c>
      <c r="DV200" s="55">
        <f t="shared" ca="1" si="78"/>
        <v>0.663219</v>
      </c>
      <c r="DW200" s="55">
        <f t="shared" ca="1" si="79"/>
        <v>0.37763799999999997</v>
      </c>
      <c r="DX200" s="55">
        <f t="shared" ca="1" si="80"/>
        <v>-0.32256382603099998</v>
      </c>
      <c r="DY200" s="55">
        <f t="shared" ca="1" si="81"/>
        <v>1.1786121319489999</v>
      </c>
      <c r="DZ200" s="55">
        <f t="shared" ca="1" si="82"/>
        <v>-0.28919539095799995</v>
      </c>
      <c r="EA200" s="55">
        <f t="shared" ca="1" si="83"/>
        <v>0.303570392144</v>
      </c>
      <c r="EB200" s="55">
        <f t="shared" ca="1" si="84"/>
        <v>0.34051720984699996</v>
      </c>
      <c r="EC200" s="55">
        <f t="shared" ca="1" si="85"/>
        <v>0.48448528377099997</v>
      </c>
      <c r="ED200" s="55">
        <f t="shared" ca="1" si="86"/>
        <v>-7.5114644510999973E-2</v>
      </c>
      <c r="EE200" s="55">
        <f t="shared" ca="1" si="87"/>
        <v>-5.7859170165000029E-2</v>
      </c>
      <c r="EF200" s="55">
        <f t="shared" ca="1" si="88"/>
        <v>-6.2332761210000004E-2</v>
      </c>
      <c r="EG200" s="55">
        <f t="shared" ca="1" si="89"/>
        <v>0.51147036432799997</v>
      </c>
      <c r="EH200" s="55">
        <f t="shared" ca="1" si="90"/>
        <v>-0.35165982553299996</v>
      </c>
      <c r="EI200" s="55">
        <f t="shared" ca="1" si="91"/>
        <v>0.76350747908700001</v>
      </c>
      <c r="EJ200" s="55">
        <f t="shared" ca="1" si="92"/>
        <v>-1.0874465455189999</v>
      </c>
      <c r="EK200" s="55">
        <f t="shared" ca="1" si="93"/>
        <v>0.584347625634</v>
      </c>
      <c r="EL200" s="55">
        <f t="shared" ca="1" si="94"/>
        <v>0.33564873577800003</v>
      </c>
      <c r="EM200" s="55">
        <f t="shared" ca="1" si="95"/>
        <v>7.3326835345999986E-2</v>
      </c>
      <c r="EN200" s="55">
        <f t="shared" ca="1" si="96"/>
        <v>0.69725880382499994</v>
      </c>
      <c r="EO200" s="55">
        <f t="shared" ca="1" si="97"/>
        <v>-1.1018559999999999</v>
      </c>
      <c r="EP200" s="55">
        <f t="shared" ca="1" si="98"/>
        <v>0.81671000000000005</v>
      </c>
      <c r="EQ200" s="55">
        <f t="shared" ca="1" si="99"/>
        <v>-0.603738</v>
      </c>
      <c r="ER200" s="55">
        <f t="shared" ca="1" si="100"/>
        <v>0.70987599999999995</v>
      </c>
      <c r="ES200" s="55">
        <f t="shared" ca="1" si="101"/>
        <v>-0.56420700000000001</v>
      </c>
      <c r="ET200" s="55">
        <f t="shared" ca="1" si="102"/>
        <v>1.0479320000000001</v>
      </c>
      <c r="EU200" s="55">
        <f t="shared" ca="1" si="103"/>
        <v>-1.159268</v>
      </c>
      <c r="EV200" s="55">
        <f t="shared" ca="1" si="104"/>
        <v>-0.44070500000000001</v>
      </c>
      <c r="EW200" s="55">
        <f t="shared" ca="1" si="105"/>
        <v>0.41180099999999997</v>
      </c>
      <c r="EX200" s="55">
        <f t="shared" ca="1" si="106"/>
        <v>-0.57546799999999998</v>
      </c>
      <c r="EY200" s="55">
        <f t="shared" ca="1" si="107"/>
        <v>-1.441595</v>
      </c>
      <c r="EZ200" s="55">
        <f t="shared" ca="1" si="108"/>
        <v>-0.99476200000000004</v>
      </c>
      <c r="FA200" s="55">
        <f t="shared" ca="1" si="109"/>
        <v>0.793296</v>
      </c>
      <c r="FB200" s="55">
        <f t="shared" ca="1" si="110"/>
        <v>-0.101851</v>
      </c>
      <c r="FC200" s="55">
        <f t="shared" ca="1" si="111"/>
        <v>0.63167300000000004</v>
      </c>
      <c r="FD200" s="55">
        <f t="shared" ca="1" si="112"/>
        <v>-3.5050999999999999E-2</v>
      </c>
      <c r="FE200" s="55">
        <f t="shared" ca="1" si="113"/>
        <v>-0.15506200000000001</v>
      </c>
      <c r="FF200" s="55">
        <f t="shared" ca="1" si="114"/>
        <v>-0.89871599999999996</v>
      </c>
      <c r="FH200" s="55">
        <f t="shared" ca="1" si="115"/>
        <v>0</v>
      </c>
      <c r="FI200" s="55">
        <f t="shared" ca="1" si="207"/>
        <v>0</v>
      </c>
      <c r="FJ200" s="55">
        <f t="shared" ca="1" si="208"/>
        <v>0</v>
      </c>
      <c r="FK200" s="55">
        <f t="shared" ca="1" si="209"/>
        <v>0</v>
      </c>
      <c r="FL200" s="55">
        <f t="shared" ca="1" si="210"/>
        <v>0</v>
      </c>
      <c r="FM200" s="55">
        <f t="shared" ca="1" si="211"/>
        <v>0</v>
      </c>
      <c r="FN200" s="55">
        <f t="shared" ca="1" si="212"/>
        <v>0</v>
      </c>
      <c r="FO200" s="55">
        <f t="shared" ca="1" si="213"/>
        <v>0</v>
      </c>
      <c r="FP200" s="55">
        <f t="shared" ca="1" si="214"/>
        <v>0</v>
      </c>
      <c r="FQ200" s="55">
        <f t="shared" ca="1" si="215"/>
        <v>0</v>
      </c>
      <c r="FR200" s="55">
        <f t="shared" ca="1" si="216"/>
        <v>0</v>
      </c>
      <c r="FS200" s="55">
        <f t="shared" ca="1" si="158"/>
        <v>0</v>
      </c>
      <c r="FT200" s="55">
        <f t="shared" ca="1" si="159"/>
        <v>0</v>
      </c>
      <c r="FU200" s="55">
        <f t="shared" ca="1" si="160"/>
        <v>0</v>
      </c>
      <c r="FV200" s="55">
        <f t="shared" ca="1" si="161"/>
        <v>0</v>
      </c>
      <c r="FW200" s="55">
        <f t="shared" ca="1" si="162"/>
        <v>0.28638117396899998</v>
      </c>
      <c r="FX200" s="55">
        <f t="shared" ca="1" si="163"/>
        <v>0.50244313194899992</v>
      </c>
      <c r="FY200" s="55">
        <f t="shared" ca="1" si="164"/>
        <v>-0.797123390958</v>
      </c>
      <c r="FZ200" s="55">
        <f t="shared" ca="1" si="165"/>
        <v>0.88339039214400006</v>
      </c>
      <c r="GA200" s="55">
        <f t="shared" ca="1" si="166"/>
        <v>0.96441020984699999</v>
      </c>
      <c r="GB200" s="55">
        <f t="shared" ca="1" si="167"/>
        <v>0.55698228377100001</v>
      </c>
      <c r="GC200" s="55">
        <f t="shared" ca="1" si="168"/>
        <v>-0.92016664451099994</v>
      </c>
      <c r="GD200" s="55">
        <f t="shared" ca="1" si="169"/>
        <v>0.62616782983499997</v>
      </c>
      <c r="GE200" s="55">
        <f t="shared" ca="1" si="170"/>
        <v>0.47962623878999999</v>
      </c>
      <c r="GF200" s="55">
        <f t="shared" ca="1" si="171"/>
        <v>-0.11644063567200003</v>
      </c>
      <c r="GG200" s="55">
        <f t="shared" ca="1" si="172"/>
        <v>-0.54161282553299994</v>
      </c>
      <c r="GH200" s="55">
        <f t="shared" ca="1" si="173"/>
        <v>-0.7679865209129999</v>
      </c>
      <c r="GI200" s="55">
        <f t="shared" ca="1" si="174"/>
        <v>-0.64601854551899995</v>
      </c>
      <c r="GJ200" s="55">
        <f t="shared" ca="1" si="175"/>
        <v>-0.28791737436599996</v>
      </c>
      <c r="GK200" s="55">
        <f t="shared" ca="1" si="176"/>
        <v>0.63398673577800002</v>
      </c>
      <c r="GL200" s="55">
        <f t="shared" ca="1" si="177"/>
        <v>0.27227583534599997</v>
      </c>
      <c r="GM200" s="55">
        <f t="shared" ca="1" si="178"/>
        <v>0.39565080382499995</v>
      </c>
      <c r="GN200" s="55">
        <f t="shared" ca="1" si="179"/>
        <v>0</v>
      </c>
      <c r="GO200" s="55">
        <f t="shared" ca="1" si="180"/>
        <v>0</v>
      </c>
      <c r="GP200" s="55">
        <f t="shared" ca="1" si="181"/>
        <v>0</v>
      </c>
      <c r="GQ200" s="55">
        <f t="shared" ca="1" si="182"/>
        <v>0</v>
      </c>
      <c r="GR200" s="55">
        <f t="shared" ca="1" si="183"/>
        <v>0</v>
      </c>
      <c r="GS200" s="55">
        <f t="shared" ca="1" si="184"/>
        <v>0</v>
      </c>
      <c r="GT200" s="55">
        <f t="shared" ca="1" si="185"/>
        <v>0</v>
      </c>
      <c r="GU200" s="55">
        <f t="shared" ca="1" si="186"/>
        <v>0</v>
      </c>
      <c r="GV200" s="55">
        <f t="shared" ca="1" si="187"/>
        <v>0</v>
      </c>
      <c r="GW200" s="55">
        <f t="shared" ca="1" si="188"/>
        <v>0</v>
      </c>
      <c r="GX200" s="55">
        <f t="shared" ca="1" si="189"/>
        <v>0</v>
      </c>
      <c r="GY200" s="55">
        <f t="shared" ca="1" si="190"/>
        <v>0</v>
      </c>
      <c r="GZ200" s="55">
        <f t="shared" ca="1" si="191"/>
        <v>0</v>
      </c>
      <c r="HA200" s="55">
        <f t="shared" ca="1" si="192"/>
        <v>0</v>
      </c>
      <c r="HB200" s="55">
        <f t="shared" ca="1" si="193"/>
        <v>0</v>
      </c>
      <c r="HC200" s="55">
        <f t="shared" ca="1" si="194"/>
        <v>0</v>
      </c>
      <c r="HD200" s="55">
        <f t="shared" ca="1" si="195"/>
        <v>0</v>
      </c>
      <c r="HE200" s="55">
        <f t="shared" ca="1" si="196"/>
        <v>0</v>
      </c>
    </row>
    <row r="201" spans="1:213">
      <c r="A201" s="27">
        <v>64</v>
      </c>
      <c r="B201" s="27">
        <v>18</v>
      </c>
      <c r="C201" s="27">
        <v>0.39869100000000002</v>
      </c>
      <c r="D201" s="27">
        <v>0.31954399999999999</v>
      </c>
      <c r="E201" s="27">
        <v>30</v>
      </c>
      <c r="F201" s="27">
        <f t="shared" ca="1" si="59"/>
        <v>36</v>
      </c>
      <c r="G201" s="27">
        <f t="shared" ref="G201:G236" si="230">VLOOKUP(B201,$A$33:$BG$340,4,FALSE)</f>
        <v>0</v>
      </c>
      <c r="H201" s="27" t="str">
        <f t="shared" si="60"/>
        <v>Sim</v>
      </c>
      <c r="I201" s="27">
        <f t="shared" si="61"/>
        <v>0</v>
      </c>
      <c r="J201" s="37">
        <f t="shared" si="62"/>
        <v>1</v>
      </c>
      <c r="K201" s="55">
        <f t="shared" si="63"/>
        <v>-0.31709100000000001</v>
      </c>
      <c r="L201" s="55">
        <f t="shared" si="197"/>
        <v>-0.89203399999999999</v>
      </c>
      <c r="M201" s="55">
        <f t="shared" si="198"/>
        <v>-0.50178699999999998</v>
      </c>
      <c r="N201" s="55">
        <f t="shared" si="199"/>
        <v>1.341126</v>
      </c>
      <c r="O201" s="55">
        <f t="shared" si="200"/>
        <v>-0.35331899999999999</v>
      </c>
      <c r="P201" s="55">
        <f t="shared" si="201"/>
        <v>-0.81649300000000002</v>
      </c>
      <c r="Q201" s="55">
        <f t="shared" si="202"/>
        <v>0.76869500000000002</v>
      </c>
      <c r="R201" s="55">
        <f t="shared" si="203"/>
        <v>0.78559599999999996</v>
      </c>
      <c r="S201" s="55">
        <f t="shared" si="204"/>
        <v>-0.50029299999999999</v>
      </c>
      <c r="T201" s="55">
        <f t="shared" si="205"/>
        <v>5.3810999999999998E-2</v>
      </c>
      <c r="U201" s="55">
        <f t="shared" si="206"/>
        <v>-1.401068</v>
      </c>
      <c r="V201" s="55">
        <f t="shared" si="116"/>
        <v>-0.34910000000000002</v>
      </c>
      <c r="W201" s="55">
        <f t="shared" si="117"/>
        <v>1.39639</v>
      </c>
      <c r="X201" s="55">
        <f t="shared" si="118"/>
        <v>0.16563800000000001</v>
      </c>
      <c r="Y201" s="55">
        <f t="shared" si="119"/>
        <v>-0.78129099999999996</v>
      </c>
      <c r="Z201" s="55">
        <f t="shared" si="120"/>
        <v>0.19028100000000001</v>
      </c>
      <c r="AA201" s="55">
        <f t="shared" si="121"/>
        <v>-1.158496</v>
      </c>
      <c r="AB201" s="55">
        <f t="shared" si="122"/>
        <v>-8.0203999999999998E-2</v>
      </c>
      <c r="AC201" s="55">
        <f t="shared" si="123"/>
        <v>-5.5931000000000002E-2</v>
      </c>
      <c r="AD201" s="55">
        <f t="shared" si="124"/>
        <v>0.14855699999999999</v>
      </c>
      <c r="AE201" s="55">
        <f t="shared" si="125"/>
        <v>-0.54910300000000001</v>
      </c>
      <c r="AF201" s="55">
        <f t="shared" si="126"/>
        <v>-1.646245</v>
      </c>
      <c r="AG201" s="55">
        <f t="shared" si="127"/>
        <v>0.36466599999999999</v>
      </c>
      <c r="AH201" s="55">
        <f t="shared" si="128"/>
        <v>1.0881E-2</v>
      </c>
      <c r="AI201" s="55">
        <f t="shared" si="129"/>
        <v>0.95167999999999997</v>
      </c>
      <c r="AJ201" s="55">
        <f t="shared" si="130"/>
        <v>0.35824299999999998</v>
      </c>
      <c r="AK201" s="55">
        <f t="shared" si="131"/>
        <v>-0.28089999999999998</v>
      </c>
      <c r="AL201" s="55">
        <f t="shared" si="132"/>
        <v>-0.410466</v>
      </c>
      <c r="AM201" s="55">
        <f t="shared" si="133"/>
        <v>0.50322500000000003</v>
      </c>
      <c r="AN201" s="55">
        <f t="shared" si="134"/>
        <v>0.31360100000000002</v>
      </c>
      <c r="AO201" s="55">
        <f t="shared" si="135"/>
        <v>-1.7582420000000001</v>
      </c>
      <c r="AP201" s="55">
        <f t="shared" si="136"/>
        <v>1.1691739999999999</v>
      </c>
      <c r="AQ201" s="55">
        <f t="shared" si="137"/>
        <v>2.2877999999999999E-2</v>
      </c>
      <c r="AR201" s="55">
        <f t="shared" si="138"/>
        <v>1.1598599999999999</v>
      </c>
      <c r="AS201" s="55">
        <f t="shared" si="139"/>
        <v>-8.8025999999999993E-2</v>
      </c>
      <c r="AT201" s="55">
        <f t="shared" si="140"/>
        <v>1.3394E-2</v>
      </c>
      <c r="AU201" s="55">
        <f t="shared" si="141"/>
        <v>0.43396099999999999</v>
      </c>
      <c r="AV201" s="55">
        <f t="shared" si="142"/>
        <v>-0.96805399999999997</v>
      </c>
      <c r="AW201" s="55">
        <f t="shared" si="143"/>
        <v>0.22781000000000001</v>
      </c>
      <c r="AX201" s="55">
        <f t="shared" si="144"/>
        <v>4.8700000000000002E-4</v>
      </c>
      <c r="AY201" s="55">
        <f t="shared" si="145"/>
        <v>-0.89963199999999999</v>
      </c>
      <c r="AZ201" s="55">
        <f t="shared" si="146"/>
        <v>0.18885199999999999</v>
      </c>
      <c r="BA201" s="55">
        <f t="shared" si="147"/>
        <v>0.40491199999999999</v>
      </c>
      <c r="BB201" s="55">
        <f t="shared" si="148"/>
        <v>0.131018</v>
      </c>
      <c r="BC201" s="55">
        <f t="shared" si="149"/>
        <v>-0.14644599999999999</v>
      </c>
      <c r="BD201" s="55">
        <f t="shared" si="150"/>
        <v>-0.53958099999999998</v>
      </c>
      <c r="BE201" s="55">
        <f t="shared" si="151"/>
        <v>-0.81196599999999997</v>
      </c>
      <c r="BF201" s="55">
        <f t="shared" si="152"/>
        <v>7.3072999999999999E-2</v>
      </c>
      <c r="BG201" s="55">
        <f t="shared" si="153"/>
        <v>0.273009</v>
      </c>
      <c r="BH201" s="55">
        <f t="shared" si="154"/>
        <v>0.25028899999999998</v>
      </c>
      <c r="BJ201" s="55">
        <f t="shared" si="229"/>
        <v>-8.9701000000000003E-2</v>
      </c>
      <c r="BK201" s="55">
        <f t="shared" si="229"/>
        <v>-1.062033</v>
      </c>
      <c r="BL201" s="55">
        <f t="shared" si="229"/>
        <v>0.99671799999999999</v>
      </c>
      <c r="BM201" s="55">
        <f t="shared" si="229"/>
        <v>-0.50319899999999995</v>
      </c>
      <c r="BN201" s="55">
        <f t="shared" si="229"/>
        <v>-1.3004290000000001</v>
      </c>
      <c r="BO201" s="55">
        <f t="shared" si="229"/>
        <v>-3.0889E-2</v>
      </c>
      <c r="BP201" s="55">
        <f t="shared" si="229"/>
        <v>0.88186699999999996</v>
      </c>
      <c r="BQ201" s="55">
        <f t="shared" si="229"/>
        <v>0.71436999999999995</v>
      </c>
      <c r="BR201" s="55">
        <f t="shared" si="229"/>
        <v>-0.26535799999999998</v>
      </c>
      <c r="BS201" s="55">
        <f t="shared" si="229"/>
        <v>-0.51729899999999995</v>
      </c>
      <c r="BT201" s="55">
        <f t="shared" si="229"/>
        <v>-1.3392459999999999</v>
      </c>
      <c r="BU201" s="55">
        <f t="shared" si="229"/>
        <v>7.4237999999999998E-2</v>
      </c>
      <c r="BV201" s="55">
        <f t="shared" si="229"/>
        <v>0.51790199999999997</v>
      </c>
      <c r="BW201" s="55">
        <f t="shared" si="229"/>
        <v>-0.42674699999999999</v>
      </c>
      <c r="BX201" s="55">
        <f t="shared" si="229"/>
        <v>0.20774899999999999</v>
      </c>
      <c r="BY201" s="55">
        <f t="shared" si="229"/>
        <v>-0.73572700000000002</v>
      </c>
      <c r="BZ201" s="55">
        <f t="shared" si="227"/>
        <v>0.70632300000000003</v>
      </c>
      <c r="CA201" s="55">
        <f t="shared" si="227"/>
        <v>0.33780100000000002</v>
      </c>
      <c r="CB201" s="55">
        <f t="shared" si="227"/>
        <v>0.563886</v>
      </c>
      <c r="CC201" s="55">
        <f t="shared" si="227"/>
        <v>-0.70856399999999997</v>
      </c>
      <c r="CD201" s="55">
        <f t="shared" si="227"/>
        <v>0.72263100000000002</v>
      </c>
      <c r="CE201" s="55">
        <f t="shared" si="227"/>
        <v>-0.23342099999999999</v>
      </c>
      <c r="CF201" s="55">
        <f t="shared" si="227"/>
        <v>-7.2009000000000004E-2</v>
      </c>
      <c r="CG201" s="55">
        <f t="shared" si="227"/>
        <v>-1.2075830000000001</v>
      </c>
      <c r="CH201" s="55">
        <f t="shared" si="227"/>
        <v>-0.440944</v>
      </c>
      <c r="CI201" s="55">
        <f t="shared" si="227"/>
        <v>1.379237</v>
      </c>
      <c r="CJ201" s="55">
        <f t="shared" si="227"/>
        <v>1.701673</v>
      </c>
      <c r="CK201" s="55">
        <f t="shared" si="227"/>
        <v>-0.17763499999999999</v>
      </c>
      <c r="CL201" s="55">
        <f t="shared" si="227"/>
        <v>-0.97233800000000004</v>
      </c>
      <c r="CM201" s="55">
        <f t="shared" si="227"/>
        <v>-0.75466800000000001</v>
      </c>
      <c r="CN201" s="55">
        <f t="shared" si="227"/>
        <v>0.47717900000000002</v>
      </c>
      <c r="CO201" s="55">
        <f t="shared" si="228"/>
        <v>-1.487E-2</v>
      </c>
      <c r="CP201" s="55">
        <f t="shared" si="228"/>
        <v>0.19036</v>
      </c>
      <c r="CQ201" s="55">
        <f t="shared" si="228"/>
        <v>-5.2224E-2</v>
      </c>
      <c r="CR201" s="55">
        <f t="shared" si="228"/>
        <v>-0.67636700000000005</v>
      </c>
      <c r="CS201" s="55">
        <f t="shared" si="228"/>
        <v>-0.44637100000000002</v>
      </c>
      <c r="CT201" s="55">
        <f t="shared" si="228"/>
        <v>0.46221600000000002</v>
      </c>
      <c r="CU201" s="55">
        <f t="shared" si="228"/>
        <v>0.33387099999999997</v>
      </c>
      <c r="CV201" s="55">
        <f t="shared" si="228"/>
        <v>1.359496</v>
      </c>
      <c r="CW201" s="55">
        <f t="shared" si="228"/>
        <v>0.58911400000000003</v>
      </c>
      <c r="CX201" s="55">
        <f t="shared" si="228"/>
        <v>-0.38329999999999997</v>
      </c>
      <c r="CY201" s="55">
        <f t="shared" si="228"/>
        <v>0.37964500000000001</v>
      </c>
      <c r="CZ201" s="55">
        <f t="shared" si="228"/>
        <v>-0.30181799999999998</v>
      </c>
      <c r="DA201" s="55">
        <f t="shared" si="228"/>
        <v>7.979E-2</v>
      </c>
      <c r="DB201" s="55">
        <f t="shared" si="228"/>
        <v>-0.33604899999999999</v>
      </c>
      <c r="DC201" s="55">
        <f t="shared" si="228"/>
        <v>0.165774</v>
      </c>
      <c r="DD201" s="55">
        <f t="shared" si="228"/>
        <v>0.53484799999999999</v>
      </c>
      <c r="DE201" s="55">
        <f t="shared" si="226"/>
        <v>0.34875499999999998</v>
      </c>
      <c r="DF201" s="55">
        <f t="shared" si="226"/>
        <v>-3.4063999999999997E-2</v>
      </c>
      <c r="DG201" s="55">
        <f t="shared" si="226"/>
        <v>0.59342600000000001</v>
      </c>
      <c r="DI201" s="55">
        <f t="shared" ca="1" si="65"/>
        <v>-0.31709100000000001</v>
      </c>
      <c r="DJ201" s="55">
        <f t="shared" ca="1" si="66"/>
        <v>-0.89203399999999999</v>
      </c>
      <c r="DK201" s="55">
        <f t="shared" ca="1" si="67"/>
        <v>-0.50178699999999998</v>
      </c>
      <c r="DL201" s="55">
        <f t="shared" ca="1" si="68"/>
        <v>1.341126</v>
      </c>
      <c r="DM201" s="55">
        <f t="shared" ca="1" si="69"/>
        <v>-0.35331899999999999</v>
      </c>
      <c r="DN201" s="55">
        <f t="shared" ca="1" si="70"/>
        <v>-0.81649300000000002</v>
      </c>
      <c r="DO201" s="55">
        <f t="shared" ca="1" si="71"/>
        <v>0.76869500000000002</v>
      </c>
      <c r="DP201" s="55">
        <f t="shared" ca="1" si="72"/>
        <v>0.78559599999999996</v>
      </c>
      <c r="DQ201" s="55">
        <f t="shared" ca="1" si="73"/>
        <v>-0.50029299999999999</v>
      </c>
      <c r="DR201" s="55">
        <f t="shared" ca="1" si="74"/>
        <v>5.3810999999999998E-2</v>
      </c>
      <c r="DS201" s="55">
        <f t="shared" ca="1" si="75"/>
        <v>-1.401068</v>
      </c>
      <c r="DT201" s="55">
        <f t="shared" ca="1" si="76"/>
        <v>-0.34910000000000002</v>
      </c>
      <c r="DU201" s="55">
        <f t="shared" ca="1" si="77"/>
        <v>1.39639</v>
      </c>
      <c r="DV201" s="55">
        <f t="shared" ca="1" si="78"/>
        <v>0.16563800000000001</v>
      </c>
      <c r="DW201" s="55">
        <f t="shared" ca="1" si="79"/>
        <v>-0.78129099999999996</v>
      </c>
      <c r="DX201" s="55">
        <f t="shared" ca="1" si="80"/>
        <v>0.19028100000000001</v>
      </c>
      <c r="DY201" s="55">
        <f t="shared" ca="1" si="81"/>
        <v>-1.158496</v>
      </c>
      <c r="DZ201" s="55">
        <f t="shared" ca="1" si="82"/>
        <v>-8.0203999999999998E-2</v>
      </c>
      <c r="EA201" s="55">
        <f t="shared" ca="1" si="83"/>
        <v>-5.5931000000000002E-2</v>
      </c>
      <c r="EB201" s="55">
        <f t="shared" ca="1" si="84"/>
        <v>0.14855699999999999</v>
      </c>
      <c r="EC201" s="55">
        <f t="shared" ca="1" si="85"/>
        <v>-0.54910300000000001</v>
      </c>
      <c r="ED201" s="55">
        <f t="shared" ca="1" si="86"/>
        <v>-1.646245</v>
      </c>
      <c r="EE201" s="55">
        <f t="shared" ca="1" si="87"/>
        <v>0.36466599999999999</v>
      </c>
      <c r="EF201" s="55">
        <f t="shared" ca="1" si="88"/>
        <v>1.0881E-2</v>
      </c>
      <c r="EG201" s="55">
        <f t="shared" ca="1" si="89"/>
        <v>0.95167999999999997</v>
      </c>
      <c r="EH201" s="55">
        <f t="shared" ca="1" si="90"/>
        <v>0.35824299999999998</v>
      </c>
      <c r="EI201" s="55">
        <f t="shared" ca="1" si="91"/>
        <v>-0.28089999999999998</v>
      </c>
      <c r="EJ201" s="55">
        <f t="shared" ca="1" si="92"/>
        <v>-0.410466</v>
      </c>
      <c r="EK201" s="55">
        <f t="shared" ca="1" si="93"/>
        <v>0.50322500000000003</v>
      </c>
      <c r="EL201" s="55">
        <f t="shared" ca="1" si="94"/>
        <v>0.31360100000000002</v>
      </c>
      <c r="EM201" s="55">
        <f t="shared" ca="1" si="95"/>
        <v>-0.23713636802400001</v>
      </c>
      <c r="EN201" s="55">
        <f t="shared" ca="1" si="96"/>
        <v>0.36348415593599998</v>
      </c>
      <c r="EO201" s="55">
        <f t="shared" ca="1" si="97"/>
        <v>0.13684213179199997</v>
      </c>
      <c r="EP201" s="55">
        <f t="shared" ca="1" si="98"/>
        <v>0.33509016969599997</v>
      </c>
      <c r="EQ201" s="55">
        <f t="shared" ca="1" si="99"/>
        <v>-0.48836616349599998</v>
      </c>
      <c r="ER201" s="55">
        <f t="shared" ca="1" si="100"/>
        <v>-0.29945585283999998</v>
      </c>
      <c r="ES201" s="55">
        <f t="shared" ca="1" si="101"/>
        <v>0.43396099999999999</v>
      </c>
      <c r="ET201" s="55">
        <f t="shared" ca="1" si="102"/>
        <v>-0.96805399999999997</v>
      </c>
      <c r="EU201" s="55">
        <f t="shared" ca="1" si="103"/>
        <v>0.22781000000000001</v>
      </c>
      <c r="EV201" s="55">
        <f t="shared" ca="1" si="104"/>
        <v>4.8700000000000002E-4</v>
      </c>
      <c r="EW201" s="55">
        <f t="shared" ca="1" si="105"/>
        <v>-0.89963199999999999</v>
      </c>
      <c r="EX201" s="55">
        <f t="shared" ca="1" si="106"/>
        <v>0.18885199999999999</v>
      </c>
      <c r="EY201" s="55">
        <f t="shared" ca="1" si="107"/>
        <v>0.40491199999999999</v>
      </c>
      <c r="EZ201" s="55">
        <f t="shared" ca="1" si="108"/>
        <v>0.131018</v>
      </c>
      <c r="FA201" s="55">
        <f t="shared" ca="1" si="109"/>
        <v>-0.14644599999999999</v>
      </c>
      <c r="FB201" s="55">
        <f t="shared" ca="1" si="110"/>
        <v>-0.53958099999999998</v>
      </c>
      <c r="FC201" s="55">
        <f t="shared" ca="1" si="111"/>
        <v>-0.81196599999999997</v>
      </c>
      <c r="FD201" s="55">
        <f t="shared" ca="1" si="112"/>
        <v>7.3072999999999999E-2</v>
      </c>
      <c r="FE201" s="55">
        <f t="shared" ca="1" si="113"/>
        <v>0.273009</v>
      </c>
      <c r="FF201" s="55">
        <f t="shared" ca="1" si="114"/>
        <v>0.25028899999999998</v>
      </c>
      <c r="FH201" s="55">
        <f t="shared" ca="1" si="115"/>
        <v>0</v>
      </c>
      <c r="FI201" s="55">
        <f t="shared" ca="1" si="207"/>
        <v>0</v>
      </c>
      <c r="FJ201" s="55">
        <f t="shared" ca="1" si="208"/>
        <v>0</v>
      </c>
      <c r="FK201" s="55">
        <f t="shared" ca="1" si="209"/>
        <v>0</v>
      </c>
      <c r="FL201" s="55">
        <f t="shared" ca="1" si="210"/>
        <v>0</v>
      </c>
      <c r="FM201" s="55">
        <f t="shared" ca="1" si="211"/>
        <v>0</v>
      </c>
      <c r="FN201" s="55">
        <f t="shared" ca="1" si="212"/>
        <v>0</v>
      </c>
      <c r="FO201" s="55">
        <f t="shared" ca="1" si="213"/>
        <v>0</v>
      </c>
      <c r="FP201" s="55">
        <f t="shared" ca="1" si="214"/>
        <v>0</v>
      </c>
      <c r="FQ201" s="55">
        <f t="shared" ca="1" si="215"/>
        <v>0</v>
      </c>
      <c r="FR201" s="55">
        <f t="shared" ca="1" si="216"/>
        <v>0</v>
      </c>
      <c r="FS201" s="55">
        <f t="shared" ca="1" si="158"/>
        <v>0</v>
      </c>
      <c r="FT201" s="55">
        <f t="shared" ca="1" si="159"/>
        <v>0</v>
      </c>
      <c r="FU201" s="55">
        <f t="shared" ca="1" si="160"/>
        <v>0</v>
      </c>
      <c r="FV201" s="55">
        <f t="shared" ca="1" si="161"/>
        <v>0</v>
      </c>
      <c r="FW201" s="55">
        <f t="shared" ca="1" si="162"/>
        <v>0</v>
      </c>
      <c r="FX201" s="55">
        <f t="shared" ca="1" si="163"/>
        <v>0</v>
      </c>
      <c r="FY201" s="55">
        <f t="shared" ca="1" si="164"/>
        <v>0</v>
      </c>
      <c r="FZ201" s="55">
        <f t="shared" ca="1" si="165"/>
        <v>0</v>
      </c>
      <c r="GA201" s="55">
        <f t="shared" ca="1" si="166"/>
        <v>0</v>
      </c>
      <c r="GB201" s="55">
        <f t="shared" ca="1" si="167"/>
        <v>0</v>
      </c>
      <c r="GC201" s="55">
        <f t="shared" ca="1" si="168"/>
        <v>0</v>
      </c>
      <c r="GD201" s="55">
        <f t="shared" ca="1" si="169"/>
        <v>0</v>
      </c>
      <c r="GE201" s="55">
        <f t="shared" ca="1" si="170"/>
        <v>0</v>
      </c>
      <c r="GF201" s="55">
        <f t="shared" ca="1" si="171"/>
        <v>0</v>
      </c>
      <c r="GG201" s="55">
        <f t="shared" ca="1" si="172"/>
        <v>0</v>
      </c>
      <c r="GH201" s="55">
        <f t="shared" ca="1" si="173"/>
        <v>0</v>
      </c>
      <c r="GI201" s="55">
        <f t="shared" ca="1" si="174"/>
        <v>0</v>
      </c>
      <c r="GJ201" s="55">
        <f t="shared" ca="1" si="175"/>
        <v>0</v>
      </c>
      <c r="GK201" s="55">
        <f t="shared" ca="1" si="176"/>
        <v>0</v>
      </c>
      <c r="GL201" s="55">
        <f t="shared" ca="1" si="177"/>
        <v>1.5211056319760001</v>
      </c>
      <c r="GM201" s="55">
        <f t="shared" ca="1" si="178"/>
        <v>-0.8056898440639999</v>
      </c>
      <c r="GN201" s="55">
        <f t="shared" ca="1" si="179"/>
        <v>0.11396413179199998</v>
      </c>
      <c r="GO201" s="55">
        <f t="shared" ca="1" si="180"/>
        <v>-0.82476983030399986</v>
      </c>
      <c r="GP201" s="55">
        <f t="shared" ca="1" si="181"/>
        <v>-0.40034016349599999</v>
      </c>
      <c r="GQ201" s="55">
        <f t="shared" ca="1" si="182"/>
        <v>-0.31284985284</v>
      </c>
      <c r="GR201" s="55">
        <f t="shared" ca="1" si="183"/>
        <v>0</v>
      </c>
      <c r="GS201" s="55">
        <f t="shared" ca="1" si="184"/>
        <v>0</v>
      </c>
      <c r="GT201" s="55">
        <f t="shared" ca="1" si="185"/>
        <v>0</v>
      </c>
      <c r="GU201" s="55">
        <f t="shared" ca="1" si="186"/>
        <v>0</v>
      </c>
      <c r="GV201" s="55">
        <f t="shared" ca="1" si="187"/>
        <v>0</v>
      </c>
      <c r="GW201" s="55">
        <f t="shared" ca="1" si="188"/>
        <v>0</v>
      </c>
      <c r="GX201" s="55">
        <f t="shared" ca="1" si="189"/>
        <v>0</v>
      </c>
      <c r="GY201" s="55">
        <f t="shared" ca="1" si="190"/>
        <v>0</v>
      </c>
      <c r="GZ201" s="55">
        <f t="shared" ca="1" si="191"/>
        <v>0</v>
      </c>
      <c r="HA201" s="55">
        <f t="shared" ca="1" si="192"/>
        <v>0</v>
      </c>
      <c r="HB201" s="55">
        <f t="shared" ca="1" si="193"/>
        <v>0</v>
      </c>
      <c r="HC201" s="55">
        <f t="shared" ca="1" si="194"/>
        <v>0</v>
      </c>
      <c r="HD201" s="55">
        <f t="shared" ca="1" si="195"/>
        <v>0</v>
      </c>
      <c r="HE201" s="55">
        <f t="shared" ca="1" si="196"/>
        <v>0</v>
      </c>
    </row>
    <row r="202" spans="1:213">
      <c r="A202" s="27">
        <v>65</v>
      </c>
      <c r="B202" s="27">
        <v>88</v>
      </c>
      <c r="C202" s="27">
        <v>0.52374500000000002</v>
      </c>
      <c r="D202" s="27">
        <v>0.415767</v>
      </c>
      <c r="E202" s="27">
        <v>9</v>
      </c>
      <c r="F202" s="27">
        <f t="shared" ref="F202:F236" ca="1" si="231">RANDBETWEEN(E202,49)</f>
        <v>25</v>
      </c>
      <c r="G202" s="27">
        <f t="shared" si="230"/>
        <v>0</v>
      </c>
      <c r="H202" s="27" t="str">
        <f t="shared" ref="H202:H236" si="232">IF(C202&lt;=$B$18,"Sim","Não")</f>
        <v>Sim</v>
      </c>
      <c r="I202" s="27">
        <f t="shared" ref="I202:I236" si="233">VLOOKUP(A202,$A$33:$BG$340,4,FALSE)</f>
        <v>0</v>
      </c>
      <c r="J202" s="37">
        <f t="shared" ref="J202:J236" si="234">IF(H202="Sim",1,0)</f>
        <v>1</v>
      </c>
      <c r="K202" s="55">
        <f t="shared" ref="K202:K236" si="235">E98</f>
        <v>-0.28954200000000002</v>
      </c>
      <c r="L202" s="55">
        <f t="shared" si="197"/>
        <v>-2.6342000000000001E-2</v>
      </c>
      <c r="M202" s="55">
        <f t="shared" si="198"/>
        <v>1.5683940000000001</v>
      </c>
      <c r="N202" s="55">
        <f t="shared" si="199"/>
        <v>-0.72652099999999997</v>
      </c>
      <c r="O202" s="55">
        <f t="shared" si="200"/>
        <v>0.27178600000000003</v>
      </c>
      <c r="P202" s="55">
        <f t="shared" si="201"/>
        <v>0.54248799999999997</v>
      </c>
      <c r="Q202" s="55">
        <f t="shared" si="202"/>
        <v>-0.79119200000000001</v>
      </c>
      <c r="R202" s="55">
        <f t="shared" si="203"/>
        <v>-0.59809500000000004</v>
      </c>
      <c r="S202" s="55">
        <f t="shared" si="204"/>
        <v>1.3168979999999999</v>
      </c>
      <c r="T202" s="55">
        <f t="shared" si="205"/>
        <v>-0.467142</v>
      </c>
      <c r="U202" s="55">
        <f t="shared" si="206"/>
        <v>0.15556900000000001</v>
      </c>
      <c r="V202" s="55">
        <f t="shared" si="116"/>
        <v>0.64772600000000002</v>
      </c>
      <c r="W202" s="55">
        <f t="shared" si="117"/>
        <v>0.70243</v>
      </c>
      <c r="X202" s="55">
        <f t="shared" si="118"/>
        <v>0.29363800000000001</v>
      </c>
      <c r="Y202" s="55">
        <f t="shared" si="119"/>
        <v>0.59576899999999999</v>
      </c>
      <c r="Z202" s="55">
        <f t="shared" si="120"/>
        <v>1.041228</v>
      </c>
      <c r="AA202" s="55">
        <f t="shared" si="121"/>
        <v>1.430679</v>
      </c>
      <c r="AB202" s="55">
        <f t="shared" si="122"/>
        <v>9.6909999999999996E-2</v>
      </c>
      <c r="AC202" s="55">
        <f t="shared" si="123"/>
        <v>0.20613200000000001</v>
      </c>
      <c r="AD202" s="55">
        <f t="shared" si="124"/>
        <v>-0.59160500000000005</v>
      </c>
      <c r="AE202" s="55">
        <f t="shared" si="125"/>
        <v>-0.35940800000000001</v>
      </c>
      <c r="AF202" s="55">
        <f t="shared" si="126"/>
        <v>0.53883199999999998</v>
      </c>
      <c r="AG202" s="55">
        <f t="shared" si="127"/>
        <v>0.74221800000000004</v>
      </c>
      <c r="AH202" s="55">
        <f t="shared" si="128"/>
        <v>-0.71087800000000001</v>
      </c>
      <c r="AI202" s="55">
        <f t="shared" si="129"/>
        <v>-0.60980100000000004</v>
      </c>
      <c r="AJ202" s="55">
        <f t="shared" si="130"/>
        <v>-0.104517</v>
      </c>
      <c r="AK202" s="55">
        <f t="shared" si="131"/>
        <v>-0.374529</v>
      </c>
      <c r="AL202" s="55">
        <f t="shared" si="132"/>
        <v>0.42504999999999998</v>
      </c>
      <c r="AM202" s="55">
        <f t="shared" si="133"/>
        <v>-1.4208430000000001</v>
      </c>
      <c r="AN202" s="55">
        <f t="shared" si="134"/>
        <v>0.44993899999999998</v>
      </c>
      <c r="AO202" s="55">
        <f t="shared" si="135"/>
        <v>0.73405699999999996</v>
      </c>
      <c r="AP202" s="55">
        <f t="shared" si="136"/>
        <v>-0.50785999999999998</v>
      </c>
      <c r="AQ202" s="55">
        <f t="shared" si="137"/>
        <v>0.81760900000000003</v>
      </c>
      <c r="AR202" s="55">
        <f t="shared" si="138"/>
        <v>7.2500999999999996E-2</v>
      </c>
      <c r="AS202" s="55">
        <f t="shared" si="139"/>
        <v>0.14438599999999999</v>
      </c>
      <c r="AT202" s="55">
        <f t="shared" si="140"/>
        <v>0.67340699999999998</v>
      </c>
      <c r="AU202" s="55">
        <f t="shared" si="141"/>
        <v>-0.45261000000000001</v>
      </c>
      <c r="AV202" s="55">
        <f t="shared" si="142"/>
        <v>-0.11408500000000001</v>
      </c>
      <c r="AW202" s="55">
        <f t="shared" si="143"/>
        <v>-0.11279500000000001</v>
      </c>
      <c r="AX202" s="55">
        <f t="shared" si="144"/>
        <v>0.55067200000000005</v>
      </c>
      <c r="AY202" s="55">
        <f t="shared" si="145"/>
        <v>-0.61355700000000002</v>
      </c>
      <c r="AZ202" s="55">
        <f t="shared" si="146"/>
        <v>-0.21176</v>
      </c>
      <c r="BA202" s="55">
        <f t="shared" si="147"/>
        <v>-0.25395499999999999</v>
      </c>
      <c r="BB202" s="55">
        <f t="shared" si="148"/>
        <v>-0.79663799999999996</v>
      </c>
      <c r="BC202" s="55">
        <f t="shared" si="149"/>
        <v>-0.38058199999999998</v>
      </c>
      <c r="BD202" s="55">
        <f t="shared" si="150"/>
        <v>-1.3752599999999999</v>
      </c>
      <c r="BE202" s="55">
        <f t="shared" si="151"/>
        <v>-1.6423E-2</v>
      </c>
      <c r="BF202" s="55">
        <f t="shared" si="152"/>
        <v>0.39559</v>
      </c>
      <c r="BG202" s="55">
        <f t="shared" si="153"/>
        <v>5.9903999999999999E-2</v>
      </c>
      <c r="BH202" s="55">
        <f t="shared" si="154"/>
        <v>0.10580299999999999</v>
      </c>
      <c r="BJ202" s="55">
        <f t="shared" si="229"/>
        <v>0.427541</v>
      </c>
      <c r="BK202" s="55">
        <f t="shared" si="229"/>
        <v>0.88970300000000002</v>
      </c>
      <c r="BL202" s="55">
        <f t="shared" si="229"/>
        <v>1.0445359999999999</v>
      </c>
      <c r="BM202" s="55">
        <f t="shared" si="229"/>
        <v>0.94583399999999995</v>
      </c>
      <c r="BN202" s="55">
        <f t="shared" si="229"/>
        <v>0.93252000000000002</v>
      </c>
      <c r="BO202" s="55">
        <f t="shared" si="229"/>
        <v>-0.110526</v>
      </c>
      <c r="BP202" s="55">
        <f t="shared" si="229"/>
        <v>0.421041</v>
      </c>
      <c r="BQ202" s="55">
        <f t="shared" si="229"/>
        <v>0.74219599999999997</v>
      </c>
      <c r="BR202" s="55">
        <f t="shared" si="229"/>
        <v>0.85197999999999996</v>
      </c>
      <c r="BS202" s="55">
        <f t="shared" si="229"/>
        <v>-0.60107299999999997</v>
      </c>
      <c r="BT202" s="55">
        <f t="shared" si="229"/>
        <v>0.78763000000000005</v>
      </c>
      <c r="BU202" s="55">
        <f t="shared" si="229"/>
        <v>-0.54883300000000002</v>
      </c>
      <c r="BV202" s="55">
        <f t="shared" si="229"/>
        <v>-9.8946999999999993E-2</v>
      </c>
      <c r="BW202" s="55">
        <f t="shared" si="229"/>
        <v>0.63033099999999997</v>
      </c>
      <c r="BX202" s="55">
        <f t="shared" si="229"/>
        <v>0.296014</v>
      </c>
      <c r="BY202" s="55">
        <f t="shared" si="229"/>
        <v>0.86529599999999995</v>
      </c>
      <c r="BZ202" s="55">
        <f t="shared" si="227"/>
        <v>-0.46758699999999997</v>
      </c>
      <c r="CA202" s="55">
        <f t="shared" si="227"/>
        <v>-0.76345799999999997</v>
      </c>
      <c r="CB202" s="55">
        <f t="shared" si="227"/>
        <v>0.84248100000000004</v>
      </c>
      <c r="CC202" s="55">
        <f t="shared" si="227"/>
        <v>0.78327899999999995</v>
      </c>
      <c r="CD202" s="55">
        <f t="shared" si="227"/>
        <v>0.61870999999999998</v>
      </c>
      <c r="CE202" s="55">
        <f t="shared" si="227"/>
        <v>1.1808259999999999</v>
      </c>
      <c r="CF202" s="55">
        <f t="shared" si="227"/>
        <v>-0.899088</v>
      </c>
      <c r="CG202" s="55">
        <f t="shared" si="227"/>
        <v>-0.46016899999999999</v>
      </c>
      <c r="CH202" s="55">
        <f t="shared" si="227"/>
        <v>-0.48933199999999999</v>
      </c>
      <c r="CI202" s="55">
        <f t="shared" si="227"/>
        <v>-0.59450599999999998</v>
      </c>
      <c r="CJ202" s="55">
        <f t="shared" si="227"/>
        <v>-0.95906599999999997</v>
      </c>
      <c r="CK202" s="55">
        <f t="shared" si="227"/>
        <v>-0.187248</v>
      </c>
      <c r="CL202" s="55">
        <f t="shared" si="227"/>
        <v>-0.77245200000000003</v>
      </c>
      <c r="CM202" s="55">
        <f t="shared" si="227"/>
        <v>0.42386499999999999</v>
      </c>
      <c r="CN202" s="55">
        <f t="shared" si="227"/>
        <v>0.71424500000000002</v>
      </c>
      <c r="CO202" s="55">
        <f t="shared" si="228"/>
        <v>3.8719999999999997E-2</v>
      </c>
      <c r="CP202" s="55">
        <f t="shared" si="228"/>
        <v>-1.5256479999999999</v>
      </c>
      <c r="CQ202" s="55">
        <f t="shared" si="228"/>
        <v>0.554342</v>
      </c>
      <c r="CR202" s="55">
        <f t="shared" si="228"/>
        <v>-0.86659900000000001</v>
      </c>
      <c r="CS202" s="55">
        <f t="shared" si="228"/>
        <v>1.9007750000000001</v>
      </c>
      <c r="CT202" s="55">
        <f t="shared" si="228"/>
        <v>0.70712299999999995</v>
      </c>
      <c r="CU202" s="55">
        <f t="shared" si="228"/>
        <v>0.26419999999999999</v>
      </c>
      <c r="CV202" s="55">
        <f t="shared" si="228"/>
        <v>0.85240400000000005</v>
      </c>
      <c r="CW202" s="55">
        <f t="shared" si="228"/>
        <v>0.90576000000000001</v>
      </c>
      <c r="CX202" s="55">
        <f t="shared" si="228"/>
        <v>-0.61505100000000001</v>
      </c>
      <c r="CY202" s="55">
        <f t="shared" si="228"/>
        <v>0.29700199999999999</v>
      </c>
      <c r="CZ202" s="55">
        <f t="shared" si="228"/>
        <v>0.485425</v>
      </c>
      <c r="DA202" s="55">
        <f t="shared" si="228"/>
        <v>-0.17513000000000001</v>
      </c>
      <c r="DB202" s="55">
        <f t="shared" si="228"/>
        <v>0.58527099999999999</v>
      </c>
      <c r="DC202" s="55">
        <f t="shared" si="228"/>
        <v>-3.61E-2</v>
      </c>
      <c r="DD202" s="55">
        <f t="shared" si="228"/>
        <v>-0.11219899999999999</v>
      </c>
      <c r="DE202" s="55">
        <f t="shared" si="226"/>
        <v>-0.138653</v>
      </c>
      <c r="DF202" s="55">
        <f t="shared" si="226"/>
        <v>-0.65617999999999999</v>
      </c>
      <c r="DG202" s="55">
        <f t="shared" si="226"/>
        <v>-9.8567000000000002E-2</v>
      </c>
      <c r="DI202" s="55">
        <f t="shared" ref="DI202:DI236" ca="1" si="236">IF(AND($H202="Sim",DI$134&gt;=$E202,DI$134&lt;$F202),$D202*K202 + (1-$D202)*BJ202,K202)</f>
        <v>-0.28954200000000002</v>
      </c>
      <c r="DJ202" s="55">
        <f t="shared" ref="DJ202:DJ236" ca="1" si="237">IF(AND($H202="Sim",DJ$134&gt;=$E202,DJ$134&lt;$F202),$D202*L202 + (1-$D202)*BK202,L202)</f>
        <v>-2.6342000000000001E-2</v>
      </c>
      <c r="DK202" s="55">
        <f t="shared" ref="DK202:DK236" ca="1" si="238">IF(AND($H202="Sim",DK$134&gt;=$E202,DK$134&lt;$F202),$D202*M202 + (1-$D202)*BL202,M202)</f>
        <v>1.5683940000000001</v>
      </c>
      <c r="DL202" s="55">
        <f t="shared" ref="DL202:DL236" ca="1" si="239">IF(AND($H202="Sim",DL$134&gt;=$E202,DL$134&lt;$F202),$D202*N202 + (1-$D202)*BM202,N202)</f>
        <v>-0.72652099999999997</v>
      </c>
      <c r="DM202" s="55">
        <f t="shared" ref="DM202:DM236" ca="1" si="240">IF(AND($H202="Sim",DM$134&gt;=$E202,DM$134&lt;$F202),$D202*O202 + (1-$D202)*BN202,O202)</f>
        <v>0.27178600000000003</v>
      </c>
      <c r="DN202" s="55">
        <f t="shared" ref="DN202:DN236" ca="1" si="241">IF(AND($H202="Sim",DN$134&gt;=$E202,DN$134&lt;$F202),$D202*P202 + (1-$D202)*BO202,P202)</f>
        <v>0.54248799999999997</v>
      </c>
      <c r="DO202" s="55">
        <f t="shared" ref="DO202:DO236" ca="1" si="242">IF(AND($H202="Sim",DO$134&gt;=$E202,DO$134&lt;$F202),$D202*Q202 + (1-$D202)*BP202,Q202)</f>
        <v>-0.79119200000000001</v>
      </c>
      <c r="DP202" s="55">
        <f t="shared" ref="DP202:DP236" ca="1" si="243">IF(AND($H202="Sim",DP$134&gt;=$E202,DP$134&lt;$F202),$D202*R202 + (1-$D202)*BQ202,R202)</f>
        <v>-0.59809500000000004</v>
      </c>
      <c r="DQ202" s="55">
        <f t="shared" ref="DQ202:DQ236" ca="1" si="244">IF(AND($H202="Sim",DQ$134&gt;=$E202,DQ$134&lt;$F202),$D202*S202 + (1-$D202)*BR202,S202)</f>
        <v>1.3168979999999999</v>
      </c>
      <c r="DR202" s="55">
        <f t="shared" ref="DR202:DR236" ca="1" si="245">IF(AND($H202="Sim",DR$134&gt;=$E202,DR$134&lt;$F202),$D202*T202 + (1-$D202)*BS202,T202)</f>
        <v>-0.54538890992300004</v>
      </c>
      <c r="DS202" s="55">
        <f t="shared" ref="DS202:DS236" ca="1" si="246">IF(AND($H202="Sim",DS$134&gt;=$E202,DS$134&lt;$F202),$D202*U202 + (1-$D202)*BT202,U202)</f>
        <v>0.52483989421300004</v>
      </c>
      <c r="DT202" s="55">
        <f t="shared" ref="DT202:DT236" ca="1" si="247">IF(AND($H202="Sim",DT$134&gt;=$E202,DT$134&lt;$F202),$D202*V202 + (1-$D202)*BU202,V202)</f>
        <v>-5.1343254246999981E-2</v>
      </c>
      <c r="DU202" s="55">
        <f t="shared" ref="DU202:DU236" ca="1" si="248">IF(AND($H202="Sim",DU$134&gt;=$E202,DU$134&lt;$F202),$D202*W202 + (1-$D202)*BV202,W202)</f>
        <v>0.23423911115899998</v>
      </c>
      <c r="DV202" s="55">
        <f t="shared" ref="DV202:DV236" ca="1" si="249">IF(AND($H202="Sim",DV$134&gt;=$E202,DV$134&lt;$F202),$D202*X202 + (1-$D202)*BW202,X202)</f>
        <v>0.49034516146899998</v>
      </c>
      <c r="DW202" s="55">
        <f t="shared" ref="DW202:DW236" ca="1" si="250">IF(AND($H202="Sim",DW$134&gt;=$E202,DW$134&lt;$F202),$D202*Y202 + (1-$D202)*BX202,Y202)</f>
        <v>0.42064223708499998</v>
      </c>
      <c r="DX202" s="55">
        <f t="shared" ref="DX202:DX236" ca="1" si="251">IF(AND($H202="Sim",DX$134&gt;=$E202,DX$134&lt;$F202),$D202*Z202 + (1-$D202)*BY202,Z202)</f>
        <v>0.93844271984399996</v>
      </c>
      <c r="DY202" s="55">
        <f t="shared" ref="DY202:DY236" ca="1" si="252">IF(AND($H202="Sim",DY$134&gt;=$E202,DY$134&lt;$F202),$D202*AA202 + (1-$D202)*BZ202,AA202)</f>
        <v>0.32164936002200001</v>
      </c>
      <c r="DZ202" s="55">
        <f t="shared" ref="DZ202:DZ236" ca="1" si="253">IF(AND($H202="Sim",DZ$134&gt;=$E202,DZ$134&lt;$F202),$D202*AB202 + (1-$D202)*CA202,AB202)</f>
        <v>-0.40574537774399999</v>
      </c>
      <c r="EA202" s="55">
        <f t="shared" ref="EA202:EA236" ca="1" si="254">IF(AND($H202="Sim",EA$134&gt;=$E202,EA$134&lt;$F202),$D202*AC202 + (1-$D202)*CB202,AC202)</f>
        <v>0.577908085317</v>
      </c>
      <c r="EB202" s="55">
        <f t="shared" ref="EB202:EB236" ca="1" si="255">IF(AND($H202="Sim",EB$134&gt;=$E202,EB$134&lt;$F202),$D202*AD202 + (1-$D202)*CC202,AD202)</f>
        <v>0.21164760397199997</v>
      </c>
      <c r="EC202" s="55">
        <f t="shared" ref="EC202:EC236" ca="1" si="256">IF(AND($H202="Sim",EC$134&gt;=$E202,EC$134&lt;$F202),$D202*AE202 + (1-$D202)*CD202,AE202)</f>
        <v>0.21204081349399997</v>
      </c>
      <c r="ED202" s="55">
        <f t="shared" ref="ED202:ED236" ca="1" si="257">IF(AND($H202="Sim",ED$134&gt;=$E202,ED$134&lt;$F202),$D202*AF202 + (1-$D202)*CE202,AF202)</f>
        <v>0.91390608060199996</v>
      </c>
      <c r="EE202" s="55">
        <f t="shared" ref="EE202:EE236" ca="1" si="258">IF(AND($H202="Sim",EE$134&gt;=$E202,EE$134&lt;$F202),$D202*AG202 + (1-$D202)*CF202,AG202)</f>
        <v>-0.21668712829800002</v>
      </c>
      <c r="EF202" s="55">
        <f t="shared" ref="EF202:EF236" ca="1" si="259">IF(AND($H202="Sim",EF$134&gt;=$E202,EF$134&lt;$F202),$D202*AH202 + (1-$D202)*CG202,AH202)</f>
        <v>-0.56440552880299999</v>
      </c>
      <c r="EG202" s="55">
        <f t="shared" ref="EG202:EG236" ca="1" si="260">IF(AND($H202="Sim",EG$134&gt;=$E202,EG$134&lt;$F202),$D202*AI202 + (1-$D202)*CH202,AI202)</f>
        <v>-0.53941903472300001</v>
      </c>
      <c r="EH202" s="55">
        <f t="shared" ref="EH202:EH236" ca="1" si="261">IF(AND($H202="Sim",EH$134&gt;=$E202,EH$134&lt;$F202),$D202*AJ202 + (1-$D202)*CI202,AJ202)</f>
        <v>-0.104517</v>
      </c>
      <c r="EI202" s="55">
        <f t="shared" ref="EI202:EI236" ca="1" si="262">IF(AND($H202="Sim",EI$134&gt;=$E202,EI$134&lt;$F202),$D202*AK202 + (1-$D202)*CJ202,AK202)</f>
        <v>-0.374529</v>
      </c>
      <c r="EJ202" s="55">
        <f t="shared" ref="EJ202:EJ236" ca="1" si="263">IF(AND($H202="Sim",EJ$134&gt;=$E202,EJ$134&lt;$F202),$D202*AL202 + (1-$D202)*CK202,AL202)</f>
        <v>0.42504999999999998</v>
      </c>
      <c r="EK202" s="55">
        <f t="shared" ref="EK202:EK236" ca="1" si="264">IF(AND($H202="Sim",EK$134&gt;=$E202,EK$134&lt;$F202),$D202*AM202 + (1-$D202)*CL202,AM202)</f>
        <v>-1.4208430000000001</v>
      </c>
      <c r="EL202" s="55">
        <f t="shared" ref="EL202:EL236" ca="1" si="265">IF(AND($H202="Sim",EL$134&gt;=$E202,EL$134&lt;$F202),$D202*AN202 + (1-$D202)*CM202,AN202)</f>
        <v>0.44993899999999998</v>
      </c>
      <c r="EM202" s="55">
        <f t="shared" ref="EM202:EM236" ca="1" si="266">IF(AND($H202="Sim",EM$134&gt;=$E202,EM$134&lt;$F202),$D202*AO202 + (1-$D202)*CN202,AO202)</f>
        <v>0.73405699999999996</v>
      </c>
      <c r="EN202" s="55">
        <f t="shared" ref="EN202:EN236" ca="1" si="267">IF(AND($H202="Sim",EN$134&gt;=$E202,EN$134&lt;$F202),$D202*AP202 + (1-$D202)*CO202,AP202)</f>
        <v>-0.50785999999999998</v>
      </c>
      <c r="EO202" s="55">
        <f t="shared" ref="EO202:EO236" ca="1" si="268">IF(AND($H202="Sim",EO$134&gt;=$E202,EO$134&lt;$F202),$D202*AQ202 + (1-$D202)*CP202,AQ202)</f>
        <v>0.81760900000000003</v>
      </c>
      <c r="EP202" s="55">
        <f t="shared" ref="EP202:EP236" ca="1" si="269">IF(AND($H202="Sim",EP$134&gt;=$E202,EP$134&lt;$F202),$D202*AR202 + (1-$D202)*CQ202,AR202)</f>
        <v>7.2500999999999996E-2</v>
      </c>
      <c r="EQ202" s="55">
        <f t="shared" ref="EQ202:EQ236" ca="1" si="270">IF(AND($H202="Sim",EQ$134&gt;=$E202,EQ$134&lt;$F202),$D202*AS202 + (1-$D202)*CR202,AS202)</f>
        <v>0.14438599999999999</v>
      </c>
      <c r="ER202" s="55">
        <f t="shared" ref="ER202:ER236" ca="1" si="271">IF(AND($H202="Sim",ER$134&gt;=$E202,ER$134&lt;$F202),$D202*AT202 + (1-$D202)*CS202,AT202)</f>
        <v>0.67340699999999998</v>
      </c>
      <c r="ES202" s="55">
        <f t="shared" ref="ES202:ES236" ca="1" si="272">IF(AND($H202="Sim",ES$134&gt;=$E202,ES$134&lt;$F202),$D202*AU202 + (1-$D202)*CT202,AU202)</f>
        <v>-0.45261000000000001</v>
      </c>
      <c r="ET202" s="55">
        <f t="shared" ref="ET202:ET236" ca="1" si="273">IF(AND($H202="Sim",ET$134&gt;=$E202,ET$134&lt;$F202),$D202*AV202 + (1-$D202)*CU202,AV202)</f>
        <v>-0.11408500000000001</v>
      </c>
      <c r="EU202" s="55">
        <f t="shared" ref="EU202:EU236" ca="1" si="274">IF(AND($H202="Sim",EU$134&gt;=$E202,EU$134&lt;$F202),$D202*AW202 + (1-$D202)*CV202,AW202)</f>
        <v>-0.11279500000000001</v>
      </c>
      <c r="EV202" s="55">
        <f t="shared" ref="EV202:EV236" ca="1" si="275">IF(AND($H202="Sim",EV$134&gt;=$E202,EV$134&lt;$F202),$D202*AX202 + (1-$D202)*CW202,AX202)</f>
        <v>0.55067200000000005</v>
      </c>
      <c r="EW202" s="55">
        <f t="shared" ref="EW202:EW236" ca="1" si="276">IF(AND($H202="Sim",EW$134&gt;=$E202,EW$134&lt;$F202),$D202*AY202 + (1-$D202)*CX202,AY202)</f>
        <v>-0.61355700000000002</v>
      </c>
      <c r="EX202" s="55">
        <f t="shared" ref="EX202:EX236" ca="1" si="277">IF(AND($H202="Sim",EX$134&gt;=$E202,EX$134&lt;$F202),$D202*AZ202 + (1-$D202)*CY202,AZ202)</f>
        <v>-0.21176</v>
      </c>
      <c r="EY202" s="55">
        <f t="shared" ref="EY202:EY236" ca="1" si="278">IF(AND($H202="Sim",EY$134&gt;=$E202,EY$134&lt;$F202),$D202*BA202 + (1-$D202)*CZ202,BA202)</f>
        <v>-0.25395499999999999</v>
      </c>
      <c r="EZ202" s="55">
        <f t="shared" ref="EZ202:EZ236" ca="1" si="279">IF(AND($H202="Sim",EZ$134&gt;=$E202,EZ$134&lt;$F202),$D202*BB202 + (1-$D202)*DA202,BB202)</f>
        <v>-0.79663799999999996</v>
      </c>
      <c r="FA202" s="55">
        <f t="shared" ref="FA202:FA236" ca="1" si="280">IF(AND($H202="Sim",FA$134&gt;=$E202,FA$134&lt;$F202),$D202*BC202 + (1-$D202)*DB202,BC202)</f>
        <v>-0.38058199999999998</v>
      </c>
      <c r="FB202" s="55">
        <f t="shared" ref="FB202:FB236" ca="1" si="281">IF(AND($H202="Sim",FB$134&gt;=$E202,FB$134&lt;$F202),$D202*BD202 + (1-$D202)*DC202,BD202)</f>
        <v>-1.3752599999999999</v>
      </c>
      <c r="FC202" s="55">
        <f t="shared" ref="FC202:FC236" ca="1" si="282">IF(AND($H202="Sim",FC$134&gt;=$E202,FC$134&lt;$F202),$D202*BE202 + (1-$D202)*DD202,BE202)</f>
        <v>-1.6423E-2</v>
      </c>
      <c r="FD202" s="55">
        <f t="shared" ref="FD202:FD236" ca="1" si="283">IF(AND($H202="Sim",FD$134&gt;=$E202,FD$134&lt;$F202),$D202*BF202 + (1-$D202)*DE202,BF202)</f>
        <v>0.39559</v>
      </c>
      <c r="FE202" s="55">
        <f t="shared" ref="FE202:FE236" ca="1" si="284">IF(AND($H202="Sim",FE$134&gt;=$E202,FE$134&lt;$F202),$D202*BG202 + (1-$D202)*DF202,BG202)</f>
        <v>5.9903999999999999E-2</v>
      </c>
      <c r="FF202" s="55">
        <f t="shared" ref="FF202:FF236" ca="1" si="285">IF(AND($H202="Sim",FF$134&gt;=$E202,FF$134&lt;$F202),$D202*BH202 + (1-$D202)*DG202,BH202)</f>
        <v>0.10580299999999999</v>
      </c>
      <c r="FH202" s="55">
        <f t="shared" ref="FH202:FH236" ca="1" si="286">DI202-K202</f>
        <v>0</v>
      </c>
      <c r="FI202" s="55">
        <f t="shared" ca="1" si="207"/>
        <v>0</v>
      </c>
      <c r="FJ202" s="55">
        <f t="shared" ca="1" si="208"/>
        <v>0</v>
      </c>
      <c r="FK202" s="55">
        <f t="shared" ca="1" si="209"/>
        <v>0</v>
      </c>
      <c r="FL202" s="55">
        <f t="shared" ca="1" si="210"/>
        <v>0</v>
      </c>
      <c r="FM202" s="55">
        <f t="shared" ca="1" si="211"/>
        <v>0</v>
      </c>
      <c r="FN202" s="55">
        <f t="shared" ca="1" si="212"/>
        <v>0</v>
      </c>
      <c r="FO202" s="55">
        <f t="shared" ca="1" si="213"/>
        <v>0</v>
      </c>
      <c r="FP202" s="55">
        <f t="shared" ca="1" si="214"/>
        <v>0</v>
      </c>
      <c r="FQ202" s="55">
        <f t="shared" ca="1" si="215"/>
        <v>-7.8246909923000041E-2</v>
      </c>
      <c r="FR202" s="55">
        <f t="shared" ca="1" si="216"/>
        <v>0.36927089421300002</v>
      </c>
      <c r="FS202" s="55">
        <f t="shared" ca="1" si="158"/>
        <v>-0.69906925424700006</v>
      </c>
      <c r="FT202" s="55">
        <f t="shared" ca="1" si="159"/>
        <v>-0.46819088884100002</v>
      </c>
      <c r="FU202" s="55">
        <f t="shared" ca="1" si="160"/>
        <v>0.19670716146899997</v>
      </c>
      <c r="FV202" s="55">
        <f t="shared" ca="1" si="161"/>
        <v>-0.17512676291500001</v>
      </c>
      <c r="FW202" s="55">
        <f t="shared" ca="1" si="162"/>
        <v>-0.10278528015600008</v>
      </c>
      <c r="FX202" s="55">
        <f t="shared" ca="1" si="163"/>
        <v>-1.109029639978</v>
      </c>
      <c r="FY202" s="55">
        <f t="shared" ca="1" si="164"/>
        <v>-0.50265537774399993</v>
      </c>
      <c r="FZ202" s="55">
        <f t="shared" ca="1" si="165"/>
        <v>0.37177608531700002</v>
      </c>
      <c r="GA202" s="55">
        <f t="shared" ca="1" si="166"/>
        <v>0.80325260397200005</v>
      </c>
      <c r="GB202" s="55">
        <f t="shared" ca="1" si="167"/>
        <v>0.57144881349400001</v>
      </c>
      <c r="GC202" s="55">
        <f t="shared" ca="1" si="168"/>
        <v>0.37507408060199998</v>
      </c>
      <c r="GD202" s="55">
        <f t="shared" ca="1" si="169"/>
        <v>-0.95890512829800012</v>
      </c>
      <c r="GE202" s="55">
        <f t="shared" ca="1" si="170"/>
        <v>0.14647247119700002</v>
      </c>
      <c r="GF202" s="55">
        <f t="shared" ca="1" si="171"/>
        <v>7.0381965277000025E-2</v>
      </c>
      <c r="GG202" s="55">
        <f t="shared" ca="1" si="172"/>
        <v>0</v>
      </c>
      <c r="GH202" s="55">
        <f t="shared" ca="1" si="173"/>
        <v>0</v>
      </c>
      <c r="GI202" s="55">
        <f t="shared" ca="1" si="174"/>
        <v>0</v>
      </c>
      <c r="GJ202" s="55">
        <f t="shared" ca="1" si="175"/>
        <v>0</v>
      </c>
      <c r="GK202" s="55">
        <f t="shared" ca="1" si="176"/>
        <v>0</v>
      </c>
      <c r="GL202" s="55">
        <f t="shared" ca="1" si="177"/>
        <v>0</v>
      </c>
      <c r="GM202" s="55">
        <f t="shared" ca="1" si="178"/>
        <v>0</v>
      </c>
      <c r="GN202" s="55">
        <f t="shared" ca="1" si="179"/>
        <v>0</v>
      </c>
      <c r="GO202" s="55">
        <f t="shared" ca="1" si="180"/>
        <v>0</v>
      </c>
      <c r="GP202" s="55">
        <f t="shared" ca="1" si="181"/>
        <v>0</v>
      </c>
      <c r="GQ202" s="55">
        <f t="shared" ca="1" si="182"/>
        <v>0</v>
      </c>
      <c r="GR202" s="55">
        <f t="shared" ca="1" si="183"/>
        <v>0</v>
      </c>
      <c r="GS202" s="55">
        <f t="shared" ca="1" si="184"/>
        <v>0</v>
      </c>
      <c r="GT202" s="55">
        <f t="shared" ca="1" si="185"/>
        <v>0</v>
      </c>
      <c r="GU202" s="55">
        <f t="shared" ca="1" si="186"/>
        <v>0</v>
      </c>
      <c r="GV202" s="55">
        <f t="shared" ca="1" si="187"/>
        <v>0</v>
      </c>
      <c r="GW202" s="55">
        <f t="shared" ca="1" si="188"/>
        <v>0</v>
      </c>
      <c r="GX202" s="55">
        <f t="shared" ca="1" si="189"/>
        <v>0</v>
      </c>
      <c r="GY202" s="55">
        <f t="shared" ca="1" si="190"/>
        <v>0</v>
      </c>
      <c r="GZ202" s="55">
        <f t="shared" ca="1" si="191"/>
        <v>0</v>
      </c>
      <c r="HA202" s="55">
        <f t="shared" ca="1" si="192"/>
        <v>0</v>
      </c>
      <c r="HB202" s="55">
        <f t="shared" ca="1" si="193"/>
        <v>0</v>
      </c>
      <c r="HC202" s="55">
        <f t="shared" ca="1" si="194"/>
        <v>0</v>
      </c>
      <c r="HD202" s="55">
        <f t="shared" ca="1" si="195"/>
        <v>0</v>
      </c>
      <c r="HE202" s="55">
        <f t="shared" ca="1" si="196"/>
        <v>0</v>
      </c>
    </row>
    <row r="203" spans="1:213">
      <c r="A203" s="27">
        <v>66</v>
      </c>
      <c r="B203" s="27">
        <v>55</v>
      </c>
      <c r="C203" s="27">
        <v>0.59773600000000005</v>
      </c>
      <c r="D203" s="27">
        <v>0.56809600000000005</v>
      </c>
      <c r="E203" s="27">
        <v>10</v>
      </c>
      <c r="F203" s="27">
        <f t="shared" ca="1" si="231"/>
        <v>47</v>
      </c>
      <c r="G203" s="27">
        <f t="shared" si="230"/>
        <v>0</v>
      </c>
      <c r="H203" s="27" t="str">
        <f t="shared" si="232"/>
        <v>Sim</v>
      </c>
      <c r="I203" s="27">
        <f t="shared" si="233"/>
        <v>0</v>
      </c>
      <c r="J203" s="37">
        <f t="shared" si="234"/>
        <v>1</v>
      </c>
      <c r="K203" s="55">
        <f t="shared" si="235"/>
        <v>-1.0969869999999999</v>
      </c>
      <c r="L203" s="55">
        <f t="shared" si="197"/>
        <v>0.38115300000000002</v>
      </c>
      <c r="M203" s="55">
        <f t="shared" si="198"/>
        <v>0.52356899999999995</v>
      </c>
      <c r="N203" s="55">
        <f t="shared" si="199"/>
        <v>-1.714448</v>
      </c>
      <c r="O203" s="55">
        <f t="shared" si="200"/>
        <v>0.639714</v>
      </c>
      <c r="P203" s="55">
        <f t="shared" si="201"/>
        <v>-0.27751399999999998</v>
      </c>
      <c r="Q203" s="55">
        <f t="shared" si="202"/>
        <v>0.22517899999999999</v>
      </c>
      <c r="R203" s="55">
        <f t="shared" si="203"/>
        <v>-6.7871000000000001E-2</v>
      </c>
      <c r="S203" s="55">
        <f t="shared" si="204"/>
        <v>-0.26596500000000001</v>
      </c>
      <c r="T203" s="55">
        <f t="shared" si="205"/>
        <v>-3.7038000000000001E-2</v>
      </c>
      <c r="U203" s="55">
        <f t="shared" si="206"/>
        <v>0.96115200000000001</v>
      </c>
      <c r="V203" s="55">
        <f t="shared" si="116"/>
        <v>0.51594700000000004</v>
      </c>
      <c r="W203" s="55">
        <f t="shared" si="117"/>
        <v>0.59214999999999995</v>
      </c>
      <c r="X203" s="55">
        <f t="shared" si="118"/>
        <v>-0.90259299999999998</v>
      </c>
      <c r="Y203" s="55">
        <f t="shared" si="119"/>
        <v>0.98840300000000003</v>
      </c>
      <c r="Z203" s="55">
        <f t="shared" si="120"/>
        <v>-0.674983</v>
      </c>
      <c r="AA203" s="55">
        <f t="shared" si="121"/>
        <v>0.97841800000000001</v>
      </c>
      <c r="AB203" s="55">
        <f t="shared" si="122"/>
        <v>0.82400099999999998</v>
      </c>
      <c r="AC203" s="55">
        <f t="shared" si="123"/>
        <v>1.396997</v>
      </c>
      <c r="AD203" s="55">
        <f t="shared" si="124"/>
        <v>-0.45306800000000003</v>
      </c>
      <c r="AE203" s="55">
        <f t="shared" si="125"/>
        <v>0.68356899999999998</v>
      </c>
      <c r="AF203" s="55">
        <f t="shared" si="126"/>
        <v>0.73449600000000004</v>
      </c>
      <c r="AG203" s="55">
        <f t="shared" si="127"/>
        <v>0.567998</v>
      </c>
      <c r="AH203" s="55">
        <f t="shared" si="128"/>
        <v>-0.45733400000000002</v>
      </c>
      <c r="AI203" s="55">
        <f t="shared" si="129"/>
        <v>-1.048338</v>
      </c>
      <c r="AJ203" s="55">
        <f t="shared" si="130"/>
        <v>-1.1257E-2</v>
      </c>
      <c r="AK203" s="55">
        <f t="shared" si="131"/>
        <v>0.294599</v>
      </c>
      <c r="AL203" s="55">
        <f t="shared" si="132"/>
        <v>1.0457559999999999</v>
      </c>
      <c r="AM203" s="55">
        <f t="shared" si="133"/>
        <v>-0.35778199999999999</v>
      </c>
      <c r="AN203" s="55">
        <f t="shared" si="134"/>
        <v>-0.12554699999999999</v>
      </c>
      <c r="AO203" s="55">
        <f t="shared" si="135"/>
        <v>-0.62191700000000005</v>
      </c>
      <c r="AP203" s="55">
        <f t="shared" si="136"/>
        <v>0.52560499999999999</v>
      </c>
      <c r="AQ203" s="55">
        <f t="shared" si="137"/>
        <v>2.4389000000000001E-2</v>
      </c>
      <c r="AR203" s="55">
        <f t="shared" si="138"/>
        <v>-1.1259049999999999</v>
      </c>
      <c r="AS203" s="55">
        <f t="shared" si="139"/>
        <v>0.78310400000000002</v>
      </c>
      <c r="AT203" s="55">
        <f t="shared" si="140"/>
        <v>-0.625803</v>
      </c>
      <c r="AU203" s="55">
        <f t="shared" si="141"/>
        <v>0.32439000000000001</v>
      </c>
      <c r="AV203" s="55">
        <f t="shared" si="142"/>
        <v>-0.28769800000000001</v>
      </c>
      <c r="AW203" s="55">
        <f t="shared" si="143"/>
        <v>-0.81347199999999997</v>
      </c>
      <c r="AX203" s="55">
        <f t="shared" si="144"/>
        <v>0.20236699999999999</v>
      </c>
      <c r="AY203" s="55">
        <f t="shared" si="145"/>
        <v>0.71817299999999995</v>
      </c>
      <c r="AZ203" s="55">
        <f t="shared" si="146"/>
        <v>-1.6559000000000001E-2</v>
      </c>
      <c r="BA203" s="55">
        <f t="shared" si="147"/>
        <v>-0.30865999999999999</v>
      </c>
      <c r="BB203" s="55">
        <f t="shared" si="148"/>
        <v>-0.412381</v>
      </c>
      <c r="BC203" s="55">
        <f t="shared" si="149"/>
        <v>-0.70930300000000002</v>
      </c>
      <c r="BD203" s="55">
        <f t="shared" si="150"/>
        <v>-7.7965000000000007E-2</v>
      </c>
      <c r="BE203" s="55">
        <f t="shared" si="151"/>
        <v>0.49343900000000002</v>
      </c>
      <c r="BF203" s="55">
        <f t="shared" si="152"/>
        <v>-0.40752500000000003</v>
      </c>
      <c r="BG203" s="55">
        <f t="shared" si="153"/>
        <v>0.80309900000000001</v>
      </c>
      <c r="BH203" s="55">
        <f t="shared" si="154"/>
        <v>-0.17697399999999999</v>
      </c>
      <c r="BJ203" s="55">
        <f t="shared" si="229"/>
        <v>1.201147</v>
      </c>
      <c r="BK203" s="55">
        <f t="shared" si="229"/>
        <v>0.79544800000000004</v>
      </c>
      <c r="BL203" s="55">
        <f t="shared" si="229"/>
        <v>-0.347964</v>
      </c>
      <c r="BM203" s="55">
        <f t="shared" si="229"/>
        <v>0.64128600000000002</v>
      </c>
      <c r="BN203" s="55">
        <f t="shared" si="229"/>
        <v>-1.14191</v>
      </c>
      <c r="BO203" s="55">
        <f t="shared" si="229"/>
        <v>-0.75992899999999997</v>
      </c>
      <c r="BP203" s="55">
        <f t="shared" si="229"/>
        <v>-1.604358</v>
      </c>
      <c r="BQ203" s="55">
        <f t="shared" si="229"/>
        <v>0.857491</v>
      </c>
      <c r="BR203" s="55">
        <f t="shared" si="229"/>
        <v>-0.38516099999999998</v>
      </c>
      <c r="BS203" s="55">
        <f t="shared" si="229"/>
        <v>-0.71442099999999997</v>
      </c>
      <c r="BT203" s="55">
        <f t="shared" si="229"/>
        <v>0.24291399999999999</v>
      </c>
      <c r="BU203" s="55">
        <f t="shared" si="229"/>
        <v>0.67096800000000001</v>
      </c>
      <c r="BV203" s="55">
        <f t="shared" si="229"/>
        <v>-0.96941600000000006</v>
      </c>
      <c r="BW203" s="55">
        <f t="shared" si="229"/>
        <v>0.99116300000000002</v>
      </c>
      <c r="BX203" s="55">
        <f t="shared" si="229"/>
        <v>-0.74195800000000001</v>
      </c>
      <c r="BY203" s="55">
        <f t="shared" si="229"/>
        <v>-0.86413799999999996</v>
      </c>
      <c r="BZ203" s="55">
        <f t="shared" si="227"/>
        <v>0.40667399999999998</v>
      </c>
      <c r="CA203" s="55">
        <f t="shared" si="227"/>
        <v>-0.128631</v>
      </c>
      <c r="CB203" s="55">
        <f t="shared" si="227"/>
        <v>0.52541599999999999</v>
      </c>
      <c r="CC203" s="55">
        <f t="shared" si="227"/>
        <v>-0.70207799999999998</v>
      </c>
      <c r="CD203" s="55">
        <f t="shared" si="227"/>
        <v>0.44840099999999999</v>
      </c>
      <c r="CE203" s="55">
        <f t="shared" si="227"/>
        <v>0.16995399999999999</v>
      </c>
      <c r="CF203" s="55">
        <f t="shared" si="227"/>
        <v>-0.86248899999999995</v>
      </c>
      <c r="CG203" s="55">
        <f t="shared" si="227"/>
        <v>-0.22888700000000001</v>
      </c>
      <c r="CH203" s="55">
        <f t="shared" si="227"/>
        <v>0.45491999999999999</v>
      </c>
      <c r="CI203" s="55">
        <f t="shared" si="227"/>
        <v>-0.72645800000000005</v>
      </c>
      <c r="CJ203" s="55">
        <f t="shared" si="227"/>
        <v>1.391367</v>
      </c>
      <c r="CK203" s="55">
        <f t="shared" si="227"/>
        <v>9.3720000000000001E-3</v>
      </c>
      <c r="CL203" s="55">
        <f t="shared" si="227"/>
        <v>0.78249100000000005</v>
      </c>
      <c r="CM203" s="55">
        <f t="shared" si="227"/>
        <v>0.10928599999999999</v>
      </c>
      <c r="CN203" s="55">
        <f t="shared" si="227"/>
        <v>0.149314</v>
      </c>
      <c r="CO203" s="55">
        <f t="shared" si="228"/>
        <v>-0.14735699999999999</v>
      </c>
      <c r="CP203" s="55">
        <f t="shared" si="228"/>
        <v>-0.37022500000000003</v>
      </c>
      <c r="CQ203" s="55">
        <f t="shared" si="228"/>
        <v>0.68862100000000004</v>
      </c>
      <c r="CR203" s="55">
        <f t="shared" si="228"/>
        <v>0.116507</v>
      </c>
      <c r="CS203" s="55">
        <f t="shared" si="228"/>
        <v>0.70454499999999998</v>
      </c>
      <c r="CT203" s="55">
        <f t="shared" si="228"/>
        <v>0.25917099999999998</v>
      </c>
      <c r="CU203" s="55">
        <f t="shared" si="228"/>
        <v>0.58424699999999996</v>
      </c>
      <c r="CV203" s="55">
        <f t="shared" si="228"/>
        <v>0.43226199999999998</v>
      </c>
      <c r="CW203" s="55">
        <f t="shared" si="228"/>
        <v>0.38578699999999999</v>
      </c>
      <c r="CX203" s="55">
        <f t="shared" si="228"/>
        <v>1.4157839999999999</v>
      </c>
      <c r="CY203" s="55">
        <f t="shared" si="228"/>
        <v>0.87623600000000001</v>
      </c>
      <c r="CZ203" s="55">
        <f t="shared" si="228"/>
        <v>-3.2625000000000001E-2</v>
      </c>
      <c r="DA203" s="55">
        <f t="shared" si="228"/>
        <v>0.20579900000000001</v>
      </c>
      <c r="DB203" s="55">
        <f t="shared" si="228"/>
        <v>0.16142899999999999</v>
      </c>
      <c r="DC203" s="55">
        <f t="shared" si="228"/>
        <v>0.53557699999999997</v>
      </c>
      <c r="DD203" s="55">
        <f t="shared" si="228"/>
        <v>2.696E-3</v>
      </c>
      <c r="DE203" s="55">
        <f t="shared" si="226"/>
        <v>0.41212700000000002</v>
      </c>
      <c r="DF203" s="55">
        <f t="shared" si="226"/>
        <v>-9.1273000000000007E-2</v>
      </c>
      <c r="DG203" s="55">
        <f t="shared" si="226"/>
        <v>-9.8309999999999995E-2</v>
      </c>
      <c r="DI203" s="55">
        <f t="shared" ca="1" si="236"/>
        <v>-1.0969869999999999</v>
      </c>
      <c r="DJ203" s="55">
        <f t="shared" ca="1" si="237"/>
        <v>0.38115300000000002</v>
      </c>
      <c r="DK203" s="55">
        <f t="shared" ca="1" si="238"/>
        <v>0.52356899999999995</v>
      </c>
      <c r="DL203" s="55">
        <f t="shared" ca="1" si="239"/>
        <v>-1.714448</v>
      </c>
      <c r="DM203" s="55">
        <f t="shared" ca="1" si="240"/>
        <v>0.639714</v>
      </c>
      <c r="DN203" s="55">
        <f t="shared" ca="1" si="241"/>
        <v>-0.27751399999999998</v>
      </c>
      <c r="DO203" s="55">
        <f t="shared" ca="1" si="242"/>
        <v>0.22517899999999999</v>
      </c>
      <c r="DP203" s="55">
        <f t="shared" ca="1" si="243"/>
        <v>-6.7871000000000001E-2</v>
      </c>
      <c r="DQ203" s="55">
        <f t="shared" ca="1" si="244"/>
        <v>-0.26596500000000001</v>
      </c>
      <c r="DR203" s="55">
        <f t="shared" ca="1" si="245"/>
        <v>-3.7038000000000001E-2</v>
      </c>
      <c r="DS203" s="55">
        <f t="shared" ca="1" si="246"/>
        <v>0.65094213484800001</v>
      </c>
      <c r="DT203" s="55">
        <f t="shared" ca="1" si="247"/>
        <v>0.58290118998399998</v>
      </c>
      <c r="DU203" s="55">
        <f t="shared" ca="1" si="248"/>
        <v>-8.2296601663999991E-2</v>
      </c>
      <c r="DV203" s="55">
        <f t="shared" ca="1" si="249"/>
        <v>-8.4672208576000108E-2</v>
      </c>
      <c r="DW203" s="55">
        <f t="shared" ca="1" si="250"/>
        <v>0.24105316265600008</v>
      </c>
      <c r="DX203" s="55">
        <f t="shared" ca="1" si="251"/>
        <v>-0.75667980112</v>
      </c>
      <c r="DY203" s="55">
        <f t="shared" ca="1" si="252"/>
        <v>0.73147947942400005</v>
      </c>
      <c r="DZ203" s="55">
        <f t="shared" ca="1" si="253"/>
        <v>0.41255542867200001</v>
      </c>
      <c r="EA203" s="55">
        <f t="shared" ca="1" si="254"/>
        <v>1.0205576797760001</v>
      </c>
      <c r="EB203" s="55">
        <f t="shared" ca="1" si="255"/>
        <v>-0.56061641503999993</v>
      </c>
      <c r="EC203" s="55">
        <f t="shared" ca="1" si="256"/>
        <v>0.58199900012799999</v>
      </c>
      <c r="ED203" s="55">
        <f t="shared" ca="1" si="257"/>
        <v>0.49066805203200003</v>
      </c>
      <c r="EE203" s="55">
        <f t="shared" ca="1" si="258"/>
        <v>-4.9835057247999914E-2</v>
      </c>
      <c r="EF203" s="55">
        <f t="shared" ca="1" si="259"/>
        <v>-0.35866682691200003</v>
      </c>
      <c r="EG203" s="55">
        <f t="shared" ca="1" si="260"/>
        <v>-0.39907485676800009</v>
      </c>
      <c r="EH203" s="55">
        <f t="shared" ca="1" si="261"/>
        <v>-0.32015517270400001</v>
      </c>
      <c r="EI203" s="55">
        <f t="shared" ca="1" si="262"/>
        <v>0.76829748627200001</v>
      </c>
      <c r="EJ203" s="55">
        <f t="shared" ca="1" si="263"/>
        <v>0.59813760486400003</v>
      </c>
      <c r="EK203" s="55">
        <f t="shared" ca="1" si="264"/>
        <v>0.13470646979199999</v>
      </c>
      <c r="EL203" s="55">
        <f t="shared" ca="1" si="265"/>
        <v>-2.4121687968000009E-2</v>
      </c>
      <c r="EM203" s="55">
        <f t="shared" ca="1" si="266"/>
        <v>-0.28881924617600008</v>
      </c>
      <c r="EN203" s="55">
        <f t="shared" ca="1" si="267"/>
        <v>0.23495002035200005</v>
      </c>
      <c r="EO203" s="55">
        <f t="shared" ca="1" si="268"/>
        <v>-0.14604636505599999</v>
      </c>
      <c r="EP203" s="55">
        <f t="shared" ca="1" si="269"/>
        <v>-0.34220396249599999</v>
      </c>
      <c r="EQ203" s="55">
        <f t="shared" ca="1" si="270"/>
        <v>0.49519808931200004</v>
      </c>
      <c r="ER203" s="55">
        <f t="shared" ca="1" si="271"/>
        <v>-5.1220377408000062E-2</v>
      </c>
      <c r="ES203" s="55">
        <f t="shared" ca="1" si="272"/>
        <v>0.296221653024</v>
      </c>
      <c r="ET203" s="55">
        <f t="shared" ca="1" si="273"/>
        <v>8.8898533279999942E-2</v>
      </c>
      <c r="EU203" s="55">
        <f t="shared" ca="1" si="274"/>
        <v>-0.27543450246400003</v>
      </c>
      <c r="EV203" s="55">
        <f t="shared" ca="1" si="275"/>
        <v>0.28158683167999998</v>
      </c>
      <c r="EW203" s="55">
        <f t="shared" ca="1" si="276"/>
        <v>1.0194739813439999</v>
      </c>
      <c r="EX203" s="55">
        <f t="shared" ca="1" si="277"/>
        <v>0.36904273167999996</v>
      </c>
      <c r="EY203" s="55">
        <f t="shared" ca="1" si="278"/>
        <v>-0.18943937936000002</v>
      </c>
      <c r="EZ203" s="55">
        <f t="shared" ca="1" si="279"/>
        <v>-0.14538658528000001</v>
      </c>
      <c r="FA203" s="55">
        <f t="shared" ca="1" si="280"/>
        <v>-0.33323036627200009</v>
      </c>
      <c r="FB203" s="55">
        <f t="shared" ca="1" si="281"/>
        <v>0.18702624396799997</v>
      </c>
      <c r="FC203" s="55">
        <f t="shared" ca="1" si="282"/>
        <v>0.28148513532800007</v>
      </c>
      <c r="FD203" s="55">
        <f t="shared" ca="1" si="283"/>
        <v>-0.40752500000000003</v>
      </c>
      <c r="FE203" s="55">
        <f t="shared" ca="1" si="284"/>
        <v>0.80309900000000001</v>
      </c>
      <c r="FF203" s="55">
        <f t="shared" ca="1" si="285"/>
        <v>-0.17697399999999999</v>
      </c>
      <c r="FH203" s="55">
        <f t="shared" ca="1" si="286"/>
        <v>0</v>
      </c>
      <c r="FI203" s="55">
        <f t="shared" ca="1" si="207"/>
        <v>0</v>
      </c>
      <c r="FJ203" s="55">
        <f t="shared" ca="1" si="208"/>
        <v>0</v>
      </c>
      <c r="FK203" s="55">
        <f t="shared" ca="1" si="209"/>
        <v>0</v>
      </c>
      <c r="FL203" s="55">
        <f t="shared" ca="1" si="210"/>
        <v>0</v>
      </c>
      <c r="FM203" s="55">
        <f t="shared" ca="1" si="211"/>
        <v>0</v>
      </c>
      <c r="FN203" s="55">
        <f t="shared" ca="1" si="212"/>
        <v>0</v>
      </c>
      <c r="FO203" s="55">
        <f t="shared" ca="1" si="213"/>
        <v>0</v>
      </c>
      <c r="FP203" s="55">
        <f t="shared" ca="1" si="214"/>
        <v>0</v>
      </c>
      <c r="FQ203" s="55">
        <f t="shared" ca="1" si="215"/>
        <v>0</v>
      </c>
      <c r="FR203" s="55">
        <f t="shared" ca="1" si="216"/>
        <v>-0.310209865152</v>
      </c>
      <c r="FS203" s="55">
        <f t="shared" ca="1" si="158"/>
        <v>6.6954189983999934E-2</v>
      </c>
      <c r="FT203" s="55">
        <f t="shared" ca="1" si="159"/>
        <v>-0.67444660166399995</v>
      </c>
      <c r="FU203" s="55">
        <f t="shared" ca="1" si="160"/>
        <v>0.81792079142399987</v>
      </c>
      <c r="FV203" s="55">
        <f t="shared" ca="1" si="161"/>
        <v>-0.74734983734399996</v>
      </c>
      <c r="FW203" s="55">
        <f t="shared" ca="1" si="162"/>
        <v>-8.1696801119999995E-2</v>
      </c>
      <c r="FX203" s="55">
        <f t="shared" ca="1" si="163"/>
        <v>-0.24693852057599996</v>
      </c>
      <c r="FY203" s="55">
        <f t="shared" ca="1" si="164"/>
        <v>-0.41144557132799997</v>
      </c>
      <c r="FZ203" s="55">
        <f t="shared" ca="1" si="165"/>
        <v>-0.37643932022399995</v>
      </c>
      <c r="GA203" s="55">
        <f t="shared" ca="1" si="166"/>
        <v>-0.1075484150399999</v>
      </c>
      <c r="GB203" s="55">
        <f t="shared" ca="1" si="167"/>
        <v>-0.10156999987199999</v>
      </c>
      <c r="GC203" s="55">
        <f t="shared" ca="1" si="168"/>
        <v>-0.243827947968</v>
      </c>
      <c r="GD203" s="55">
        <f t="shared" ca="1" si="169"/>
        <v>-0.61783305724799997</v>
      </c>
      <c r="GE203" s="55">
        <f t="shared" ca="1" si="170"/>
        <v>9.8667173087999993E-2</v>
      </c>
      <c r="GF203" s="55">
        <f t="shared" ca="1" si="171"/>
        <v>0.64926314323199996</v>
      </c>
      <c r="GG203" s="55">
        <f t="shared" ca="1" si="172"/>
        <v>-0.308898172704</v>
      </c>
      <c r="GH203" s="55">
        <f t="shared" ca="1" si="173"/>
        <v>0.47369848627200001</v>
      </c>
      <c r="GI203" s="55">
        <f t="shared" ca="1" si="174"/>
        <v>-0.44761839513599988</v>
      </c>
      <c r="GJ203" s="55">
        <f t="shared" ca="1" si="175"/>
        <v>0.49248846979200001</v>
      </c>
      <c r="GK203" s="55">
        <f t="shared" ca="1" si="176"/>
        <v>0.10142531203199998</v>
      </c>
      <c r="GL203" s="55">
        <f t="shared" ca="1" si="177"/>
        <v>0.33309775382399998</v>
      </c>
      <c r="GM203" s="55">
        <f t="shared" ca="1" si="178"/>
        <v>-0.29065497964799991</v>
      </c>
      <c r="GN203" s="55">
        <f t="shared" ca="1" si="179"/>
        <v>-0.17043536505599999</v>
      </c>
      <c r="GO203" s="55">
        <f t="shared" ca="1" si="180"/>
        <v>0.78370103750399989</v>
      </c>
      <c r="GP203" s="55">
        <f t="shared" ca="1" si="181"/>
        <v>-0.28790591068799998</v>
      </c>
      <c r="GQ203" s="55">
        <f t="shared" ca="1" si="182"/>
        <v>0.57458262259199988</v>
      </c>
      <c r="GR203" s="55">
        <f t="shared" ca="1" si="183"/>
        <v>-2.8168346976000014E-2</v>
      </c>
      <c r="GS203" s="55">
        <f t="shared" ca="1" si="184"/>
        <v>0.37659653327999998</v>
      </c>
      <c r="GT203" s="55">
        <f t="shared" ca="1" si="185"/>
        <v>0.53803749753599994</v>
      </c>
      <c r="GU203" s="55">
        <f t="shared" ca="1" si="186"/>
        <v>7.9219831679999991E-2</v>
      </c>
      <c r="GV203" s="55">
        <f t="shared" ca="1" si="187"/>
        <v>0.30130098134399996</v>
      </c>
      <c r="GW203" s="55">
        <f t="shared" ca="1" si="188"/>
        <v>0.38560173167999995</v>
      </c>
      <c r="GX203" s="55">
        <f t="shared" ca="1" si="189"/>
        <v>0.11922062063999997</v>
      </c>
      <c r="GY203" s="55">
        <f t="shared" ca="1" si="190"/>
        <v>0.26699441471999996</v>
      </c>
      <c r="GZ203" s="55">
        <f t="shared" ca="1" si="191"/>
        <v>0.37607263372799993</v>
      </c>
      <c r="HA203" s="55">
        <f t="shared" ca="1" si="192"/>
        <v>0.264991243968</v>
      </c>
      <c r="HB203" s="55">
        <f t="shared" ca="1" si="193"/>
        <v>-0.21195386467199995</v>
      </c>
      <c r="HC203" s="55">
        <f t="shared" ca="1" si="194"/>
        <v>0</v>
      </c>
      <c r="HD203" s="55">
        <f t="shared" ca="1" si="195"/>
        <v>0</v>
      </c>
      <c r="HE203" s="55">
        <f t="shared" ca="1" si="196"/>
        <v>0</v>
      </c>
    </row>
    <row r="204" spans="1:213">
      <c r="A204" s="27">
        <v>67</v>
      </c>
      <c r="B204" s="27">
        <v>67</v>
      </c>
      <c r="C204" s="27">
        <v>5.4479E-2</v>
      </c>
      <c r="D204" s="27">
        <v>0.91951499999999997</v>
      </c>
      <c r="E204" s="27">
        <v>40</v>
      </c>
      <c r="F204" s="27">
        <f t="shared" ca="1" si="231"/>
        <v>40</v>
      </c>
      <c r="G204" s="27">
        <f t="shared" si="230"/>
        <v>0</v>
      </c>
      <c r="H204" s="27" t="str">
        <f t="shared" si="232"/>
        <v>Sim</v>
      </c>
      <c r="I204" s="27">
        <f t="shared" si="233"/>
        <v>0</v>
      </c>
      <c r="J204" s="37">
        <f t="shared" si="234"/>
        <v>1</v>
      </c>
      <c r="K204" s="55">
        <f t="shared" si="235"/>
        <v>1.021855</v>
      </c>
      <c r="L204" s="55">
        <f t="shared" si="197"/>
        <v>-0.51335299999999995</v>
      </c>
      <c r="M204" s="55">
        <f t="shared" si="198"/>
        <v>0.84499000000000002</v>
      </c>
      <c r="N204" s="55">
        <f t="shared" si="199"/>
        <v>0.221779</v>
      </c>
      <c r="O204" s="55">
        <f t="shared" si="200"/>
        <v>-0.345945</v>
      </c>
      <c r="P204" s="55">
        <f t="shared" si="201"/>
        <v>0.38443500000000003</v>
      </c>
      <c r="Q204" s="55">
        <f t="shared" si="202"/>
        <v>0.40000599999999997</v>
      </c>
      <c r="R204" s="55">
        <f t="shared" si="203"/>
        <v>0.74851999999999996</v>
      </c>
      <c r="S204" s="55">
        <f t="shared" si="204"/>
        <v>0.67580399999999996</v>
      </c>
      <c r="T204" s="55">
        <f t="shared" si="205"/>
        <v>0.37582700000000002</v>
      </c>
      <c r="U204" s="55">
        <f t="shared" si="206"/>
        <v>-0.451517</v>
      </c>
      <c r="V204" s="55">
        <f t="shared" si="116"/>
        <v>0.72071799999999997</v>
      </c>
      <c r="W204" s="55">
        <f t="shared" si="117"/>
        <v>-0.823855</v>
      </c>
      <c r="X204" s="55">
        <f t="shared" si="118"/>
        <v>-0.92714300000000005</v>
      </c>
      <c r="Y204" s="55">
        <f t="shared" si="119"/>
        <v>-1.432078</v>
      </c>
      <c r="Z204" s="55">
        <f t="shared" si="120"/>
        <v>0.16611200000000001</v>
      </c>
      <c r="AA204" s="55">
        <f t="shared" si="121"/>
        <v>-0.45099600000000001</v>
      </c>
      <c r="AB204" s="55">
        <f t="shared" si="122"/>
        <v>0.71827300000000005</v>
      </c>
      <c r="AC204" s="55">
        <f t="shared" si="123"/>
        <v>-1.286106</v>
      </c>
      <c r="AD204" s="55">
        <f t="shared" si="124"/>
        <v>0.18909400000000001</v>
      </c>
      <c r="AE204" s="55">
        <f t="shared" si="125"/>
        <v>-0.96882500000000005</v>
      </c>
      <c r="AF204" s="55">
        <f t="shared" si="126"/>
        <v>-0.55457999999999996</v>
      </c>
      <c r="AG204" s="55">
        <f t="shared" si="127"/>
        <v>0.52403</v>
      </c>
      <c r="AH204" s="55">
        <f t="shared" si="128"/>
        <v>-0.97477400000000003</v>
      </c>
      <c r="AI204" s="55">
        <f t="shared" si="129"/>
        <v>0.67058799999999996</v>
      </c>
      <c r="AJ204" s="55">
        <f t="shared" si="130"/>
        <v>-0.11078499999999999</v>
      </c>
      <c r="AK204" s="55">
        <f t="shared" si="131"/>
        <v>9.8577999999999999E-2</v>
      </c>
      <c r="AL204" s="55">
        <f t="shared" si="132"/>
        <v>-0.23871600000000001</v>
      </c>
      <c r="AM204" s="55">
        <f t="shared" si="133"/>
        <v>0.54095199999999999</v>
      </c>
      <c r="AN204" s="55">
        <f t="shared" si="134"/>
        <v>-0.807531</v>
      </c>
      <c r="AO204" s="55">
        <f t="shared" si="135"/>
        <v>-0.59443299999999999</v>
      </c>
      <c r="AP204" s="55">
        <f t="shared" si="136"/>
        <v>0.83320000000000005</v>
      </c>
      <c r="AQ204" s="55">
        <f t="shared" si="137"/>
        <v>-7.3070000000000001E-3</v>
      </c>
      <c r="AR204" s="55">
        <f t="shared" si="138"/>
        <v>0.72152400000000005</v>
      </c>
      <c r="AS204" s="55">
        <f t="shared" si="139"/>
        <v>-0.10818999999999999</v>
      </c>
      <c r="AT204" s="55">
        <f t="shared" si="140"/>
        <v>-0.58541900000000002</v>
      </c>
      <c r="AU204" s="55">
        <f t="shared" si="141"/>
        <v>0.47434900000000002</v>
      </c>
      <c r="AV204" s="55">
        <f t="shared" si="142"/>
        <v>-0.68302300000000005</v>
      </c>
      <c r="AW204" s="55">
        <f t="shared" si="143"/>
        <v>0.82828199999999996</v>
      </c>
      <c r="AX204" s="55">
        <f t="shared" si="144"/>
        <v>-0.40819499999999997</v>
      </c>
      <c r="AY204" s="55">
        <f t="shared" si="145"/>
        <v>0.15193200000000001</v>
      </c>
      <c r="AZ204" s="55">
        <f t="shared" si="146"/>
        <v>-0.23450099999999999</v>
      </c>
      <c r="BA204" s="55">
        <f t="shared" si="147"/>
        <v>-0.66697799999999996</v>
      </c>
      <c r="BB204" s="55">
        <f t="shared" si="148"/>
        <v>-0.443963</v>
      </c>
      <c r="BC204" s="55">
        <f t="shared" si="149"/>
        <v>0.68674900000000005</v>
      </c>
      <c r="BD204" s="55">
        <f t="shared" si="150"/>
        <v>-6.0060000000000001E-3</v>
      </c>
      <c r="BE204" s="55">
        <f t="shared" si="151"/>
        <v>-1.1411789999999999</v>
      </c>
      <c r="BF204" s="55">
        <f t="shared" si="152"/>
        <v>-0.85166600000000003</v>
      </c>
      <c r="BG204" s="55">
        <f t="shared" si="153"/>
        <v>-0.37468200000000002</v>
      </c>
      <c r="BH204" s="55">
        <f t="shared" si="154"/>
        <v>0.48577900000000002</v>
      </c>
      <c r="BJ204" s="55">
        <f t="shared" si="229"/>
        <v>1.021855</v>
      </c>
      <c r="BK204" s="55">
        <f t="shared" si="229"/>
        <v>-0.51335299999999995</v>
      </c>
      <c r="BL204" s="55">
        <f t="shared" si="229"/>
        <v>0.84499000000000002</v>
      </c>
      <c r="BM204" s="55">
        <f t="shared" si="229"/>
        <v>0.221779</v>
      </c>
      <c r="BN204" s="55">
        <f t="shared" si="229"/>
        <v>-0.345945</v>
      </c>
      <c r="BO204" s="55">
        <f t="shared" si="229"/>
        <v>0.38443500000000003</v>
      </c>
      <c r="BP204" s="55">
        <f t="shared" si="229"/>
        <v>0.40000599999999997</v>
      </c>
      <c r="BQ204" s="55">
        <f t="shared" si="229"/>
        <v>0.74851999999999996</v>
      </c>
      <c r="BR204" s="55">
        <f t="shared" si="229"/>
        <v>0.67580399999999996</v>
      </c>
      <c r="BS204" s="55">
        <f t="shared" si="229"/>
        <v>0.37582700000000002</v>
      </c>
      <c r="BT204" s="55">
        <f t="shared" si="229"/>
        <v>-0.451517</v>
      </c>
      <c r="BU204" s="55">
        <f t="shared" si="229"/>
        <v>0.72071799999999997</v>
      </c>
      <c r="BV204" s="55">
        <f t="shared" si="229"/>
        <v>-0.823855</v>
      </c>
      <c r="BW204" s="55">
        <f t="shared" si="229"/>
        <v>-0.92714300000000005</v>
      </c>
      <c r="BX204" s="55">
        <f t="shared" si="229"/>
        <v>-1.432078</v>
      </c>
      <c r="BY204" s="55">
        <f t="shared" si="229"/>
        <v>0.16611200000000001</v>
      </c>
      <c r="BZ204" s="55">
        <f t="shared" si="227"/>
        <v>-0.45099600000000001</v>
      </c>
      <c r="CA204" s="55">
        <f t="shared" si="227"/>
        <v>0.71827300000000005</v>
      </c>
      <c r="CB204" s="55">
        <f t="shared" si="227"/>
        <v>-1.286106</v>
      </c>
      <c r="CC204" s="55">
        <f t="shared" si="227"/>
        <v>0.18909400000000001</v>
      </c>
      <c r="CD204" s="55">
        <f t="shared" si="227"/>
        <v>-0.96882500000000005</v>
      </c>
      <c r="CE204" s="55">
        <f t="shared" si="227"/>
        <v>-0.55457999999999996</v>
      </c>
      <c r="CF204" s="55">
        <f t="shared" si="227"/>
        <v>0.52403</v>
      </c>
      <c r="CG204" s="55">
        <f t="shared" si="227"/>
        <v>-0.97477400000000003</v>
      </c>
      <c r="CH204" s="55">
        <f t="shared" si="227"/>
        <v>0.67058799999999996</v>
      </c>
      <c r="CI204" s="55">
        <f t="shared" si="227"/>
        <v>-0.11078499999999999</v>
      </c>
      <c r="CJ204" s="55">
        <f t="shared" si="227"/>
        <v>9.8577999999999999E-2</v>
      </c>
      <c r="CK204" s="55">
        <f t="shared" si="227"/>
        <v>-0.23871600000000001</v>
      </c>
      <c r="CL204" s="55">
        <f t="shared" si="227"/>
        <v>0.54095199999999999</v>
      </c>
      <c r="CM204" s="55">
        <f t="shared" si="227"/>
        <v>-0.807531</v>
      </c>
      <c r="CN204" s="55">
        <f t="shared" si="227"/>
        <v>-0.59443299999999999</v>
      </c>
      <c r="CO204" s="55">
        <f t="shared" si="228"/>
        <v>0.83320000000000005</v>
      </c>
      <c r="CP204" s="55">
        <f t="shared" si="228"/>
        <v>-7.3070000000000001E-3</v>
      </c>
      <c r="CQ204" s="55">
        <f t="shared" si="228"/>
        <v>0.72152400000000005</v>
      </c>
      <c r="CR204" s="55">
        <f t="shared" si="228"/>
        <v>-0.10818999999999999</v>
      </c>
      <c r="CS204" s="55">
        <f t="shared" si="228"/>
        <v>-0.58541900000000002</v>
      </c>
      <c r="CT204" s="55">
        <f t="shared" si="228"/>
        <v>0.47434900000000002</v>
      </c>
      <c r="CU204" s="55">
        <f t="shared" si="228"/>
        <v>-0.68302300000000005</v>
      </c>
      <c r="CV204" s="55">
        <f t="shared" si="228"/>
        <v>0.82828199999999996</v>
      </c>
      <c r="CW204" s="55">
        <f t="shared" si="228"/>
        <v>-0.40819499999999997</v>
      </c>
      <c r="CX204" s="55">
        <f t="shared" si="228"/>
        <v>0.15193200000000001</v>
      </c>
      <c r="CY204" s="55">
        <f t="shared" si="228"/>
        <v>-0.23450099999999999</v>
      </c>
      <c r="CZ204" s="55">
        <f t="shared" si="228"/>
        <v>-0.66697799999999996</v>
      </c>
      <c r="DA204" s="55">
        <f t="shared" si="228"/>
        <v>-0.443963</v>
      </c>
      <c r="DB204" s="55">
        <f t="shared" si="228"/>
        <v>0.68674900000000005</v>
      </c>
      <c r="DC204" s="55">
        <f t="shared" si="228"/>
        <v>-6.0060000000000001E-3</v>
      </c>
      <c r="DD204" s="55">
        <f t="shared" si="228"/>
        <v>-1.1411789999999999</v>
      </c>
      <c r="DE204" s="55">
        <f t="shared" si="226"/>
        <v>-0.85166600000000003</v>
      </c>
      <c r="DF204" s="55">
        <f t="shared" si="226"/>
        <v>-0.37468200000000002</v>
      </c>
      <c r="DG204" s="55">
        <f t="shared" si="226"/>
        <v>0.48577900000000002</v>
      </c>
      <c r="DI204" s="55">
        <f t="shared" ca="1" si="236"/>
        <v>1.021855</v>
      </c>
      <c r="DJ204" s="55">
        <f t="shared" ca="1" si="237"/>
        <v>-0.51335299999999995</v>
      </c>
      <c r="DK204" s="55">
        <f t="shared" ca="1" si="238"/>
        <v>0.84499000000000002</v>
      </c>
      <c r="DL204" s="55">
        <f t="shared" ca="1" si="239"/>
        <v>0.221779</v>
      </c>
      <c r="DM204" s="55">
        <f t="shared" ca="1" si="240"/>
        <v>-0.345945</v>
      </c>
      <c r="DN204" s="55">
        <f t="shared" ca="1" si="241"/>
        <v>0.38443500000000003</v>
      </c>
      <c r="DO204" s="55">
        <f t="shared" ca="1" si="242"/>
        <v>0.40000599999999997</v>
      </c>
      <c r="DP204" s="55">
        <f t="shared" ca="1" si="243"/>
        <v>0.74851999999999996</v>
      </c>
      <c r="DQ204" s="55">
        <f t="shared" ca="1" si="244"/>
        <v>0.67580399999999996</v>
      </c>
      <c r="DR204" s="55">
        <f t="shared" ca="1" si="245"/>
        <v>0.37582700000000002</v>
      </c>
      <c r="DS204" s="55">
        <f t="shared" ca="1" si="246"/>
        <v>-0.451517</v>
      </c>
      <c r="DT204" s="55">
        <f t="shared" ca="1" si="247"/>
        <v>0.72071799999999997</v>
      </c>
      <c r="DU204" s="55">
        <f t="shared" ca="1" si="248"/>
        <v>-0.823855</v>
      </c>
      <c r="DV204" s="55">
        <f t="shared" ca="1" si="249"/>
        <v>-0.92714300000000005</v>
      </c>
      <c r="DW204" s="55">
        <f t="shared" ca="1" si="250"/>
        <v>-1.432078</v>
      </c>
      <c r="DX204" s="55">
        <f t="shared" ca="1" si="251"/>
        <v>0.16611200000000001</v>
      </c>
      <c r="DY204" s="55">
        <f t="shared" ca="1" si="252"/>
        <v>-0.45099600000000001</v>
      </c>
      <c r="DZ204" s="55">
        <f t="shared" ca="1" si="253"/>
        <v>0.71827300000000005</v>
      </c>
      <c r="EA204" s="55">
        <f t="shared" ca="1" si="254"/>
        <v>-1.286106</v>
      </c>
      <c r="EB204" s="55">
        <f t="shared" ca="1" si="255"/>
        <v>0.18909400000000001</v>
      </c>
      <c r="EC204" s="55">
        <f t="shared" ca="1" si="256"/>
        <v>-0.96882500000000005</v>
      </c>
      <c r="ED204" s="55">
        <f t="shared" ca="1" si="257"/>
        <v>-0.55457999999999996</v>
      </c>
      <c r="EE204" s="55">
        <f t="shared" ca="1" si="258"/>
        <v>0.52403</v>
      </c>
      <c r="EF204" s="55">
        <f t="shared" ca="1" si="259"/>
        <v>-0.97477400000000003</v>
      </c>
      <c r="EG204" s="55">
        <f t="shared" ca="1" si="260"/>
        <v>0.67058799999999996</v>
      </c>
      <c r="EH204" s="55">
        <f t="shared" ca="1" si="261"/>
        <v>-0.11078499999999999</v>
      </c>
      <c r="EI204" s="55">
        <f t="shared" ca="1" si="262"/>
        <v>9.8577999999999999E-2</v>
      </c>
      <c r="EJ204" s="55">
        <f t="shared" ca="1" si="263"/>
        <v>-0.23871600000000001</v>
      </c>
      <c r="EK204" s="55">
        <f t="shared" ca="1" si="264"/>
        <v>0.54095199999999999</v>
      </c>
      <c r="EL204" s="55">
        <f t="shared" ca="1" si="265"/>
        <v>-0.807531</v>
      </c>
      <c r="EM204" s="55">
        <f t="shared" ca="1" si="266"/>
        <v>-0.59443299999999999</v>
      </c>
      <c r="EN204" s="55">
        <f t="shared" ca="1" si="267"/>
        <v>0.83320000000000005</v>
      </c>
      <c r="EO204" s="55">
        <f t="shared" ca="1" si="268"/>
        <v>-7.3070000000000001E-3</v>
      </c>
      <c r="EP204" s="55">
        <f t="shared" ca="1" si="269"/>
        <v>0.72152400000000005</v>
      </c>
      <c r="EQ204" s="55">
        <f t="shared" ca="1" si="270"/>
        <v>-0.10818999999999999</v>
      </c>
      <c r="ER204" s="55">
        <f t="shared" ca="1" si="271"/>
        <v>-0.58541900000000002</v>
      </c>
      <c r="ES204" s="55">
        <f t="shared" ca="1" si="272"/>
        <v>0.47434900000000002</v>
      </c>
      <c r="ET204" s="55">
        <f t="shared" ca="1" si="273"/>
        <v>-0.68302300000000005</v>
      </c>
      <c r="EU204" s="55">
        <f t="shared" ca="1" si="274"/>
        <v>0.82828199999999996</v>
      </c>
      <c r="EV204" s="55">
        <f t="shared" ca="1" si="275"/>
        <v>-0.40819499999999997</v>
      </c>
      <c r="EW204" s="55">
        <f t="shared" ca="1" si="276"/>
        <v>0.15193200000000001</v>
      </c>
      <c r="EX204" s="55">
        <f t="shared" ca="1" si="277"/>
        <v>-0.23450099999999999</v>
      </c>
      <c r="EY204" s="55">
        <f t="shared" ca="1" si="278"/>
        <v>-0.66697799999999996</v>
      </c>
      <c r="EZ204" s="55">
        <f t="shared" ca="1" si="279"/>
        <v>-0.443963</v>
      </c>
      <c r="FA204" s="55">
        <f t="shared" ca="1" si="280"/>
        <v>0.68674900000000005</v>
      </c>
      <c r="FB204" s="55">
        <f t="shared" ca="1" si="281"/>
        <v>-6.0060000000000001E-3</v>
      </c>
      <c r="FC204" s="55">
        <f t="shared" ca="1" si="282"/>
        <v>-1.1411789999999999</v>
      </c>
      <c r="FD204" s="55">
        <f t="shared" ca="1" si="283"/>
        <v>-0.85166600000000003</v>
      </c>
      <c r="FE204" s="55">
        <f t="shared" ca="1" si="284"/>
        <v>-0.37468200000000002</v>
      </c>
      <c r="FF204" s="55">
        <f t="shared" ca="1" si="285"/>
        <v>0.48577900000000002</v>
      </c>
      <c r="FH204" s="55">
        <f t="shared" ca="1" si="286"/>
        <v>0</v>
      </c>
      <c r="FI204" s="55">
        <f t="shared" ca="1" si="207"/>
        <v>0</v>
      </c>
      <c r="FJ204" s="55">
        <f t="shared" ca="1" si="208"/>
        <v>0</v>
      </c>
      <c r="FK204" s="55">
        <f t="shared" ca="1" si="209"/>
        <v>0</v>
      </c>
      <c r="FL204" s="55">
        <f t="shared" ca="1" si="210"/>
        <v>0</v>
      </c>
      <c r="FM204" s="55">
        <f t="shared" ca="1" si="211"/>
        <v>0</v>
      </c>
      <c r="FN204" s="55">
        <f t="shared" ca="1" si="212"/>
        <v>0</v>
      </c>
      <c r="FO204" s="55">
        <f t="shared" ca="1" si="213"/>
        <v>0</v>
      </c>
      <c r="FP204" s="55">
        <f t="shared" ca="1" si="214"/>
        <v>0</v>
      </c>
      <c r="FQ204" s="55">
        <f t="shared" ca="1" si="215"/>
        <v>0</v>
      </c>
      <c r="FR204" s="55">
        <f t="shared" ca="1" si="216"/>
        <v>0</v>
      </c>
      <c r="FS204" s="55">
        <f t="shared" ca="1" si="158"/>
        <v>0</v>
      </c>
      <c r="FT204" s="55">
        <f t="shared" ca="1" si="159"/>
        <v>0</v>
      </c>
      <c r="FU204" s="55">
        <f t="shared" ca="1" si="160"/>
        <v>0</v>
      </c>
      <c r="FV204" s="55">
        <f t="shared" ca="1" si="161"/>
        <v>0</v>
      </c>
      <c r="FW204" s="55">
        <f t="shared" ca="1" si="162"/>
        <v>0</v>
      </c>
      <c r="FX204" s="55">
        <f t="shared" ca="1" si="163"/>
        <v>0</v>
      </c>
      <c r="FY204" s="55">
        <f t="shared" ca="1" si="164"/>
        <v>0</v>
      </c>
      <c r="FZ204" s="55">
        <f t="shared" ca="1" si="165"/>
        <v>0</v>
      </c>
      <c r="GA204" s="55">
        <f t="shared" ca="1" si="166"/>
        <v>0</v>
      </c>
      <c r="GB204" s="55">
        <f t="shared" ca="1" si="167"/>
        <v>0</v>
      </c>
      <c r="GC204" s="55">
        <f t="shared" ca="1" si="168"/>
        <v>0</v>
      </c>
      <c r="GD204" s="55">
        <f t="shared" ca="1" si="169"/>
        <v>0</v>
      </c>
      <c r="GE204" s="55">
        <f t="shared" ca="1" si="170"/>
        <v>0</v>
      </c>
      <c r="GF204" s="55">
        <f t="shared" ca="1" si="171"/>
        <v>0</v>
      </c>
      <c r="GG204" s="55">
        <f t="shared" ca="1" si="172"/>
        <v>0</v>
      </c>
      <c r="GH204" s="55">
        <f t="shared" ca="1" si="173"/>
        <v>0</v>
      </c>
      <c r="GI204" s="55">
        <f t="shared" ca="1" si="174"/>
        <v>0</v>
      </c>
      <c r="GJ204" s="55">
        <f t="shared" ca="1" si="175"/>
        <v>0</v>
      </c>
      <c r="GK204" s="55">
        <f t="shared" ca="1" si="176"/>
        <v>0</v>
      </c>
      <c r="GL204" s="55">
        <f t="shared" ca="1" si="177"/>
        <v>0</v>
      </c>
      <c r="GM204" s="55">
        <f t="shared" ca="1" si="178"/>
        <v>0</v>
      </c>
      <c r="GN204" s="55">
        <f t="shared" ca="1" si="179"/>
        <v>0</v>
      </c>
      <c r="GO204" s="55">
        <f t="shared" ca="1" si="180"/>
        <v>0</v>
      </c>
      <c r="GP204" s="55">
        <f t="shared" ca="1" si="181"/>
        <v>0</v>
      </c>
      <c r="GQ204" s="55">
        <f t="shared" ca="1" si="182"/>
        <v>0</v>
      </c>
      <c r="GR204" s="55">
        <f t="shared" ca="1" si="183"/>
        <v>0</v>
      </c>
      <c r="GS204" s="55">
        <f t="shared" ca="1" si="184"/>
        <v>0</v>
      </c>
      <c r="GT204" s="55">
        <f t="shared" ca="1" si="185"/>
        <v>0</v>
      </c>
      <c r="GU204" s="55">
        <f t="shared" ca="1" si="186"/>
        <v>0</v>
      </c>
      <c r="GV204" s="55">
        <f t="shared" ca="1" si="187"/>
        <v>0</v>
      </c>
      <c r="GW204" s="55">
        <f t="shared" ca="1" si="188"/>
        <v>0</v>
      </c>
      <c r="GX204" s="55">
        <f t="shared" ca="1" si="189"/>
        <v>0</v>
      </c>
      <c r="GY204" s="55">
        <f t="shared" ca="1" si="190"/>
        <v>0</v>
      </c>
      <c r="GZ204" s="55">
        <f t="shared" ca="1" si="191"/>
        <v>0</v>
      </c>
      <c r="HA204" s="55">
        <f t="shared" ca="1" si="192"/>
        <v>0</v>
      </c>
      <c r="HB204" s="55">
        <f t="shared" ca="1" si="193"/>
        <v>0</v>
      </c>
      <c r="HC204" s="55">
        <f t="shared" ca="1" si="194"/>
        <v>0</v>
      </c>
      <c r="HD204" s="55">
        <f t="shared" ca="1" si="195"/>
        <v>0</v>
      </c>
      <c r="HE204" s="55">
        <f t="shared" ca="1" si="196"/>
        <v>0</v>
      </c>
    </row>
    <row r="205" spans="1:213">
      <c r="A205" s="27">
        <v>68</v>
      </c>
      <c r="B205" s="27">
        <v>1</v>
      </c>
      <c r="C205" s="27">
        <v>0.76011899999999999</v>
      </c>
      <c r="D205" s="27">
        <v>0.44442799999999999</v>
      </c>
      <c r="E205" s="27">
        <v>36</v>
      </c>
      <c r="F205" s="27">
        <f t="shared" ca="1" si="231"/>
        <v>47</v>
      </c>
      <c r="G205" s="27">
        <f t="shared" si="230"/>
        <v>0</v>
      </c>
      <c r="H205" s="27" t="str">
        <f t="shared" si="232"/>
        <v>Não</v>
      </c>
      <c r="I205" s="27">
        <f t="shared" si="233"/>
        <v>0</v>
      </c>
      <c r="J205" s="37">
        <f t="shared" si="234"/>
        <v>0</v>
      </c>
      <c r="K205" s="55">
        <f t="shared" si="235"/>
        <v>0.59661299999999995</v>
      </c>
      <c r="L205" s="55">
        <f t="shared" si="197"/>
        <v>4.6722E-2</v>
      </c>
      <c r="M205" s="55">
        <f t="shared" si="198"/>
        <v>0.84499000000000002</v>
      </c>
      <c r="N205" s="55">
        <f t="shared" si="199"/>
        <v>0.70559700000000003</v>
      </c>
      <c r="O205" s="55">
        <f t="shared" si="200"/>
        <v>-0.26948</v>
      </c>
      <c r="P205" s="55">
        <f t="shared" si="201"/>
        <v>0.55483099999999996</v>
      </c>
      <c r="Q205" s="55">
        <f t="shared" si="202"/>
        <v>0.27463599999999999</v>
      </c>
      <c r="R205" s="55">
        <f t="shared" si="203"/>
        <v>1.007574</v>
      </c>
      <c r="S205" s="55">
        <f t="shared" si="204"/>
        <v>0.67580399999999996</v>
      </c>
      <c r="T205" s="55">
        <f t="shared" si="205"/>
        <v>0.95684100000000005</v>
      </c>
      <c r="U205" s="55">
        <f t="shared" si="206"/>
        <v>-0.33118999999999998</v>
      </c>
      <c r="V205" s="55">
        <f t="shared" si="116"/>
        <v>-0.18388299999999999</v>
      </c>
      <c r="W205" s="55">
        <f t="shared" si="117"/>
        <v>-0.823855</v>
      </c>
      <c r="X205" s="55">
        <f t="shared" si="118"/>
        <v>-0.293875</v>
      </c>
      <c r="Y205" s="55">
        <f t="shared" si="119"/>
        <v>-1.150944</v>
      </c>
      <c r="Z205" s="55">
        <f t="shared" si="120"/>
        <v>-4.0208000000000001E-2</v>
      </c>
      <c r="AA205" s="55">
        <f t="shared" si="121"/>
        <v>9.1570000000000002E-3</v>
      </c>
      <c r="AB205" s="55">
        <f t="shared" si="122"/>
        <v>0.71827300000000005</v>
      </c>
      <c r="AC205" s="55">
        <f t="shared" si="123"/>
        <v>-1.014146</v>
      </c>
      <c r="AD205" s="55">
        <f t="shared" si="124"/>
        <v>0.18909400000000001</v>
      </c>
      <c r="AE205" s="55">
        <f t="shared" si="125"/>
        <v>-0.137041</v>
      </c>
      <c r="AF205" s="55">
        <f t="shared" si="126"/>
        <v>-1.0149090000000001</v>
      </c>
      <c r="AG205" s="55">
        <f t="shared" si="127"/>
        <v>0.36501</v>
      </c>
      <c r="AH205" s="55">
        <f t="shared" si="128"/>
        <v>-0.16683000000000001</v>
      </c>
      <c r="AI205" s="55">
        <f t="shared" si="129"/>
        <v>-9.7029000000000004E-2</v>
      </c>
      <c r="AJ205" s="55">
        <f t="shared" si="130"/>
        <v>-0.11078499999999999</v>
      </c>
      <c r="AK205" s="55">
        <f t="shared" si="131"/>
        <v>0.140847</v>
      </c>
      <c r="AL205" s="55">
        <f t="shared" si="132"/>
        <v>0.76027500000000003</v>
      </c>
      <c r="AM205" s="55">
        <f t="shared" si="133"/>
        <v>1.0447329999999999</v>
      </c>
      <c r="AN205" s="55">
        <f t="shared" si="134"/>
        <v>-0.81359599999999999</v>
      </c>
      <c r="AO205" s="55">
        <f t="shared" si="135"/>
        <v>-0.56049700000000002</v>
      </c>
      <c r="AP205" s="55">
        <f t="shared" si="136"/>
        <v>0.66468400000000005</v>
      </c>
      <c r="AQ205" s="55">
        <f t="shared" si="137"/>
        <v>-0.12205000000000001</v>
      </c>
      <c r="AR205" s="55">
        <f t="shared" si="138"/>
        <v>-4.761E-2</v>
      </c>
      <c r="AS205" s="55">
        <f t="shared" si="139"/>
        <v>4.7496999999999998E-2</v>
      </c>
      <c r="AT205" s="55">
        <f t="shared" si="140"/>
        <v>-0.35219299999999998</v>
      </c>
      <c r="AU205" s="55">
        <f t="shared" si="141"/>
        <v>-1.0246930000000001</v>
      </c>
      <c r="AV205" s="55">
        <f t="shared" si="142"/>
        <v>-0.32544699999999999</v>
      </c>
      <c r="AW205" s="55">
        <f t="shared" si="143"/>
        <v>-0.489591</v>
      </c>
      <c r="AX205" s="55">
        <f t="shared" si="144"/>
        <v>-0.74582700000000002</v>
      </c>
      <c r="AY205" s="55">
        <f t="shared" si="145"/>
        <v>0.11329599999999999</v>
      </c>
      <c r="AZ205" s="55">
        <f t="shared" si="146"/>
        <v>-1.3594470000000001</v>
      </c>
      <c r="BA205" s="55">
        <f t="shared" si="147"/>
        <v>0.52810699999999999</v>
      </c>
      <c r="BB205" s="55">
        <f t="shared" si="148"/>
        <v>0.12609799999999999</v>
      </c>
      <c r="BC205" s="55">
        <f t="shared" si="149"/>
        <v>-0.71600699999999995</v>
      </c>
      <c r="BD205" s="55">
        <f t="shared" si="150"/>
        <v>-0.18382399999999999</v>
      </c>
      <c r="BE205" s="55">
        <f t="shared" si="151"/>
        <v>0.247616</v>
      </c>
      <c r="BF205" s="55">
        <f t="shared" si="152"/>
        <v>1.6714249999999999</v>
      </c>
      <c r="BG205" s="55">
        <f t="shared" si="153"/>
        <v>-0.43859100000000001</v>
      </c>
      <c r="BH205" s="55">
        <f t="shared" si="154"/>
        <v>-0.45567000000000002</v>
      </c>
      <c r="BJ205" s="55">
        <f t="shared" si="229"/>
        <v>0.340036</v>
      </c>
      <c r="BK205" s="55">
        <f t="shared" si="229"/>
        <v>-0.919381</v>
      </c>
      <c r="BL205" s="55">
        <f t="shared" si="229"/>
        <v>1.035949</v>
      </c>
      <c r="BM205" s="55">
        <f t="shared" si="229"/>
        <v>0.83472599999999997</v>
      </c>
      <c r="BN205" s="55">
        <f t="shared" si="229"/>
        <v>-0.105861</v>
      </c>
      <c r="BO205" s="55">
        <f t="shared" si="229"/>
        <v>0.205286</v>
      </c>
      <c r="BP205" s="55">
        <f t="shared" si="229"/>
        <v>-0.553485</v>
      </c>
      <c r="BQ205" s="55">
        <f t="shared" si="229"/>
        <v>-9.3056E-2</v>
      </c>
      <c r="BR205" s="55">
        <f t="shared" si="229"/>
        <v>0.41924600000000001</v>
      </c>
      <c r="BS205" s="55">
        <f t="shared" si="229"/>
        <v>-0.28417599999999998</v>
      </c>
      <c r="BT205" s="55">
        <f t="shared" si="229"/>
        <v>0.65124899999999997</v>
      </c>
      <c r="BU205" s="55">
        <f t="shared" si="229"/>
        <v>-0.144622</v>
      </c>
      <c r="BV205" s="55">
        <f t="shared" si="229"/>
        <v>-1.1834560000000001</v>
      </c>
      <c r="BW205" s="55">
        <f t="shared" si="229"/>
        <v>1.1468970000000001</v>
      </c>
      <c r="BX205" s="55">
        <f t="shared" si="229"/>
        <v>0.75548300000000002</v>
      </c>
      <c r="BY205" s="55">
        <f t="shared" si="229"/>
        <v>-0.16583000000000001</v>
      </c>
      <c r="BZ205" s="55">
        <f t="shared" si="227"/>
        <v>0.115551</v>
      </c>
      <c r="CA205" s="55">
        <f t="shared" si="227"/>
        <v>0.74684099999999998</v>
      </c>
      <c r="CB205" s="55">
        <f t="shared" si="227"/>
        <v>-0.79056599999999999</v>
      </c>
      <c r="CC205" s="55">
        <f t="shared" si="227"/>
        <v>-7.5273999999999994E-2</v>
      </c>
      <c r="CD205" s="55">
        <f t="shared" si="227"/>
        <v>-1.438585</v>
      </c>
      <c r="CE205" s="55">
        <f t="shared" si="227"/>
        <v>1.247803</v>
      </c>
      <c r="CF205" s="55">
        <f t="shared" si="227"/>
        <v>-0.29399700000000001</v>
      </c>
      <c r="CG205" s="55">
        <f t="shared" si="227"/>
        <v>-0.11365500000000001</v>
      </c>
      <c r="CH205" s="55">
        <f t="shared" si="227"/>
        <v>1.8274859999999999</v>
      </c>
      <c r="CI205" s="55">
        <f t="shared" si="227"/>
        <v>-0.13300000000000001</v>
      </c>
      <c r="CJ205" s="55">
        <f t="shared" si="227"/>
        <v>-0.34422599999999998</v>
      </c>
      <c r="CK205" s="55">
        <f t="shared" si="227"/>
        <v>1.339558</v>
      </c>
      <c r="CL205" s="55">
        <f t="shared" si="227"/>
        <v>-0.63728499999999999</v>
      </c>
      <c r="CM205" s="55">
        <f t="shared" si="227"/>
        <v>2.4899000000000001E-2</v>
      </c>
      <c r="CN205" s="55">
        <f t="shared" si="227"/>
        <v>0.27143499999999998</v>
      </c>
      <c r="CO205" s="55">
        <f t="shared" si="228"/>
        <v>-0.72181099999999998</v>
      </c>
      <c r="CP205" s="55">
        <f t="shared" si="228"/>
        <v>0.37207099999999999</v>
      </c>
      <c r="CQ205" s="55">
        <f t="shared" si="228"/>
        <v>0.67421200000000003</v>
      </c>
      <c r="CR205" s="55">
        <f t="shared" si="228"/>
        <v>-0.53745699999999996</v>
      </c>
      <c r="CS205" s="55">
        <f t="shared" si="228"/>
        <v>-7.4824000000000002E-2</v>
      </c>
      <c r="CT205" s="55">
        <f t="shared" si="228"/>
        <v>-0.56411999999999995</v>
      </c>
      <c r="CU205" s="55">
        <f t="shared" si="228"/>
        <v>0.81733599999999995</v>
      </c>
      <c r="CV205" s="55">
        <f t="shared" si="228"/>
        <v>1.0539639999999999</v>
      </c>
      <c r="CW205" s="55">
        <f t="shared" si="228"/>
        <v>0.39804400000000001</v>
      </c>
      <c r="CX205" s="55">
        <f t="shared" si="228"/>
        <v>0.256554</v>
      </c>
      <c r="CY205" s="55">
        <f t="shared" si="228"/>
        <v>1.7749000000000001E-2</v>
      </c>
      <c r="CZ205" s="55">
        <f t="shared" si="228"/>
        <v>-0.45108399999999998</v>
      </c>
      <c r="DA205" s="55">
        <f t="shared" si="228"/>
        <v>-0.25117499999999998</v>
      </c>
      <c r="DB205" s="55">
        <f t="shared" si="228"/>
        <v>0.93391000000000002</v>
      </c>
      <c r="DC205" s="55">
        <f t="shared" si="228"/>
        <v>-0.57196599999999997</v>
      </c>
      <c r="DD205" s="55">
        <f t="shared" ref="DD205:DG220" si="287">VLOOKUP($B205,$A$33:$BG$132,DD$134,FALSE)</f>
        <v>-0.70042300000000002</v>
      </c>
      <c r="DE205" s="55">
        <f t="shared" si="287"/>
        <v>-0.12003900000000001</v>
      </c>
      <c r="DF205" s="55">
        <f t="shared" si="287"/>
        <v>-0.40212900000000001</v>
      </c>
      <c r="DG205" s="55">
        <f t="shared" si="287"/>
        <v>-9.3318999999999999E-2</v>
      </c>
      <c r="DI205" s="55">
        <f t="shared" ca="1" si="236"/>
        <v>0.59661299999999995</v>
      </c>
      <c r="DJ205" s="55">
        <f t="shared" ca="1" si="237"/>
        <v>4.6722E-2</v>
      </c>
      <c r="DK205" s="55">
        <f t="shared" ca="1" si="238"/>
        <v>0.84499000000000002</v>
      </c>
      <c r="DL205" s="55">
        <f t="shared" ca="1" si="239"/>
        <v>0.70559700000000003</v>
      </c>
      <c r="DM205" s="55">
        <f t="shared" ca="1" si="240"/>
        <v>-0.26948</v>
      </c>
      <c r="DN205" s="55">
        <f t="shared" ca="1" si="241"/>
        <v>0.55483099999999996</v>
      </c>
      <c r="DO205" s="55">
        <f t="shared" ca="1" si="242"/>
        <v>0.27463599999999999</v>
      </c>
      <c r="DP205" s="55">
        <f t="shared" ca="1" si="243"/>
        <v>1.007574</v>
      </c>
      <c r="DQ205" s="55">
        <f t="shared" ca="1" si="244"/>
        <v>0.67580399999999996</v>
      </c>
      <c r="DR205" s="55">
        <f t="shared" ca="1" si="245"/>
        <v>0.95684100000000005</v>
      </c>
      <c r="DS205" s="55">
        <f t="shared" ca="1" si="246"/>
        <v>-0.33118999999999998</v>
      </c>
      <c r="DT205" s="55">
        <f t="shared" ca="1" si="247"/>
        <v>-0.18388299999999999</v>
      </c>
      <c r="DU205" s="55">
        <f t="shared" ca="1" si="248"/>
        <v>-0.823855</v>
      </c>
      <c r="DV205" s="55">
        <f t="shared" ca="1" si="249"/>
        <v>-0.293875</v>
      </c>
      <c r="DW205" s="55">
        <f t="shared" ca="1" si="250"/>
        <v>-1.150944</v>
      </c>
      <c r="DX205" s="55">
        <f t="shared" ca="1" si="251"/>
        <v>-4.0208000000000001E-2</v>
      </c>
      <c r="DY205" s="55">
        <f t="shared" ca="1" si="252"/>
        <v>9.1570000000000002E-3</v>
      </c>
      <c r="DZ205" s="55">
        <f t="shared" ca="1" si="253"/>
        <v>0.71827300000000005</v>
      </c>
      <c r="EA205" s="55">
        <f t="shared" ca="1" si="254"/>
        <v>-1.014146</v>
      </c>
      <c r="EB205" s="55">
        <f t="shared" ca="1" si="255"/>
        <v>0.18909400000000001</v>
      </c>
      <c r="EC205" s="55">
        <f t="shared" ca="1" si="256"/>
        <v>-0.137041</v>
      </c>
      <c r="ED205" s="55">
        <f t="shared" ca="1" si="257"/>
        <v>-1.0149090000000001</v>
      </c>
      <c r="EE205" s="55">
        <f t="shared" ca="1" si="258"/>
        <v>0.36501</v>
      </c>
      <c r="EF205" s="55">
        <f t="shared" ca="1" si="259"/>
        <v>-0.16683000000000001</v>
      </c>
      <c r="EG205" s="55">
        <f t="shared" ca="1" si="260"/>
        <v>-9.7029000000000004E-2</v>
      </c>
      <c r="EH205" s="55">
        <f t="shared" ca="1" si="261"/>
        <v>-0.11078499999999999</v>
      </c>
      <c r="EI205" s="55">
        <f t="shared" ca="1" si="262"/>
        <v>0.140847</v>
      </c>
      <c r="EJ205" s="55">
        <f t="shared" ca="1" si="263"/>
        <v>0.76027500000000003</v>
      </c>
      <c r="EK205" s="55">
        <f t="shared" ca="1" si="264"/>
        <v>1.0447329999999999</v>
      </c>
      <c r="EL205" s="55">
        <f t="shared" ca="1" si="265"/>
        <v>-0.81359599999999999</v>
      </c>
      <c r="EM205" s="55">
        <f t="shared" ca="1" si="266"/>
        <v>-0.56049700000000002</v>
      </c>
      <c r="EN205" s="55">
        <f t="shared" ca="1" si="267"/>
        <v>0.66468400000000005</v>
      </c>
      <c r="EO205" s="55">
        <f t="shared" ca="1" si="268"/>
        <v>-0.12205000000000001</v>
      </c>
      <c r="EP205" s="55">
        <f t="shared" ca="1" si="269"/>
        <v>-4.761E-2</v>
      </c>
      <c r="EQ205" s="55">
        <f t="shared" ca="1" si="270"/>
        <v>4.7496999999999998E-2</v>
      </c>
      <c r="ER205" s="55">
        <f t="shared" ca="1" si="271"/>
        <v>-0.35219299999999998</v>
      </c>
      <c r="ES205" s="55">
        <f t="shared" ca="1" si="272"/>
        <v>-1.0246930000000001</v>
      </c>
      <c r="ET205" s="55">
        <f t="shared" ca="1" si="273"/>
        <v>-0.32544699999999999</v>
      </c>
      <c r="EU205" s="55">
        <f t="shared" ca="1" si="274"/>
        <v>-0.489591</v>
      </c>
      <c r="EV205" s="55">
        <f t="shared" ca="1" si="275"/>
        <v>-0.74582700000000002</v>
      </c>
      <c r="EW205" s="55">
        <f t="shared" ca="1" si="276"/>
        <v>0.11329599999999999</v>
      </c>
      <c r="EX205" s="55">
        <f t="shared" ca="1" si="277"/>
        <v>-1.3594470000000001</v>
      </c>
      <c r="EY205" s="55">
        <f t="shared" ca="1" si="278"/>
        <v>0.52810699999999999</v>
      </c>
      <c r="EZ205" s="55">
        <f t="shared" ca="1" si="279"/>
        <v>0.12609799999999999</v>
      </c>
      <c r="FA205" s="55">
        <f t="shared" ca="1" si="280"/>
        <v>-0.71600699999999995</v>
      </c>
      <c r="FB205" s="55">
        <f t="shared" ca="1" si="281"/>
        <v>-0.18382399999999999</v>
      </c>
      <c r="FC205" s="55">
        <f t="shared" ca="1" si="282"/>
        <v>0.247616</v>
      </c>
      <c r="FD205" s="55">
        <f t="shared" ca="1" si="283"/>
        <v>1.6714249999999999</v>
      </c>
      <c r="FE205" s="55">
        <f t="shared" ca="1" si="284"/>
        <v>-0.43859100000000001</v>
      </c>
      <c r="FF205" s="55">
        <f t="shared" ca="1" si="285"/>
        <v>-0.45567000000000002</v>
      </c>
      <c r="FH205" s="55">
        <f t="shared" ca="1" si="286"/>
        <v>0</v>
      </c>
      <c r="FI205" s="55">
        <f t="shared" ca="1" si="207"/>
        <v>0</v>
      </c>
      <c r="FJ205" s="55">
        <f t="shared" ca="1" si="208"/>
        <v>0</v>
      </c>
      <c r="FK205" s="55">
        <f t="shared" ca="1" si="209"/>
        <v>0</v>
      </c>
      <c r="FL205" s="55">
        <f t="shared" ca="1" si="210"/>
        <v>0</v>
      </c>
      <c r="FM205" s="55">
        <f t="shared" ca="1" si="211"/>
        <v>0</v>
      </c>
      <c r="FN205" s="55">
        <f t="shared" ca="1" si="212"/>
        <v>0</v>
      </c>
      <c r="FO205" s="55">
        <f t="shared" ca="1" si="213"/>
        <v>0</v>
      </c>
      <c r="FP205" s="55">
        <f t="shared" ca="1" si="214"/>
        <v>0</v>
      </c>
      <c r="FQ205" s="55">
        <f t="shared" ca="1" si="215"/>
        <v>0</v>
      </c>
      <c r="FR205" s="55">
        <f t="shared" ca="1" si="216"/>
        <v>0</v>
      </c>
      <c r="FS205" s="55">
        <f t="shared" ca="1" si="158"/>
        <v>0</v>
      </c>
      <c r="FT205" s="55">
        <f t="shared" ca="1" si="159"/>
        <v>0</v>
      </c>
      <c r="FU205" s="55">
        <f t="shared" ca="1" si="160"/>
        <v>0</v>
      </c>
      <c r="FV205" s="55">
        <f t="shared" ca="1" si="161"/>
        <v>0</v>
      </c>
      <c r="FW205" s="55">
        <f t="shared" ca="1" si="162"/>
        <v>0</v>
      </c>
      <c r="FX205" s="55">
        <f t="shared" ca="1" si="163"/>
        <v>0</v>
      </c>
      <c r="FY205" s="55">
        <f t="shared" ca="1" si="164"/>
        <v>0</v>
      </c>
      <c r="FZ205" s="55">
        <f t="shared" ca="1" si="165"/>
        <v>0</v>
      </c>
      <c r="GA205" s="55">
        <f t="shared" ca="1" si="166"/>
        <v>0</v>
      </c>
      <c r="GB205" s="55">
        <f t="shared" ca="1" si="167"/>
        <v>0</v>
      </c>
      <c r="GC205" s="55">
        <f t="shared" ca="1" si="168"/>
        <v>0</v>
      </c>
      <c r="GD205" s="55">
        <f t="shared" ca="1" si="169"/>
        <v>0</v>
      </c>
      <c r="GE205" s="55">
        <f t="shared" ca="1" si="170"/>
        <v>0</v>
      </c>
      <c r="GF205" s="55">
        <f t="shared" ca="1" si="171"/>
        <v>0</v>
      </c>
      <c r="GG205" s="55">
        <f t="shared" ca="1" si="172"/>
        <v>0</v>
      </c>
      <c r="GH205" s="55">
        <f t="shared" ca="1" si="173"/>
        <v>0</v>
      </c>
      <c r="GI205" s="55">
        <f t="shared" ca="1" si="174"/>
        <v>0</v>
      </c>
      <c r="GJ205" s="55">
        <f t="shared" ca="1" si="175"/>
        <v>0</v>
      </c>
      <c r="GK205" s="55">
        <f t="shared" ca="1" si="176"/>
        <v>0</v>
      </c>
      <c r="GL205" s="55">
        <f t="shared" ca="1" si="177"/>
        <v>0</v>
      </c>
      <c r="GM205" s="55">
        <f t="shared" ca="1" si="178"/>
        <v>0</v>
      </c>
      <c r="GN205" s="55">
        <f t="shared" ca="1" si="179"/>
        <v>0</v>
      </c>
      <c r="GO205" s="55">
        <f t="shared" ca="1" si="180"/>
        <v>0</v>
      </c>
      <c r="GP205" s="55">
        <f t="shared" ca="1" si="181"/>
        <v>0</v>
      </c>
      <c r="GQ205" s="55">
        <f t="shared" ca="1" si="182"/>
        <v>0</v>
      </c>
      <c r="GR205" s="55">
        <f t="shared" ca="1" si="183"/>
        <v>0</v>
      </c>
      <c r="GS205" s="55">
        <f t="shared" ca="1" si="184"/>
        <v>0</v>
      </c>
      <c r="GT205" s="55">
        <f t="shared" ca="1" si="185"/>
        <v>0</v>
      </c>
      <c r="GU205" s="55">
        <f t="shared" ca="1" si="186"/>
        <v>0</v>
      </c>
      <c r="GV205" s="55">
        <f t="shared" ca="1" si="187"/>
        <v>0</v>
      </c>
      <c r="GW205" s="55">
        <f t="shared" ca="1" si="188"/>
        <v>0</v>
      </c>
      <c r="GX205" s="55">
        <f t="shared" ca="1" si="189"/>
        <v>0</v>
      </c>
      <c r="GY205" s="55">
        <f t="shared" ca="1" si="190"/>
        <v>0</v>
      </c>
      <c r="GZ205" s="55">
        <f t="shared" ca="1" si="191"/>
        <v>0</v>
      </c>
      <c r="HA205" s="55">
        <f t="shared" ca="1" si="192"/>
        <v>0</v>
      </c>
      <c r="HB205" s="55">
        <f t="shared" ca="1" si="193"/>
        <v>0</v>
      </c>
      <c r="HC205" s="55">
        <f t="shared" ca="1" si="194"/>
        <v>0</v>
      </c>
      <c r="HD205" s="55">
        <f t="shared" ca="1" si="195"/>
        <v>0</v>
      </c>
      <c r="HE205" s="55">
        <f t="shared" ca="1" si="196"/>
        <v>0</v>
      </c>
    </row>
    <row r="206" spans="1:213">
      <c r="A206" s="27">
        <v>69</v>
      </c>
      <c r="B206" s="27">
        <v>54</v>
      </c>
      <c r="C206" s="27">
        <v>0.33467999999999998</v>
      </c>
      <c r="D206" s="27">
        <v>0.29137200000000002</v>
      </c>
      <c r="E206" s="27">
        <v>28</v>
      </c>
      <c r="F206" s="27">
        <f t="shared" ca="1" si="231"/>
        <v>43</v>
      </c>
      <c r="G206" s="27">
        <f t="shared" si="230"/>
        <v>0</v>
      </c>
      <c r="H206" s="27" t="str">
        <f t="shared" si="232"/>
        <v>Sim</v>
      </c>
      <c r="I206" s="27">
        <f t="shared" si="233"/>
        <v>0</v>
      </c>
      <c r="J206" s="37">
        <f t="shared" si="234"/>
        <v>1</v>
      </c>
      <c r="K206" s="55">
        <f t="shared" si="235"/>
        <v>-1.3680110000000001</v>
      </c>
      <c r="L206" s="55">
        <f t="shared" si="197"/>
        <v>-0.85349200000000003</v>
      </c>
      <c r="M206" s="55">
        <f t="shared" si="198"/>
        <v>0.48217700000000002</v>
      </c>
      <c r="N206" s="55">
        <f t="shared" si="199"/>
        <v>0.32085900000000001</v>
      </c>
      <c r="O206" s="55">
        <f t="shared" si="200"/>
        <v>0.36048200000000002</v>
      </c>
      <c r="P206" s="55">
        <f t="shared" si="201"/>
        <v>6.2484999999999999E-2</v>
      </c>
      <c r="Q206" s="55">
        <f t="shared" si="202"/>
        <v>-0.42971900000000002</v>
      </c>
      <c r="R206" s="55">
        <f t="shared" si="203"/>
        <v>2.7362000000000001E-2</v>
      </c>
      <c r="S206" s="55">
        <f t="shared" si="204"/>
        <v>-0.67951099999999998</v>
      </c>
      <c r="T206" s="55">
        <f t="shared" si="205"/>
        <v>0.74470199999999998</v>
      </c>
      <c r="U206" s="55">
        <f t="shared" si="206"/>
        <v>-0.92654300000000001</v>
      </c>
      <c r="V206" s="55">
        <f t="shared" ref="V206:V236" si="288">P102</f>
        <v>0.70228500000000005</v>
      </c>
      <c r="W206" s="55">
        <f t="shared" ref="W206:W236" si="289">Q102</f>
        <v>-0.35286000000000001</v>
      </c>
      <c r="X206" s="55">
        <f t="shared" ref="X206:X236" si="290">R102</f>
        <v>-0.65729199999999999</v>
      </c>
      <c r="Y206" s="55">
        <f t="shared" ref="Y206:Y236" si="291">S102</f>
        <v>8.7060000000000002E-3</v>
      </c>
      <c r="Z206" s="55">
        <f t="shared" ref="Z206:Z236" si="292">T102</f>
        <v>-0.23127600000000001</v>
      </c>
      <c r="AA206" s="55">
        <f t="shared" ref="AA206:AA236" si="293">U102</f>
        <v>0.38279999999999997</v>
      </c>
      <c r="AB206" s="55">
        <f t="shared" ref="AB206:AB236" si="294">V102</f>
        <v>0.34945500000000002</v>
      </c>
      <c r="AC206" s="55">
        <f t="shared" ref="AC206:AC236" si="295">W102</f>
        <v>0.35790499999999997</v>
      </c>
      <c r="AD206" s="55">
        <f t="shared" ref="AD206:AD236" si="296">X102</f>
        <v>-5.0867000000000002E-2</v>
      </c>
      <c r="AE206" s="55">
        <f t="shared" ref="AE206:AE236" si="297">Y102</f>
        <v>6.5620999999999999E-2</v>
      </c>
      <c r="AF206" s="55">
        <f t="shared" ref="AF206:AF236" si="298">Z102</f>
        <v>-4.7824999999999999E-2</v>
      </c>
      <c r="AG206" s="55">
        <f t="shared" ref="AG206:AG236" si="299">AA102</f>
        <v>-0.45417400000000002</v>
      </c>
      <c r="AH206" s="55">
        <f t="shared" ref="AH206:AH236" si="300">AB102</f>
        <v>0.74773699999999999</v>
      </c>
      <c r="AI206" s="55">
        <f t="shared" ref="AI206:AI236" si="301">AC102</f>
        <v>-0.56772599999999995</v>
      </c>
      <c r="AJ206" s="55">
        <f t="shared" ref="AJ206:AJ236" si="302">AD102</f>
        <v>-0.43990400000000002</v>
      </c>
      <c r="AK206" s="55">
        <f t="shared" ref="AK206:AK236" si="303">AE102</f>
        <v>-1.2277720000000001</v>
      </c>
      <c r="AL206" s="55">
        <f t="shared" ref="AL206:AL236" si="304">AF102</f>
        <v>0.17562</v>
      </c>
      <c r="AM206" s="55">
        <f t="shared" ref="AM206:AM236" si="305">AG102</f>
        <v>1.066675</v>
      </c>
      <c r="AN206" s="55">
        <f t="shared" ref="AN206:AN236" si="306">AH102</f>
        <v>0.41585299999999997</v>
      </c>
      <c r="AO206" s="55">
        <f t="shared" ref="AO206:AO236" si="307">AI102</f>
        <v>-0.48087299999999999</v>
      </c>
      <c r="AP206" s="55">
        <f t="shared" ref="AP206:AP236" si="308">AJ102</f>
        <v>0.405055</v>
      </c>
      <c r="AQ206" s="55">
        <f t="shared" ref="AQ206:AQ236" si="309">AK102</f>
        <v>0.71483399999999997</v>
      </c>
      <c r="AR206" s="55">
        <f t="shared" ref="AR206:AR236" si="310">AL102</f>
        <v>-0.29349799999999998</v>
      </c>
      <c r="AS206" s="55">
        <f t="shared" ref="AS206:AS236" si="311">AM102</f>
        <v>0.82778300000000005</v>
      </c>
      <c r="AT206" s="55">
        <f t="shared" ref="AT206:AT236" si="312">AN102</f>
        <v>2.3668999999999999E-2</v>
      </c>
      <c r="AU206" s="55">
        <f t="shared" ref="AU206:AU236" si="313">AO102</f>
        <v>-0.79423699999999997</v>
      </c>
      <c r="AV206" s="55">
        <f t="shared" ref="AV206:AV236" si="314">AP102</f>
        <v>-0.90337800000000001</v>
      </c>
      <c r="AW206" s="55">
        <f t="shared" ref="AW206:AW236" si="315">AQ102</f>
        <v>1.422147</v>
      </c>
      <c r="AX206" s="55">
        <f t="shared" ref="AX206:AX236" si="316">AR102</f>
        <v>0.89805599999999997</v>
      </c>
      <c r="AY206" s="55">
        <f t="shared" ref="AY206:AY236" si="317">AS102</f>
        <v>-0.66341700000000003</v>
      </c>
      <c r="AZ206" s="55">
        <f t="shared" ref="AZ206:AZ236" si="318">AT102</f>
        <v>0.53328600000000004</v>
      </c>
      <c r="BA206" s="55">
        <f t="shared" ref="BA206:BA236" si="319">AU102</f>
        <v>0.27739599999999998</v>
      </c>
      <c r="BB206" s="55">
        <f t="shared" ref="BB206:BB236" si="320">AV102</f>
        <v>0.71682000000000001</v>
      </c>
      <c r="BC206" s="55">
        <f t="shared" ref="BC206:BC236" si="321">AW102</f>
        <v>-0.62051500000000004</v>
      </c>
      <c r="BD206" s="55">
        <f t="shared" ref="BD206:BD236" si="322">AX102</f>
        <v>0.157529</v>
      </c>
      <c r="BE206" s="55">
        <f t="shared" ref="BE206:BE236" si="323">AY102</f>
        <v>0.76336300000000001</v>
      </c>
      <c r="BF206" s="55">
        <f t="shared" ref="BF206:BF236" si="324">AZ102</f>
        <v>-0.35728799999999999</v>
      </c>
      <c r="BG206" s="55">
        <f t="shared" ref="BG206:BG236" si="325">BA102</f>
        <v>0.61300600000000005</v>
      </c>
      <c r="BH206" s="55">
        <f t="shared" ref="BH206:BH236" si="326">BB102</f>
        <v>-0.21090400000000001</v>
      </c>
      <c r="BJ206" s="55">
        <f t="shared" si="229"/>
        <v>0.427541</v>
      </c>
      <c r="BK206" s="55">
        <f t="shared" si="229"/>
        <v>0.88970300000000002</v>
      </c>
      <c r="BL206" s="55">
        <f t="shared" si="229"/>
        <v>1.0445359999999999</v>
      </c>
      <c r="BM206" s="55">
        <f t="shared" si="229"/>
        <v>0.94583399999999995</v>
      </c>
      <c r="BN206" s="55">
        <f t="shared" si="229"/>
        <v>0.93252000000000002</v>
      </c>
      <c r="BO206" s="55">
        <f t="shared" si="229"/>
        <v>-0.110526</v>
      </c>
      <c r="BP206" s="55">
        <f t="shared" si="229"/>
        <v>0.421041</v>
      </c>
      <c r="BQ206" s="55">
        <f t="shared" si="229"/>
        <v>0.74219599999999997</v>
      </c>
      <c r="BR206" s="55">
        <f t="shared" si="229"/>
        <v>0.85197999999999996</v>
      </c>
      <c r="BS206" s="55">
        <f t="shared" si="229"/>
        <v>-0.60107299999999997</v>
      </c>
      <c r="BT206" s="55">
        <f t="shared" si="229"/>
        <v>0.78763000000000005</v>
      </c>
      <c r="BU206" s="55">
        <f t="shared" si="229"/>
        <v>-0.54883300000000002</v>
      </c>
      <c r="BV206" s="55">
        <f t="shared" si="229"/>
        <v>-9.8946999999999993E-2</v>
      </c>
      <c r="BW206" s="55">
        <f t="shared" si="229"/>
        <v>0.63033099999999997</v>
      </c>
      <c r="BX206" s="55">
        <f t="shared" si="229"/>
        <v>0.296014</v>
      </c>
      <c r="BY206" s="55">
        <f t="shared" ref="BY206:CN221" si="327">VLOOKUP($B206,$A$33:$BG$132,BY$134,FALSE)</f>
        <v>0.86529599999999995</v>
      </c>
      <c r="BZ206" s="55">
        <f t="shared" si="327"/>
        <v>-0.46758699999999997</v>
      </c>
      <c r="CA206" s="55">
        <f t="shared" si="327"/>
        <v>-0.76345799999999997</v>
      </c>
      <c r="CB206" s="55">
        <f t="shared" si="327"/>
        <v>0.84248100000000004</v>
      </c>
      <c r="CC206" s="55">
        <f t="shared" si="327"/>
        <v>0.78327899999999995</v>
      </c>
      <c r="CD206" s="55">
        <f t="shared" si="327"/>
        <v>0.61870999999999998</v>
      </c>
      <c r="CE206" s="55">
        <f t="shared" si="327"/>
        <v>1.1808259999999999</v>
      </c>
      <c r="CF206" s="55">
        <f t="shared" si="327"/>
        <v>-0.899088</v>
      </c>
      <c r="CG206" s="55">
        <f t="shared" si="327"/>
        <v>-0.46016899999999999</v>
      </c>
      <c r="CH206" s="55">
        <f t="shared" si="327"/>
        <v>-0.48933199999999999</v>
      </c>
      <c r="CI206" s="55">
        <f t="shared" si="327"/>
        <v>-0.59450599999999998</v>
      </c>
      <c r="CJ206" s="55">
        <f t="shared" si="327"/>
        <v>-0.95906599999999997</v>
      </c>
      <c r="CK206" s="55">
        <f t="shared" si="327"/>
        <v>-0.187248</v>
      </c>
      <c r="CL206" s="55">
        <f t="shared" si="327"/>
        <v>-0.77245200000000003</v>
      </c>
      <c r="CM206" s="55">
        <f t="shared" si="327"/>
        <v>0.42386499999999999</v>
      </c>
      <c r="CN206" s="55">
        <f t="shared" si="327"/>
        <v>0.71424500000000002</v>
      </c>
      <c r="CO206" s="55">
        <f t="shared" ref="CO206:DD221" si="328">VLOOKUP($B206,$A$33:$BG$132,CO$134,FALSE)</f>
        <v>3.8719999999999997E-2</v>
      </c>
      <c r="CP206" s="55">
        <f t="shared" si="328"/>
        <v>-1.5256479999999999</v>
      </c>
      <c r="CQ206" s="55">
        <f t="shared" si="328"/>
        <v>0.554342</v>
      </c>
      <c r="CR206" s="55">
        <f t="shared" si="328"/>
        <v>-0.86659900000000001</v>
      </c>
      <c r="CS206" s="55">
        <f t="shared" si="328"/>
        <v>1.9007750000000001</v>
      </c>
      <c r="CT206" s="55">
        <f t="shared" si="328"/>
        <v>0.70712299999999995</v>
      </c>
      <c r="CU206" s="55">
        <f t="shared" si="328"/>
        <v>0.26419999999999999</v>
      </c>
      <c r="CV206" s="55">
        <f t="shared" si="328"/>
        <v>0.85240400000000005</v>
      </c>
      <c r="CW206" s="55">
        <f t="shared" si="328"/>
        <v>0.90576000000000001</v>
      </c>
      <c r="CX206" s="55">
        <f t="shared" si="328"/>
        <v>-0.61505100000000001</v>
      </c>
      <c r="CY206" s="55">
        <f t="shared" si="328"/>
        <v>0.29700199999999999</v>
      </c>
      <c r="CZ206" s="55">
        <f t="shared" si="328"/>
        <v>0.485425</v>
      </c>
      <c r="DA206" s="55">
        <f t="shared" si="328"/>
        <v>-0.17513000000000001</v>
      </c>
      <c r="DB206" s="55">
        <f t="shared" si="328"/>
        <v>0.58527099999999999</v>
      </c>
      <c r="DC206" s="55">
        <f t="shared" si="328"/>
        <v>-3.61E-2</v>
      </c>
      <c r="DD206" s="55">
        <f t="shared" si="328"/>
        <v>-0.11219899999999999</v>
      </c>
      <c r="DE206" s="55">
        <f t="shared" si="287"/>
        <v>-0.138653</v>
      </c>
      <c r="DF206" s="55">
        <f t="shared" si="287"/>
        <v>-0.65617999999999999</v>
      </c>
      <c r="DG206" s="55">
        <f t="shared" si="287"/>
        <v>-9.8567000000000002E-2</v>
      </c>
      <c r="DI206" s="55">
        <f t="shared" ca="1" si="236"/>
        <v>-1.3680110000000001</v>
      </c>
      <c r="DJ206" s="55">
        <f t="shared" ca="1" si="237"/>
        <v>-0.85349200000000003</v>
      </c>
      <c r="DK206" s="55">
        <f t="shared" ca="1" si="238"/>
        <v>0.48217700000000002</v>
      </c>
      <c r="DL206" s="55">
        <f t="shared" ca="1" si="239"/>
        <v>0.32085900000000001</v>
      </c>
      <c r="DM206" s="55">
        <f t="shared" ca="1" si="240"/>
        <v>0.36048200000000002</v>
      </c>
      <c r="DN206" s="55">
        <f t="shared" ca="1" si="241"/>
        <v>6.2484999999999999E-2</v>
      </c>
      <c r="DO206" s="55">
        <f t="shared" ca="1" si="242"/>
        <v>-0.42971900000000002</v>
      </c>
      <c r="DP206" s="55">
        <f t="shared" ca="1" si="243"/>
        <v>2.7362000000000001E-2</v>
      </c>
      <c r="DQ206" s="55">
        <f t="shared" ca="1" si="244"/>
        <v>-0.67951099999999998</v>
      </c>
      <c r="DR206" s="55">
        <f t="shared" ca="1" si="245"/>
        <v>0.74470199999999998</v>
      </c>
      <c r="DS206" s="55">
        <f t="shared" ca="1" si="246"/>
        <v>-0.92654300000000001</v>
      </c>
      <c r="DT206" s="55">
        <f t="shared" ca="1" si="247"/>
        <v>0.70228500000000005</v>
      </c>
      <c r="DU206" s="55">
        <f t="shared" ca="1" si="248"/>
        <v>-0.35286000000000001</v>
      </c>
      <c r="DV206" s="55">
        <f t="shared" ca="1" si="249"/>
        <v>-0.65729199999999999</v>
      </c>
      <c r="DW206" s="55">
        <f t="shared" ca="1" si="250"/>
        <v>8.7060000000000002E-3</v>
      </c>
      <c r="DX206" s="55">
        <f t="shared" ca="1" si="251"/>
        <v>-0.23127600000000001</v>
      </c>
      <c r="DY206" s="55">
        <f t="shared" ca="1" si="252"/>
        <v>0.38279999999999997</v>
      </c>
      <c r="DZ206" s="55">
        <f t="shared" ca="1" si="253"/>
        <v>0.34945500000000002</v>
      </c>
      <c r="EA206" s="55">
        <f t="shared" ca="1" si="254"/>
        <v>0.35790499999999997</v>
      </c>
      <c r="EB206" s="55">
        <f t="shared" ca="1" si="255"/>
        <v>-5.0867000000000002E-2</v>
      </c>
      <c r="EC206" s="55">
        <f t="shared" ca="1" si="256"/>
        <v>6.5620999999999999E-2</v>
      </c>
      <c r="ED206" s="55">
        <f t="shared" ca="1" si="257"/>
        <v>-4.7824999999999999E-2</v>
      </c>
      <c r="EE206" s="55">
        <f t="shared" ca="1" si="258"/>
        <v>-0.45417400000000002</v>
      </c>
      <c r="EF206" s="55">
        <f t="shared" ca="1" si="259"/>
        <v>0.74773699999999999</v>
      </c>
      <c r="EG206" s="55">
        <f t="shared" ca="1" si="260"/>
        <v>-0.56772599999999995</v>
      </c>
      <c r="EH206" s="55">
        <f t="shared" ca="1" si="261"/>
        <v>-0.43990400000000002</v>
      </c>
      <c r="EI206" s="55">
        <f t="shared" ca="1" si="262"/>
        <v>-1.2277720000000001</v>
      </c>
      <c r="EJ206" s="55">
        <f t="shared" ca="1" si="263"/>
        <v>0.17562</v>
      </c>
      <c r="EK206" s="55">
        <f t="shared" ca="1" si="264"/>
        <v>-0.23658188775599998</v>
      </c>
      <c r="EL206" s="55">
        <f t="shared" ca="1" si="265"/>
        <v>0.42153052753600001</v>
      </c>
      <c r="EM206" s="55">
        <f t="shared" ca="1" si="266"/>
        <v>0.36602107810399998</v>
      </c>
      <c r="EN206" s="55">
        <f t="shared" ca="1" si="267"/>
        <v>0.14545976162000002</v>
      </c>
      <c r="EO206" s="55">
        <f t="shared" ca="1" si="268"/>
        <v>-0.87283427869599983</v>
      </c>
      <c r="EP206" s="55">
        <f t="shared" ca="1" si="269"/>
        <v>0.30730516352000004</v>
      </c>
      <c r="EQ206" s="55">
        <f t="shared" ca="1" si="270"/>
        <v>-0.37290352789600001</v>
      </c>
      <c r="ER206" s="55">
        <f t="shared" ca="1" si="271"/>
        <v>1.353838870568</v>
      </c>
      <c r="ES206" s="55">
        <f t="shared" ca="1" si="272"/>
        <v>0.26966873407999997</v>
      </c>
      <c r="ET206" s="55">
        <f t="shared" ca="1" si="273"/>
        <v>-7.5999537016000041E-2</v>
      </c>
      <c r="EU206" s="55">
        <f t="shared" ca="1" si="274"/>
        <v>1.0184111573960002</v>
      </c>
      <c r="EV206" s="55">
        <f t="shared" ca="1" si="275"/>
        <v>0.90351527011199995</v>
      </c>
      <c r="EW206" s="55">
        <f t="shared" ca="1" si="276"/>
        <v>-0.6291434981520001</v>
      </c>
      <c r="EX206" s="55">
        <f t="shared" ca="1" si="277"/>
        <v>0.36584854164800001</v>
      </c>
      <c r="EY206" s="55">
        <f t="shared" ca="1" si="278"/>
        <v>0.42481117421199999</v>
      </c>
      <c r="EZ206" s="55">
        <f t="shared" ca="1" si="279"/>
        <v>0.71682000000000001</v>
      </c>
      <c r="FA206" s="55">
        <f t="shared" ca="1" si="280"/>
        <v>-0.62051500000000004</v>
      </c>
      <c r="FB206" s="55">
        <f t="shared" ca="1" si="281"/>
        <v>0.157529</v>
      </c>
      <c r="FC206" s="55">
        <f t="shared" ca="1" si="282"/>
        <v>0.76336300000000001</v>
      </c>
      <c r="FD206" s="55">
        <f t="shared" ca="1" si="283"/>
        <v>-0.35728799999999999</v>
      </c>
      <c r="FE206" s="55">
        <f t="shared" ca="1" si="284"/>
        <v>0.61300600000000005</v>
      </c>
      <c r="FF206" s="55">
        <f t="shared" ca="1" si="285"/>
        <v>-0.21090400000000001</v>
      </c>
      <c r="FH206" s="55">
        <f t="shared" ca="1" si="286"/>
        <v>0</v>
      </c>
      <c r="FI206" s="55">
        <f t="shared" ca="1" si="207"/>
        <v>0</v>
      </c>
      <c r="FJ206" s="55">
        <f t="shared" ca="1" si="208"/>
        <v>0</v>
      </c>
      <c r="FK206" s="55">
        <f t="shared" ca="1" si="209"/>
        <v>0</v>
      </c>
      <c r="FL206" s="55">
        <f t="shared" ca="1" si="210"/>
        <v>0</v>
      </c>
      <c r="FM206" s="55">
        <f t="shared" ca="1" si="211"/>
        <v>0</v>
      </c>
      <c r="FN206" s="55">
        <f t="shared" ca="1" si="212"/>
        <v>0</v>
      </c>
      <c r="FO206" s="55">
        <f t="shared" ca="1" si="213"/>
        <v>0</v>
      </c>
      <c r="FP206" s="55">
        <f t="shared" ca="1" si="214"/>
        <v>0</v>
      </c>
      <c r="FQ206" s="55">
        <f t="shared" ca="1" si="215"/>
        <v>0</v>
      </c>
      <c r="FR206" s="55">
        <f t="shared" ca="1" si="216"/>
        <v>0</v>
      </c>
      <c r="FS206" s="55">
        <f t="shared" ref="FS206:FS236" ca="1" si="329">DT206-V206</f>
        <v>0</v>
      </c>
      <c r="FT206" s="55">
        <f t="shared" ref="FT206:FT236" ca="1" si="330">DU206-W206</f>
        <v>0</v>
      </c>
      <c r="FU206" s="55">
        <f t="shared" ref="FU206:FU236" ca="1" si="331">DV206-X206</f>
        <v>0</v>
      </c>
      <c r="FV206" s="55">
        <f t="shared" ref="FV206:FV236" ca="1" si="332">DW206-Y206</f>
        <v>0</v>
      </c>
      <c r="FW206" s="55">
        <f t="shared" ref="FW206:FW236" ca="1" si="333">DX206-Z206</f>
        <v>0</v>
      </c>
      <c r="FX206" s="55">
        <f t="shared" ref="FX206:FX236" ca="1" si="334">DY206-AA206</f>
        <v>0</v>
      </c>
      <c r="FY206" s="55">
        <f t="shared" ref="FY206:FY236" ca="1" si="335">DZ206-AB206</f>
        <v>0</v>
      </c>
      <c r="FZ206" s="55">
        <f t="shared" ref="FZ206:FZ236" ca="1" si="336">EA206-AC206</f>
        <v>0</v>
      </c>
      <c r="GA206" s="55">
        <f t="shared" ref="GA206:GA236" ca="1" si="337">EB206-AD206</f>
        <v>0</v>
      </c>
      <c r="GB206" s="55">
        <f t="shared" ref="GB206:GB236" ca="1" si="338">EC206-AE206</f>
        <v>0</v>
      </c>
      <c r="GC206" s="55">
        <f t="shared" ref="GC206:GC236" ca="1" si="339">ED206-AF206</f>
        <v>0</v>
      </c>
      <c r="GD206" s="55">
        <f t="shared" ref="GD206:GD236" ca="1" si="340">EE206-AG206</f>
        <v>0</v>
      </c>
      <c r="GE206" s="55">
        <f t="shared" ref="GE206:GE236" ca="1" si="341">EF206-AH206</f>
        <v>0</v>
      </c>
      <c r="GF206" s="55">
        <f t="shared" ref="GF206:GF236" ca="1" si="342">EG206-AI206</f>
        <v>0</v>
      </c>
      <c r="GG206" s="55">
        <f t="shared" ref="GG206:GG236" ca="1" si="343">EH206-AJ206</f>
        <v>0</v>
      </c>
      <c r="GH206" s="55">
        <f t="shared" ref="GH206:GH236" ca="1" si="344">EI206-AK206</f>
        <v>0</v>
      </c>
      <c r="GI206" s="55">
        <f t="shared" ref="GI206:GI236" ca="1" si="345">EJ206-AL206</f>
        <v>0</v>
      </c>
      <c r="GJ206" s="55">
        <f t="shared" ref="GJ206:GJ236" ca="1" si="346">EK206-AM206</f>
        <v>-1.303256887756</v>
      </c>
      <c r="GK206" s="55">
        <f t="shared" ref="GK206:GK236" ca="1" si="347">EL206-AN206</f>
        <v>5.6775275360000377E-3</v>
      </c>
      <c r="GL206" s="55">
        <f t="shared" ref="GL206:GL236" ca="1" si="348">EM206-AO206</f>
        <v>0.84689407810399997</v>
      </c>
      <c r="GM206" s="55">
        <f t="shared" ref="GM206:GM236" ca="1" si="349">EN206-AP206</f>
        <v>-0.25959523837999998</v>
      </c>
      <c r="GN206" s="55">
        <f t="shared" ref="GN206:GN236" ca="1" si="350">EO206-AQ206</f>
        <v>-1.5876682786959999</v>
      </c>
      <c r="GO206" s="55">
        <f t="shared" ref="GO206:GO236" ca="1" si="351">EP206-AR206</f>
        <v>0.60080316351999996</v>
      </c>
      <c r="GP206" s="55">
        <f t="shared" ref="GP206:GP236" ca="1" si="352">EQ206-AS206</f>
        <v>-1.2006865278959999</v>
      </c>
      <c r="GQ206" s="55">
        <f t="shared" ref="GQ206:GQ236" ca="1" si="353">ER206-AT206</f>
        <v>1.3301698705680001</v>
      </c>
      <c r="GR206" s="55">
        <f t="shared" ref="GR206:GR236" ca="1" si="354">ES206-AU206</f>
        <v>1.06390573408</v>
      </c>
      <c r="GS206" s="55">
        <f t="shared" ref="GS206:GS236" ca="1" si="355">ET206-AV206</f>
        <v>0.82737846298399997</v>
      </c>
      <c r="GT206" s="55">
        <f t="shared" ref="GT206:GT236" ca="1" si="356">EU206-AW206</f>
        <v>-0.40373584260399986</v>
      </c>
      <c r="GU206" s="55">
        <f t="shared" ref="GU206:GU236" ca="1" si="357">EV206-AX206</f>
        <v>5.4592701119999809E-3</v>
      </c>
      <c r="GV206" s="55">
        <f t="shared" ref="GV206:GV236" ca="1" si="358">EW206-AY206</f>
        <v>3.4273501847999932E-2</v>
      </c>
      <c r="GW206" s="55">
        <f t="shared" ref="GW206:GW236" ca="1" si="359">EX206-AZ206</f>
        <v>-0.16743745835200002</v>
      </c>
      <c r="GX206" s="55">
        <f t="shared" ref="GX206:GX236" ca="1" si="360">EY206-BA206</f>
        <v>0.14741517421200001</v>
      </c>
      <c r="GY206" s="55">
        <f t="shared" ref="GY206:GY236" ca="1" si="361">EZ206-BB206</f>
        <v>0</v>
      </c>
      <c r="GZ206" s="55">
        <f t="shared" ref="GZ206:GZ236" ca="1" si="362">FA206-BC206</f>
        <v>0</v>
      </c>
      <c r="HA206" s="55">
        <f t="shared" ref="HA206:HA236" ca="1" si="363">FB206-BD206</f>
        <v>0</v>
      </c>
      <c r="HB206" s="55">
        <f t="shared" ref="HB206:HB236" ca="1" si="364">FC206-BE206</f>
        <v>0</v>
      </c>
      <c r="HC206" s="55">
        <f t="shared" ref="HC206:HC236" ca="1" si="365">FD206-BF206</f>
        <v>0</v>
      </c>
      <c r="HD206" s="55">
        <f t="shared" ref="HD206:HD236" ca="1" si="366">FE206-BG206</f>
        <v>0</v>
      </c>
      <c r="HE206" s="55">
        <f t="shared" ref="HE206:HE236" ca="1" si="367">FF206-BH206</f>
        <v>0</v>
      </c>
    </row>
    <row r="207" spans="1:213">
      <c r="A207" s="27">
        <v>70</v>
      </c>
      <c r="B207" s="27">
        <v>61</v>
      </c>
      <c r="C207" s="27">
        <v>0.180511</v>
      </c>
      <c r="D207" s="27">
        <v>0.694859</v>
      </c>
      <c r="E207" s="27">
        <v>21</v>
      </c>
      <c r="F207" s="27">
        <f t="shared" ca="1" si="231"/>
        <v>43</v>
      </c>
      <c r="G207" s="27">
        <f t="shared" si="230"/>
        <v>0</v>
      </c>
      <c r="H207" s="27" t="str">
        <f t="shared" si="232"/>
        <v>Sim</v>
      </c>
      <c r="I207" s="27">
        <f t="shared" si="233"/>
        <v>0</v>
      </c>
      <c r="J207" s="37">
        <f t="shared" si="234"/>
        <v>1</v>
      </c>
      <c r="K207" s="55">
        <f t="shared" si="235"/>
        <v>0.94180900000000001</v>
      </c>
      <c r="L207" s="55">
        <f t="shared" ref="L207:L236" si="368">F103</f>
        <v>-0.96661600000000003</v>
      </c>
      <c r="M207" s="55">
        <f t="shared" ref="M207:M236" si="369">G103</f>
        <v>-1.701E-3</v>
      </c>
      <c r="N207" s="55">
        <f t="shared" ref="N207:N236" si="370">H103</f>
        <v>-0.54540299999999997</v>
      </c>
      <c r="O207" s="55">
        <f t="shared" ref="O207:O236" si="371">I103</f>
        <v>-0.43832100000000002</v>
      </c>
      <c r="P207" s="55">
        <f t="shared" ref="P207:P236" si="372">J103</f>
        <v>-1.4298390000000001</v>
      </c>
      <c r="Q207" s="55">
        <f t="shared" ref="Q207:Q236" si="373">K103</f>
        <v>0.92647900000000005</v>
      </c>
      <c r="R207" s="55">
        <f t="shared" ref="R207:R236" si="374">L103</f>
        <v>-0.78257600000000005</v>
      </c>
      <c r="S207" s="55">
        <f t="shared" ref="S207:S236" si="375">M103</f>
        <v>0.45502300000000001</v>
      </c>
      <c r="T207" s="55">
        <f t="shared" ref="T207:T236" si="376">N103</f>
        <v>0.18059900000000001</v>
      </c>
      <c r="U207" s="55">
        <f t="shared" ref="U207:U236" si="377">O103</f>
        <v>-0.34862500000000002</v>
      </c>
      <c r="V207" s="55">
        <f t="shared" si="288"/>
        <v>-0.84838400000000003</v>
      </c>
      <c r="W207" s="55">
        <f t="shared" si="289"/>
        <v>0.65981699999999999</v>
      </c>
      <c r="X207" s="55">
        <f t="shared" si="290"/>
        <v>-1.4716579999999999</v>
      </c>
      <c r="Y207" s="55">
        <f t="shared" si="291"/>
        <v>1.3420000000000001E-3</v>
      </c>
      <c r="Z207" s="55">
        <f t="shared" si="292"/>
        <v>-3.8100000000000002E-2</v>
      </c>
      <c r="AA207" s="55">
        <f t="shared" si="293"/>
        <v>-0.96284999999999998</v>
      </c>
      <c r="AB207" s="55">
        <f t="shared" si="294"/>
        <v>0.84333599999999997</v>
      </c>
      <c r="AC207" s="55">
        <f t="shared" si="295"/>
        <v>0.60397100000000004</v>
      </c>
      <c r="AD207" s="55">
        <f t="shared" si="296"/>
        <v>-1.6871149999999999</v>
      </c>
      <c r="AE207" s="55">
        <f t="shared" si="297"/>
        <v>-0.68394600000000005</v>
      </c>
      <c r="AF207" s="55">
        <f t="shared" si="298"/>
        <v>0.61243499999999995</v>
      </c>
      <c r="AG207" s="55">
        <f t="shared" si="299"/>
        <v>0.67593400000000003</v>
      </c>
      <c r="AH207" s="55">
        <f t="shared" si="300"/>
        <v>0.32172499999999998</v>
      </c>
      <c r="AI207" s="55">
        <f t="shared" si="301"/>
        <v>-0.48714099999999999</v>
      </c>
      <c r="AJ207" s="55">
        <f t="shared" si="302"/>
        <v>-0.543597</v>
      </c>
      <c r="AK207" s="55">
        <f t="shared" si="303"/>
        <v>-0.49929000000000001</v>
      </c>
      <c r="AL207" s="55">
        <f t="shared" si="304"/>
        <v>0.19483600000000001</v>
      </c>
      <c r="AM207" s="55">
        <f t="shared" si="305"/>
        <v>-0.87549399999999999</v>
      </c>
      <c r="AN207" s="55">
        <f t="shared" si="306"/>
        <v>-0.78691800000000001</v>
      </c>
      <c r="AO207" s="55">
        <f t="shared" si="307"/>
        <v>0.32993400000000001</v>
      </c>
      <c r="AP207" s="55">
        <f t="shared" si="308"/>
        <v>-0.41718</v>
      </c>
      <c r="AQ207" s="55">
        <f t="shared" si="309"/>
        <v>-0.25569599999999998</v>
      </c>
      <c r="AR207" s="55">
        <f t="shared" si="310"/>
        <v>-0.97838499999999995</v>
      </c>
      <c r="AS207" s="55">
        <f t="shared" si="311"/>
        <v>-0.55299500000000001</v>
      </c>
      <c r="AT207" s="55">
        <f t="shared" si="312"/>
        <v>-1.1587E-2</v>
      </c>
      <c r="AU207" s="55">
        <f t="shared" si="313"/>
        <v>-0.10553800000000001</v>
      </c>
      <c r="AV207" s="55">
        <f t="shared" si="314"/>
        <v>0.33248499999999998</v>
      </c>
      <c r="AW207" s="55">
        <f t="shared" si="315"/>
        <v>0.36088500000000001</v>
      </c>
      <c r="AX207" s="55">
        <f t="shared" si="316"/>
        <v>0.129166</v>
      </c>
      <c r="AY207" s="55">
        <f t="shared" si="317"/>
        <v>0.195464</v>
      </c>
      <c r="AZ207" s="55">
        <f t="shared" si="318"/>
        <v>-0.39376699999999998</v>
      </c>
      <c r="BA207" s="55">
        <f t="shared" si="319"/>
        <v>0.58815799999999996</v>
      </c>
      <c r="BB207" s="55">
        <f t="shared" si="320"/>
        <v>-0.56207700000000005</v>
      </c>
      <c r="BC207" s="55">
        <f t="shared" si="321"/>
        <v>-0.127944</v>
      </c>
      <c r="BD207" s="55">
        <f t="shared" si="322"/>
        <v>5.8170000000000001E-3</v>
      </c>
      <c r="BE207" s="55">
        <f t="shared" si="323"/>
        <v>1.0401769999999999</v>
      </c>
      <c r="BF207" s="55">
        <f t="shared" si="324"/>
        <v>0.38863900000000001</v>
      </c>
      <c r="BG207" s="55">
        <f t="shared" si="325"/>
        <v>0.71790500000000002</v>
      </c>
      <c r="BH207" s="55">
        <f t="shared" si="326"/>
        <v>-1.2433989999999999</v>
      </c>
      <c r="BJ207" s="55">
        <f t="shared" ref="BJ207:BY222" si="378">VLOOKUP($B207,$A$33:$BG$132,BJ$134,FALSE)</f>
        <v>1.6254040000000001</v>
      </c>
      <c r="BK207" s="55">
        <f t="shared" si="378"/>
        <v>-0.32974100000000001</v>
      </c>
      <c r="BL207" s="55">
        <f t="shared" si="378"/>
        <v>-0.96115799999999996</v>
      </c>
      <c r="BM207" s="55">
        <f t="shared" si="378"/>
        <v>-0.70081599999999999</v>
      </c>
      <c r="BN207" s="55">
        <f t="shared" si="378"/>
        <v>-1.4411430000000001</v>
      </c>
      <c r="BO207" s="55">
        <f t="shared" si="378"/>
        <v>-0.68226600000000004</v>
      </c>
      <c r="BP207" s="55">
        <f t="shared" si="378"/>
        <v>-0.89169799999999999</v>
      </c>
      <c r="BQ207" s="55">
        <f t="shared" si="378"/>
        <v>0.85860499999999995</v>
      </c>
      <c r="BR207" s="55">
        <f t="shared" si="378"/>
        <v>-0.48549900000000001</v>
      </c>
      <c r="BS207" s="55">
        <f t="shared" si="378"/>
        <v>0.76777899999999999</v>
      </c>
      <c r="BT207" s="55">
        <f t="shared" si="378"/>
        <v>0.54898499999999995</v>
      </c>
      <c r="BU207" s="55">
        <f t="shared" si="378"/>
        <v>-0.81550199999999995</v>
      </c>
      <c r="BV207" s="55">
        <f t="shared" si="378"/>
        <v>-0.86378900000000003</v>
      </c>
      <c r="BW207" s="55">
        <f t="shared" si="378"/>
        <v>0.79839000000000004</v>
      </c>
      <c r="BX207" s="55">
        <f t="shared" si="378"/>
        <v>-0.55228100000000002</v>
      </c>
      <c r="BY207" s="55">
        <f t="shared" si="378"/>
        <v>0.314245</v>
      </c>
      <c r="BZ207" s="55">
        <f t="shared" si="327"/>
        <v>-1.4318789999999999</v>
      </c>
      <c r="CA207" s="55">
        <f t="shared" si="327"/>
        <v>-0.92930100000000004</v>
      </c>
      <c r="CB207" s="55">
        <f t="shared" si="327"/>
        <v>0.57114299999999996</v>
      </c>
      <c r="CC207" s="55">
        <f t="shared" si="327"/>
        <v>-0.26586100000000001</v>
      </c>
      <c r="CD207" s="55">
        <f t="shared" si="327"/>
        <v>0.451239</v>
      </c>
      <c r="CE207" s="55">
        <f t="shared" si="327"/>
        <v>-0.236091</v>
      </c>
      <c r="CF207" s="55">
        <f t="shared" si="327"/>
        <v>1.634371</v>
      </c>
      <c r="CG207" s="55">
        <f t="shared" si="327"/>
        <v>8.8885000000000006E-2</v>
      </c>
      <c r="CH207" s="55">
        <f t="shared" si="327"/>
        <v>-1.4460789999999999</v>
      </c>
      <c r="CI207" s="55">
        <f t="shared" si="327"/>
        <v>0.106548</v>
      </c>
      <c r="CJ207" s="55">
        <f t="shared" si="327"/>
        <v>0.447882</v>
      </c>
      <c r="CK207" s="55">
        <f t="shared" si="327"/>
        <v>-0.80142199999999997</v>
      </c>
      <c r="CL207" s="55">
        <f t="shared" si="327"/>
        <v>-0.182949</v>
      </c>
      <c r="CM207" s="55">
        <f t="shared" si="327"/>
        <v>0.85319900000000004</v>
      </c>
      <c r="CN207" s="55">
        <f t="shared" si="327"/>
        <v>0.76485499999999995</v>
      </c>
      <c r="CO207" s="55">
        <f t="shared" si="328"/>
        <v>-1.4253290000000001</v>
      </c>
      <c r="CP207" s="55">
        <f t="shared" si="328"/>
        <v>-0.37792199999999998</v>
      </c>
      <c r="CQ207" s="55">
        <f t="shared" si="328"/>
        <v>-0.102326</v>
      </c>
      <c r="CR207" s="55">
        <f t="shared" si="328"/>
        <v>0.76357299999999995</v>
      </c>
      <c r="CS207" s="55">
        <f t="shared" si="328"/>
        <v>1.8122400000000001</v>
      </c>
      <c r="CT207" s="55">
        <f t="shared" si="328"/>
        <v>7.0805000000000007E-2</v>
      </c>
      <c r="CU207" s="55">
        <f t="shared" si="328"/>
        <v>-7.2219000000000005E-2</v>
      </c>
      <c r="CV207" s="55">
        <f t="shared" si="328"/>
        <v>0.31185000000000002</v>
      </c>
      <c r="CW207" s="55">
        <f t="shared" si="328"/>
        <v>-0.25651600000000002</v>
      </c>
      <c r="CX207" s="55">
        <f t="shared" si="328"/>
        <v>-0.31519399999999997</v>
      </c>
      <c r="CY207" s="55">
        <f t="shared" si="328"/>
        <v>6.9620000000000003E-3</v>
      </c>
      <c r="CZ207" s="55">
        <f t="shared" si="328"/>
        <v>0.72981499999999999</v>
      </c>
      <c r="DA207" s="55">
        <f t="shared" si="328"/>
        <v>0.65998199999999996</v>
      </c>
      <c r="DB207" s="55">
        <f t="shared" si="328"/>
        <v>0.22279599999999999</v>
      </c>
      <c r="DC207" s="55">
        <f t="shared" si="328"/>
        <v>8.8345000000000007E-2</v>
      </c>
      <c r="DD207" s="55">
        <f t="shared" si="328"/>
        <v>0.31037700000000001</v>
      </c>
      <c r="DE207" s="55">
        <f t="shared" si="287"/>
        <v>-0.64868899999999996</v>
      </c>
      <c r="DF207" s="55">
        <f t="shared" si="287"/>
        <v>-0.58344099999999999</v>
      </c>
      <c r="DG207" s="55">
        <f t="shared" si="287"/>
        <v>-0.49345800000000001</v>
      </c>
      <c r="DI207" s="55">
        <f t="shared" ca="1" si="236"/>
        <v>0.94180900000000001</v>
      </c>
      <c r="DJ207" s="55">
        <f t="shared" ca="1" si="237"/>
        <v>-0.96661600000000003</v>
      </c>
      <c r="DK207" s="55">
        <f t="shared" ca="1" si="238"/>
        <v>-1.701E-3</v>
      </c>
      <c r="DL207" s="55">
        <f t="shared" ca="1" si="239"/>
        <v>-0.54540299999999997</v>
      </c>
      <c r="DM207" s="55">
        <f t="shared" ca="1" si="240"/>
        <v>-0.43832100000000002</v>
      </c>
      <c r="DN207" s="55">
        <f t="shared" ca="1" si="241"/>
        <v>-1.4298390000000001</v>
      </c>
      <c r="DO207" s="55">
        <f t="shared" ca="1" si="242"/>
        <v>0.92647900000000005</v>
      </c>
      <c r="DP207" s="55">
        <f t="shared" ca="1" si="243"/>
        <v>-0.78257600000000005</v>
      </c>
      <c r="DQ207" s="55">
        <f t="shared" ca="1" si="244"/>
        <v>0.45502300000000001</v>
      </c>
      <c r="DR207" s="55">
        <f t="shared" ca="1" si="245"/>
        <v>0.18059900000000001</v>
      </c>
      <c r="DS207" s="55">
        <f t="shared" ca="1" si="246"/>
        <v>-0.34862500000000002</v>
      </c>
      <c r="DT207" s="55">
        <f t="shared" ca="1" si="247"/>
        <v>-0.84838400000000003</v>
      </c>
      <c r="DU207" s="55">
        <f t="shared" ca="1" si="248"/>
        <v>0.65981699999999999</v>
      </c>
      <c r="DV207" s="55">
        <f t="shared" ca="1" si="249"/>
        <v>-1.4716579999999999</v>
      </c>
      <c r="DW207" s="55">
        <f t="shared" ca="1" si="250"/>
        <v>1.3420000000000001E-3</v>
      </c>
      <c r="DX207" s="55">
        <f t="shared" ca="1" si="251"/>
        <v>-3.8100000000000002E-2</v>
      </c>
      <c r="DY207" s="55">
        <f t="shared" ca="1" si="252"/>
        <v>-0.96284999999999998</v>
      </c>
      <c r="DZ207" s="55">
        <f t="shared" ca="1" si="253"/>
        <v>0.84333599999999997</v>
      </c>
      <c r="EA207" s="55">
        <f t="shared" ca="1" si="254"/>
        <v>0.60397100000000004</v>
      </c>
      <c r="EB207" s="55">
        <f t="shared" ca="1" si="255"/>
        <v>-1.6871149999999999</v>
      </c>
      <c r="EC207" s="55">
        <f t="shared" ca="1" si="256"/>
        <v>-0.68394600000000005</v>
      </c>
      <c r="ED207" s="55">
        <f t="shared" ca="1" si="257"/>
        <v>0.35351492783399996</v>
      </c>
      <c r="EE207" s="55">
        <f t="shared" ca="1" si="258"/>
        <v>0.96839242461700004</v>
      </c>
      <c r="EF207" s="55">
        <f t="shared" ca="1" si="259"/>
        <v>0.25067596955999999</v>
      </c>
      <c r="EG207" s="55">
        <f t="shared" ca="1" si="260"/>
        <v>-0.77975230025800002</v>
      </c>
      <c r="EH207" s="55">
        <f t="shared" ca="1" si="261"/>
        <v>-0.34521110455499998</v>
      </c>
      <c r="EI207" s="55">
        <f t="shared" ca="1" si="262"/>
        <v>-0.21026898874800001</v>
      </c>
      <c r="EJ207" s="55">
        <f t="shared" ca="1" si="263"/>
        <v>-0.109163162378</v>
      </c>
      <c r="EK207" s="55">
        <f t="shared" ca="1" si="264"/>
        <v>-0.66417012615499993</v>
      </c>
      <c r="EL207" s="55">
        <f t="shared" ca="1" si="265"/>
        <v>-0.28645105850300001</v>
      </c>
      <c r="EM207" s="55">
        <f t="shared" ca="1" si="266"/>
        <v>0.46264622886099999</v>
      </c>
      <c r="EN207" s="55">
        <f t="shared" ca="1" si="267"/>
        <v>-0.72480759400899997</v>
      </c>
      <c r="EO207" s="55">
        <f t="shared" ca="1" si="268"/>
        <v>-0.29299216386599997</v>
      </c>
      <c r="EP207" s="55">
        <f t="shared" ca="1" si="269"/>
        <v>-0.711063480681</v>
      </c>
      <c r="EQ207" s="55">
        <f t="shared" ca="1" si="270"/>
        <v>-0.15125612391200002</v>
      </c>
      <c r="ER207" s="55">
        <f t="shared" ca="1" si="271"/>
        <v>0.54493739460700008</v>
      </c>
      <c r="ES207" s="55">
        <f t="shared" ca="1" si="272"/>
        <v>-5.1728520637000001E-2</v>
      </c>
      <c r="ET207" s="55">
        <f t="shared" ca="1" si="273"/>
        <v>0.20899321673599999</v>
      </c>
      <c r="EU207" s="55">
        <f t="shared" ca="1" si="274"/>
        <v>0.34592241106499999</v>
      </c>
      <c r="EV207" s="55">
        <f t="shared" ca="1" si="275"/>
        <v>1.147860883799999E-2</v>
      </c>
      <c r="EW207" s="55">
        <f t="shared" ca="1" si="276"/>
        <v>3.9641307222000016E-2</v>
      </c>
      <c r="EX207" s="55">
        <f t="shared" ca="1" si="277"/>
        <v>-0.27148815221099998</v>
      </c>
      <c r="EY207" s="55">
        <f t="shared" ca="1" si="278"/>
        <v>0.6313833586369999</v>
      </c>
      <c r="EZ207" s="55">
        <f t="shared" ca="1" si="279"/>
        <v>-0.56207700000000005</v>
      </c>
      <c r="FA207" s="55">
        <f t="shared" ca="1" si="280"/>
        <v>-0.127944</v>
      </c>
      <c r="FB207" s="55">
        <f t="shared" ca="1" si="281"/>
        <v>5.8170000000000001E-3</v>
      </c>
      <c r="FC207" s="55">
        <f t="shared" ca="1" si="282"/>
        <v>1.0401769999999999</v>
      </c>
      <c r="FD207" s="55">
        <f t="shared" ca="1" si="283"/>
        <v>0.38863900000000001</v>
      </c>
      <c r="FE207" s="55">
        <f t="shared" ca="1" si="284"/>
        <v>0.71790500000000002</v>
      </c>
      <c r="FF207" s="55">
        <f t="shared" ca="1" si="285"/>
        <v>-1.2433989999999999</v>
      </c>
      <c r="FH207" s="55">
        <f t="shared" ca="1" si="286"/>
        <v>0</v>
      </c>
      <c r="FI207" s="55">
        <f t="shared" ref="FI207:FI236" ca="1" si="379">DJ207-L207</f>
        <v>0</v>
      </c>
      <c r="FJ207" s="55">
        <f t="shared" ref="FJ207:FJ236" ca="1" si="380">DK207-M207</f>
        <v>0</v>
      </c>
      <c r="FK207" s="55">
        <f t="shared" ref="FK207:FK236" ca="1" si="381">DL207-N207</f>
        <v>0</v>
      </c>
      <c r="FL207" s="55">
        <f t="shared" ref="FL207:FL236" ca="1" si="382">DM207-O207</f>
        <v>0</v>
      </c>
      <c r="FM207" s="55">
        <f t="shared" ref="FM207:FM236" ca="1" si="383">DN207-P207</f>
        <v>0</v>
      </c>
      <c r="FN207" s="55">
        <f t="shared" ref="FN207:FN236" ca="1" si="384">DO207-Q207</f>
        <v>0</v>
      </c>
      <c r="FO207" s="55">
        <f t="shared" ref="FO207:FO236" ca="1" si="385">DP207-R207</f>
        <v>0</v>
      </c>
      <c r="FP207" s="55">
        <f t="shared" ref="FP207:FP236" ca="1" si="386">DQ207-S207</f>
        <v>0</v>
      </c>
      <c r="FQ207" s="55">
        <f t="shared" ref="FQ207:FQ236" ca="1" si="387">DR207-T207</f>
        <v>0</v>
      </c>
      <c r="FR207" s="55">
        <f t="shared" ref="FR207:FR236" ca="1" si="388">DS207-U207</f>
        <v>0</v>
      </c>
      <c r="FS207" s="55">
        <f t="shared" ca="1" si="329"/>
        <v>0</v>
      </c>
      <c r="FT207" s="55">
        <f t="shared" ca="1" si="330"/>
        <v>0</v>
      </c>
      <c r="FU207" s="55">
        <f t="shared" ca="1" si="331"/>
        <v>0</v>
      </c>
      <c r="FV207" s="55">
        <f t="shared" ca="1" si="332"/>
        <v>0</v>
      </c>
      <c r="FW207" s="55">
        <f t="shared" ca="1" si="333"/>
        <v>0</v>
      </c>
      <c r="FX207" s="55">
        <f t="shared" ca="1" si="334"/>
        <v>0</v>
      </c>
      <c r="FY207" s="55">
        <f t="shared" ca="1" si="335"/>
        <v>0</v>
      </c>
      <c r="FZ207" s="55">
        <f t="shared" ca="1" si="336"/>
        <v>0</v>
      </c>
      <c r="GA207" s="55">
        <f t="shared" ca="1" si="337"/>
        <v>0</v>
      </c>
      <c r="GB207" s="55">
        <f t="shared" ca="1" si="338"/>
        <v>0</v>
      </c>
      <c r="GC207" s="55">
        <f t="shared" ca="1" si="339"/>
        <v>-0.25892007216599999</v>
      </c>
      <c r="GD207" s="55">
        <f t="shared" ca="1" si="340"/>
        <v>0.292458424617</v>
      </c>
      <c r="GE207" s="55">
        <f t="shared" ca="1" si="341"/>
        <v>-7.1049030439999994E-2</v>
      </c>
      <c r="GF207" s="55">
        <f t="shared" ca="1" si="342"/>
        <v>-0.29261130025800003</v>
      </c>
      <c r="GG207" s="55">
        <f t="shared" ca="1" si="343"/>
        <v>0.19838589544500002</v>
      </c>
      <c r="GH207" s="55">
        <f t="shared" ca="1" si="344"/>
        <v>0.28902101125199997</v>
      </c>
      <c r="GI207" s="55">
        <f t="shared" ca="1" si="345"/>
        <v>-0.30399916237800001</v>
      </c>
      <c r="GJ207" s="55">
        <f t="shared" ca="1" si="346"/>
        <v>0.21132387384500007</v>
      </c>
      <c r="GK207" s="55">
        <f t="shared" ca="1" si="347"/>
        <v>0.500466941497</v>
      </c>
      <c r="GL207" s="55">
        <f t="shared" ca="1" si="348"/>
        <v>0.13271222886099998</v>
      </c>
      <c r="GM207" s="55">
        <f t="shared" ca="1" si="349"/>
        <v>-0.30762759400899997</v>
      </c>
      <c r="GN207" s="55">
        <f t="shared" ca="1" si="350"/>
        <v>-3.7296163865999987E-2</v>
      </c>
      <c r="GO207" s="55">
        <f t="shared" ca="1" si="351"/>
        <v>0.26732151931899995</v>
      </c>
      <c r="GP207" s="55">
        <f t="shared" ca="1" si="352"/>
        <v>0.40173887608799996</v>
      </c>
      <c r="GQ207" s="55">
        <f t="shared" ca="1" si="353"/>
        <v>0.55652439460700009</v>
      </c>
      <c r="GR207" s="55">
        <f t="shared" ca="1" si="354"/>
        <v>5.3809479363000005E-2</v>
      </c>
      <c r="GS207" s="55">
        <f t="shared" ca="1" si="355"/>
        <v>-0.12349178326399998</v>
      </c>
      <c r="GT207" s="55">
        <f t="shared" ca="1" si="356"/>
        <v>-1.4962588935000021E-2</v>
      </c>
      <c r="GU207" s="55">
        <f t="shared" ca="1" si="357"/>
        <v>-0.11768739116200001</v>
      </c>
      <c r="GV207" s="55">
        <f t="shared" ca="1" si="358"/>
        <v>-0.15582269277799998</v>
      </c>
      <c r="GW207" s="55">
        <f t="shared" ca="1" si="359"/>
        <v>0.122278847789</v>
      </c>
      <c r="GX207" s="55">
        <f t="shared" ca="1" si="360"/>
        <v>4.3225358636999944E-2</v>
      </c>
      <c r="GY207" s="55">
        <f t="shared" ca="1" si="361"/>
        <v>0</v>
      </c>
      <c r="GZ207" s="55">
        <f t="shared" ca="1" si="362"/>
        <v>0</v>
      </c>
      <c r="HA207" s="55">
        <f t="shared" ca="1" si="363"/>
        <v>0</v>
      </c>
      <c r="HB207" s="55">
        <f t="shared" ca="1" si="364"/>
        <v>0</v>
      </c>
      <c r="HC207" s="55">
        <f t="shared" ca="1" si="365"/>
        <v>0</v>
      </c>
      <c r="HD207" s="55">
        <f t="shared" ca="1" si="366"/>
        <v>0</v>
      </c>
      <c r="HE207" s="55">
        <f t="shared" ca="1" si="367"/>
        <v>0</v>
      </c>
    </row>
    <row r="208" spans="1:213">
      <c r="A208" s="27">
        <v>71</v>
      </c>
      <c r="B208" s="27">
        <v>66</v>
      </c>
      <c r="C208" s="27">
        <v>0.67095400000000005</v>
      </c>
      <c r="D208" s="27">
        <v>0.30825000000000002</v>
      </c>
      <c r="E208" s="27">
        <v>16</v>
      </c>
      <c r="F208" s="27">
        <f t="shared" ca="1" si="231"/>
        <v>20</v>
      </c>
      <c r="G208" s="27">
        <f t="shared" si="230"/>
        <v>0</v>
      </c>
      <c r="H208" s="27" t="str">
        <f t="shared" si="232"/>
        <v>Sim</v>
      </c>
      <c r="I208" s="27">
        <f t="shared" si="233"/>
        <v>0</v>
      </c>
      <c r="J208" s="37">
        <f t="shared" si="234"/>
        <v>1</v>
      </c>
      <c r="K208" s="55">
        <f t="shared" si="235"/>
        <v>0.42886099999999999</v>
      </c>
      <c r="L208" s="55">
        <f t="shared" si="368"/>
        <v>0.18281</v>
      </c>
      <c r="M208" s="55">
        <f t="shared" si="369"/>
        <v>1.0113160000000001</v>
      </c>
      <c r="N208" s="55">
        <f t="shared" si="370"/>
        <v>0.833758</v>
      </c>
      <c r="O208" s="55">
        <f t="shared" si="371"/>
        <v>0.72736800000000001</v>
      </c>
      <c r="P208" s="55">
        <f t="shared" si="372"/>
        <v>-0.48835600000000001</v>
      </c>
      <c r="Q208" s="55">
        <f t="shared" si="373"/>
        <v>-0.16409099999999999</v>
      </c>
      <c r="R208" s="55">
        <f t="shared" si="374"/>
        <v>-0.22639899999999999</v>
      </c>
      <c r="S208" s="55">
        <f t="shared" si="375"/>
        <v>0.76419000000000004</v>
      </c>
      <c r="T208" s="55">
        <f t="shared" si="376"/>
        <v>-0.41230899999999998</v>
      </c>
      <c r="U208" s="55">
        <f t="shared" si="377"/>
        <v>-0.58820700000000004</v>
      </c>
      <c r="V208" s="55">
        <f t="shared" si="288"/>
        <v>0.37289</v>
      </c>
      <c r="W208" s="55">
        <f t="shared" si="289"/>
        <v>0.71107600000000004</v>
      </c>
      <c r="X208" s="55">
        <f t="shared" si="290"/>
        <v>0.64318900000000001</v>
      </c>
      <c r="Y208" s="55">
        <f t="shared" si="291"/>
        <v>-0.59041600000000005</v>
      </c>
      <c r="Z208" s="55">
        <f t="shared" si="292"/>
        <v>-0.56031699999999995</v>
      </c>
      <c r="AA208" s="55">
        <f t="shared" si="293"/>
        <v>0.57617799999999997</v>
      </c>
      <c r="AB208" s="55">
        <f t="shared" si="294"/>
        <v>-0.27173799999999998</v>
      </c>
      <c r="AC208" s="55">
        <f t="shared" si="295"/>
        <v>9.0342000000000006E-2</v>
      </c>
      <c r="AD208" s="55">
        <f t="shared" si="296"/>
        <v>-0.42563200000000001</v>
      </c>
      <c r="AE208" s="55">
        <f t="shared" si="297"/>
        <v>-0.75923700000000005</v>
      </c>
      <c r="AF208" s="55">
        <f t="shared" si="298"/>
        <v>-6.4381999999999995E-2</v>
      </c>
      <c r="AG208" s="55">
        <f t="shared" si="299"/>
        <v>1.6861550000000001</v>
      </c>
      <c r="AH208" s="55">
        <f t="shared" si="300"/>
        <v>1.1935979999999999</v>
      </c>
      <c r="AI208" s="55">
        <f t="shared" si="301"/>
        <v>-0.86977000000000004</v>
      </c>
      <c r="AJ208" s="55">
        <f t="shared" si="302"/>
        <v>0.21907799999999999</v>
      </c>
      <c r="AK208" s="55">
        <f t="shared" si="303"/>
        <v>-1.2230810000000001</v>
      </c>
      <c r="AL208" s="55">
        <f t="shared" si="304"/>
        <v>1.108806</v>
      </c>
      <c r="AM208" s="55">
        <f t="shared" si="305"/>
        <v>-0.64537299999999997</v>
      </c>
      <c r="AN208" s="55">
        <f t="shared" si="306"/>
        <v>-0.142427</v>
      </c>
      <c r="AO208" s="55">
        <f t="shared" si="307"/>
        <v>0.78876100000000005</v>
      </c>
      <c r="AP208" s="55">
        <f t="shared" si="308"/>
        <v>-9.7087000000000007E-2</v>
      </c>
      <c r="AQ208" s="55">
        <f t="shared" si="309"/>
        <v>0.10632999999999999</v>
      </c>
      <c r="AR208" s="55">
        <f t="shared" si="310"/>
        <v>0.31070500000000001</v>
      </c>
      <c r="AS208" s="55">
        <f t="shared" si="311"/>
        <v>0.79967900000000003</v>
      </c>
      <c r="AT208" s="55">
        <f t="shared" si="312"/>
        <v>-0.91009600000000002</v>
      </c>
      <c r="AU208" s="55">
        <f t="shared" si="313"/>
        <v>0.49046200000000001</v>
      </c>
      <c r="AV208" s="55">
        <f t="shared" si="314"/>
        <v>0.71439600000000003</v>
      </c>
      <c r="AW208" s="55">
        <f t="shared" si="315"/>
        <v>0.275453</v>
      </c>
      <c r="AX208" s="55">
        <f t="shared" si="316"/>
        <v>0.56044400000000005</v>
      </c>
      <c r="AY208" s="55">
        <f t="shared" si="317"/>
        <v>0.49820900000000001</v>
      </c>
      <c r="AZ208" s="55">
        <f t="shared" si="318"/>
        <v>0.79888899999999996</v>
      </c>
      <c r="BA208" s="55">
        <f t="shared" si="319"/>
        <v>0.229267</v>
      </c>
      <c r="BB208" s="55">
        <f t="shared" si="320"/>
        <v>-1.005714</v>
      </c>
      <c r="BC208" s="55">
        <f t="shared" si="321"/>
        <v>-0.80216100000000001</v>
      </c>
      <c r="BD208" s="55">
        <f t="shared" si="322"/>
        <v>0.674404</v>
      </c>
      <c r="BE208" s="55">
        <f t="shared" si="323"/>
        <v>0.71349200000000002</v>
      </c>
      <c r="BF208" s="55">
        <f t="shared" si="324"/>
        <v>0.19221099999999999</v>
      </c>
      <c r="BG208" s="55">
        <f t="shared" si="325"/>
        <v>-0.75938799999999995</v>
      </c>
      <c r="BH208" s="55">
        <f t="shared" si="326"/>
        <v>-0.37675500000000001</v>
      </c>
      <c r="BJ208" s="55">
        <f t="shared" si="378"/>
        <v>-1.0969869999999999</v>
      </c>
      <c r="BK208" s="55">
        <f t="shared" si="378"/>
        <v>0.38115300000000002</v>
      </c>
      <c r="BL208" s="55">
        <f t="shared" si="378"/>
        <v>0.52356899999999995</v>
      </c>
      <c r="BM208" s="55">
        <f t="shared" si="378"/>
        <v>-1.714448</v>
      </c>
      <c r="BN208" s="55">
        <f t="shared" si="378"/>
        <v>0.639714</v>
      </c>
      <c r="BO208" s="55">
        <f t="shared" si="378"/>
        <v>-0.27751399999999998</v>
      </c>
      <c r="BP208" s="55">
        <f t="shared" si="378"/>
        <v>0.22517899999999999</v>
      </c>
      <c r="BQ208" s="55">
        <f t="shared" si="378"/>
        <v>-6.7871000000000001E-2</v>
      </c>
      <c r="BR208" s="55">
        <f t="shared" si="378"/>
        <v>-0.26596500000000001</v>
      </c>
      <c r="BS208" s="55">
        <f t="shared" si="378"/>
        <v>-3.7038000000000001E-2</v>
      </c>
      <c r="BT208" s="55">
        <f t="shared" si="378"/>
        <v>0.96115200000000001</v>
      </c>
      <c r="BU208" s="55">
        <f t="shared" si="378"/>
        <v>0.51594700000000004</v>
      </c>
      <c r="BV208" s="55">
        <f t="shared" si="378"/>
        <v>0.59214999999999995</v>
      </c>
      <c r="BW208" s="55">
        <f t="shared" si="378"/>
        <v>-0.90259299999999998</v>
      </c>
      <c r="BX208" s="55">
        <f t="shared" si="378"/>
        <v>0.98840300000000003</v>
      </c>
      <c r="BY208" s="55">
        <f t="shared" si="378"/>
        <v>-0.674983</v>
      </c>
      <c r="BZ208" s="55">
        <f t="shared" si="327"/>
        <v>0.97841800000000001</v>
      </c>
      <c r="CA208" s="55">
        <f t="shared" si="327"/>
        <v>0.82400099999999998</v>
      </c>
      <c r="CB208" s="55">
        <f t="shared" si="327"/>
        <v>1.396997</v>
      </c>
      <c r="CC208" s="55">
        <f t="shared" si="327"/>
        <v>-0.45306800000000003</v>
      </c>
      <c r="CD208" s="55">
        <f t="shared" si="327"/>
        <v>0.68356899999999998</v>
      </c>
      <c r="CE208" s="55">
        <f t="shared" si="327"/>
        <v>0.73449600000000004</v>
      </c>
      <c r="CF208" s="55">
        <f t="shared" si="327"/>
        <v>0.567998</v>
      </c>
      <c r="CG208" s="55">
        <f t="shared" si="327"/>
        <v>-0.45733400000000002</v>
      </c>
      <c r="CH208" s="55">
        <f t="shared" si="327"/>
        <v>-1.048338</v>
      </c>
      <c r="CI208" s="55">
        <f t="shared" si="327"/>
        <v>-1.1257E-2</v>
      </c>
      <c r="CJ208" s="55">
        <f t="shared" si="327"/>
        <v>0.294599</v>
      </c>
      <c r="CK208" s="55">
        <f t="shared" si="327"/>
        <v>1.0457559999999999</v>
      </c>
      <c r="CL208" s="55">
        <f t="shared" si="327"/>
        <v>-0.35778199999999999</v>
      </c>
      <c r="CM208" s="55">
        <f t="shared" si="327"/>
        <v>-0.12554699999999999</v>
      </c>
      <c r="CN208" s="55">
        <f t="shared" si="327"/>
        <v>-0.62191700000000005</v>
      </c>
      <c r="CO208" s="55">
        <f t="shared" si="328"/>
        <v>0.52560499999999999</v>
      </c>
      <c r="CP208" s="55">
        <f t="shared" si="328"/>
        <v>2.4389000000000001E-2</v>
      </c>
      <c r="CQ208" s="55">
        <f t="shared" si="328"/>
        <v>-1.1259049999999999</v>
      </c>
      <c r="CR208" s="55">
        <f t="shared" si="328"/>
        <v>0.78310400000000002</v>
      </c>
      <c r="CS208" s="55">
        <f t="shared" si="328"/>
        <v>-0.625803</v>
      </c>
      <c r="CT208" s="55">
        <f t="shared" si="328"/>
        <v>0.32439000000000001</v>
      </c>
      <c r="CU208" s="55">
        <f t="shared" si="328"/>
        <v>-0.28769800000000001</v>
      </c>
      <c r="CV208" s="55">
        <f t="shared" si="328"/>
        <v>-0.81347199999999997</v>
      </c>
      <c r="CW208" s="55">
        <f t="shared" si="328"/>
        <v>0.20236699999999999</v>
      </c>
      <c r="CX208" s="55">
        <f t="shared" si="328"/>
        <v>0.71817299999999995</v>
      </c>
      <c r="CY208" s="55">
        <f t="shared" si="328"/>
        <v>-1.6559000000000001E-2</v>
      </c>
      <c r="CZ208" s="55">
        <f t="shared" si="328"/>
        <v>-0.30865999999999999</v>
      </c>
      <c r="DA208" s="55">
        <f t="shared" si="328"/>
        <v>-0.412381</v>
      </c>
      <c r="DB208" s="55">
        <f t="shared" si="328"/>
        <v>-0.70930300000000002</v>
      </c>
      <c r="DC208" s="55">
        <f t="shared" si="328"/>
        <v>-7.7965000000000007E-2</v>
      </c>
      <c r="DD208" s="55">
        <f t="shared" si="328"/>
        <v>0.49343900000000002</v>
      </c>
      <c r="DE208" s="55">
        <f t="shared" si="287"/>
        <v>-0.40752500000000003</v>
      </c>
      <c r="DF208" s="55">
        <f t="shared" si="287"/>
        <v>0.80309900000000001</v>
      </c>
      <c r="DG208" s="55">
        <f t="shared" si="287"/>
        <v>-0.17697399999999999</v>
      </c>
      <c r="DI208" s="55">
        <f t="shared" ca="1" si="236"/>
        <v>0.42886099999999999</v>
      </c>
      <c r="DJ208" s="55">
        <f t="shared" ca="1" si="237"/>
        <v>0.18281</v>
      </c>
      <c r="DK208" s="55">
        <f t="shared" ca="1" si="238"/>
        <v>1.0113160000000001</v>
      </c>
      <c r="DL208" s="55">
        <f t="shared" ca="1" si="239"/>
        <v>0.833758</v>
      </c>
      <c r="DM208" s="55">
        <f t="shared" ca="1" si="240"/>
        <v>0.72736800000000001</v>
      </c>
      <c r="DN208" s="55">
        <f t="shared" ca="1" si="241"/>
        <v>-0.48835600000000001</v>
      </c>
      <c r="DO208" s="55">
        <f t="shared" ca="1" si="242"/>
        <v>-0.16409099999999999</v>
      </c>
      <c r="DP208" s="55">
        <f t="shared" ca="1" si="243"/>
        <v>-0.22639899999999999</v>
      </c>
      <c r="DQ208" s="55">
        <f t="shared" ca="1" si="244"/>
        <v>0.76419000000000004</v>
      </c>
      <c r="DR208" s="55">
        <f t="shared" ca="1" si="245"/>
        <v>-0.41230899999999998</v>
      </c>
      <c r="DS208" s="55">
        <f t="shared" ca="1" si="246"/>
        <v>-0.58820700000000004</v>
      </c>
      <c r="DT208" s="55">
        <f t="shared" ca="1" si="247"/>
        <v>0.37289</v>
      </c>
      <c r="DU208" s="55">
        <f t="shared" ca="1" si="248"/>
        <v>0.71107600000000004</v>
      </c>
      <c r="DV208" s="55">
        <f t="shared" ca="1" si="249"/>
        <v>0.64318900000000001</v>
      </c>
      <c r="DW208" s="55">
        <f t="shared" ca="1" si="250"/>
        <v>-0.59041600000000005</v>
      </c>
      <c r="DX208" s="55">
        <f t="shared" ca="1" si="251"/>
        <v>-0.56031699999999995</v>
      </c>
      <c r="DY208" s="55">
        <f t="shared" ca="1" si="252"/>
        <v>0.85442752</v>
      </c>
      <c r="DZ208" s="55">
        <f t="shared" ca="1" si="253"/>
        <v>0.48623945324999995</v>
      </c>
      <c r="EA208" s="55">
        <f t="shared" ca="1" si="254"/>
        <v>0.99422059625000003</v>
      </c>
      <c r="EB208" s="55">
        <f t="shared" ca="1" si="255"/>
        <v>-0.44461085300000003</v>
      </c>
      <c r="EC208" s="55">
        <f t="shared" ca="1" si="256"/>
        <v>-0.75923700000000005</v>
      </c>
      <c r="ED208" s="55">
        <f t="shared" ca="1" si="257"/>
        <v>-6.4381999999999995E-2</v>
      </c>
      <c r="EE208" s="55">
        <f t="shared" ca="1" si="258"/>
        <v>1.6861550000000001</v>
      </c>
      <c r="EF208" s="55">
        <f t="shared" ca="1" si="259"/>
        <v>1.1935979999999999</v>
      </c>
      <c r="EG208" s="55">
        <f t="shared" ca="1" si="260"/>
        <v>-0.86977000000000004</v>
      </c>
      <c r="EH208" s="55">
        <f t="shared" ca="1" si="261"/>
        <v>0.21907799999999999</v>
      </c>
      <c r="EI208" s="55">
        <f t="shared" ca="1" si="262"/>
        <v>-1.2230810000000001</v>
      </c>
      <c r="EJ208" s="55">
        <f t="shared" ca="1" si="263"/>
        <v>1.108806</v>
      </c>
      <c r="EK208" s="55">
        <f t="shared" ca="1" si="264"/>
        <v>-0.64537299999999997</v>
      </c>
      <c r="EL208" s="55">
        <f t="shared" ca="1" si="265"/>
        <v>-0.142427</v>
      </c>
      <c r="EM208" s="55">
        <f t="shared" ca="1" si="266"/>
        <v>0.78876100000000005</v>
      </c>
      <c r="EN208" s="55">
        <f t="shared" ca="1" si="267"/>
        <v>-9.7087000000000007E-2</v>
      </c>
      <c r="EO208" s="55">
        <f t="shared" ca="1" si="268"/>
        <v>0.10632999999999999</v>
      </c>
      <c r="EP208" s="55">
        <f t="shared" ca="1" si="269"/>
        <v>0.31070500000000001</v>
      </c>
      <c r="EQ208" s="55">
        <f t="shared" ca="1" si="270"/>
        <v>0.79967900000000003</v>
      </c>
      <c r="ER208" s="55">
        <f t="shared" ca="1" si="271"/>
        <v>-0.91009600000000002</v>
      </c>
      <c r="ES208" s="55">
        <f t="shared" ca="1" si="272"/>
        <v>0.49046200000000001</v>
      </c>
      <c r="ET208" s="55">
        <f t="shared" ca="1" si="273"/>
        <v>0.71439600000000003</v>
      </c>
      <c r="EU208" s="55">
        <f t="shared" ca="1" si="274"/>
        <v>0.275453</v>
      </c>
      <c r="EV208" s="55">
        <f t="shared" ca="1" si="275"/>
        <v>0.56044400000000005</v>
      </c>
      <c r="EW208" s="55">
        <f t="shared" ca="1" si="276"/>
        <v>0.49820900000000001</v>
      </c>
      <c r="EX208" s="55">
        <f t="shared" ca="1" si="277"/>
        <v>0.79888899999999996</v>
      </c>
      <c r="EY208" s="55">
        <f t="shared" ca="1" si="278"/>
        <v>0.229267</v>
      </c>
      <c r="EZ208" s="55">
        <f t="shared" ca="1" si="279"/>
        <v>-1.005714</v>
      </c>
      <c r="FA208" s="55">
        <f t="shared" ca="1" si="280"/>
        <v>-0.80216100000000001</v>
      </c>
      <c r="FB208" s="55">
        <f t="shared" ca="1" si="281"/>
        <v>0.674404</v>
      </c>
      <c r="FC208" s="55">
        <f t="shared" ca="1" si="282"/>
        <v>0.71349200000000002</v>
      </c>
      <c r="FD208" s="55">
        <f t="shared" ca="1" si="283"/>
        <v>0.19221099999999999</v>
      </c>
      <c r="FE208" s="55">
        <f t="shared" ca="1" si="284"/>
        <v>-0.75938799999999995</v>
      </c>
      <c r="FF208" s="55">
        <f t="shared" ca="1" si="285"/>
        <v>-0.37675500000000001</v>
      </c>
      <c r="FH208" s="55">
        <f t="shared" ca="1" si="286"/>
        <v>0</v>
      </c>
      <c r="FI208" s="55">
        <f t="shared" ca="1" si="379"/>
        <v>0</v>
      </c>
      <c r="FJ208" s="55">
        <f t="shared" ca="1" si="380"/>
        <v>0</v>
      </c>
      <c r="FK208" s="55">
        <f t="shared" ca="1" si="381"/>
        <v>0</v>
      </c>
      <c r="FL208" s="55">
        <f t="shared" ca="1" si="382"/>
        <v>0</v>
      </c>
      <c r="FM208" s="55">
        <f t="shared" ca="1" si="383"/>
        <v>0</v>
      </c>
      <c r="FN208" s="55">
        <f t="shared" ca="1" si="384"/>
        <v>0</v>
      </c>
      <c r="FO208" s="55">
        <f t="shared" ca="1" si="385"/>
        <v>0</v>
      </c>
      <c r="FP208" s="55">
        <f t="shared" ca="1" si="386"/>
        <v>0</v>
      </c>
      <c r="FQ208" s="55">
        <f t="shared" ca="1" si="387"/>
        <v>0</v>
      </c>
      <c r="FR208" s="55">
        <f t="shared" ca="1" si="388"/>
        <v>0</v>
      </c>
      <c r="FS208" s="55">
        <f t="shared" ca="1" si="329"/>
        <v>0</v>
      </c>
      <c r="FT208" s="55">
        <f t="shared" ca="1" si="330"/>
        <v>0</v>
      </c>
      <c r="FU208" s="55">
        <f t="shared" ca="1" si="331"/>
        <v>0</v>
      </c>
      <c r="FV208" s="55">
        <f t="shared" ca="1" si="332"/>
        <v>0</v>
      </c>
      <c r="FW208" s="55">
        <f t="shared" ca="1" si="333"/>
        <v>0</v>
      </c>
      <c r="FX208" s="55">
        <f t="shared" ca="1" si="334"/>
        <v>0.27824952000000003</v>
      </c>
      <c r="FY208" s="55">
        <f t="shared" ca="1" si="335"/>
        <v>0.75797745324999988</v>
      </c>
      <c r="FZ208" s="55">
        <f t="shared" ca="1" si="336"/>
        <v>0.90387859625</v>
      </c>
      <c r="GA208" s="55">
        <f t="shared" ca="1" si="337"/>
        <v>-1.8978853000000018E-2</v>
      </c>
      <c r="GB208" s="55">
        <f t="shared" ca="1" si="338"/>
        <v>0</v>
      </c>
      <c r="GC208" s="55">
        <f t="shared" ca="1" si="339"/>
        <v>0</v>
      </c>
      <c r="GD208" s="55">
        <f t="shared" ca="1" si="340"/>
        <v>0</v>
      </c>
      <c r="GE208" s="55">
        <f t="shared" ca="1" si="341"/>
        <v>0</v>
      </c>
      <c r="GF208" s="55">
        <f t="shared" ca="1" si="342"/>
        <v>0</v>
      </c>
      <c r="GG208" s="55">
        <f t="shared" ca="1" si="343"/>
        <v>0</v>
      </c>
      <c r="GH208" s="55">
        <f t="shared" ca="1" si="344"/>
        <v>0</v>
      </c>
      <c r="GI208" s="55">
        <f t="shared" ca="1" si="345"/>
        <v>0</v>
      </c>
      <c r="GJ208" s="55">
        <f t="shared" ca="1" si="346"/>
        <v>0</v>
      </c>
      <c r="GK208" s="55">
        <f t="shared" ca="1" si="347"/>
        <v>0</v>
      </c>
      <c r="GL208" s="55">
        <f t="shared" ca="1" si="348"/>
        <v>0</v>
      </c>
      <c r="GM208" s="55">
        <f t="shared" ca="1" si="349"/>
        <v>0</v>
      </c>
      <c r="GN208" s="55">
        <f t="shared" ca="1" si="350"/>
        <v>0</v>
      </c>
      <c r="GO208" s="55">
        <f t="shared" ca="1" si="351"/>
        <v>0</v>
      </c>
      <c r="GP208" s="55">
        <f t="shared" ca="1" si="352"/>
        <v>0</v>
      </c>
      <c r="GQ208" s="55">
        <f t="shared" ca="1" si="353"/>
        <v>0</v>
      </c>
      <c r="GR208" s="55">
        <f t="shared" ca="1" si="354"/>
        <v>0</v>
      </c>
      <c r="GS208" s="55">
        <f t="shared" ca="1" si="355"/>
        <v>0</v>
      </c>
      <c r="GT208" s="55">
        <f t="shared" ca="1" si="356"/>
        <v>0</v>
      </c>
      <c r="GU208" s="55">
        <f t="shared" ca="1" si="357"/>
        <v>0</v>
      </c>
      <c r="GV208" s="55">
        <f t="shared" ca="1" si="358"/>
        <v>0</v>
      </c>
      <c r="GW208" s="55">
        <f t="shared" ca="1" si="359"/>
        <v>0</v>
      </c>
      <c r="GX208" s="55">
        <f t="shared" ca="1" si="360"/>
        <v>0</v>
      </c>
      <c r="GY208" s="55">
        <f t="shared" ca="1" si="361"/>
        <v>0</v>
      </c>
      <c r="GZ208" s="55">
        <f t="shared" ca="1" si="362"/>
        <v>0</v>
      </c>
      <c r="HA208" s="55">
        <f t="shared" ca="1" si="363"/>
        <v>0</v>
      </c>
      <c r="HB208" s="55">
        <f t="shared" ca="1" si="364"/>
        <v>0</v>
      </c>
      <c r="HC208" s="55">
        <f t="shared" ca="1" si="365"/>
        <v>0</v>
      </c>
      <c r="HD208" s="55">
        <f t="shared" ca="1" si="366"/>
        <v>0</v>
      </c>
      <c r="HE208" s="55">
        <f t="shared" ca="1" si="367"/>
        <v>0</v>
      </c>
    </row>
    <row r="209" spans="1:213">
      <c r="A209" s="27">
        <v>72</v>
      </c>
      <c r="B209" s="27">
        <v>70</v>
      </c>
      <c r="C209" s="27">
        <v>0.73849900000000002</v>
      </c>
      <c r="D209" s="27">
        <v>0.49274899999999999</v>
      </c>
      <c r="E209" s="27">
        <v>29</v>
      </c>
      <c r="F209" s="27">
        <f t="shared" ca="1" si="231"/>
        <v>37</v>
      </c>
      <c r="G209" s="27">
        <f t="shared" si="230"/>
        <v>0</v>
      </c>
      <c r="H209" s="27" t="str">
        <f t="shared" si="232"/>
        <v>Sim</v>
      </c>
      <c r="I209" s="27">
        <f t="shared" si="233"/>
        <v>0</v>
      </c>
      <c r="J209" s="37">
        <f t="shared" si="234"/>
        <v>1</v>
      </c>
      <c r="K209" s="55">
        <f t="shared" si="235"/>
        <v>0.70405300000000004</v>
      </c>
      <c r="L209" s="55">
        <f t="shared" si="368"/>
        <v>0.189886</v>
      </c>
      <c r="M209" s="55">
        <f t="shared" si="369"/>
        <v>-0.29790899999999998</v>
      </c>
      <c r="N209" s="55">
        <f t="shared" si="370"/>
        <v>0.97846299999999997</v>
      </c>
      <c r="O209" s="55">
        <f t="shared" si="371"/>
        <v>0.29230600000000001</v>
      </c>
      <c r="P209" s="55">
        <f t="shared" si="372"/>
        <v>-2.6873999999999999E-2</v>
      </c>
      <c r="Q209" s="55">
        <f t="shared" si="373"/>
        <v>0.130222</v>
      </c>
      <c r="R209" s="55">
        <f t="shared" si="374"/>
        <v>-0.67488000000000004</v>
      </c>
      <c r="S209" s="55">
        <f t="shared" si="375"/>
        <v>0.447604</v>
      </c>
      <c r="T209" s="55">
        <f t="shared" si="376"/>
        <v>-0.91737900000000006</v>
      </c>
      <c r="U209" s="55">
        <f t="shared" si="377"/>
        <v>-0.26982699999999998</v>
      </c>
      <c r="V209" s="55">
        <f t="shared" si="288"/>
        <v>-1.6246039999999999</v>
      </c>
      <c r="W209" s="55">
        <f t="shared" si="289"/>
        <v>0.86949500000000002</v>
      </c>
      <c r="X209" s="55">
        <f t="shared" si="290"/>
        <v>-0.86700600000000005</v>
      </c>
      <c r="Y209" s="55">
        <f t="shared" si="291"/>
        <v>0.37614900000000001</v>
      </c>
      <c r="Z209" s="55">
        <f t="shared" si="292"/>
        <v>0.39145999999999997</v>
      </c>
      <c r="AA209" s="55">
        <f t="shared" si="293"/>
        <v>-0.40725499999999998</v>
      </c>
      <c r="AB209" s="55">
        <f t="shared" si="294"/>
        <v>0.84033400000000003</v>
      </c>
      <c r="AC209" s="55">
        <f t="shared" si="295"/>
        <v>-0.634104</v>
      </c>
      <c r="AD209" s="55">
        <f t="shared" si="296"/>
        <v>-1.3065999999999999E-2</v>
      </c>
      <c r="AE209" s="55">
        <f t="shared" si="297"/>
        <v>-0.312776</v>
      </c>
      <c r="AF209" s="55">
        <f t="shared" si="298"/>
        <v>0.60697900000000005</v>
      </c>
      <c r="AG209" s="55">
        <f t="shared" si="299"/>
        <v>1.4918089999999999</v>
      </c>
      <c r="AH209" s="55">
        <f t="shared" si="300"/>
        <v>-0.98450700000000002</v>
      </c>
      <c r="AI209" s="55">
        <f t="shared" si="301"/>
        <v>-0.138104</v>
      </c>
      <c r="AJ209" s="55">
        <f t="shared" si="302"/>
        <v>-0.28716900000000001</v>
      </c>
      <c r="AK209" s="55">
        <f t="shared" si="303"/>
        <v>9.7927E-2</v>
      </c>
      <c r="AL209" s="55">
        <f t="shared" si="304"/>
        <v>0.58560199999999996</v>
      </c>
      <c r="AM209" s="55">
        <f t="shared" si="305"/>
        <v>-0.20683799999999999</v>
      </c>
      <c r="AN209" s="55">
        <f t="shared" si="306"/>
        <v>-1.279379</v>
      </c>
      <c r="AO209" s="55">
        <f t="shared" si="307"/>
        <v>1.172452</v>
      </c>
      <c r="AP209" s="55">
        <f t="shared" si="308"/>
        <v>-1.3849899999999999</v>
      </c>
      <c r="AQ209" s="55">
        <f t="shared" si="309"/>
        <v>0.75258700000000001</v>
      </c>
      <c r="AR209" s="55">
        <f t="shared" si="310"/>
        <v>-0.83950499999999995</v>
      </c>
      <c r="AS209" s="55">
        <f t="shared" si="311"/>
        <v>0.22764799999999999</v>
      </c>
      <c r="AT209" s="55">
        <f t="shared" si="312"/>
        <v>0.73755899999999996</v>
      </c>
      <c r="AU209" s="55">
        <f t="shared" si="313"/>
        <v>0.38729999999999998</v>
      </c>
      <c r="AV209" s="55">
        <f t="shared" si="314"/>
        <v>-0.10398300000000001</v>
      </c>
      <c r="AW209" s="55">
        <f t="shared" si="315"/>
        <v>-1.4118850000000001</v>
      </c>
      <c r="AX209" s="55">
        <f t="shared" si="316"/>
        <v>0.417939</v>
      </c>
      <c r="AY209" s="55">
        <f t="shared" si="317"/>
        <v>-0.15954599999999999</v>
      </c>
      <c r="AZ209" s="55">
        <f t="shared" si="318"/>
        <v>-0.19655</v>
      </c>
      <c r="BA209" s="55">
        <f t="shared" si="319"/>
        <v>-0.32601799999999997</v>
      </c>
      <c r="BB209" s="55">
        <f t="shared" si="320"/>
        <v>5.8167000000000003E-2</v>
      </c>
      <c r="BC209" s="55">
        <f t="shared" si="321"/>
        <v>0.37184699999999998</v>
      </c>
      <c r="BD209" s="55">
        <f t="shared" si="322"/>
        <v>-0.92221500000000001</v>
      </c>
      <c r="BE209" s="55">
        <f t="shared" si="323"/>
        <v>-0.63430200000000003</v>
      </c>
      <c r="BF209" s="55">
        <f t="shared" si="324"/>
        <v>0.33190599999999998</v>
      </c>
      <c r="BG209" s="55">
        <f t="shared" si="325"/>
        <v>-0.53409600000000002</v>
      </c>
      <c r="BH209" s="55">
        <f t="shared" si="326"/>
        <v>1.0541560000000001</v>
      </c>
      <c r="BJ209" s="55">
        <f t="shared" si="378"/>
        <v>0.94180900000000001</v>
      </c>
      <c r="BK209" s="55">
        <f t="shared" si="378"/>
        <v>-0.96661600000000003</v>
      </c>
      <c r="BL209" s="55">
        <f t="shared" si="378"/>
        <v>-1.701E-3</v>
      </c>
      <c r="BM209" s="55">
        <f t="shared" si="378"/>
        <v>-0.54540299999999997</v>
      </c>
      <c r="BN209" s="55">
        <f t="shared" si="378"/>
        <v>-0.43832100000000002</v>
      </c>
      <c r="BO209" s="55">
        <f t="shared" si="378"/>
        <v>-1.4298390000000001</v>
      </c>
      <c r="BP209" s="55">
        <f t="shared" si="378"/>
        <v>0.92647900000000005</v>
      </c>
      <c r="BQ209" s="55">
        <f t="shared" si="378"/>
        <v>-0.78257600000000005</v>
      </c>
      <c r="BR209" s="55">
        <f t="shared" si="378"/>
        <v>0.45502300000000001</v>
      </c>
      <c r="BS209" s="55">
        <f t="shared" si="378"/>
        <v>0.18059900000000001</v>
      </c>
      <c r="BT209" s="55">
        <f t="shared" si="378"/>
        <v>-0.34862500000000002</v>
      </c>
      <c r="BU209" s="55">
        <f t="shared" si="378"/>
        <v>-0.84838400000000003</v>
      </c>
      <c r="BV209" s="55">
        <f t="shared" si="378"/>
        <v>0.65981699999999999</v>
      </c>
      <c r="BW209" s="55">
        <f t="shared" si="378"/>
        <v>-1.4716579999999999</v>
      </c>
      <c r="BX209" s="55">
        <f t="shared" si="378"/>
        <v>1.3420000000000001E-3</v>
      </c>
      <c r="BY209" s="55">
        <f t="shared" si="378"/>
        <v>-3.8100000000000002E-2</v>
      </c>
      <c r="BZ209" s="55">
        <f t="shared" si="327"/>
        <v>-0.96284999999999998</v>
      </c>
      <c r="CA209" s="55">
        <f t="shared" si="327"/>
        <v>0.84333599999999997</v>
      </c>
      <c r="CB209" s="55">
        <f t="shared" si="327"/>
        <v>0.60397100000000004</v>
      </c>
      <c r="CC209" s="55">
        <f t="shared" si="327"/>
        <v>-1.6871149999999999</v>
      </c>
      <c r="CD209" s="55">
        <f t="shared" si="327"/>
        <v>-0.68394600000000005</v>
      </c>
      <c r="CE209" s="55">
        <f t="shared" si="327"/>
        <v>0.61243499999999995</v>
      </c>
      <c r="CF209" s="55">
        <f t="shared" si="327"/>
        <v>0.67593400000000003</v>
      </c>
      <c r="CG209" s="55">
        <f t="shared" si="327"/>
        <v>0.32172499999999998</v>
      </c>
      <c r="CH209" s="55">
        <f t="shared" si="327"/>
        <v>-0.48714099999999999</v>
      </c>
      <c r="CI209" s="55">
        <f t="shared" si="327"/>
        <v>-0.543597</v>
      </c>
      <c r="CJ209" s="55">
        <f t="shared" si="327"/>
        <v>-0.49929000000000001</v>
      </c>
      <c r="CK209" s="55">
        <f t="shared" si="327"/>
        <v>0.19483600000000001</v>
      </c>
      <c r="CL209" s="55">
        <f t="shared" si="327"/>
        <v>-0.87549399999999999</v>
      </c>
      <c r="CM209" s="55">
        <f t="shared" si="327"/>
        <v>-0.78691800000000001</v>
      </c>
      <c r="CN209" s="55">
        <f t="shared" si="327"/>
        <v>0.32993400000000001</v>
      </c>
      <c r="CO209" s="55">
        <f t="shared" si="328"/>
        <v>-0.41718</v>
      </c>
      <c r="CP209" s="55">
        <f t="shared" si="328"/>
        <v>-0.25569599999999998</v>
      </c>
      <c r="CQ209" s="55">
        <f t="shared" si="328"/>
        <v>-0.97838499999999995</v>
      </c>
      <c r="CR209" s="55">
        <f t="shared" si="328"/>
        <v>-0.55299500000000001</v>
      </c>
      <c r="CS209" s="55">
        <f t="shared" si="328"/>
        <v>-1.1587E-2</v>
      </c>
      <c r="CT209" s="55">
        <f t="shared" si="328"/>
        <v>-0.10553800000000001</v>
      </c>
      <c r="CU209" s="55">
        <f t="shared" si="328"/>
        <v>0.33248499999999998</v>
      </c>
      <c r="CV209" s="55">
        <f t="shared" si="328"/>
        <v>0.36088500000000001</v>
      </c>
      <c r="CW209" s="55">
        <f t="shared" si="328"/>
        <v>0.129166</v>
      </c>
      <c r="CX209" s="55">
        <f t="shared" si="328"/>
        <v>0.195464</v>
      </c>
      <c r="CY209" s="55">
        <f t="shared" si="328"/>
        <v>-0.39376699999999998</v>
      </c>
      <c r="CZ209" s="55">
        <f t="shared" si="328"/>
        <v>0.58815799999999996</v>
      </c>
      <c r="DA209" s="55">
        <f t="shared" si="328"/>
        <v>-0.56207700000000005</v>
      </c>
      <c r="DB209" s="55">
        <f t="shared" si="328"/>
        <v>-0.127944</v>
      </c>
      <c r="DC209" s="55">
        <f t="shared" si="328"/>
        <v>5.8170000000000001E-3</v>
      </c>
      <c r="DD209" s="55">
        <f t="shared" si="328"/>
        <v>1.0401769999999999</v>
      </c>
      <c r="DE209" s="55">
        <f t="shared" si="287"/>
        <v>0.38863900000000001</v>
      </c>
      <c r="DF209" s="55">
        <f t="shared" si="287"/>
        <v>0.71790500000000002</v>
      </c>
      <c r="DG209" s="55">
        <f t="shared" si="287"/>
        <v>-1.2433989999999999</v>
      </c>
      <c r="DI209" s="55">
        <f t="shared" ca="1" si="236"/>
        <v>0.70405300000000004</v>
      </c>
      <c r="DJ209" s="55">
        <f t="shared" ca="1" si="237"/>
        <v>0.189886</v>
      </c>
      <c r="DK209" s="55">
        <f t="shared" ca="1" si="238"/>
        <v>-0.29790899999999998</v>
      </c>
      <c r="DL209" s="55">
        <f t="shared" ca="1" si="239"/>
        <v>0.97846299999999997</v>
      </c>
      <c r="DM209" s="55">
        <f t="shared" ca="1" si="240"/>
        <v>0.29230600000000001</v>
      </c>
      <c r="DN209" s="55">
        <f t="shared" ca="1" si="241"/>
        <v>-2.6873999999999999E-2</v>
      </c>
      <c r="DO209" s="55">
        <f t="shared" ca="1" si="242"/>
        <v>0.130222</v>
      </c>
      <c r="DP209" s="55">
        <f t="shared" ca="1" si="243"/>
        <v>-0.67488000000000004</v>
      </c>
      <c r="DQ209" s="55">
        <f t="shared" ca="1" si="244"/>
        <v>0.447604</v>
      </c>
      <c r="DR209" s="55">
        <f t="shared" ca="1" si="245"/>
        <v>-0.91737900000000006</v>
      </c>
      <c r="DS209" s="55">
        <f t="shared" ca="1" si="246"/>
        <v>-0.26982699999999998</v>
      </c>
      <c r="DT209" s="55">
        <f t="shared" ca="1" si="247"/>
        <v>-1.6246039999999999</v>
      </c>
      <c r="DU209" s="55">
        <f t="shared" ca="1" si="248"/>
        <v>0.86949500000000002</v>
      </c>
      <c r="DV209" s="55">
        <f t="shared" ca="1" si="249"/>
        <v>-0.86700600000000005</v>
      </c>
      <c r="DW209" s="55">
        <f t="shared" ca="1" si="250"/>
        <v>0.37614900000000001</v>
      </c>
      <c r="DX209" s="55">
        <f t="shared" ca="1" si="251"/>
        <v>0.39145999999999997</v>
      </c>
      <c r="DY209" s="55">
        <f t="shared" ca="1" si="252"/>
        <v>-0.40725499999999998</v>
      </c>
      <c r="DZ209" s="55">
        <f t="shared" ca="1" si="253"/>
        <v>0.84033400000000003</v>
      </c>
      <c r="EA209" s="55">
        <f t="shared" ca="1" si="254"/>
        <v>-0.634104</v>
      </c>
      <c r="EB209" s="55">
        <f t="shared" ca="1" si="255"/>
        <v>-1.3065999999999999E-2</v>
      </c>
      <c r="EC209" s="55">
        <f t="shared" ca="1" si="256"/>
        <v>-0.312776</v>
      </c>
      <c r="ED209" s="55">
        <f t="shared" ca="1" si="257"/>
        <v>0.60697900000000005</v>
      </c>
      <c r="EE209" s="55">
        <f t="shared" ca="1" si="258"/>
        <v>1.4918089999999999</v>
      </c>
      <c r="EF209" s="55">
        <f t="shared" ca="1" si="259"/>
        <v>-0.98450700000000002</v>
      </c>
      <c r="EG209" s="55">
        <f t="shared" ca="1" si="260"/>
        <v>-0.138104</v>
      </c>
      <c r="EH209" s="55">
        <f t="shared" ca="1" si="261"/>
        <v>-0.28716900000000001</v>
      </c>
      <c r="EI209" s="55">
        <f t="shared" ca="1" si="262"/>
        <v>9.7927E-2</v>
      </c>
      <c r="EJ209" s="55">
        <f t="shared" ca="1" si="263"/>
        <v>0.58560199999999996</v>
      </c>
      <c r="EK209" s="55">
        <f t="shared" ca="1" si="264"/>
        <v>-0.20683799999999999</v>
      </c>
      <c r="EL209" s="55">
        <f t="shared" ca="1" si="265"/>
        <v>-1.0295776652890001</v>
      </c>
      <c r="EM209" s="55">
        <f t="shared" ca="1" si="266"/>
        <v>0.74508390198199992</v>
      </c>
      <c r="EN209" s="55">
        <f t="shared" ca="1" si="267"/>
        <v>-0.89406740968999998</v>
      </c>
      <c r="EO209" s="55">
        <f t="shared" ca="1" si="268"/>
        <v>0.24113443996699999</v>
      </c>
      <c r="EP209" s="55">
        <f t="shared" ca="1" si="269"/>
        <v>-0.90995201887999988</v>
      </c>
      <c r="EQ209" s="55">
        <f t="shared" ca="1" si="270"/>
        <v>-0.16833394239300004</v>
      </c>
      <c r="ER209" s="55">
        <f t="shared" ca="1" si="271"/>
        <v>0.35755394235400001</v>
      </c>
      <c r="ES209" s="55">
        <f t="shared" ca="1" si="272"/>
        <v>0.13730743166199999</v>
      </c>
      <c r="ET209" s="55">
        <f t="shared" ca="1" si="273"/>
        <v>-0.10398300000000001</v>
      </c>
      <c r="EU209" s="55">
        <f t="shared" ca="1" si="274"/>
        <v>-1.4118850000000001</v>
      </c>
      <c r="EV209" s="55">
        <f t="shared" ca="1" si="275"/>
        <v>0.417939</v>
      </c>
      <c r="EW209" s="55">
        <f t="shared" ca="1" si="276"/>
        <v>-0.15954599999999999</v>
      </c>
      <c r="EX209" s="55">
        <f t="shared" ca="1" si="277"/>
        <v>-0.19655</v>
      </c>
      <c r="EY209" s="55">
        <f t="shared" ca="1" si="278"/>
        <v>-0.32601799999999997</v>
      </c>
      <c r="EZ209" s="55">
        <f t="shared" ca="1" si="279"/>
        <v>5.8167000000000003E-2</v>
      </c>
      <c r="FA209" s="55">
        <f t="shared" ca="1" si="280"/>
        <v>0.37184699999999998</v>
      </c>
      <c r="FB209" s="55">
        <f t="shared" ca="1" si="281"/>
        <v>-0.92221500000000001</v>
      </c>
      <c r="FC209" s="55">
        <f t="shared" ca="1" si="282"/>
        <v>-0.63430200000000003</v>
      </c>
      <c r="FD209" s="55">
        <f t="shared" ca="1" si="283"/>
        <v>0.33190599999999998</v>
      </c>
      <c r="FE209" s="55">
        <f t="shared" ca="1" si="284"/>
        <v>-0.53409600000000002</v>
      </c>
      <c r="FF209" s="55">
        <f t="shared" ca="1" si="285"/>
        <v>1.0541560000000001</v>
      </c>
      <c r="FH209" s="55">
        <f t="shared" ca="1" si="286"/>
        <v>0</v>
      </c>
      <c r="FI209" s="55">
        <f t="shared" ca="1" si="379"/>
        <v>0</v>
      </c>
      <c r="FJ209" s="55">
        <f t="shared" ca="1" si="380"/>
        <v>0</v>
      </c>
      <c r="FK209" s="55">
        <f t="shared" ca="1" si="381"/>
        <v>0</v>
      </c>
      <c r="FL209" s="55">
        <f t="shared" ca="1" si="382"/>
        <v>0</v>
      </c>
      <c r="FM209" s="55">
        <f t="shared" ca="1" si="383"/>
        <v>0</v>
      </c>
      <c r="FN209" s="55">
        <f t="shared" ca="1" si="384"/>
        <v>0</v>
      </c>
      <c r="FO209" s="55">
        <f t="shared" ca="1" si="385"/>
        <v>0</v>
      </c>
      <c r="FP209" s="55">
        <f t="shared" ca="1" si="386"/>
        <v>0</v>
      </c>
      <c r="FQ209" s="55">
        <f t="shared" ca="1" si="387"/>
        <v>0</v>
      </c>
      <c r="FR209" s="55">
        <f t="shared" ca="1" si="388"/>
        <v>0</v>
      </c>
      <c r="FS209" s="55">
        <f t="shared" ca="1" si="329"/>
        <v>0</v>
      </c>
      <c r="FT209" s="55">
        <f t="shared" ca="1" si="330"/>
        <v>0</v>
      </c>
      <c r="FU209" s="55">
        <f t="shared" ca="1" si="331"/>
        <v>0</v>
      </c>
      <c r="FV209" s="55">
        <f t="shared" ca="1" si="332"/>
        <v>0</v>
      </c>
      <c r="FW209" s="55">
        <f t="shared" ca="1" si="333"/>
        <v>0</v>
      </c>
      <c r="FX209" s="55">
        <f t="shared" ca="1" si="334"/>
        <v>0</v>
      </c>
      <c r="FY209" s="55">
        <f t="shared" ca="1" si="335"/>
        <v>0</v>
      </c>
      <c r="FZ209" s="55">
        <f t="shared" ca="1" si="336"/>
        <v>0</v>
      </c>
      <c r="GA209" s="55">
        <f t="shared" ca="1" si="337"/>
        <v>0</v>
      </c>
      <c r="GB209" s="55">
        <f t="shared" ca="1" si="338"/>
        <v>0</v>
      </c>
      <c r="GC209" s="55">
        <f t="shared" ca="1" si="339"/>
        <v>0</v>
      </c>
      <c r="GD209" s="55">
        <f t="shared" ca="1" si="340"/>
        <v>0</v>
      </c>
      <c r="GE209" s="55">
        <f t="shared" ca="1" si="341"/>
        <v>0</v>
      </c>
      <c r="GF209" s="55">
        <f t="shared" ca="1" si="342"/>
        <v>0</v>
      </c>
      <c r="GG209" s="55">
        <f t="shared" ca="1" si="343"/>
        <v>0</v>
      </c>
      <c r="GH209" s="55">
        <f t="shared" ca="1" si="344"/>
        <v>0</v>
      </c>
      <c r="GI209" s="55">
        <f t="shared" ca="1" si="345"/>
        <v>0</v>
      </c>
      <c r="GJ209" s="55">
        <f t="shared" ca="1" si="346"/>
        <v>0</v>
      </c>
      <c r="GK209" s="55">
        <f t="shared" ca="1" si="347"/>
        <v>0.24980133471099997</v>
      </c>
      <c r="GL209" s="55">
        <f t="shared" ca="1" si="348"/>
        <v>-0.42736809801800013</v>
      </c>
      <c r="GM209" s="55">
        <f t="shared" ca="1" si="349"/>
        <v>0.49092259030999996</v>
      </c>
      <c r="GN209" s="55">
        <f t="shared" ca="1" si="350"/>
        <v>-0.51145256003299999</v>
      </c>
      <c r="GO209" s="55">
        <f t="shared" ca="1" si="351"/>
        <v>-7.0447018879999934E-2</v>
      </c>
      <c r="GP209" s="55">
        <f t="shared" ca="1" si="352"/>
        <v>-0.395981942393</v>
      </c>
      <c r="GQ209" s="55">
        <f t="shared" ca="1" si="353"/>
        <v>-0.38000505764599996</v>
      </c>
      <c r="GR209" s="55">
        <f t="shared" ca="1" si="354"/>
        <v>-0.24999256833799999</v>
      </c>
      <c r="GS209" s="55">
        <f t="shared" ca="1" si="355"/>
        <v>0</v>
      </c>
      <c r="GT209" s="55">
        <f t="shared" ca="1" si="356"/>
        <v>0</v>
      </c>
      <c r="GU209" s="55">
        <f t="shared" ca="1" si="357"/>
        <v>0</v>
      </c>
      <c r="GV209" s="55">
        <f t="shared" ca="1" si="358"/>
        <v>0</v>
      </c>
      <c r="GW209" s="55">
        <f t="shared" ca="1" si="359"/>
        <v>0</v>
      </c>
      <c r="GX209" s="55">
        <f t="shared" ca="1" si="360"/>
        <v>0</v>
      </c>
      <c r="GY209" s="55">
        <f t="shared" ca="1" si="361"/>
        <v>0</v>
      </c>
      <c r="GZ209" s="55">
        <f t="shared" ca="1" si="362"/>
        <v>0</v>
      </c>
      <c r="HA209" s="55">
        <f t="shared" ca="1" si="363"/>
        <v>0</v>
      </c>
      <c r="HB209" s="55">
        <f t="shared" ca="1" si="364"/>
        <v>0</v>
      </c>
      <c r="HC209" s="55">
        <f t="shared" ca="1" si="365"/>
        <v>0</v>
      </c>
      <c r="HD209" s="55">
        <f t="shared" ca="1" si="366"/>
        <v>0</v>
      </c>
      <c r="HE209" s="55">
        <f t="shared" ca="1" si="367"/>
        <v>0</v>
      </c>
    </row>
    <row r="210" spans="1:213">
      <c r="A210" s="27">
        <v>73</v>
      </c>
      <c r="B210" s="27">
        <v>59</v>
      </c>
      <c r="C210" s="27">
        <v>0.24049000000000001</v>
      </c>
      <c r="D210" s="27">
        <v>0.75947299999999995</v>
      </c>
      <c r="E210" s="27">
        <v>46</v>
      </c>
      <c r="F210" s="27">
        <f t="shared" ca="1" si="231"/>
        <v>48</v>
      </c>
      <c r="G210" s="27">
        <f t="shared" si="230"/>
        <v>0</v>
      </c>
      <c r="H210" s="27" t="str">
        <f t="shared" si="232"/>
        <v>Sim</v>
      </c>
      <c r="I210" s="27">
        <f t="shared" si="233"/>
        <v>0</v>
      </c>
      <c r="J210" s="37">
        <f t="shared" si="234"/>
        <v>1</v>
      </c>
      <c r="K210" s="55">
        <f t="shared" si="235"/>
        <v>0.316693</v>
      </c>
      <c r="L210" s="55">
        <f t="shared" si="368"/>
        <v>-0.30018699999999998</v>
      </c>
      <c r="M210" s="55">
        <f t="shared" si="369"/>
        <v>-0.70582500000000004</v>
      </c>
      <c r="N210" s="55">
        <f t="shared" si="370"/>
        <v>0.21092900000000001</v>
      </c>
      <c r="O210" s="55">
        <f t="shared" si="371"/>
        <v>-0.81134099999999998</v>
      </c>
      <c r="P210" s="55">
        <f t="shared" si="372"/>
        <v>-0.33339000000000002</v>
      </c>
      <c r="Q210" s="55">
        <f t="shared" si="373"/>
        <v>0.41412199999999999</v>
      </c>
      <c r="R210" s="55">
        <f t="shared" si="374"/>
        <v>-0.91388100000000005</v>
      </c>
      <c r="S210" s="55">
        <f t="shared" si="375"/>
        <v>-1.8170280000000001</v>
      </c>
      <c r="T210" s="55">
        <f t="shared" si="376"/>
        <v>-0.71457499999999996</v>
      </c>
      <c r="U210" s="55">
        <f t="shared" si="377"/>
        <v>0.46987699999999999</v>
      </c>
      <c r="V210" s="55">
        <f t="shared" si="288"/>
        <v>6.9020000000000001E-3</v>
      </c>
      <c r="W210" s="55">
        <f t="shared" si="289"/>
        <v>0.932979</v>
      </c>
      <c r="X210" s="55">
        <f t="shared" si="290"/>
        <v>1.0265759999999999</v>
      </c>
      <c r="Y210" s="55">
        <f t="shared" si="291"/>
        <v>-0.88664900000000002</v>
      </c>
      <c r="Z210" s="55">
        <f t="shared" si="292"/>
        <v>-0.56404299999999996</v>
      </c>
      <c r="AA210" s="55">
        <f t="shared" si="293"/>
        <v>-0.33663900000000002</v>
      </c>
      <c r="AB210" s="55">
        <f t="shared" si="294"/>
        <v>0.63464299999999996</v>
      </c>
      <c r="AC210" s="55">
        <f t="shared" si="295"/>
        <v>0.285107</v>
      </c>
      <c r="AD210" s="55">
        <f t="shared" si="296"/>
        <v>0.50770700000000002</v>
      </c>
      <c r="AE210" s="55">
        <f t="shared" si="297"/>
        <v>0.32968599999999998</v>
      </c>
      <c r="AF210" s="55">
        <f t="shared" si="298"/>
        <v>-0.38834800000000003</v>
      </c>
      <c r="AG210" s="55">
        <f t="shared" si="299"/>
        <v>-0.62957300000000005</v>
      </c>
      <c r="AH210" s="55">
        <f t="shared" si="300"/>
        <v>-0.13575200000000001</v>
      </c>
      <c r="AI210" s="55">
        <f t="shared" si="301"/>
        <v>0.428365</v>
      </c>
      <c r="AJ210" s="55">
        <f t="shared" si="302"/>
        <v>-0.84453699999999998</v>
      </c>
      <c r="AK210" s="55">
        <f t="shared" si="303"/>
        <v>-0.49519099999999999</v>
      </c>
      <c r="AL210" s="55">
        <f t="shared" si="304"/>
        <v>0.81726100000000002</v>
      </c>
      <c r="AM210" s="55">
        <f t="shared" si="305"/>
        <v>4.4997000000000002E-2</v>
      </c>
      <c r="AN210" s="55">
        <f t="shared" si="306"/>
        <v>-3.4559999999999999E-3</v>
      </c>
      <c r="AO210" s="55">
        <f t="shared" si="307"/>
        <v>4.2220000000000001E-2</v>
      </c>
      <c r="AP210" s="55">
        <f t="shared" si="308"/>
        <v>0.746112</v>
      </c>
      <c r="AQ210" s="55">
        <f t="shared" si="309"/>
        <v>-0.18641099999999999</v>
      </c>
      <c r="AR210" s="55">
        <f t="shared" si="310"/>
        <v>-0.59467499999999995</v>
      </c>
      <c r="AS210" s="55">
        <f t="shared" si="311"/>
        <v>-0.77396699999999996</v>
      </c>
      <c r="AT210" s="55">
        <f t="shared" si="312"/>
        <v>-1.7034000000000001E-2</v>
      </c>
      <c r="AU210" s="55">
        <f t="shared" si="313"/>
        <v>0.89082099999999997</v>
      </c>
      <c r="AV210" s="55">
        <f t="shared" si="314"/>
        <v>-0.36768200000000001</v>
      </c>
      <c r="AW210" s="55">
        <f t="shared" si="315"/>
        <v>-0.33218700000000001</v>
      </c>
      <c r="AX210" s="55">
        <f t="shared" si="316"/>
        <v>0.15631100000000001</v>
      </c>
      <c r="AY210" s="55">
        <f t="shared" si="317"/>
        <v>0.50167499999999998</v>
      </c>
      <c r="AZ210" s="55">
        <f t="shared" si="318"/>
        <v>0.95774199999999998</v>
      </c>
      <c r="BA210" s="55">
        <f t="shared" si="319"/>
        <v>0.69609699999999997</v>
      </c>
      <c r="BB210" s="55">
        <f t="shared" si="320"/>
        <v>0.19927600000000001</v>
      </c>
      <c r="BC210" s="55">
        <f t="shared" si="321"/>
        <v>1.5352520000000001</v>
      </c>
      <c r="BD210" s="55">
        <f t="shared" si="322"/>
        <v>0.27076899999999998</v>
      </c>
      <c r="BE210" s="55">
        <f t="shared" si="323"/>
        <v>-0.24607899999999999</v>
      </c>
      <c r="BF210" s="55">
        <f t="shared" si="324"/>
        <v>-0.40809499999999999</v>
      </c>
      <c r="BG210" s="55">
        <f t="shared" si="325"/>
        <v>-0.36500199999999999</v>
      </c>
      <c r="BH210" s="55">
        <f t="shared" si="326"/>
        <v>-0.53218699999999997</v>
      </c>
      <c r="BJ210" s="55">
        <f t="shared" si="378"/>
        <v>0.26916400000000001</v>
      </c>
      <c r="BK210" s="55">
        <f t="shared" si="378"/>
        <v>-1.3101799999999999</v>
      </c>
      <c r="BL210" s="55">
        <f t="shared" si="378"/>
        <v>0.52901100000000001</v>
      </c>
      <c r="BM210" s="55">
        <f t="shared" si="378"/>
        <v>-0.44570799999999999</v>
      </c>
      <c r="BN210" s="55">
        <f t="shared" si="378"/>
        <v>0.55388999999999999</v>
      </c>
      <c r="BO210" s="55">
        <f t="shared" si="378"/>
        <v>0.846244</v>
      </c>
      <c r="BP210" s="55">
        <f t="shared" si="378"/>
        <v>-0.40750900000000001</v>
      </c>
      <c r="BQ210" s="55">
        <f t="shared" si="378"/>
        <v>-0.78264500000000004</v>
      </c>
      <c r="BR210" s="55">
        <f t="shared" si="378"/>
        <v>8.3086999999999994E-2</v>
      </c>
      <c r="BS210" s="55">
        <f t="shared" si="378"/>
        <v>0.43715199999999999</v>
      </c>
      <c r="BT210" s="55">
        <f t="shared" si="378"/>
        <v>2.7615000000000001E-2</v>
      </c>
      <c r="BU210" s="55">
        <f t="shared" si="378"/>
        <v>0.200211</v>
      </c>
      <c r="BV210" s="55">
        <f t="shared" si="378"/>
        <v>-1.3780669999999999</v>
      </c>
      <c r="BW210" s="55">
        <f t="shared" si="378"/>
        <v>1.7145189999999999</v>
      </c>
      <c r="BX210" s="55">
        <f t="shared" si="378"/>
        <v>0.93861499999999998</v>
      </c>
      <c r="BY210" s="55">
        <f t="shared" si="378"/>
        <v>-0.81486199999999998</v>
      </c>
      <c r="BZ210" s="55">
        <f t="shared" si="327"/>
        <v>-1.705659</v>
      </c>
      <c r="CA210" s="55">
        <f t="shared" si="327"/>
        <v>0.21678700000000001</v>
      </c>
      <c r="CB210" s="55">
        <f t="shared" si="327"/>
        <v>1.0476019999999999</v>
      </c>
      <c r="CC210" s="55">
        <f t="shared" si="327"/>
        <v>0.86004400000000003</v>
      </c>
      <c r="CD210" s="55">
        <f t="shared" si="327"/>
        <v>1.214334</v>
      </c>
      <c r="CE210" s="55">
        <f t="shared" si="327"/>
        <v>-0.372975</v>
      </c>
      <c r="CF210" s="55">
        <f t="shared" si="327"/>
        <v>-3.4550999999999998E-2</v>
      </c>
      <c r="CG210" s="55">
        <f t="shared" si="327"/>
        <v>-0.82369300000000001</v>
      </c>
      <c r="CH210" s="55">
        <f t="shared" si="327"/>
        <v>0.141236</v>
      </c>
      <c r="CI210" s="55">
        <f t="shared" si="327"/>
        <v>0.97076099999999999</v>
      </c>
      <c r="CJ210" s="55">
        <f t="shared" si="327"/>
        <v>1.3347340000000001</v>
      </c>
      <c r="CK210" s="55">
        <f t="shared" si="327"/>
        <v>0.42351100000000003</v>
      </c>
      <c r="CL210" s="55">
        <f t="shared" si="327"/>
        <v>-0.16927600000000001</v>
      </c>
      <c r="CM210" s="55">
        <f t="shared" si="327"/>
        <v>-0.60954900000000001</v>
      </c>
      <c r="CN210" s="55">
        <f t="shared" si="327"/>
        <v>-0.21874399999999999</v>
      </c>
      <c r="CO210" s="55">
        <f t="shared" si="328"/>
        <v>0.67683800000000005</v>
      </c>
      <c r="CP210" s="55">
        <f t="shared" si="328"/>
        <v>-0.34503200000000001</v>
      </c>
      <c r="CQ210" s="55">
        <f t="shared" si="328"/>
        <v>-1.592784</v>
      </c>
      <c r="CR210" s="55">
        <f t="shared" si="328"/>
        <v>-0.178647</v>
      </c>
      <c r="CS210" s="55">
        <f t="shared" si="328"/>
        <v>-1.0733680000000001</v>
      </c>
      <c r="CT210" s="55">
        <f t="shared" si="328"/>
        <v>-1.0494779999999999</v>
      </c>
      <c r="CU210" s="55">
        <f t="shared" si="328"/>
        <v>-1.740615</v>
      </c>
      <c r="CV210" s="55">
        <f t="shared" si="328"/>
        <v>-0.25975799999999999</v>
      </c>
      <c r="CW210" s="55">
        <f t="shared" si="328"/>
        <v>0.314857</v>
      </c>
      <c r="CX210" s="55">
        <f t="shared" si="328"/>
        <v>0.25784200000000002</v>
      </c>
      <c r="CY210" s="55">
        <f t="shared" si="328"/>
        <v>-0.28676000000000001</v>
      </c>
      <c r="CZ210" s="55">
        <f t="shared" si="328"/>
        <v>0.72355199999999997</v>
      </c>
      <c r="DA210" s="55">
        <f t="shared" si="328"/>
        <v>-0.34642800000000001</v>
      </c>
      <c r="DB210" s="55">
        <f t="shared" si="328"/>
        <v>0.44734299999999999</v>
      </c>
      <c r="DC210" s="55">
        <f t="shared" si="328"/>
        <v>0.52679399999999998</v>
      </c>
      <c r="DD210" s="55">
        <f t="shared" si="328"/>
        <v>0.78414499999999998</v>
      </c>
      <c r="DE210" s="55">
        <f t="shared" si="287"/>
        <v>0.114131</v>
      </c>
      <c r="DF210" s="55">
        <f t="shared" si="287"/>
        <v>-0.21354300000000001</v>
      </c>
      <c r="DG210" s="55">
        <f t="shared" si="287"/>
        <v>0.89874399999999999</v>
      </c>
      <c r="DI210" s="55">
        <f t="shared" ca="1" si="236"/>
        <v>0.316693</v>
      </c>
      <c r="DJ210" s="55">
        <f t="shared" ca="1" si="237"/>
        <v>-0.30018699999999998</v>
      </c>
      <c r="DK210" s="55">
        <f t="shared" ca="1" si="238"/>
        <v>-0.70582500000000004</v>
      </c>
      <c r="DL210" s="55">
        <f t="shared" ca="1" si="239"/>
        <v>0.21092900000000001</v>
      </c>
      <c r="DM210" s="55">
        <f t="shared" ca="1" si="240"/>
        <v>-0.81134099999999998</v>
      </c>
      <c r="DN210" s="55">
        <f t="shared" ca="1" si="241"/>
        <v>-0.33339000000000002</v>
      </c>
      <c r="DO210" s="55">
        <f t="shared" ca="1" si="242"/>
        <v>0.41412199999999999</v>
      </c>
      <c r="DP210" s="55">
        <f t="shared" ca="1" si="243"/>
        <v>-0.91388100000000005</v>
      </c>
      <c r="DQ210" s="55">
        <f t="shared" ca="1" si="244"/>
        <v>-1.8170280000000001</v>
      </c>
      <c r="DR210" s="55">
        <f t="shared" ca="1" si="245"/>
        <v>-0.71457499999999996</v>
      </c>
      <c r="DS210" s="55">
        <f t="shared" ca="1" si="246"/>
        <v>0.46987699999999999</v>
      </c>
      <c r="DT210" s="55">
        <f t="shared" ca="1" si="247"/>
        <v>6.9020000000000001E-3</v>
      </c>
      <c r="DU210" s="55">
        <f t="shared" ca="1" si="248"/>
        <v>0.932979</v>
      </c>
      <c r="DV210" s="55">
        <f t="shared" ca="1" si="249"/>
        <v>1.0265759999999999</v>
      </c>
      <c r="DW210" s="55">
        <f t="shared" ca="1" si="250"/>
        <v>-0.88664900000000002</v>
      </c>
      <c r="DX210" s="55">
        <f t="shared" ca="1" si="251"/>
        <v>-0.56404299999999996</v>
      </c>
      <c r="DY210" s="55">
        <f t="shared" ca="1" si="252"/>
        <v>-0.33663900000000002</v>
      </c>
      <c r="DZ210" s="55">
        <f t="shared" ca="1" si="253"/>
        <v>0.63464299999999996</v>
      </c>
      <c r="EA210" s="55">
        <f t="shared" ca="1" si="254"/>
        <v>0.285107</v>
      </c>
      <c r="EB210" s="55">
        <f t="shared" ca="1" si="255"/>
        <v>0.50770700000000002</v>
      </c>
      <c r="EC210" s="55">
        <f t="shared" ca="1" si="256"/>
        <v>0.32968599999999998</v>
      </c>
      <c r="ED210" s="55">
        <f t="shared" ca="1" si="257"/>
        <v>-0.38834800000000003</v>
      </c>
      <c r="EE210" s="55">
        <f t="shared" ca="1" si="258"/>
        <v>-0.62957300000000005</v>
      </c>
      <c r="EF210" s="55">
        <f t="shared" ca="1" si="259"/>
        <v>-0.13575200000000001</v>
      </c>
      <c r="EG210" s="55">
        <f t="shared" ca="1" si="260"/>
        <v>0.428365</v>
      </c>
      <c r="EH210" s="55">
        <f t="shared" ca="1" si="261"/>
        <v>-0.84453699999999998</v>
      </c>
      <c r="EI210" s="55">
        <f t="shared" ca="1" si="262"/>
        <v>-0.49519099999999999</v>
      </c>
      <c r="EJ210" s="55">
        <f t="shared" ca="1" si="263"/>
        <v>0.81726100000000002</v>
      </c>
      <c r="EK210" s="55">
        <f t="shared" ca="1" si="264"/>
        <v>4.4997000000000002E-2</v>
      </c>
      <c r="EL210" s="55">
        <f t="shared" ca="1" si="265"/>
        <v>-3.4559999999999999E-3</v>
      </c>
      <c r="EM210" s="55">
        <f t="shared" ca="1" si="266"/>
        <v>4.2220000000000001E-2</v>
      </c>
      <c r="EN210" s="55">
        <f t="shared" ca="1" si="267"/>
        <v>0.746112</v>
      </c>
      <c r="EO210" s="55">
        <f t="shared" ca="1" si="268"/>
        <v>-0.18641099999999999</v>
      </c>
      <c r="EP210" s="55">
        <f t="shared" ca="1" si="269"/>
        <v>-0.59467499999999995</v>
      </c>
      <c r="EQ210" s="55">
        <f t="shared" ca="1" si="270"/>
        <v>-0.77396699999999996</v>
      </c>
      <c r="ER210" s="55">
        <f t="shared" ca="1" si="271"/>
        <v>-1.7034000000000001E-2</v>
      </c>
      <c r="ES210" s="55">
        <f t="shared" ca="1" si="272"/>
        <v>0.89082099999999997</v>
      </c>
      <c r="ET210" s="55">
        <f t="shared" ca="1" si="273"/>
        <v>-0.36768200000000001</v>
      </c>
      <c r="EU210" s="55">
        <f t="shared" ca="1" si="274"/>
        <v>-0.33218700000000001</v>
      </c>
      <c r="EV210" s="55">
        <f t="shared" ca="1" si="275"/>
        <v>0.15631100000000001</v>
      </c>
      <c r="EW210" s="55">
        <f t="shared" ca="1" si="276"/>
        <v>0.50167499999999998</v>
      </c>
      <c r="EX210" s="55">
        <f t="shared" ca="1" si="277"/>
        <v>0.95774199999999998</v>
      </c>
      <c r="EY210" s="55">
        <f t="shared" ca="1" si="278"/>
        <v>0.69609699999999997</v>
      </c>
      <c r="EZ210" s="55">
        <f t="shared" ca="1" si="279"/>
        <v>0.19927600000000001</v>
      </c>
      <c r="FA210" s="55">
        <f t="shared" ca="1" si="280"/>
        <v>1.5352520000000001</v>
      </c>
      <c r="FB210" s="55">
        <f t="shared" ca="1" si="281"/>
        <v>0.27076899999999998</v>
      </c>
      <c r="FC210" s="55">
        <f t="shared" ca="1" si="282"/>
        <v>1.7176880480000434E-3</v>
      </c>
      <c r="FD210" s="55">
        <f t="shared" ca="1" si="283"/>
        <v>-0.28248554689799998</v>
      </c>
      <c r="FE210" s="55">
        <f t="shared" ca="1" si="284"/>
        <v>-0.36500199999999999</v>
      </c>
      <c r="FF210" s="55">
        <f t="shared" ca="1" si="285"/>
        <v>-0.53218699999999997</v>
      </c>
      <c r="FH210" s="55">
        <f t="shared" ca="1" si="286"/>
        <v>0</v>
      </c>
      <c r="FI210" s="55">
        <f t="shared" ca="1" si="379"/>
        <v>0</v>
      </c>
      <c r="FJ210" s="55">
        <f t="shared" ca="1" si="380"/>
        <v>0</v>
      </c>
      <c r="FK210" s="55">
        <f t="shared" ca="1" si="381"/>
        <v>0</v>
      </c>
      <c r="FL210" s="55">
        <f t="shared" ca="1" si="382"/>
        <v>0</v>
      </c>
      <c r="FM210" s="55">
        <f t="shared" ca="1" si="383"/>
        <v>0</v>
      </c>
      <c r="FN210" s="55">
        <f t="shared" ca="1" si="384"/>
        <v>0</v>
      </c>
      <c r="FO210" s="55">
        <f t="shared" ca="1" si="385"/>
        <v>0</v>
      </c>
      <c r="FP210" s="55">
        <f t="shared" ca="1" si="386"/>
        <v>0</v>
      </c>
      <c r="FQ210" s="55">
        <f t="shared" ca="1" si="387"/>
        <v>0</v>
      </c>
      <c r="FR210" s="55">
        <f t="shared" ca="1" si="388"/>
        <v>0</v>
      </c>
      <c r="FS210" s="55">
        <f t="shared" ca="1" si="329"/>
        <v>0</v>
      </c>
      <c r="FT210" s="55">
        <f t="shared" ca="1" si="330"/>
        <v>0</v>
      </c>
      <c r="FU210" s="55">
        <f t="shared" ca="1" si="331"/>
        <v>0</v>
      </c>
      <c r="FV210" s="55">
        <f t="shared" ca="1" si="332"/>
        <v>0</v>
      </c>
      <c r="FW210" s="55">
        <f t="shared" ca="1" si="333"/>
        <v>0</v>
      </c>
      <c r="FX210" s="55">
        <f t="shared" ca="1" si="334"/>
        <v>0</v>
      </c>
      <c r="FY210" s="55">
        <f t="shared" ca="1" si="335"/>
        <v>0</v>
      </c>
      <c r="FZ210" s="55">
        <f t="shared" ca="1" si="336"/>
        <v>0</v>
      </c>
      <c r="GA210" s="55">
        <f t="shared" ca="1" si="337"/>
        <v>0</v>
      </c>
      <c r="GB210" s="55">
        <f t="shared" ca="1" si="338"/>
        <v>0</v>
      </c>
      <c r="GC210" s="55">
        <f t="shared" ca="1" si="339"/>
        <v>0</v>
      </c>
      <c r="GD210" s="55">
        <f t="shared" ca="1" si="340"/>
        <v>0</v>
      </c>
      <c r="GE210" s="55">
        <f t="shared" ca="1" si="341"/>
        <v>0</v>
      </c>
      <c r="GF210" s="55">
        <f t="shared" ca="1" si="342"/>
        <v>0</v>
      </c>
      <c r="GG210" s="55">
        <f t="shared" ca="1" si="343"/>
        <v>0</v>
      </c>
      <c r="GH210" s="55">
        <f t="shared" ca="1" si="344"/>
        <v>0</v>
      </c>
      <c r="GI210" s="55">
        <f t="shared" ca="1" si="345"/>
        <v>0</v>
      </c>
      <c r="GJ210" s="55">
        <f t="shared" ca="1" si="346"/>
        <v>0</v>
      </c>
      <c r="GK210" s="55">
        <f t="shared" ca="1" si="347"/>
        <v>0</v>
      </c>
      <c r="GL210" s="55">
        <f t="shared" ca="1" si="348"/>
        <v>0</v>
      </c>
      <c r="GM210" s="55">
        <f t="shared" ca="1" si="349"/>
        <v>0</v>
      </c>
      <c r="GN210" s="55">
        <f t="shared" ca="1" si="350"/>
        <v>0</v>
      </c>
      <c r="GO210" s="55">
        <f t="shared" ca="1" si="351"/>
        <v>0</v>
      </c>
      <c r="GP210" s="55">
        <f t="shared" ca="1" si="352"/>
        <v>0</v>
      </c>
      <c r="GQ210" s="55">
        <f t="shared" ca="1" si="353"/>
        <v>0</v>
      </c>
      <c r="GR210" s="55">
        <f t="shared" ca="1" si="354"/>
        <v>0</v>
      </c>
      <c r="GS210" s="55">
        <f t="shared" ca="1" si="355"/>
        <v>0</v>
      </c>
      <c r="GT210" s="55">
        <f t="shared" ca="1" si="356"/>
        <v>0</v>
      </c>
      <c r="GU210" s="55">
        <f t="shared" ca="1" si="357"/>
        <v>0</v>
      </c>
      <c r="GV210" s="55">
        <f t="shared" ca="1" si="358"/>
        <v>0</v>
      </c>
      <c r="GW210" s="55">
        <f t="shared" ca="1" si="359"/>
        <v>0</v>
      </c>
      <c r="GX210" s="55">
        <f t="shared" ca="1" si="360"/>
        <v>0</v>
      </c>
      <c r="GY210" s="55">
        <f t="shared" ca="1" si="361"/>
        <v>0</v>
      </c>
      <c r="GZ210" s="55">
        <f t="shared" ca="1" si="362"/>
        <v>0</v>
      </c>
      <c r="HA210" s="55">
        <f t="shared" ca="1" si="363"/>
        <v>0</v>
      </c>
      <c r="HB210" s="55">
        <f t="shared" ca="1" si="364"/>
        <v>0.24779668804800004</v>
      </c>
      <c r="HC210" s="55">
        <f t="shared" ca="1" si="365"/>
        <v>0.125609453102</v>
      </c>
      <c r="HD210" s="55">
        <f t="shared" ca="1" si="366"/>
        <v>0</v>
      </c>
      <c r="HE210" s="55">
        <f t="shared" ca="1" si="367"/>
        <v>0</v>
      </c>
    </row>
    <row r="211" spans="1:213">
      <c r="A211" s="27">
        <v>74</v>
      </c>
      <c r="B211" s="27">
        <v>76</v>
      </c>
      <c r="C211" s="27">
        <v>0.74270800000000003</v>
      </c>
      <c r="D211" s="27">
        <v>0.60539900000000002</v>
      </c>
      <c r="E211" s="27">
        <v>16</v>
      </c>
      <c r="F211" s="27">
        <f t="shared" ca="1" si="231"/>
        <v>45</v>
      </c>
      <c r="G211" s="27">
        <f t="shared" si="230"/>
        <v>0</v>
      </c>
      <c r="H211" s="27" t="str">
        <f t="shared" si="232"/>
        <v>Sim</v>
      </c>
      <c r="I211" s="27">
        <f t="shared" si="233"/>
        <v>0</v>
      </c>
      <c r="J211" s="37">
        <f t="shared" si="234"/>
        <v>1</v>
      </c>
      <c r="K211" s="55">
        <f t="shared" si="235"/>
        <v>-1.0345310000000001</v>
      </c>
      <c r="L211" s="55">
        <f t="shared" si="368"/>
        <v>1.1446890000000001</v>
      </c>
      <c r="M211" s="55">
        <f t="shared" si="369"/>
        <v>0.27109</v>
      </c>
      <c r="N211" s="55">
        <f t="shared" si="370"/>
        <v>0.61382199999999998</v>
      </c>
      <c r="O211" s="55">
        <f t="shared" si="371"/>
        <v>-0.62524100000000005</v>
      </c>
      <c r="P211" s="55">
        <f t="shared" si="372"/>
        <v>0.57052199999999997</v>
      </c>
      <c r="Q211" s="55">
        <f t="shared" si="373"/>
        <v>-0.77776800000000001</v>
      </c>
      <c r="R211" s="55">
        <f t="shared" si="374"/>
        <v>0.75486200000000003</v>
      </c>
      <c r="S211" s="55">
        <f t="shared" si="375"/>
        <v>-0.90419799999999995</v>
      </c>
      <c r="T211" s="55">
        <f t="shared" si="376"/>
        <v>-0.95964000000000005</v>
      </c>
      <c r="U211" s="55">
        <f t="shared" si="377"/>
        <v>1.5676810000000001</v>
      </c>
      <c r="V211" s="55">
        <f t="shared" si="288"/>
        <v>-0.53586599999999995</v>
      </c>
      <c r="W211" s="55">
        <f t="shared" si="289"/>
        <v>-0.13311999999999999</v>
      </c>
      <c r="X211" s="55">
        <f t="shared" si="290"/>
        <v>-0.63129900000000005</v>
      </c>
      <c r="Y211" s="55">
        <f t="shared" si="291"/>
        <v>-0.530088</v>
      </c>
      <c r="Z211" s="55">
        <f t="shared" si="292"/>
        <v>-0.336281</v>
      </c>
      <c r="AA211" s="55">
        <f t="shared" si="293"/>
        <v>1.0221979999999999</v>
      </c>
      <c r="AB211" s="55">
        <f t="shared" si="294"/>
        <v>1.086654</v>
      </c>
      <c r="AC211" s="55">
        <f t="shared" si="295"/>
        <v>-0.88309400000000005</v>
      </c>
      <c r="AD211" s="55">
        <f t="shared" si="296"/>
        <v>-0.158607</v>
      </c>
      <c r="AE211" s="55">
        <f t="shared" si="297"/>
        <v>0.15149299999999999</v>
      </c>
      <c r="AF211" s="55">
        <f t="shared" si="298"/>
        <v>1.380085</v>
      </c>
      <c r="AG211" s="55">
        <f t="shared" si="299"/>
        <v>0.85262700000000002</v>
      </c>
      <c r="AH211" s="55">
        <f t="shared" si="300"/>
        <v>0.79659800000000003</v>
      </c>
      <c r="AI211" s="55">
        <f t="shared" si="301"/>
        <v>-8.4574999999999997E-2</v>
      </c>
      <c r="AJ211" s="55">
        <f t="shared" si="302"/>
        <v>0.15743399999999999</v>
      </c>
      <c r="AK211" s="55">
        <f t="shared" si="303"/>
        <v>-0.73873999999999995</v>
      </c>
      <c r="AL211" s="55">
        <f t="shared" si="304"/>
        <v>-0.97223599999999999</v>
      </c>
      <c r="AM211" s="55">
        <f t="shared" si="305"/>
        <v>1.427076</v>
      </c>
      <c r="AN211" s="55">
        <f t="shared" si="306"/>
        <v>0.204545</v>
      </c>
      <c r="AO211" s="55">
        <f t="shared" si="307"/>
        <v>-6.4873E-2</v>
      </c>
      <c r="AP211" s="55">
        <f t="shared" si="308"/>
        <v>-0.55223900000000004</v>
      </c>
      <c r="AQ211" s="55">
        <f t="shared" si="309"/>
        <v>-0.19831699999999999</v>
      </c>
      <c r="AR211" s="55">
        <f t="shared" si="310"/>
        <v>0.52182799999999996</v>
      </c>
      <c r="AS211" s="55">
        <f t="shared" si="311"/>
        <v>-0.60875699999999999</v>
      </c>
      <c r="AT211" s="55">
        <f t="shared" si="312"/>
        <v>-0.28527799999999998</v>
      </c>
      <c r="AU211" s="55">
        <f t="shared" si="313"/>
        <v>0.29369400000000001</v>
      </c>
      <c r="AV211" s="55">
        <f t="shared" si="314"/>
        <v>0.73476699999999995</v>
      </c>
      <c r="AW211" s="55">
        <f t="shared" si="315"/>
        <v>0.84933599999999998</v>
      </c>
      <c r="AX211" s="55">
        <f t="shared" si="316"/>
        <v>0.40474900000000003</v>
      </c>
      <c r="AY211" s="55">
        <f t="shared" si="317"/>
        <v>0.18462899999999999</v>
      </c>
      <c r="AZ211" s="55">
        <f t="shared" si="318"/>
        <v>-0.52167699999999995</v>
      </c>
      <c r="BA211" s="55">
        <f t="shared" si="319"/>
        <v>-0.74660899999999997</v>
      </c>
      <c r="BB211" s="55">
        <f t="shared" si="320"/>
        <v>-0.69701199999999996</v>
      </c>
      <c r="BC211" s="55">
        <f t="shared" si="321"/>
        <v>3.0133E-2</v>
      </c>
      <c r="BD211" s="55">
        <f t="shared" si="322"/>
        <v>1.8644999999999998E-2</v>
      </c>
      <c r="BE211" s="55">
        <f t="shared" si="323"/>
        <v>-0.68263099999999999</v>
      </c>
      <c r="BF211" s="55">
        <f t="shared" si="324"/>
        <v>-0.20174300000000001</v>
      </c>
      <c r="BG211" s="55">
        <f t="shared" si="325"/>
        <v>0.47851300000000002</v>
      </c>
      <c r="BH211" s="55">
        <f t="shared" si="326"/>
        <v>-1.1940109999999999</v>
      </c>
      <c r="BJ211" s="55">
        <f t="shared" si="378"/>
        <v>0.14165700000000001</v>
      </c>
      <c r="BK211" s="55">
        <f t="shared" si="378"/>
        <v>0.93150100000000002</v>
      </c>
      <c r="BL211" s="55">
        <f t="shared" si="378"/>
        <v>0.21973599999999999</v>
      </c>
      <c r="BM211" s="55">
        <f t="shared" si="378"/>
        <v>8.7349999999999997E-2</v>
      </c>
      <c r="BN211" s="55">
        <f t="shared" si="378"/>
        <v>0.66057299999999997</v>
      </c>
      <c r="BO211" s="55">
        <f t="shared" si="378"/>
        <v>0.32617000000000002</v>
      </c>
      <c r="BP211" s="55">
        <f t="shared" si="378"/>
        <v>0.486794</v>
      </c>
      <c r="BQ211" s="55">
        <f t="shared" si="378"/>
        <v>-0.60062700000000002</v>
      </c>
      <c r="BR211" s="55">
        <f t="shared" si="378"/>
        <v>1.7281930000000001</v>
      </c>
      <c r="BS211" s="55">
        <f t="shared" si="378"/>
        <v>1.279531</v>
      </c>
      <c r="BT211" s="55">
        <f t="shared" si="378"/>
        <v>-0.37542500000000001</v>
      </c>
      <c r="BU211" s="55">
        <f t="shared" si="378"/>
        <v>-0.86995599999999995</v>
      </c>
      <c r="BV211" s="55">
        <f t="shared" si="378"/>
        <v>-0.88975000000000004</v>
      </c>
      <c r="BW211" s="55">
        <f t="shared" si="378"/>
        <v>-1.1213439999999999</v>
      </c>
      <c r="BX211" s="55">
        <f t="shared" si="378"/>
        <v>1.2563500000000001</v>
      </c>
      <c r="BY211" s="55">
        <f t="shared" si="378"/>
        <v>0.63623399999999997</v>
      </c>
      <c r="BZ211" s="55">
        <f t="shared" si="327"/>
        <v>0.55337499999999995</v>
      </c>
      <c r="CA211" s="55">
        <f t="shared" si="327"/>
        <v>-0.316774</v>
      </c>
      <c r="CB211" s="55">
        <f t="shared" si="327"/>
        <v>-0.57559000000000005</v>
      </c>
      <c r="CC211" s="55">
        <f t="shared" si="327"/>
        <v>-0.77202599999999999</v>
      </c>
      <c r="CD211" s="55">
        <f t="shared" si="327"/>
        <v>-0.78446899999999997</v>
      </c>
      <c r="CE211" s="55">
        <f t="shared" si="327"/>
        <v>0.47545100000000001</v>
      </c>
      <c r="CF211" s="55">
        <f t="shared" si="327"/>
        <v>0.97257099999999996</v>
      </c>
      <c r="CG211" s="55">
        <f t="shared" si="327"/>
        <v>0.81458900000000001</v>
      </c>
      <c r="CH211" s="55">
        <f t="shared" si="327"/>
        <v>0.34436099999999997</v>
      </c>
      <c r="CI211" s="55">
        <f t="shared" si="327"/>
        <v>4.1963E-2</v>
      </c>
      <c r="CJ211" s="55">
        <f t="shared" si="327"/>
        <v>0.81816999999999995</v>
      </c>
      <c r="CK211" s="55">
        <f t="shared" si="327"/>
        <v>0.49418299999999998</v>
      </c>
      <c r="CL211" s="55">
        <f t="shared" si="327"/>
        <v>-0.74974099999999999</v>
      </c>
      <c r="CM211" s="55">
        <f t="shared" si="327"/>
        <v>-1.1178939999999999</v>
      </c>
      <c r="CN211" s="55">
        <f t="shared" si="327"/>
        <v>1.0275810000000001</v>
      </c>
      <c r="CO211" s="55">
        <f t="shared" si="328"/>
        <v>0.18726499999999999</v>
      </c>
      <c r="CP211" s="55">
        <f t="shared" si="328"/>
        <v>-0.46878799999999998</v>
      </c>
      <c r="CQ211" s="55">
        <f t="shared" si="328"/>
        <v>0.21907799999999999</v>
      </c>
      <c r="CR211" s="55">
        <f t="shared" si="328"/>
        <v>0.65311699999999995</v>
      </c>
      <c r="CS211" s="55">
        <f t="shared" si="328"/>
        <v>-0.532003</v>
      </c>
      <c r="CT211" s="55">
        <f t="shared" si="328"/>
        <v>0.80649400000000004</v>
      </c>
      <c r="CU211" s="55">
        <f t="shared" si="328"/>
        <v>-0.388903</v>
      </c>
      <c r="CV211" s="55">
        <f t="shared" si="328"/>
        <v>-0.21298</v>
      </c>
      <c r="CW211" s="55">
        <f t="shared" si="328"/>
        <v>-0.33707300000000001</v>
      </c>
      <c r="CX211" s="55">
        <f t="shared" si="328"/>
        <v>-1.7750000000000001E-3</v>
      </c>
      <c r="CY211" s="55">
        <f t="shared" si="328"/>
        <v>-0.43126399999999998</v>
      </c>
      <c r="CZ211" s="55">
        <f t="shared" si="328"/>
        <v>0.65154900000000004</v>
      </c>
      <c r="DA211" s="55">
        <f t="shared" si="328"/>
        <v>-0.22847300000000001</v>
      </c>
      <c r="DB211" s="55">
        <f t="shared" si="328"/>
        <v>-0.868004</v>
      </c>
      <c r="DC211" s="55">
        <f t="shared" si="328"/>
        <v>-0.905532</v>
      </c>
      <c r="DD211" s="55">
        <f t="shared" si="328"/>
        <v>0.25758300000000001</v>
      </c>
      <c r="DE211" s="55">
        <f t="shared" si="287"/>
        <v>-5.6763000000000001E-2</v>
      </c>
      <c r="DF211" s="55">
        <f t="shared" si="287"/>
        <v>-0.61416400000000004</v>
      </c>
      <c r="DG211" s="55">
        <f t="shared" si="287"/>
        <v>9.1121999999999995E-2</v>
      </c>
      <c r="DI211" s="55">
        <f t="shared" ca="1" si="236"/>
        <v>-1.0345310000000001</v>
      </c>
      <c r="DJ211" s="55">
        <f t="shared" ca="1" si="237"/>
        <v>1.1446890000000001</v>
      </c>
      <c r="DK211" s="55">
        <f t="shared" ca="1" si="238"/>
        <v>0.27109</v>
      </c>
      <c r="DL211" s="55">
        <f t="shared" ca="1" si="239"/>
        <v>0.61382199999999998</v>
      </c>
      <c r="DM211" s="55">
        <f t="shared" ca="1" si="240"/>
        <v>-0.62524100000000005</v>
      </c>
      <c r="DN211" s="55">
        <f t="shared" ca="1" si="241"/>
        <v>0.57052199999999997</v>
      </c>
      <c r="DO211" s="55">
        <f t="shared" ca="1" si="242"/>
        <v>-0.77776800000000001</v>
      </c>
      <c r="DP211" s="55">
        <f t="shared" ca="1" si="243"/>
        <v>0.75486200000000003</v>
      </c>
      <c r="DQ211" s="55">
        <f t="shared" ca="1" si="244"/>
        <v>-0.90419799999999995</v>
      </c>
      <c r="DR211" s="55">
        <f t="shared" ca="1" si="245"/>
        <v>-0.95964000000000005</v>
      </c>
      <c r="DS211" s="55">
        <f t="shared" ca="1" si="246"/>
        <v>1.5676810000000001</v>
      </c>
      <c r="DT211" s="55">
        <f t="shared" ca="1" si="247"/>
        <v>-0.53586599999999995</v>
      </c>
      <c r="DU211" s="55">
        <f t="shared" ca="1" si="248"/>
        <v>-0.13311999999999999</v>
      </c>
      <c r="DV211" s="55">
        <f t="shared" ca="1" si="249"/>
        <v>-0.63129900000000005</v>
      </c>
      <c r="DW211" s="55">
        <f t="shared" ca="1" si="250"/>
        <v>-0.530088</v>
      </c>
      <c r="DX211" s="55">
        <f t="shared" ca="1" si="251"/>
        <v>-0.336281</v>
      </c>
      <c r="DY211" s="55">
        <f t="shared" ca="1" si="252"/>
        <v>0.83719997537699986</v>
      </c>
      <c r="DZ211" s="55">
        <f t="shared" ca="1" si="253"/>
        <v>0.53285990777199999</v>
      </c>
      <c r="EA211" s="55">
        <f t="shared" ca="1" si="254"/>
        <v>-0.76175261409600004</v>
      </c>
      <c r="EB211" s="55">
        <f t="shared" ca="1" si="255"/>
        <v>-0.40066275081899994</v>
      </c>
      <c r="EC211" s="55">
        <f t="shared" ca="1" si="256"/>
        <v>-0.21783854116199999</v>
      </c>
      <c r="ED211" s="55">
        <f t="shared" ca="1" si="257"/>
        <v>1.0231155189660002</v>
      </c>
      <c r="EE211" s="55">
        <f t="shared" ca="1" si="258"/>
        <v>0.89995702234399999</v>
      </c>
      <c r="EF211" s="55">
        <f t="shared" ca="1" si="259"/>
        <v>0.80369726659100005</v>
      </c>
      <c r="EG211" s="55">
        <f t="shared" ca="1" si="260"/>
        <v>8.4683574535999992E-2</v>
      </c>
      <c r="EH211" s="55">
        <f t="shared" ca="1" si="261"/>
        <v>0.111869027929</v>
      </c>
      <c r="EI211" s="55">
        <f t="shared" ca="1" si="262"/>
        <v>-0.12438175709000004</v>
      </c>
      <c r="EJ211" s="55">
        <f t="shared" ca="1" si="263"/>
        <v>-0.39358559618100003</v>
      </c>
      <c r="EK211" s="55">
        <f t="shared" ca="1" si="264"/>
        <v>0.56810183498300004</v>
      </c>
      <c r="EL211" s="55">
        <f t="shared" ca="1" si="265"/>
        <v>-0.31729075183899996</v>
      </c>
      <c r="EM211" s="55">
        <f t="shared" ca="1" si="266"/>
        <v>0.36621044085400001</v>
      </c>
      <c r="EN211" s="55">
        <f t="shared" ca="1" si="267"/>
        <v>-0.26042998209600005</v>
      </c>
      <c r="EO211" s="55">
        <f t="shared" ca="1" si="268"/>
        <v>-0.30504512707100001</v>
      </c>
      <c r="EP211" s="55">
        <f t="shared" ca="1" si="269"/>
        <v>0.40236254724999998</v>
      </c>
      <c r="EQ211" s="55">
        <f t="shared" ca="1" si="270"/>
        <v>-0.11082025772600002</v>
      </c>
      <c r="ER211" s="55">
        <f t="shared" ca="1" si="271"/>
        <v>-0.38263593172499999</v>
      </c>
      <c r="ES211" s="55">
        <f t="shared" ca="1" si="272"/>
        <v>0.49604539280000004</v>
      </c>
      <c r="ET211" s="55">
        <f t="shared" ca="1" si="273"/>
        <v>0.29136569433000004</v>
      </c>
      <c r="EU211" s="55">
        <f t="shared" ca="1" si="274"/>
        <v>0.43014504408400001</v>
      </c>
      <c r="EV211" s="55">
        <f t="shared" ca="1" si="275"/>
        <v>0.11202529697800001</v>
      </c>
      <c r="EW211" s="55">
        <f t="shared" ca="1" si="276"/>
        <v>0.111073795196</v>
      </c>
      <c r="EX211" s="55">
        <f t="shared" ca="1" si="277"/>
        <v>-0.48599993978699996</v>
      </c>
      <c r="EY211" s="55">
        <f t="shared" ca="1" si="278"/>
        <v>-0.19489445504199998</v>
      </c>
      <c r="EZ211" s="55">
        <f t="shared" ca="1" si="279"/>
        <v>-0.51212604206099999</v>
      </c>
      <c r="FA211" s="55">
        <f t="shared" ca="1" si="280"/>
        <v>-0.32427275833699998</v>
      </c>
      <c r="FB211" s="55">
        <f t="shared" ca="1" si="281"/>
        <v>1.8644999999999998E-2</v>
      </c>
      <c r="FC211" s="55">
        <f t="shared" ca="1" si="282"/>
        <v>-0.68263099999999999</v>
      </c>
      <c r="FD211" s="55">
        <f t="shared" ca="1" si="283"/>
        <v>-0.20174300000000001</v>
      </c>
      <c r="FE211" s="55">
        <f t="shared" ca="1" si="284"/>
        <v>0.47851300000000002</v>
      </c>
      <c r="FF211" s="55">
        <f t="shared" ca="1" si="285"/>
        <v>-1.1940109999999999</v>
      </c>
      <c r="FH211" s="55">
        <f t="shared" ca="1" si="286"/>
        <v>0</v>
      </c>
      <c r="FI211" s="55">
        <f t="shared" ca="1" si="379"/>
        <v>0</v>
      </c>
      <c r="FJ211" s="55">
        <f t="shared" ca="1" si="380"/>
        <v>0</v>
      </c>
      <c r="FK211" s="55">
        <f t="shared" ca="1" si="381"/>
        <v>0</v>
      </c>
      <c r="FL211" s="55">
        <f t="shared" ca="1" si="382"/>
        <v>0</v>
      </c>
      <c r="FM211" s="55">
        <f t="shared" ca="1" si="383"/>
        <v>0</v>
      </c>
      <c r="FN211" s="55">
        <f t="shared" ca="1" si="384"/>
        <v>0</v>
      </c>
      <c r="FO211" s="55">
        <f t="shared" ca="1" si="385"/>
        <v>0</v>
      </c>
      <c r="FP211" s="55">
        <f t="shared" ca="1" si="386"/>
        <v>0</v>
      </c>
      <c r="FQ211" s="55">
        <f t="shared" ca="1" si="387"/>
        <v>0</v>
      </c>
      <c r="FR211" s="55">
        <f t="shared" ca="1" si="388"/>
        <v>0</v>
      </c>
      <c r="FS211" s="55">
        <f t="shared" ca="1" si="329"/>
        <v>0</v>
      </c>
      <c r="FT211" s="55">
        <f t="shared" ca="1" si="330"/>
        <v>0</v>
      </c>
      <c r="FU211" s="55">
        <f t="shared" ca="1" si="331"/>
        <v>0</v>
      </c>
      <c r="FV211" s="55">
        <f t="shared" ca="1" si="332"/>
        <v>0</v>
      </c>
      <c r="FW211" s="55">
        <f t="shared" ca="1" si="333"/>
        <v>0</v>
      </c>
      <c r="FX211" s="55">
        <f t="shared" ca="1" si="334"/>
        <v>-0.18499802462300008</v>
      </c>
      <c r="FY211" s="55">
        <f t="shared" ca="1" si="335"/>
        <v>-0.55379409222800002</v>
      </c>
      <c r="FZ211" s="55">
        <f t="shared" ca="1" si="336"/>
        <v>0.12134138590400001</v>
      </c>
      <c r="GA211" s="55">
        <f t="shared" ca="1" si="337"/>
        <v>-0.24205575081899994</v>
      </c>
      <c r="GB211" s="55">
        <f t="shared" ca="1" si="338"/>
        <v>-0.36933154116199995</v>
      </c>
      <c r="GC211" s="55">
        <f t="shared" ca="1" si="339"/>
        <v>-0.35696948103399984</v>
      </c>
      <c r="GD211" s="55">
        <f t="shared" ca="1" si="340"/>
        <v>4.7330022343999967E-2</v>
      </c>
      <c r="GE211" s="55">
        <f t="shared" ca="1" si="341"/>
        <v>7.0992665910000197E-3</v>
      </c>
      <c r="GF211" s="55">
        <f t="shared" ca="1" si="342"/>
        <v>0.16925857453599999</v>
      </c>
      <c r="GG211" s="55">
        <f t="shared" ca="1" si="343"/>
        <v>-4.5564972070999993E-2</v>
      </c>
      <c r="GH211" s="55">
        <f t="shared" ca="1" si="344"/>
        <v>0.61435824290999985</v>
      </c>
      <c r="GI211" s="55">
        <f t="shared" ca="1" si="345"/>
        <v>0.5786504038189999</v>
      </c>
      <c r="GJ211" s="55">
        <f t="shared" ca="1" si="346"/>
        <v>-0.85897416501699997</v>
      </c>
      <c r="GK211" s="55">
        <f t="shared" ca="1" si="347"/>
        <v>-0.52183575183899999</v>
      </c>
      <c r="GL211" s="55">
        <f t="shared" ca="1" si="348"/>
        <v>0.43108344085400002</v>
      </c>
      <c r="GM211" s="55">
        <f t="shared" ca="1" si="349"/>
        <v>0.29180901790399999</v>
      </c>
      <c r="GN211" s="55">
        <f t="shared" ca="1" si="350"/>
        <v>-0.10672812707100002</v>
      </c>
      <c r="GO211" s="55">
        <f t="shared" ca="1" si="351"/>
        <v>-0.11946545274999998</v>
      </c>
      <c r="GP211" s="55">
        <f t="shared" ca="1" si="352"/>
        <v>0.49793674227399998</v>
      </c>
      <c r="GQ211" s="55">
        <f t="shared" ca="1" si="353"/>
        <v>-9.7357931725000013E-2</v>
      </c>
      <c r="GR211" s="55">
        <f t="shared" ca="1" si="354"/>
        <v>0.20235139280000003</v>
      </c>
      <c r="GS211" s="55">
        <f t="shared" ca="1" si="355"/>
        <v>-0.44340130566999991</v>
      </c>
      <c r="GT211" s="55">
        <f t="shared" ca="1" si="356"/>
        <v>-0.41919095591599997</v>
      </c>
      <c r="GU211" s="55">
        <f t="shared" ca="1" si="357"/>
        <v>-0.29272370302200001</v>
      </c>
      <c r="GV211" s="55">
        <f t="shared" ca="1" si="358"/>
        <v>-7.3555204803999991E-2</v>
      </c>
      <c r="GW211" s="55">
        <f t="shared" ca="1" si="359"/>
        <v>3.5677060212999989E-2</v>
      </c>
      <c r="GX211" s="55">
        <f t="shared" ca="1" si="360"/>
        <v>0.55171454495799999</v>
      </c>
      <c r="GY211" s="55">
        <f t="shared" ca="1" si="361"/>
        <v>0.18488595793899998</v>
      </c>
      <c r="GZ211" s="55">
        <f t="shared" ca="1" si="362"/>
        <v>-0.354405758337</v>
      </c>
      <c r="HA211" s="55">
        <f t="shared" ca="1" si="363"/>
        <v>0</v>
      </c>
      <c r="HB211" s="55">
        <f t="shared" ca="1" si="364"/>
        <v>0</v>
      </c>
      <c r="HC211" s="55">
        <f t="shared" ca="1" si="365"/>
        <v>0</v>
      </c>
      <c r="HD211" s="55">
        <f t="shared" ca="1" si="366"/>
        <v>0</v>
      </c>
      <c r="HE211" s="55">
        <f t="shared" ca="1" si="367"/>
        <v>0</v>
      </c>
    </row>
    <row r="212" spans="1:213">
      <c r="A212" s="27">
        <v>75</v>
      </c>
      <c r="B212" s="27">
        <v>93</v>
      </c>
      <c r="C212" s="27">
        <v>7.3899999999999999E-3</v>
      </c>
      <c r="D212" s="27">
        <v>0.78032100000000004</v>
      </c>
      <c r="E212" s="27">
        <v>16</v>
      </c>
      <c r="F212" s="27">
        <f t="shared" ca="1" si="231"/>
        <v>48</v>
      </c>
      <c r="G212" s="27">
        <f t="shared" si="230"/>
        <v>0</v>
      </c>
      <c r="H212" s="27" t="str">
        <f t="shared" si="232"/>
        <v>Sim</v>
      </c>
      <c r="I212" s="27">
        <f t="shared" si="233"/>
        <v>0</v>
      </c>
      <c r="J212" s="37">
        <f t="shared" si="234"/>
        <v>1</v>
      </c>
      <c r="K212" s="55">
        <f t="shared" si="235"/>
        <v>0.21737699999999999</v>
      </c>
      <c r="L212" s="55">
        <f t="shared" si="368"/>
        <v>0.14487800000000001</v>
      </c>
      <c r="M212" s="55">
        <f t="shared" si="369"/>
        <v>-0.83955400000000002</v>
      </c>
      <c r="N212" s="55">
        <f t="shared" si="370"/>
        <v>0.16831699999999999</v>
      </c>
      <c r="O212" s="55">
        <f t="shared" si="371"/>
        <v>-0.42879800000000001</v>
      </c>
      <c r="P212" s="55">
        <f t="shared" si="372"/>
        <v>-0.57425800000000005</v>
      </c>
      <c r="Q212" s="55">
        <f t="shared" si="373"/>
        <v>-6.8325999999999998E-2</v>
      </c>
      <c r="R212" s="55">
        <f t="shared" si="374"/>
        <v>0.79547000000000001</v>
      </c>
      <c r="S212" s="55">
        <f t="shared" si="375"/>
        <v>9.1750000000000009E-3</v>
      </c>
      <c r="T212" s="55">
        <f t="shared" si="376"/>
        <v>0.315826</v>
      </c>
      <c r="U212" s="55">
        <f t="shared" si="377"/>
        <v>1.2041200000000001</v>
      </c>
      <c r="V212" s="55">
        <f t="shared" si="288"/>
        <v>-7.6033000000000003E-2</v>
      </c>
      <c r="W212" s="55">
        <f t="shared" si="289"/>
        <v>0.93650800000000001</v>
      </c>
      <c r="X212" s="55">
        <f t="shared" si="290"/>
        <v>0.87146000000000001</v>
      </c>
      <c r="Y212" s="55">
        <f t="shared" si="291"/>
        <v>-0.58244700000000005</v>
      </c>
      <c r="Z212" s="55">
        <f t="shared" si="292"/>
        <v>-0.60894499999999996</v>
      </c>
      <c r="AA212" s="55">
        <f t="shared" si="293"/>
        <v>-4.9778000000000003E-2</v>
      </c>
      <c r="AB212" s="55">
        <f t="shared" si="294"/>
        <v>0.24624699999999999</v>
      </c>
      <c r="AC212" s="55">
        <f t="shared" si="295"/>
        <v>-0.57982</v>
      </c>
      <c r="AD212" s="55">
        <f t="shared" si="296"/>
        <v>-0.62389300000000003</v>
      </c>
      <c r="AE212" s="55">
        <f t="shared" si="297"/>
        <v>0.68608000000000002</v>
      </c>
      <c r="AF212" s="55">
        <f t="shared" si="298"/>
        <v>0.20273099999999999</v>
      </c>
      <c r="AG212" s="55">
        <f t="shared" si="299"/>
        <v>-1.581968</v>
      </c>
      <c r="AH212" s="55">
        <f t="shared" si="300"/>
        <v>-0.44977099999999998</v>
      </c>
      <c r="AI212" s="55">
        <f t="shared" si="301"/>
        <v>0.48746499999999998</v>
      </c>
      <c r="AJ212" s="55">
        <f t="shared" si="302"/>
        <v>-0.74534199999999995</v>
      </c>
      <c r="AK212" s="55">
        <f t="shared" si="303"/>
        <v>0.81455200000000005</v>
      </c>
      <c r="AL212" s="55">
        <f t="shared" si="304"/>
        <v>-0.478717</v>
      </c>
      <c r="AM212" s="55">
        <f t="shared" si="305"/>
        <v>0.87226499999999996</v>
      </c>
      <c r="AN212" s="55">
        <f t="shared" si="306"/>
        <v>0.531609</v>
      </c>
      <c r="AO212" s="55">
        <f t="shared" si="307"/>
        <v>-0.19894899999999999</v>
      </c>
      <c r="AP212" s="55">
        <f t="shared" si="308"/>
        <v>0.30160799999999999</v>
      </c>
      <c r="AQ212" s="55">
        <f t="shared" si="309"/>
        <v>-0.103106</v>
      </c>
      <c r="AR212" s="55">
        <f t="shared" si="310"/>
        <v>0.81671000000000005</v>
      </c>
      <c r="AS212" s="55">
        <f t="shared" si="311"/>
        <v>-1.422342</v>
      </c>
      <c r="AT212" s="55">
        <f t="shared" si="312"/>
        <v>0.70987599999999995</v>
      </c>
      <c r="AU212" s="55">
        <f t="shared" si="313"/>
        <v>-0.70594000000000001</v>
      </c>
      <c r="AV212" s="55">
        <f t="shared" si="314"/>
        <v>-0.21564800000000001</v>
      </c>
      <c r="AW212" s="55">
        <f t="shared" si="315"/>
        <v>-0.34107199999999999</v>
      </c>
      <c r="AX212" s="55">
        <f t="shared" si="316"/>
        <v>-0.48190300000000003</v>
      </c>
      <c r="AY212" s="55">
        <f t="shared" si="317"/>
        <v>0.330486</v>
      </c>
      <c r="AZ212" s="55">
        <f t="shared" si="318"/>
        <v>-0.53271500000000005</v>
      </c>
      <c r="BA212" s="55">
        <f t="shared" si="319"/>
        <v>-0.65382799999999996</v>
      </c>
      <c r="BB212" s="55">
        <f t="shared" si="320"/>
        <v>-0.35823100000000002</v>
      </c>
      <c r="BC212" s="55">
        <f t="shared" si="321"/>
        <v>0.83191700000000002</v>
      </c>
      <c r="BD212" s="55">
        <f t="shared" si="322"/>
        <v>-0.37991900000000001</v>
      </c>
      <c r="BE212" s="55">
        <f t="shared" si="323"/>
        <v>-0.65685199999999999</v>
      </c>
      <c r="BF212" s="55">
        <f t="shared" si="324"/>
        <v>-0.39264900000000003</v>
      </c>
      <c r="BG212" s="55">
        <f t="shared" si="325"/>
        <v>-7.7480999999999994E-2</v>
      </c>
      <c r="BH212" s="55">
        <f t="shared" si="326"/>
        <v>-0.74588100000000002</v>
      </c>
      <c r="BJ212" s="55">
        <f t="shared" si="378"/>
        <v>-0.26093499999999997</v>
      </c>
      <c r="BK212" s="55">
        <f t="shared" si="378"/>
        <v>0.79002799999999995</v>
      </c>
      <c r="BL212" s="55">
        <f t="shared" si="378"/>
        <v>-2.0379999999999999E-2</v>
      </c>
      <c r="BM212" s="55">
        <f t="shared" si="378"/>
        <v>1.2761089999999999</v>
      </c>
      <c r="BN212" s="55">
        <f t="shared" si="378"/>
        <v>-0.45896700000000001</v>
      </c>
      <c r="BO212" s="55">
        <f t="shared" si="378"/>
        <v>0.61991799999999997</v>
      </c>
      <c r="BP212" s="55">
        <f t="shared" si="378"/>
        <v>1.3424970000000001</v>
      </c>
      <c r="BQ212" s="55">
        <f t="shared" si="378"/>
        <v>-0.191992</v>
      </c>
      <c r="BR212" s="55">
        <f t="shared" si="378"/>
        <v>-0.57312300000000005</v>
      </c>
      <c r="BS212" s="55">
        <f t="shared" si="378"/>
        <v>-0.59387599999999996</v>
      </c>
      <c r="BT212" s="55">
        <f t="shared" si="378"/>
        <v>0.39508100000000002</v>
      </c>
      <c r="BU212" s="55">
        <f t="shared" si="378"/>
        <v>-0.29557899999999998</v>
      </c>
      <c r="BV212" s="55">
        <f t="shared" si="378"/>
        <v>-1.2123299999999999</v>
      </c>
      <c r="BW212" s="55">
        <f t="shared" si="378"/>
        <v>0.53608199999999995</v>
      </c>
      <c r="BX212" s="55">
        <f t="shared" si="378"/>
        <v>0.43825799999999998</v>
      </c>
      <c r="BY212" s="55">
        <f t="shared" si="378"/>
        <v>-1.0462629999999999</v>
      </c>
      <c r="BZ212" s="55">
        <f t="shared" si="327"/>
        <v>-0.92386999999999997</v>
      </c>
      <c r="CA212" s="55">
        <f t="shared" si="327"/>
        <v>-0.32855600000000001</v>
      </c>
      <c r="CB212" s="55">
        <f t="shared" si="327"/>
        <v>0.79715599999999998</v>
      </c>
      <c r="CC212" s="55">
        <f t="shared" si="327"/>
        <v>-0.18821499999999999</v>
      </c>
      <c r="CD212" s="55">
        <f t="shared" si="327"/>
        <v>-0.87919400000000003</v>
      </c>
      <c r="CE212" s="55">
        <f t="shared" si="327"/>
        <v>0.84435099999999996</v>
      </c>
      <c r="CF212" s="55">
        <f t="shared" si="327"/>
        <v>0.41101399999999999</v>
      </c>
      <c r="CG212" s="55">
        <f t="shared" si="327"/>
        <v>0.83720799999999995</v>
      </c>
      <c r="CH212" s="55">
        <f t="shared" si="327"/>
        <v>-0.17442299999999999</v>
      </c>
      <c r="CI212" s="55">
        <f t="shared" si="327"/>
        <v>8.8509999999999995E-3</v>
      </c>
      <c r="CJ212" s="55">
        <f t="shared" si="327"/>
        <v>0.275868</v>
      </c>
      <c r="CK212" s="55">
        <f t="shared" si="327"/>
        <v>1.348231</v>
      </c>
      <c r="CL212" s="55">
        <f t="shared" si="327"/>
        <v>0.35782199999999997</v>
      </c>
      <c r="CM212" s="55">
        <f t="shared" si="327"/>
        <v>-0.22400200000000001</v>
      </c>
      <c r="CN212" s="55">
        <f t="shared" si="327"/>
        <v>0.19275999999999999</v>
      </c>
      <c r="CO212" s="55">
        <f t="shared" si="328"/>
        <v>-0.74942500000000001</v>
      </c>
      <c r="CP212" s="55">
        <f t="shared" si="328"/>
        <v>0.40764099999999998</v>
      </c>
      <c r="CQ212" s="55">
        <f t="shared" si="328"/>
        <v>-0.98532500000000001</v>
      </c>
      <c r="CR212" s="55">
        <f t="shared" si="328"/>
        <v>-0.25914599999999999</v>
      </c>
      <c r="CS212" s="55">
        <f t="shared" si="328"/>
        <v>8.0591999999999997E-2</v>
      </c>
      <c r="CT212" s="55">
        <f t="shared" si="328"/>
        <v>0.10335999999999999</v>
      </c>
      <c r="CU212" s="55">
        <f t="shared" si="328"/>
        <v>-0.26106299999999999</v>
      </c>
      <c r="CV212" s="55">
        <f t="shared" si="328"/>
        <v>2.9864000000000002E-2</v>
      </c>
      <c r="CW212" s="55">
        <f t="shared" si="328"/>
        <v>-0.54261499999999996</v>
      </c>
      <c r="CX212" s="55">
        <f t="shared" si="328"/>
        <v>-0.50171699999999997</v>
      </c>
      <c r="CY212" s="55">
        <f t="shared" si="328"/>
        <v>-1.11639</v>
      </c>
      <c r="CZ212" s="55">
        <f t="shared" si="328"/>
        <v>-2.0365999999999999E-2</v>
      </c>
      <c r="DA212" s="55">
        <f t="shared" si="328"/>
        <v>-0.60032099999999999</v>
      </c>
      <c r="DB212" s="55">
        <f t="shared" si="328"/>
        <v>-7.0127999999999996E-2</v>
      </c>
      <c r="DC212" s="55">
        <f t="shared" si="328"/>
        <v>-0.63070599999999999</v>
      </c>
      <c r="DD212" s="55">
        <f t="shared" si="328"/>
        <v>8.1457000000000002E-2</v>
      </c>
      <c r="DE212" s="55">
        <f t="shared" si="287"/>
        <v>-0.582561</v>
      </c>
      <c r="DF212" s="55">
        <f t="shared" si="287"/>
        <v>-0.51460499999999998</v>
      </c>
      <c r="DG212" s="55">
        <f t="shared" si="287"/>
        <v>-1.1069009999999999</v>
      </c>
      <c r="DI212" s="55">
        <f t="shared" ca="1" si="236"/>
        <v>0.21737699999999999</v>
      </c>
      <c r="DJ212" s="55">
        <f t="shared" ca="1" si="237"/>
        <v>0.14487800000000001</v>
      </c>
      <c r="DK212" s="55">
        <f t="shared" ca="1" si="238"/>
        <v>-0.83955400000000002</v>
      </c>
      <c r="DL212" s="55">
        <f t="shared" ca="1" si="239"/>
        <v>0.16831699999999999</v>
      </c>
      <c r="DM212" s="55">
        <f t="shared" ca="1" si="240"/>
        <v>-0.42879800000000001</v>
      </c>
      <c r="DN212" s="55">
        <f t="shared" ca="1" si="241"/>
        <v>-0.57425800000000005</v>
      </c>
      <c r="DO212" s="55">
        <f t="shared" ca="1" si="242"/>
        <v>-6.8325999999999998E-2</v>
      </c>
      <c r="DP212" s="55">
        <f t="shared" ca="1" si="243"/>
        <v>0.79547000000000001</v>
      </c>
      <c r="DQ212" s="55">
        <f t="shared" ca="1" si="244"/>
        <v>9.1750000000000009E-3</v>
      </c>
      <c r="DR212" s="55">
        <f t="shared" ca="1" si="245"/>
        <v>0.315826</v>
      </c>
      <c r="DS212" s="55">
        <f t="shared" ca="1" si="246"/>
        <v>1.2041200000000001</v>
      </c>
      <c r="DT212" s="55">
        <f t="shared" ca="1" si="247"/>
        <v>-7.6033000000000003E-2</v>
      </c>
      <c r="DU212" s="55">
        <f t="shared" ca="1" si="248"/>
        <v>0.93650800000000001</v>
      </c>
      <c r="DV212" s="55">
        <f t="shared" ca="1" si="249"/>
        <v>0.87146000000000001</v>
      </c>
      <c r="DW212" s="55">
        <f t="shared" ca="1" si="250"/>
        <v>-0.58244700000000005</v>
      </c>
      <c r="DX212" s="55">
        <f t="shared" ca="1" si="251"/>
        <v>-0.60894499999999996</v>
      </c>
      <c r="DY212" s="55">
        <f t="shared" ca="1" si="252"/>
        <v>-0.24179765646799994</v>
      </c>
      <c r="DZ212" s="55">
        <f t="shared" ca="1" si="253"/>
        <v>0.11997485176300002</v>
      </c>
      <c r="EA212" s="55">
        <f t="shared" ca="1" si="254"/>
        <v>-0.27732728929600003</v>
      </c>
      <c r="EB212" s="55">
        <f t="shared" ca="1" si="255"/>
        <v>-0.52818369263800002</v>
      </c>
      <c r="EC212" s="55">
        <f t="shared" ca="1" si="256"/>
        <v>0.34222217295400015</v>
      </c>
      <c r="ED212" s="55">
        <f t="shared" ca="1" si="257"/>
        <v>0.34368143998</v>
      </c>
      <c r="EE212" s="55">
        <f t="shared" ca="1" si="258"/>
        <v>-1.1441517072220002</v>
      </c>
      <c r="EF212" s="55">
        <f t="shared" ca="1" si="259"/>
        <v>-0.16704874025900002</v>
      </c>
      <c r="EG212" s="55">
        <f t="shared" ca="1" si="260"/>
        <v>0.34206210604800003</v>
      </c>
      <c r="EH212" s="55">
        <f t="shared" ca="1" si="261"/>
        <v>-0.57966163595300002</v>
      </c>
      <c r="EI212" s="55">
        <f t="shared" ca="1" si="262"/>
        <v>0.69621443756400003</v>
      </c>
      <c r="EJ212" s="55">
        <f t="shared" ca="1" si="263"/>
        <v>-7.7374890308000099E-2</v>
      </c>
      <c r="EK212" s="55">
        <f t="shared" ca="1" si="264"/>
        <v>0.75925267620299997</v>
      </c>
      <c r="EL212" s="55">
        <f t="shared" ca="1" si="265"/>
        <v>0.36561713113100003</v>
      </c>
      <c r="EM212" s="55">
        <f t="shared" ca="1" si="266"/>
        <v>-0.112898758589</v>
      </c>
      <c r="EN212" s="55">
        <f t="shared" ca="1" si="267"/>
        <v>7.0718121593000033E-2</v>
      </c>
      <c r="EO212" s="55">
        <f t="shared" ca="1" si="268"/>
        <v>9.0943902129999588E-3</v>
      </c>
      <c r="EP212" s="55">
        <f t="shared" ca="1" si="269"/>
        <v>0.42084075323500014</v>
      </c>
      <c r="EQ212" s="55">
        <f t="shared" ca="1" si="270"/>
        <v>-1.1668122659160001</v>
      </c>
      <c r="ER212" s="55">
        <f t="shared" ca="1" si="271"/>
        <v>0.57163552016399999</v>
      </c>
      <c r="ES212" s="55">
        <f t="shared" ca="1" si="272"/>
        <v>-0.52815378530000001</v>
      </c>
      <c r="ET212" s="55">
        <f t="shared" ca="1" si="273"/>
        <v>-0.22562472178499998</v>
      </c>
      <c r="EU212" s="55">
        <f t="shared" ca="1" si="274"/>
        <v>-0.259585150456</v>
      </c>
      <c r="EV212" s="55">
        <f t="shared" ca="1" si="275"/>
        <v>-0.49524015144800004</v>
      </c>
      <c r="EW212" s="55">
        <f t="shared" ca="1" si="276"/>
        <v>0.14766847716300008</v>
      </c>
      <c r="EX212" s="55">
        <f t="shared" ca="1" si="277"/>
        <v>-0.66093614032500003</v>
      </c>
      <c r="EY212" s="55">
        <f t="shared" ca="1" si="278"/>
        <v>-0.51466970130199996</v>
      </c>
      <c r="EZ212" s="55">
        <f t="shared" ca="1" si="279"/>
        <v>-0.41141308911000002</v>
      </c>
      <c r="FA212" s="55">
        <f t="shared" ca="1" si="280"/>
        <v>0.63375665644500001</v>
      </c>
      <c r="FB212" s="55">
        <f t="shared" ca="1" si="281"/>
        <v>-0.43501163737299997</v>
      </c>
      <c r="FC212" s="55">
        <f t="shared" ca="1" si="282"/>
        <v>-0.49466101718900007</v>
      </c>
      <c r="FD212" s="55">
        <f t="shared" ca="1" si="283"/>
        <v>-0.43436867824799996</v>
      </c>
      <c r="FE212" s="55">
        <f t="shared" ca="1" si="284"/>
        <v>-7.7480999999999994E-2</v>
      </c>
      <c r="FF212" s="55">
        <f t="shared" ca="1" si="285"/>
        <v>-0.74588100000000002</v>
      </c>
      <c r="FH212" s="55">
        <f t="shared" ca="1" si="286"/>
        <v>0</v>
      </c>
      <c r="FI212" s="55">
        <f t="shared" ca="1" si="379"/>
        <v>0</v>
      </c>
      <c r="FJ212" s="55">
        <f t="shared" ca="1" si="380"/>
        <v>0</v>
      </c>
      <c r="FK212" s="55">
        <f t="shared" ca="1" si="381"/>
        <v>0</v>
      </c>
      <c r="FL212" s="55">
        <f t="shared" ca="1" si="382"/>
        <v>0</v>
      </c>
      <c r="FM212" s="55">
        <f t="shared" ca="1" si="383"/>
        <v>0</v>
      </c>
      <c r="FN212" s="55">
        <f t="shared" ca="1" si="384"/>
        <v>0</v>
      </c>
      <c r="FO212" s="55">
        <f t="shared" ca="1" si="385"/>
        <v>0</v>
      </c>
      <c r="FP212" s="55">
        <f t="shared" ca="1" si="386"/>
        <v>0</v>
      </c>
      <c r="FQ212" s="55">
        <f t="shared" ca="1" si="387"/>
        <v>0</v>
      </c>
      <c r="FR212" s="55">
        <f t="shared" ca="1" si="388"/>
        <v>0</v>
      </c>
      <c r="FS212" s="55">
        <f t="shared" ca="1" si="329"/>
        <v>0</v>
      </c>
      <c r="FT212" s="55">
        <f t="shared" ca="1" si="330"/>
        <v>0</v>
      </c>
      <c r="FU212" s="55">
        <f t="shared" ca="1" si="331"/>
        <v>0</v>
      </c>
      <c r="FV212" s="55">
        <f t="shared" ca="1" si="332"/>
        <v>0</v>
      </c>
      <c r="FW212" s="55">
        <f t="shared" ca="1" si="333"/>
        <v>0</v>
      </c>
      <c r="FX212" s="55">
        <f t="shared" ca="1" si="334"/>
        <v>-0.19201965646799996</v>
      </c>
      <c r="FY212" s="55">
        <f t="shared" ca="1" si="335"/>
        <v>-0.12627214823699998</v>
      </c>
      <c r="FZ212" s="55">
        <f t="shared" ca="1" si="336"/>
        <v>0.30249271070399997</v>
      </c>
      <c r="GA212" s="55">
        <f t="shared" ca="1" si="337"/>
        <v>9.5709307362000007E-2</v>
      </c>
      <c r="GB212" s="55">
        <f t="shared" ca="1" si="338"/>
        <v>-0.34385782704599988</v>
      </c>
      <c r="GC212" s="55">
        <f t="shared" ca="1" si="339"/>
        <v>0.14095043998000001</v>
      </c>
      <c r="GD212" s="55">
        <f t="shared" ca="1" si="340"/>
        <v>0.43781629277799983</v>
      </c>
      <c r="GE212" s="55">
        <f t="shared" ca="1" si="341"/>
        <v>0.28272225974099996</v>
      </c>
      <c r="GF212" s="55">
        <f t="shared" ca="1" si="342"/>
        <v>-0.14540289395199996</v>
      </c>
      <c r="GG212" s="55">
        <f t="shared" ca="1" si="343"/>
        <v>0.16568036404699993</v>
      </c>
      <c r="GH212" s="55">
        <f t="shared" ca="1" si="344"/>
        <v>-0.11833756243600002</v>
      </c>
      <c r="GI212" s="55">
        <f t="shared" ca="1" si="345"/>
        <v>0.4013421096919999</v>
      </c>
      <c r="GJ212" s="55">
        <f t="shared" ca="1" si="346"/>
        <v>-0.11301232379699999</v>
      </c>
      <c r="GK212" s="55">
        <f t="shared" ca="1" si="347"/>
        <v>-0.16599186886899997</v>
      </c>
      <c r="GL212" s="55">
        <f t="shared" ca="1" si="348"/>
        <v>8.6050241410999984E-2</v>
      </c>
      <c r="GM212" s="55">
        <f t="shared" ca="1" si="349"/>
        <v>-0.23088987840699995</v>
      </c>
      <c r="GN212" s="55">
        <f t="shared" ca="1" si="350"/>
        <v>0.11220039021299996</v>
      </c>
      <c r="GO212" s="55">
        <f t="shared" ca="1" si="351"/>
        <v>-0.3958692467649999</v>
      </c>
      <c r="GP212" s="55">
        <f t="shared" ca="1" si="352"/>
        <v>0.25552973408399993</v>
      </c>
      <c r="GQ212" s="55">
        <f t="shared" ca="1" si="353"/>
        <v>-0.13824047983599996</v>
      </c>
      <c r="GR212" s="55">
        <f t="shared" ca="1" si="354"/>
        <v>0.1777862147</v>
      </c>
      <c r="GS212" s="55">
        <f t="shared" ca="1" si="355"/>
        <v>-9.9767217849999756E-3</v>
      </c>
      <c r="GT212" s="55">
        <f t="shared" ca="1" si="356"/>
        <v>8.1486849543999984E-2</v>
      </c>
      <c r="GU212" s="55">
        <f t="shared" ca="1" si="357"/>
        <v>-1.3337151448000018E-2</v>
      </c>
      <c r="GV212" s="55">
        <f t="shared" ca="1" si="358"/>
        <v>-0.18281752283699992</v>
      </c>
      <c r="GW212" s="55">
        <f t="shared" ca="1" si="359"/>
        <v>-0.12822114032499998</v>
      </c>
      <c r="GX212" s="55">
        <f t="shared" ca="1" si="360"/>
        <v>0.139158298698</v>
      </c>
      <c r="GY212" s="55">
        <f t="shared" ca="1" si="361"/>
        <v>-5.3182089109999997E-2</v>
      </c>
      <c r="GZ212" s="55">
        <f t="shared" ca="1" si="362"/>
        <v>-0.19816034355500001</v>
      </c>
      <c r="HA212" s="55">
        <f t="shared" ca="1" si="363"/>
        <v>-5.5092637372999964E-2</v>
      </c>
      <c r="HB212" s="55">
        <f t="shared" ca="1" si="364"/>
        <v>0.16219098281099992</v>
      </c>
      <c r="HC212" s="55">
        <f t="shared" ca="1" si="365"/>
        <v>-4.1719678247999936E-2</v>
      </c>
      <c r="HD212" s="55">
        <f t="shared" ca="1" si="366"/>
        <v>0</v>
      </c>
      <c r="HE212" s="55">
        <f t="shared" ca="1" si="367"/>
        <v>0</v>
      </c>
    </row>
    <row r="213" spans="1:213">
      <c r="A213" s="27">
        <v>76</v>
      </c>
      <c r="B213" s="27">
        <v>90</v>
      </c>
      <c r="C213" s="27">
        <v>1.5193999999999999E-2</v>
      </c>
      <c r="D213" s="27">
        <v>0.64423699999999995</v>
      </c>
      <c r="E213" s="27">
        <v>44</v>
      </c>
      <c r="F213" s="27">
        <f t="shared" ca="1" si="231"/>
        <v>45</v>
      </c>
      <c r="G213" s="27">
        <f t="shared" si="230"/>
        <v>0</v>
      </c>
      <c r="H213" s="27" t="str">
        <f t="shared" si="232"/>
        <v>Sim</v>
      </c>
      <c r="I213" s="27">
        <f t="shared" si="233"/>
        <v>0</v>
      </c>
      <c r="J213" s="37">
        <f t="shared" si="234"/>
        <v>1</v>
      </c>
      <c r="K213" s="55">
        <f t="shared" si="235"/>
        <v>0.14165700000000001</v>
      </c>
      <c r="L213" s="55">
        <f t="shared" si="368"/>
        <v>0.93150100000000002</v>
      </c>
      <c r="M213" s="55">
        <f t="shared" si="369"/>
        <v>0.21973599999999999</v>
      </c>
      <c r="N213" s="55">
        <f t="shared" si="370"/>
        <v>8.7349999999999997E-2</v>
      </c>
      <c r="O213" s="55">
        <f t="shared" si="371"/>
        <v>0.66057299999999997</v>
      </c>
      <c r="P213" s="55">
        <f t="shared" si="372"/>
        <v>0.32617000000000002</v>
      </c>
      <c r="Q213" s="55">
        <f t="shared" si="373"/>
        <v>0.486794</v>
      </c>
      <c r="R213" s="55">
        <f t="shared" si="374"/>
        <v>-0.60062700000000002</v>
      </c>
      <c r="S213" s="55">
        <f t="shared" si="375"/>
        <v>1.7281930000000001</v>
      </c>
      <c r="T213" s="55">
        <f t="shared" si="376"/>
        <v>1.279531</v>
      </c>
      <c r="U213" s="55">
        <f t="shared" si="377"/>
        <v>-0.37542500000000001</v>
      </c>
      <c r="V213" s="55">
        <f t="shared" si="288"/>
        <v>-0.86995599999999995</v>
      </c>
      <c r="W213" s="55">
        <f t="shared" si="289"/>
        <v>-0.88975000000000004</v>
      </c>
      <c r="X213" s="55">
        <f t="shared" si="290"/>
        <v>-1.1213439999999999</v>
      </c>
      <c r="Y213" s="55">
        <f t="shared" si="291"/>
        <v>1.2563500000000001</v>
      </c>
      <c r="Z213" s="55">
        <f t="shared" si="292"/>
        <v>0.63623399999999997</v>
      </c>
      <c r="AA213" s="55">
        <f t="shared" si="293"/>
        <v>0.55337499999999995</v>
      </c>
      <c r="AB213" s="55">
        <f t="shared" si="294"/>
        <v>-0.316774</v>
      </c>
      <c r="AC213" s="55">
        <f t="shared" si="295"/>
        <v>-0.57559000000000005</v>
      </c>
      <c r="AD213" s="55">
        <f t="shared" si="296"/>
        <v>-0.77202599999999999</v>
      </c>
      <c r="AE213" s="55">
        <f t="shared" si="297"/>
        <v>-0.78446899999999997</v>
      </c>
      <c r="AF213" s="55">
        <f t="shared" si="298"/>
        <v>0.47545100000000001</v>
      </c>
      <c r="AG213" s="55">
        <f t="shared" si="299"/>
        <v>0.97257099999999996</v>
      </c>
      <c r="AH213" s="55">
        <f t="shared" si="300"/>
        <v>0.81458900000000001</v>
      </c>
      <c r="AI213" s="55">
        <f t="shared" si="301"/>
        <v>0.34436099999999997</v>
      </c>
      <c r="AJ213" s="55">
        <f t="shared" si="302"/>
        <v>4.1963E-2</v>
      </c>
      <c r="AK213" s="55">
        <f t="shared" si="303"/>
        <v>0.81816999999999995</v>
      </c>
      <c r="AL213" s="55">
        <f t="shared" si="304"/>
        <v>0.49418299999999998</v>
      </c>
      <c r="AM213" s="55">
        <f t="shared" si="305"/>
        <v>-0.74974099999999999</v>
      </c>
      <c r="AN213" s="55">
        <f t="shared" si="306"/>
        <v>-1.1178939999999999</v>
      </c>
      <c r="AO213" s="55">
        <f t="shared" si="307"/>
        <v>1.0275810000000001</v>
      </c>
      <c r="AP213" s="55">
        <f t="shared" si="308"/>
        <v>0.18726499999999999</v>
      </c>
      <c r="AQ213" s="55">
        <f t="shared" si="309"/>
        <v>-0.46878799999999998</v>
      </c>
      <c r="AR213" s="55">
        <f t="shared" si="310"/>
        <v>0.21907799999999999</v>
      </c>
      <c r="AS213" s="55">
        <f t="shared" si="311"/>
        <v>0.65311699999999995</v>
      </c>
      <c r="AT213" s="55">
        <f t="shared" si="312"/>
        <v>-0.532003</v>
      </c>
      <c r="AU213" s="55">
        <f t="shared" si="313"/>
        <v>0.80649400000000004</v>
      </c>
      <c r="AV213" s="55">
        <f t="shared" si="314"/>
        <v>-0.388903</v>
      </c>
      <c r="AW213" s="55">
        <f t="shared" si="315"/>
        <v>-0.21298</v>
      </c>
      <c r="AX213" s="55">
        <f t="shared" si="316"/>
        <v>-0.33707300000000001</v>
      </c>
      <c r="AY213" s="55">
        <f t="shared" si="317"/>
        <v>-1.7750000000000001E-3</v>
      </c>
      <c r="AZ213" s="55">
        <f t="shared" si="318"/>
        <v>-0.43126399999999998</v>
      </c>
      <c r="BA213" s="55">
        <f t="shared" si="319"/>
        <v>0.65154900000000004</v>
      </c>
      <c r="BB213" s="55">
        <f t="shared" si="320"/>
        <v>-0.22847300000000001</v>
      </c>
      <c r="BC213" s="55">
        <f t="shared" si="321"/>
        <v>-0.868004</v>
      </c>
      <c r="BD213" s="55">
        <f t="shared" si="322"/>
        <v>-0.905532</v>
      </c>
      <c r="BE213" s="55">
        <f t="shared" si="323"/>
        <v>0.25758300000000001</v>
      </c>
      <c r="BF213" s="55">
        <f t="shared" si="324"/>
        <v>-5.6763000000000001E-2</v>
      </c>
      <c r="BG213" s="55">
        <f t="shared" si="325"/>
        <v>-0.61416400000000004</v>
      </c>
      <c r="BH213" s="55">
        <f t="shared" si="326"/>
        <v>9.1121999999999995E-2</v>
      </c>
      <c r="BJ213" s="55">
        <f t="shared" si="378"/>
        <v>-1.1206419999999999</v>
      </c>
      <c r="BK213" s="55">
        <f t="shared" si="378"/>
        <v>-1.3029770000000001</v>
      </c>
      <c r="BL213" s="55">
        <f t="shared" si="378"/>
        <v>0.63195299999999999</v>
      </c>
      <c r="BM213" s="55">
        <f t="shared" si="378"/>
        <v>0.98210200000000003</v>
      </c>
      <c r="BN213" s="55">
        <f t="shared" si="378"/>
        <v>-0.57215499999999997</v>
      </c>
      <c r="BO213" s="55">
        <f t="shared" si="378"/>
        <v>-0.43438700000000002</v>
      </c>
      <c r="BP213" s="55">
        <f t="shared" si="378"/>
        <v>-0.78777299999999995</v>
      </c>
      <c r="BQ213" s="55">
        <f t="shared" si="378"/>
        <v>0.70708700000000002</v>
      </c>
      <c r="BR213" s="55">
        <f t="shared" si="378"/>
        <v>-0.69861499999999999</v>
      </c>
      <c r="BS213" s="55">
        <f t="shared" si="378"/>
        <v>0.17693</v>
      </c>
      <c r="BT213" s="55">
        <f t="shared" si="378"/>
        <v>-3.4855999999999998E-2</v>
      </c>
      <c r="BU213" s="55">
        <f t="shared" si="378"/>
        <v>-0.24126500000000001</v>
      </c>
      <c r="BV213" s="55">
        <f t="shared" si="378"/>
        <v>-0.76626899999999998</v>
      </c>
      <c r="BW213" s="55">
        <f t="shared" si="378"/>
        <v>0.76902300000000001</v>
      </c>
      <c r="BX213" s="55">
        <f t="shared" si="378"/>
        <v>0.34150900000000001</v>
      </c>
      <c r="BY213" s="55">
        <f t="shared" si="378"/>
        <v>1.2394810000000001</v>
      </c>
      <c r="BZ213" s="55">
        <f t="shared" si="327"/>
        <v>9.9690000000000001E-2</v>
      </c>
      <c r="CA213" s="55">
        <f t="shared" si="327"/>
        <v>-0.23971600000000001</v>
      </c>
      <c r="CB213" s="55">
        <f t="shared" si="327"/>
        <v>0.92815599999999998</v>
      </c>
      <c r="CC213" s="55">
        <f t="shared" si="327"/>
        <v>1.4252050000000001</v>
      </c>
      <c r="CD213" s="55">
        <f t="shared" si="327"/>
        <v>0.64546000000000003</v>
      </c>
      <c r="CE213" s="55">
        <f t="shared" si="327"/>
        <v>0.69140599999999997</v>
      </c>
      <c r="CF213" s="55">
        <f t="shared" si="327"/>
        <v>0.424819</v>
      </c>
      <c r="CG213" s="55">
        <f t="shared" si="327"/>
        <v>-0.34880899999999998</v>
      </c>
      <c r="CH213" s="55">
        <f t="shared" si="327"/>
        <v>-9.5500000000000001E-4</v>
      </c>
      <c r="CI213" s="55">
        <f t="shared" si="327"/>
        <v>-1.0865530000000001</v>
      </c>
      <c r="CJ213" s="55">
        <f t="shared" si="327"/>
        <v>0.57345100000000004</v>
      </c>
      <c r="CK213" s="55">
        <f t="shared" si="327"/>
        <v>0.34295399999999998</v>
      </c>
      <c r="CL213" s="55">
        <f t="shared" si="327"/>
        <v>0.13766200000000001</v>
      </c>
      <c r="CM213" s="55">
        <f t="shared" si="327"/>
        <v>-1.1162510000000001</v>
      </c>
      <c r="CN213" s="55">
        <f t="shared" si="327"/>
        <v>0.73047600000000001</v>
      </c>
      <c r="CO213" s="55">
        <f t="shared" si="328"/>
        <v>0.68080600000000002</v>
      </c>
      <c r="CP213" s="55">
        <f t="shared" si="328"/>
        <v>0.863236</v>
      </c>
      <c r="CQ213" s="55">
        <f t="shared" si="328"/>
        <v>-0.58311199999999996</v>
      </c>
      <c r="CR213" s="55">
        <f t="shared" si="328"/>
        <v>0.47052300000000002</v>
      </c>
      <c r="CS213" s="55">
        <f t="shared" si="328"/>
        <v>-0.24438599999999999</v>
      </c>
      <c r="CT213" s="55">
        <f t="shared" si="328"/>
        <v>0.61097999999999997</v>
      </c>
      <c r="CU213" s="55">
        <f t="shared" si="328"/>
        <v>-0.82228699999999999</v>
      </c>
      <c r="CV213" s="55">
        <f t="shared" si="328"/>
        <v>-0.55370900000000001</v>
      </c>
      <c r="CW213" s="55">
        <f t="shared" si="328"/>
        <v>-1.9292E-2</v>
      </c>
      <c r="CX213" s="55">
        <f t="shared" si="328"/>
        <v>-1.0748390000000001</v>
      </c>
      <c r="CY213" s="55">
        <f t="shared" si="328"/>
        <v>-0.47066599999999997</v>
      </c>
      <c r="CZ213" s="55">
        <f t="shared" si="328"/>
        <v>-1.5998859999999999</v>
      </c>
      <c r="DA213" s="55">
        <f t="shared" si="328"/>
        <v>3.5397999999999999E-2</v>
      </c>
      <c r="DB213" s="55">
        <f t="shared" si="328"/>
        <v>-0.80943900000000002</v>
      </c>
      <c r="DC213" s="55">
        <f t="shared" si="328"/>
        <v>-0.61132799999999998</v>
      </c>
      <c r="DD213" s="55">
        <f t="shared" si="328"/>
        <v>0.132438</v>
      </c>
      <c r="DE213" s="55">
        <f t="shared" si="287"/>
        <v>-0.14102799999999999</v>
      </c>
      <c r="DF213" s="55">
        <f t="shared" si="287"/>
        <v>1.547493</v>
      </c>
      <c r="DG213" s="55">
        <f t="shared" si="287"/>
        <v>-0.62312100000000004</v>
      </c>
      <c r="DI213" s="55">
        <f t="shared" ca="1" si="236"/>
        <v>0.14165700000000001</v>
      </c>
      <c r="DJ213" s="55">
        <f t="shared" ca="1" si="237"/>
        <v>0.93150100000000002</v>
      </c>
      <c r="DK213" s="55">
        <f t="shared" ca="1" si="238"/>
        <v>0.21973599999999999</v>
      </c>
      <c r="DL213" s="55">
        <f t="shared" ca="1" si="239"/>
        <v>8.7349999999999997E-2</v>
      </c>
      <c r="DM213" s="55">
        <f t="shared" ca="1" si="240"/>
        <v>0.66057299999999997</v>
      </c>
      <c r="DN213" s="55">
        <f t="shared" ca="1" si="241"/>
        <v>0.32617000000000002</v>
      </c>
      <c r="DO213" s="55">
        <f t="shared" ca="1" si="242"/>
        <v>0.486794</v>
      </c>
      <c r="DP213" s="55">
        <f t="shared" ca="1" si="243"/>
        <v>-0.60062700000000002</v>
      </c>
      <c r="DQ213" s="55">
        <f t="shared" ca="1" si="244"/>
        <v>1.7281930000000001</v>
      </c>
      <c r="DR213" s="55">
        <f t="shared" ca="1" si="245"/>
        <v>1.279531</v>
      </c>
      <c r="DS213" s="55">
        <f t="shared" ca="1" si="246"/>
        <v>-0.37542500000000001</v>
      </c>
      <c r="DT213" s="55">
        <f t="shared" ca="1" si="247"/>
        <v>-0.86995599999999995</v>
      </c>
      <c r="DU213" s="55">
        <f t="shared" ca="1" si="248"/>
        <v>-0.88975000000000004</v>
      </c>
      <c r="DV213" s="55">
        <f t="shared" ca="1" si="249"/>
        <v>-1.1213439999999999</v>
      </c>
      <c r="DW213" s="55">
        <f t="shared" ca="1" si="250"/>
        <v>1.2563500000000001</v>
      </c>
      <c r="DX213" s="55">
        <f t="shared" ca="1" si="251"/>
        <v>0.63623399999999997</v>
      </c>
      <c r="DY213" s="55">
        <f t="shared" ca="1" si="252"/>
        <v>0.55337499999999995</v>
      </c>
      <c r="DZ213" s="55">
        <f t="shared" ca="1" si="253"/>
        <v>-0.316774</v>
      </c>
      <c r="EA213" s="55">
        <f t="shared" ca="1" si="254"/>
        <v>-0.57559000000000005</v>
      </c>
      <c r="EB213" s="55">
        <f t="shared" ca="1" si="255"/>
        <v>-0.77202599999999999</v>
      </c>
      <c r="EC213" s="55">
        <f t="shared" ca="1" si="256"/>
        <v>-0.78446899999999997</v>
      </c>
      <c r="ED213" s="55">
        <f t="shared" ca="1" si="257"/>
        <v>0.47545100000000001</v>
      </c>
      <c r="EE213" s="55">
        <f t="shared" ca="1" si="258"/>
        <v>0.97257099999999996</v>
      </c>
      <c r="EF213" s="55">
        <f t="shared" ca="1" si="259"/>
        <v>0.81458900000000001</v>
      </c>
      <c r="EG213" s="55">
        <f t="shared" ca="1" si="260"/>
        <v>0.34436099999999997</v>
      </c>
      <c r="EH213" s="55">
        <f t="shared" ca="1" si="261"/>
        <v>4.1963E-2</v>
      </c>
      <c r="EI213" s="55">
        <f t="shared" ca="1" si="262"/>
        <v>0.81816999999999995</v>
      </c>
      <c r="EJ213" s="55">
        <f t="shared" ca="1" si="263"/>
        <v>0.49418299999999998</v>
      </c>
      <c r="EK213" s="55">
        <f t="shared" ca="1" si="264"/>
        <v>-0.74974099999999999</v>
      </c>
      <c r="EL213" s="55">
        <f t="shared" ca="1" si="265"/>
        <v>-1.1178939999999999</v>
      </c>
      <c r="EM213" s="55">
        <f t="shared" ca="1" si="266"/>
        <v>1.0275810000000001</v>
      </c>
      <c r="EN213" s="55">
        <f t="shared" ca="1" si="267"/>
        <v>0.18726499999999999</v>
      </c>
      <c r="EO213" s="55">
        <f t="shared" ca="1" si="268"/>
        <v>-0.46878799999999998</v>
      </c>
      <c r="EP213" s="55">
        <f t="shared" ca="1" si="269"/>
        <v>0.21907799999999999</v>
      </c>
      <c r="EQ213" s="55">
        <f t="shared" ca="1" si="270"/>
        <v>0.65311699999999995</v>
      </c>
      <c r="ER213" s="55">
        <f t="shared" ca="1" si="271"/>
        <v>-0.532003</v>
      </c>
      <c r="ES213" s="55">
        <f t="shared" ca="1" si="272"/>
        <v>0.80649400000000004</v>
      </c>
      <c r="ET213" s="55">
        <f t="shared" ca="1" si="273"/>
        <v>-0.388903</v>
      </c>
      <c r="EU213" s="55">
        <f t="shared" ca="1" si="274"/>
        <v>-0.21298</v>
      </c>
      <c r="EV213" s="55">
        <f t="shared" ca="1" si="275"/>
        <v>-0.33707300000000001</v>
      </c>
      <c r="EW213" s="55">
        <f t="shared" ca="1" si="276"/>
        <v>-1.7750000000000001E-3</v>
      </c>
      <c r="EX213" s="55">
        <f t="shared" ca="1" si="277"/>
        <v>-0.43126399999999998</v>
      </c>
      <c r="EY213" s="55">
        <f t="shared" ca="1" si="278"/>
        <v>0.65154900000000004</v>
      </c>
      <c r="EZ213" s="55">
        <f t="shared" ca="1" si="279"/>
        <v>-0.22847300000000001</v>
      </c>
      <c r="FA213" s="55">
        <f t="shared" ca="1" si="280"/>
        <v>-0.84716873990500008</v>
      </c>
      <c r="FB213" s="55">
        <f t="shared" ca="1" si="281"/>
        <v>-0.905532</v>
      </c>
      <c r="FC213" s="55">
        <f t="shared" ca="1" si="282"/>
        <v>0.25758300000000001</v>
      </c>
      <c r="FD213" s="55">
        <f t="shared" ca="1" si="283"/>
        <v>-5.6763000000000001E-2</v>
      </c>
      <c r="FE213" s="55">
        <f t="shared" ca="1" si="284"/>
        <v>-0.61416400000000004</v>
      </c>
      <c r="FF213" s="55">
        <f t="shared" ca="1" si="285"/>
        <v>9.1121999999999995E-2</v>
      </c>
      <c r="FH213" s="55">
        <f t="shared" ca="1" si="286"/>
        <v>0</v>
      </c>
      <c r="FI213" s="55">
        <f t="shared" ca="1" si="379"/>
        <v>0</v>
      </c>
      <c r="FJ213" s="55">
        <f t="shared" ca="1" si="380"/>
        <v>0</v>
      </c>
      <c r="FK213" s="55">
        <f t="shared" ca="1" si="381"/>
        <v>0</v>
      </c>
      <c r="FL213" s="55">
        <f t="shared" ca="1" si="382"/>
        <v>0</v>
      </c>
      <c r="FM213" s="55">
        <f t="shared" ca="1" si="383"/>
        <v>0</v>
      </c>
      <c r="FN213" s="55">
        <f t="shared" ca="1" si="384"/>
        <v>0</v>
      </c>
      <c r="FO213" s="55">
        <f t="shared" ca="1" si="385"/>
        <v>0</v>
      </c>
      <c r="FP213" s="55">
        <f t="shared" ca="1" si="386"/>
        <v>0</v>
      </c>
      <c r="FQ213" s="55">
        <f t="shared" ca="1" si="387"/>
        <v>0</v>
      </c>
      <c r="FR213" s="55">
        <f t="shared" ca="1" si="388"/>
        <v>0</v>
      </c>
      <c r="FS213" s="55">
        <f t="shared" ca="1" si="329"/>
        <v>0</v>
      </c>
      <c r="FT213" s="55">
        <f t="shared" ca="1" si="330"/>
        <v>0</v>
      </c>
      <c r="FU213" s="55">
        <f t="shared" ca="1" si="331"/>
        <v>0</v>
      </c>
      <c r="FV213" s="55">
        <f t="shared" ca="1" si="332"/>
        <v>0</v>
      </c>
      <c r="FW213" s="55">
        <f t="shared" ca="1" si="333"/>
        <v>0</v>
      </c>
      <c r="FX213" s="55">
        <f t="shared" ca="1" si="334"/>
        <v>0</v>
      </c>
      <c r="FY213" s="55">
        <f t="shared" ca="1" si="335"/>
        <v>0</v>
      </c>
      <c r="FZ213" s="55">
        <f t="shared" ca="1" si="336"/>
        <v>0</v>
      </c>
      <c r="GA213" s="55">
        <f t="shared" ca="1" si="337"/>
        <v>0</v>
      </c>
      <c r="GB213" s="55">
        <f t="shared" ca="1" si="338"/>
        <v>0</v>
      </c>
      <c r="GC213" s="55">
        <f t="shared" ca="1" si="339"/>
        <v>0</v>
      </c>
      <c r="GD213" s="55">
        <f t="shared" ca="1" si="340"/>
        <v>0</v>
      </c>
      <c r="GE213" s="55">
        <f t="shared" ca="1" si="341"/>
        <v>0</v>
      </c>
      <c r="GF213" s="55">
        <f t="shared" ca="1" si="342"/>
        <v>0</v>
      </c>
      <c r="GG213" s="55">
        <f t="shared" ca="1" si="343"/>
        <v>0</v>
      </c>
      <c r="GH213" s="55">
        <f t="shared" ca="1" si="344"/>
        <v>0</v>
      </c>
      <c r="GI213" s="55">
        <f t="shared" ca="1" si="345"/>
        <v>0</v>
      </c>
      <c r="GJ213" s="55">
        <f t="shared" ca="1" si="346"/>
        <v>0</v>
      </c>
      <c r="GK213" s="55">
        <f t="shared" ca="1" si="347"/>
        <v>0</v>
      </c>
      <c r="GL213" s="55">
        <f t="shared" ca="1" si="348"/>
        <v>0</v>
      </c>
      <c r="GM213" s="55">
        <f t="shared" ca="1" si="349"/>
        <v>0</v>
      </c>
      <c r="GN213" s="55">
        <f t="shared" ca="1" si="350"/>
        <v>0</v>
      </c>
      <c r="GO213" s="55">
        <f t="shared" ca="1" si="351"/>
        <v>0</v>
      </c>
      <c r="GP213" s="55">
        <f t="shared" ca="1" si="352"/>
        <v>0</v>
      </c>
      <c r="GQ213" s="55">
        <f t="shared" ca="1" si="353"/>
        <v>0</v>
      </c>
      <c r="GR213" s="55">
        <f t="shared" ca="1" si="354"/>
        <v>0</v>
      </c>
      <c r="GS213" s="55">
        <f t="shared" ca="1" si="355"/>
        <v>0</v>
      </c>
      <c r="GT213" s="55">
        <f t="shared" ca="1" si="356"/>
        <v>0</v>
      </c>
      <c r="GU213" s="55">
        <f t="shared" ca="1" si="357"/>
        <v>0</v>
      </c>
      <c r="GV213" s="55">
        <f t="shared" ca="1" si="358"/>
        <v>0</v>
      </c>
      <c r="GW213" s="55">
        <f t="shared" ca="1" si="359"/>
        <v>0</v>
      </c>
      <c r="GX213" s="55">
        <f t="shared" ca="1" si="360"/>
        <v>0</v>
      </c>
      <c r="GY213" s="55">
        <f t="shared" ca="1" si="361"/>
        <v>0</v>
      </c>
      <c r="GZ213" s="55">
        <f t="shared" ca="1" si="362"/>
        <v>2.0835260094999919E-2</v>
      </c>
      <c r="HA213" s="55">
        <f t="shared" ca="1" si="363"/>
        <v>0</v>
      </c>
      <c r="HB213" s="55">
        <f t="shared" ca="1" si="364"/>
        <v>0</v>
      </c>
      <c r="HC213" s="55">
        <f t="shared" ca="1" si="365"/>
        <v>0</v>
      </c>
      <c r="HD213" s="55">
        <f t="shared" ca="1" si="366"/>
        <v>0</v>
      </c>
      <c r="HE213" s="55">
        <f t="shared" ca="1" si="367"/>
        <v>0</v>
      </c>
    </row>
    <row r="214" spans="1:213">
      <c r="A214" s="27">
        <v>77</v>
      </c>
      <c r="B214" s="27">
        <v>50</v>
      </c>
      <c r="C214" s="27">
        <v>0.17754700000000001</v>
      </c>
      <c r="D214" s="27">
        <v>0.91656700000000002</v>
      </c>
      <c r="E214" s="27">
        <v>32</v>
      </c>
      <c r="F214" s="27">
        <f t="shared" ca="1" si="231"/>
        <v>40</v>
      </c>
      <c r="G214" s="27">
        <f t="shared" si="230"/>
        <v>0</v>
      </c>
      <c r="H214" s="27" t="str">
        <f t="shared" si="232"/>
        <v>Sim</v>
      </c>
      <c r="I214" s="27">
        <f t="shared" si="233"/>
        <v>0</v>
      </c>
      <c r="J214" s="37">
        <f t="shared" si="234"/>
        <v>1</v>
      </c>
      <c r="K214" s="55">
        <f t="shared" si="235"/>
        <v>0.94180900000000001</v>
      </c>
      <c r="L214" s="55">
        <f t="shared" si="368"/>
        <v>-0.96661600000000003</v>
      </c>
      <c r="M214" s="55">
        <f t="shared" si="369"/>
        <v>-1.701E-3</v>
      </c>
      <c r="N214" s="55">
        <f t="shared" si="370"/>
        <v>-0.54540299999999997</v>
      </c>
      <c r="O214" s="55">
        <f t="shared" si="371"/>
        <v>-0.43832100000000002</v>
      </c>
      <c r="P214" s="55">
        <f t="shared" si="372"/>
        <v>-1.4298390000000001</v>
      </c>
      <c r="Q214" s="55">
        <f t="shared" si="373"/>
        <v>0.92647900000000005</v>
      </c>
      <c r="R214" s="55">
        <f t="shared" si="374"/>
        <v>-0.78257600000000005</v>
      </c>
      <c r="S214" s="55">
        <f t="shared" si="375"/>
        <v>0.45502300000000001</v>
      </c>
      <c r="T214" s="55">
        <f t="shared" si="376"/>
        <v>0.18059900000000001</v>
      </c>
      <c r="U214" s="55">
        <f t="shared" si="377"/>
        <v>-0.34862500000000002</v>
      </c>
      <c r="V214" s="55">
        <f t="shared" si="288"/>
        <v>-0.84838400000000003</v>
      </c>
      <c r="W214" s="55">
        <f t="shared" si="289"/>
        <v>0.65981699999999999</v>
      </c>
      <c r="X214" s="55">
        <f t="shared" si="290"/>
        <v>-1.4716579999999999</v>
      </c>
      <c r="Y214" s="55">
        <f t="shared" si="291"/>
        <v>1.3420000000000001E-3</v>
      </c>
      <c r="Z214" s="55">
        <f t="shared" si="292"/>
        <v>-3.8100000000000002E-2</v>
      </c>
      <c r="AA214" s="55">
        <f t="shared" si="293"/>
        <v>-0.96284999999999998</v>
      </c>
      <c r="AB214" s="55">
        <f t="shared" si="294"/>
        <v>0.84333599999999997</v>
      </c>
      <c r="AC214" s="55">
        <f t="shared" si="295"/>
        <v>0.60397100000000004</v>
      </c>
      <c r="AD214" s="55">
        <f t="shared" si="296"/>
        <v>-1.6871149999999999</v>
      </c>
      <c r="AE214" s="55">
        <f t="shared" si="297"/>
        <v>-0.68394600000000005</v>
      </c>
      <c r="AF214" s="55">
        <f t="shared" si="298"/>
        <v>0.61243499999999995</v>
      </c>
      <c r="AG214" s="55">
        <f t="shared" si="299"/>
        <v>0.67593400000000003</v>
      </c>
      <c r="AH214" s="55">
        <f t="shared" si="300"/>
        <v>0.32172499999999998</v>
      </c>
      <c r="AI214" s="55">
        <f t="shared" si="301"/>
        <v>-0.48714099999999999</v>
      </c>
      <c r="AJ214" s="55">
        <f t="shared" si="302"/>
        <v>-0.543597</v>
      </c>
      <c r="AK214" s="55">
        <f t="shared" si="303"/>
        <v>-0.49929000000000001</v>
      </c>
      <c r="AL214" s="55">
        <f t="shared" si="304"/>
        <v>0.19483600000000001</v>
      </c>
      <c r="AM214" s="55">
        <f t="shared" si="305"/>
        <v>-0.87549399999999999</v>
      </c>
      <c r="AN214" s="55">
        <f t="shared" si="306"/>
        <v>-0.78691800000000001</v>
      </c>
      <c r="AO214" s="55">
        <f t="shared" si="307"/>
        <v>0.32993400000000001</v>
      </c>
      <c r="AP214" s="55">
        <f t="shared" si="308"/>
        <v>-0.41718</v>
      </c>
      <c r="AQ214" s="55">
        <f t="shared" si="309"/>
        <v>-0.25569599999999998</v>
      </c>
      <c r="AR214" s="55">
        <f t="shared" si="310"/>
        <v>-0.97838499999999995</v>
      </c>
      <c r="AS214" s="55">
        <f t="shared" si="311"/>
        <v>-0.55299500000000001</v>
      </c>
      <c r="AT214" s="55">
        <f t="shared" si="312"/>
        <v>-1.1587E-2</v>
      </c>
      <c r="AU214" s="55">
        <f t="shared" si="313"/>
        <v>-0.10553800000000001</v>
      </c>
      <c r="AV214" s="55">
        <f t="shared" si="314"/>
        <v>0.33248499999999998</v>
      </c>
      <c r="AW214" s="55">
        <f t="shared" si="315"/>
        <v>0.36088500000000001</v>
      </c>
      <c r="AX214" s="55">
        <f t="shared" si="316"/>
        <v>0.129166</v>
      </c>
      <c r="AY214" s="55">
        <f t="shared" si="317"/>
        <v>0.195464</v>
      </c>
      <c r="AZ214" s="55">
        <f t="shared" si="318"/>
        <v>-0.39376699999999998</v>
      </c>
      <c r="BA214" s="55">
        <f t="shared" si="319"/>
        <v>0.58815799999999996</v>
      </c>
      <c r="BB214" s="55">
        <f t="shared" si="320"/>
        <v>-0.56207700000000005</v>
      </c>
      <c r="BC214" s="55">
        <f t="shared" si="321"/>
        <v>-0.127944</v>
      </c>
      <c r="BD214" s="55">
        <f t="shared" si="322"/>
        <v>5.8170000000000001E-3</v>
      </c>
      <c r="BE214" s="55">
        <f t="shared" si="323"/>
        <v>1.0401769999999999</v>
      </c>
      <c r="BF214" s="55">
        <f t="shared" si="324"/>
        <v>0.38863900000000001</v>
      </c>
      <c r="BG214" s="55">
        <f t="shared" si="325"/>
        <v>0.71790500000000002</v>
      </c>
      <c r="BH214" s="55">
        <f t="shared" si="326"/>
        <v>-1.2433989999999999</v>
      </c>
      <c r="BJ214" s="55">
        <f t="shared" si="378"/>
        <v>-1.0969869999999999</v>
      </c>
      <c r="BK214" s="55">
        <f t="shared" si="378"/>
        <v>0.38115300000000002</v>
      </c>
      <c r="BL214" s="55">
        <f t="shared" si="378"/>
        <v>0.52356899999999995</v>
      </c>
      <c r="BM214" s="55">
        <f t="shared" si="378"/>
        <v>-1.714448</v>
      </c>
      <c r="BN214" s="55">
        <f t="shared" si="378"/>
        <v>0.639714</v>
      </c>
      <c r="BO214" s="55">
        <f t="shared" si="378"/>
        <v>-0.27751399999999998</v>
      </c>
      <c r="BP214" s="55">
        <f t="shared" si="378"/>
        <v>0.22517899999999999</v>
      </c>
      <c r="BQ214" s="55">
        <f t="shared" si="378"/>
        <v>-6.7871000000000001E-2</v>
      </c>
      <c r="BR214" s="55">
        <f t="shared" si="378"/>
        <v>-0.26596500000000001</v>
      </c>
      <c r="BS214" s="55">
        <f t="shared" si="378"/>
        <v>-3.7038000000000001E-2</v>
      </c>
      <c r="BT214" s="55">
        <f t="shared" si="378"/>
        <v>0.96115200000000001</v>
      </c>
      <c r="BU214" s="55">
        <f t="shared" si="378"/>
        <v>0.51594700000000004</v>
      </c>
      <c r="BV214" s="55">
        <f t="shared" si="378"/>
        <v>0.59214999999999995</v>
      </c>
      <c r="BW214" s="55">
        <f t="shared" si="378"/>
        <v>-0.90259299999999998</v>
      </c>
      <c r="BX214" s="55">
        <f t="shared" si="378"/>
        <v>0.98840300000000003</v>
      </c>
      <c r="BY214" s="55">
        <f t="shared" si="378"/>
        <v>-0.674983</v>
      </c>
      <c r="BZ214" s="55">
        <f t="shared" si="327"/>
        <v>0.97841800000000001</v>
      </c>
      <c r="CA214" s="55">
        <f t="shared" si="327"/>
        <v>0.82400099999999998</v>
      </c>
      <c r="CB214" s="55">
        <f t="shared" si="327"/>
        <v>1.396997</v>
      </c>
      <c r="CC214" s="55">
        <f t="shared" si="327"/>
        <v>-0.45306800000000003</v>
      </c>
      <c r="CD214" s="55">
        <f t="shared" si="327"/>
        <v>0.68356899999999998</v>
      </c>
      <c r="CE214" s="55">
        <f t="shared" si="327"/>
        <v>0.73449600000000004</v>
      </c>
      <c r="CF214" s="55">
        <f t="shared" si="327"/>
        <v>0.567998</v>
      </c>
      <c r="CG214" s="55">
        <f t="shared" si="327"/>
        <v>-0.45733400000000002</v>
      </c>
      <c r="CH214" s="55">
        <f t="shared" si="327"/>
        <v>-1.048338</v>
      </c>
      <c r="CI214" s="55">
        <f t="shared" si="327"/>
        <v>-1.1257E-2</v>
      </c>
      <c r="CJ214" s="55">
        <f t="shared" si="327"/>
        <v>0.294599</v>
      </c>
      <c r="CK214" s="55">
        <f t="shared" si="327"/>
        <v>1.0457559999999999</v>
      </c>
      <c r="CL214" s="55">
        <f t="shared" si="327"/>
        <v>-0.35778199999999999</v>
      </c>
      <c r="CM214" s="55">
        <f t="shared" si="327"/>
        <v>-0.12554699999999999</v>
      </c>
      <c r="CN214" s="55">
        <f t="shared" si="327"/>
        <v>-0.62191700000000005</v>
      </c>
      <c r="CO214" s="55">
        <f t="shared" si="328"/>
        <v>0.52560499999999999</v>
      </c>
      <c r="CP214" s="55">
        <f t="shared" si="328"/>
        <v>2.4389000000000001E-2</v>
      </c>
      <c r="CQ214" s="55">
        <f t="shared" si="328"/>
        <v>-1.1259049999999999</v>
      </c>
      <c r="CR214" s="55">
        <f t="shared" si="328"/>
        <v>0.78310400000000002</v>
      </c>
      <c r="CS214" s="55">
        <f t="shared" si="328"/>
        <v>-0.625803</v>
      </c>
      <c r="CT214" s="55">
        <f t="shared" si="328"/>
        <v>0.32439000000000001</v>
      </c>
      <c r="CU214" s="55">
        <f t="shared" si="328"/>
        <v>-0.28769800000000001</v>
      </c>
      <c r="CV214" s="55">
        <f t="shared" si="328"/>
        <v>-0.81347199999999997</v>
      </c>
      <c r="CW214" s="55">
        <f t="shared" si="328"/>
        <v>0.20236699999999999</v>
      </c>
      <c r="CX214" s="55">
        <f t="shared" si="328"/>
        <v>0.71817299999999995</v>
      </c>
      <c r="CY214" s="55">
        <f t="shared" si="328"/>
        <v>-1.6559000000000001E-2</v>
      </c>
      <c r="CZ214" s="55">
        <f t="shared" si="328"/>
        <v>-0.30865999999999999</v>
      </c>
      <c r="DA214" s="55">
        <f t="shared" si="328"/>
        <v>-0.412381</v>
      </c>
      <c r="DB214" s="55">
        <f t="shared" si="328"/>
        <v>-0.70930300000000002</v>
      </c>
      <c r="DC214" s="55">
        <f t="shared" si="328"/>
        <v>-7.7965000000000007E-2</v>
      </c>
      <c r="DD214" s="55">
        <f t="shared" si="328"/>
        <v>0.49343900000000002</v>
      </c>
      <c r="DE214" s="55">
        <f t="shared" si="287"/>
        <v>-0.40752500000000003</v>
      </c>
      <c r="DF214" s="55">
        <f t="shared" si="287"/>
        <v>0.80309900000000001</v>
      </c>
      <c r="DG214" s="55">
        <f t="shared" si="287"/>
        <v>-0.17697399999999999</v>
      </c>
      <c r="DI214" s="55">
        <f t="shared" ca="1" si="236"/>
        <v>0.94180900000000001</v>
      </c>
      <c r="DJ214" s="55">
        <f t="shared" ca="1" si="237"/>
        <v>-0.96661600000000003</v>
      </c>
      <c r="DK214" s="55">
        <f t="shared" ca="1" si="238"/>
        <v>-1.701E-3</v>
      </c>
      <c r="DL214" s="55">
        <f t="shared" ca="1" si="239"/>
        <v>-0.54540299999999997</v>
      </c>
      <c r="DM214" s="55">
        <f t="shared" ca="1" si="240"/>
        <v>-0.43832100000000002</v>
      </c>
      <c r="DN214" s="55">
        <f t="shared" ca="1" si="241"/>
        <v>-1.4298390000000001</v>
      </c>
      <c r="DO214" s="55">
        <f t="shared" ca="1" si="242"/>
        <v>0.92647900000000005</v>
      </c>
      <c r="DP214" s="55">
        <f t="shared" ca="1" si="243"/>
        <v>-0.78257600000000005</v>
      </c>
      <c r="DQ214" s="55">
        <f t="shared" ca="1" si="244"/>
        <v>0.45502300000000001</v>
      </c>
      <c r="DR214" s="55">
        <f t="shared" ca="1" si="245"/>
        <v>0.18059900000000001</v>
      </c>
      <c r="DS214" s="55">
        <f t="shared" ca="1" si="246"/>
        <v>-0.34862500000000002</v>
      </c>
      <c r="DT214" s="55">
        <f t="shared" ca="1" si="247"/>
        <v>-0.84838400000000003</v>
      </c>
      <c r="DU214" s="55">
        <f t="shared" ca="1" si="248"/>
        <v>0.65981699999999999</v>
      </c>
      <c r="DV214" s="55">
        <f t="shared" ca="1" si="249"/>
        <v>-1.4716579999999999</v>
      </c>
      <c r="DW214" s="55">
        <f t="shared" ca="1" si="250"/>
        <v>1.3420000000000001E-3</v>
      </c>
      <c r="DX214" s="55">
        <f t="shared" ca="1" si="251"/>
        <v>-3.8100000000000002E-2</v>
      </c>
      <c r="DY214" s="55">
        <f t="shared" ca="1" si="252"/>
        <v>-0.96284999999999998</v>
      </c>
      <c r="DZ214" s="55">
        <f t="shared" ca="1" si="253"/>
        <v>0.84333599999999997</v>
      </c>
      <c r="EA214" s="55">
        <f t="shared" ca="1" si="254"/>
        <v>0.60397100000000004</v>
      </c>
      <c r="EB214" s="55">
        <f t="shared" ca="1" si="255"/>
        <v>-1.6871149999999999</v>
      </c>
      <c r="EC214" s="55">
        <f t="shared" ca="1" si="256"/>
        <v>-0.68394600000000005</v>
      </c>
      <c r="ED214" s="55">
        <f t="shared" ca="1" si="257"/>
        <v>0.61243499999999995</v>
      </c>
      <c r="EE214" s="55">
        <f t="shared" ca="1" si="258"/>
        <v>0.67593400000000003</v>
      </c>
      <c r="EF214" s="55">
        <f t="shared" ca="1" si="259"/>
        <v>0.32172499999999998</v>
      </c>
      <c r="EG214" s="55">
        <f t="shared" ca="1" si="260"/>
        <v>-0.48714099999999999</v>
      </c>
      <c r="EH214" s="55">
        <f t="shared" ca="1" si="261"/>
        <v>-0.543597</v>
      </c>
      <c r="EI214" s="55">
        <f t="shared" ca="1" si="262"/>
        <v>-0.49929000000000001</v>
      </c>
      <c r="EJ214" s="55">
        <f t="shared" ca="1" si="263"/>
        <v>0.19483600000000001</v>
      </c>
      <c r="EK214" s="55">
        <f t="shared" ca="1" si="264"/>
        <v>-0.87549399999999999</v>
      </c>
      <c r="EL214" s="55">
        <f t="shared" ca="1" si="265"/>
        <v>-0.78691800000000001</v>
      </c>
      <c r="EM214" s="55">
        <f t="shared" ca="1" si="266"/>
        <v>0.32993400000000001</v>
      </c>
      <c r="EN214" s="55">
        <f t="shared" ca="1" si="267"/>
        <v>-0.41718</v>
      </c>
      <c r="EO214" s="55">
        <f t="shared" ca="1" si="268"/>
        <v>-0.23232766819499998</v>
      </c>
      <c r="EP214" s="55">
        <f t="shared" ca="1" si="269"/>
        <v>-0.99069303615999993</v>
      </c>
      <c r="EQ214" s="55">
        <f t="shared" ca="1" si="270"/>
        <v>-0.44152025213300006</v>
      </c>
      <c r="ER214" s="55">
        <f t="shared" ca="1" si="271"/>
        <v>-6.2832883527999983E-2</v>
      </c>
      <c r="ES214" s="55">
        <f t="shared" ca="1" si="272"/>
        <v>-6.9667817176000013E-2</v>
      </c>
      <c r="ET214" s="55">
        <f t="shared" ca="1" si="273"/>
        <v>0.28074127176099994</v>
      </c>
      <c r="EU214" s="55">
        <f t="shared" ca="1" si="274"/>
        <v>0.26290487241900007</v>
      </c>
      <c r="EV214" s="55">
        <f t="shared" ca="1" si="275"/>
        <v>0.13527337903299999</v>
      </c>
      <c r="EW214" s="55">
        <f t="shared" ca="1" si="276"/>
        <v>0.195464</v>
      </c>
      <c r="EX214" s="55">
        <f t="shared" ca="1" si="277"/>
        <v>-0.39376699999999998</v>
      </c>
      <c r="EY214" s="55">
        <f t="shared" ca="1" si="278"/>
        <v>0.58815799999999996</v>
      </c>
      <c r="EZ214" s="55">
        <f t="shared" ca="1" si="279"/>
        <v>-0.56207700000000005</v>
      </c>
      <c r="FA214" s="55">
        <f t="shared" ca="1" si="280"/>
        <v>-0.127944</v>
      </c>
      <c r="FB214" s="55">
        <f t="shared" ca="1" si="281"/>
        <v>5.8170000000000001E-3</v>
      </c>
      <c r="FC214" s="55">
        <f t="shared" ca="1" si="282"/>
        <v>1.0401769999999999</v>
      </c>
      <c r="FD214" s="55">
        <f t="shared" ca="1" si="283"/>
        <v>0.38863900000000001</v>
      </c>
      <c r="FE214" s="55">
        <f t="shared" ca="1" si="284"/>
        <v>0.71790500000000002</v>
      </c>
      <c r="FF214" s="55">
        <f t="shared" ca="1" si="285"/>
        <v>-1.2433989999999999</v>
      </c>
      <c r="FH214" s="55">
        <f t="shared" ca="1" si="286"/>
        <v>0</v>
      </c>
      <c r="FI214" s="55">
        <f t="shared" ca="1" si="379"/>
        <v>0</v>
      </c>
      <c r="FJ214" s="55">
        <f t="shared" ca="1" si="380"/>
        <v>0</v>
      </c>
      <c r="FK214" s="55">
        <f t="shared" ca="1" si="381"/>
        <v>0</v>
      </c>
      <c r="FL214" s="55">
        <f t="shared" ca="1" si="382"/>
        <v>0</v>
      </c>
      <c r="FM214" s="55">
        <f t="shared" ca="1" si="383"/>
        <v>0</v>
      </c>
      <c r="FN214" s="55">
        <f t="shared" ca="1" si="384"/>
        <v>0</v>
      </c>
      <c r="FO214" s="55">
        <f t="shared" ca="1" si="385"/>
        <v>0</v>
      </c>
      <c r="FP214" s="55">
        <f t="shared" ca="1" si="386"/>
        <v>0</v>
      </c>
      <c r="FQ214" s="55">
        <f t="shared" ca="1" si="387"/>
        <v>0</v>
      </c>
      <c r="FR214" s="55">
        <f t="shared" ca="1" si="388"/>
        <v>0</v>
      </c>
      <c r="FS214" s="55">
        <f t="shared" ca="1" si="329"/>
        <v>0</v>
      </c>
      <c r="FT214" s="55">
        <f t="shared" ca="1" si="330"/>
        <v>0</v>
      </c>
      <c r="FU214" s="55">
        <f t="shared" ca="1" si="331"/>
        <v>0</v>
      </c>
      <c r="FV214" s="55">
        <f t="shared" ca="1" si="332"/>
        <v>0</v>
      </c>
      <c r="FW214" s="55">
        <f t="shared" ca="1" si="333"/>
        <v>0</v>
      </c>
      <c r="FX214" s="55">
        <f t="shared" ca="1" si="334"/>
        <v>0</v>
      </c>
      <c r="FY214" s="55">
        <f t="shared" ca="1" si="335"/>
        <v>0</v>
      </c>
      <c r="FZ214" s="55">
        <f t="shared" ca="1" si="336"/>
        <v>0</v>
      </c>
      <c r="GA214" s="55">
        <f t="shared" ca="1" si="337"/>
        <v>0</v>
      </c>
      <c r="GB214" s="55">
        <f t="shared" ca="1" si="338"/>
        <v>0</v>
      </c>
      <c r="GC214" s="55">
        <f t="shared" ca="1" si="339"/>
        <v>0</v>
      </c>
      <c r="GD214" s="55">
        <f t="shared" ca="1" si="340"/>
        <v>0</v>
      </c>
      <c r="GE214" s="55">
        <f t="shared" ca="1" si="341"/>
        <v>0</v>
      </c>
      <c r="GF214" s="55">
        <f t="shared" ca="1" si="342"/>
        <v>0</v>
      </c>
      <c r="GG214" s="55">
        <f t="shared" ca="1" si="343"/>
        <v>0</v>
      </c>
      <c r="GH214" s="55">
        <f t="shared" ca="1" si="344"/>
        <v>0</v>
      </c>
      <c r="GI214" s="55">
        <f t="shared" ca="1" si="345"/>
        <v>0</v>
      </c>
      <c r="GJ214" s="55">
        <f t="shared" ca="1" si="346"/>
        <v>0</v>
      </c>
      <c r="GK214" s="55">
        <f t="shared" ca="1" si="347"/>
        <v>0</v>
      </c>
      <c r="GL214" s="55">
        <f t="shared" ca="1" si="348"/>
        <v>0</v>
      </c>
      <c r="GM214" s="55">
        <f t="shared" ca="1" si="349"/>
        <v>0</v>
      </c>
      <c r="GN214" s="55">
        <f t="shared" ca="1" si="350"/>
        <v>2.3368331805000003E-2</v>
      </c>
      <c r="GO214" s="55">
        <f t="shared" ca="1" si="351"/>
        <v>-1.230803615999998E-2</v>
      </c>
      <c r="GP214" s="55">
        <f t="shared" ca="1" si="352"/>
        <v>0.11147474786699996</v>
      </c>
      <c r="GQ214" s="55">
        <f t="shared" ca="1" si="353"/>
        <v>-5.1245883527999983E-2</v>
      </c>
      <c r="GR214" s="55">
        <f t="shared" ca="1" si="354"/>
        <v>3.5870182823999994E-2</v>
      </c>
      <c r="GS214" s="55">
        <f t="shared" ca="1" si="355"/>
        <v>-5.1743728239000031E-2</v>
      </c>
      <c r="GT214" s="55">
        <f t="shared" ca="1" si="356"/>
        <v>-9.7980127580999943E-2</v>
      </c>
      <c r="GU214" s="55">
        <f t="shared" ca="1" si="357"/>
        <v>6.1073790329999877E-3</v>
      </c>
      <c r="GV214" s="55">
        <f t="shared" ca="1" si="358"/>
        <v>0</v>
      </c>
      <c r="GW214" s="55">
        <f t="shared" ca="1" si="359"/>
        <v>0</v>
      </c>
      <c r="GX214" s="55">
        <f t="shared" ca="1" si="360"/>
        <v>0</v>
      </c>
      <c r="GY214" s="55">
        <f t="shared" ca="1" si="361"/>
        <v>0</v>
      </c>
      <c r="GZ214" s="55">
        <f t="shared" ca="1" si="362"/>
        <v>0</v>
      </c>
      <c r="HA214" s="55">
        <f t="shared" ca="1" si="363"/>
        <v>0</v>
      </c>
      <c r="HB214" s="55">
        <f t="shared" ca="1" si="364"/>
        <v>0</v>
      </c>
      <c r="HC214" s="55">
        <f t="shared" ca="1" si="365"/>
        <v>0</v>
      </c>
      <c r="HD214" s="55">
        <f t="shared" ca="1" si="366"/>
        <v>0</v>
      </c>
      <c r="HE214" s="55">
        <f t="shared" ca="1" si="367"/>
        <v>0</v>
      </c>
    </row>
    <row r="215" spans="1:213">
      <c r="A215" s="27">
        <v>78</v>
      </c>
      <c r="B215" s="27">
        <v>16</v>
      </c>
      <c r="C215" s="27">
        <v>0.58704500000000004</v>
      </c>
      <c r="D215" s="27">
        <v>0.91986900000000005</v>
      </c>
      <c r="E215" s="27">
        <v>23</v>
      </c>
      <c r="F215" s="27">
        <f t="shared" ca="1" si="231"/>
        <v>34</v>
      </c>
      <c r="G215" s="27">
        <f t="shared" si="230"/>
        <v>0</v>
      </c>
      <c r="H215" s="27" t="str">
        <f t="shared" si="232"/>
        <v>Sim</v>
      </c>
      <c r="I215" s="27">
        <f t="shared" si="233"/>
        <v>0</v>
      </c>
      <c r="J215" s="37">
        <f t="shared" si="234"/>
        <v>1</v>
      </c>
      <c r="K215" s="55">
        <f t="shared" si="235"/>
        <v>0.74165199999999998</v>
      </c>
      <c r="L215" s="55">
        <f t="shared" si="368"/>
        <v>0.26011600000000001</v>
      </c>
      <c r="M215" s="55">
        <f t="shared" si="369"/>
        <v>-0.19200700000000001</v>
      </c>
      <c r="N215" s="55">
        <f t="shared" si="370"/>
        <v>0.39093</v>
      </c>
      <c r="O215" s="55">
        <f t="shared" si="371"/>
        <v>0.431419</v>
      </c>
      <c r="P215" s="55">
        <f t="shared" si="372"/>
        <v>-0.22012899999999999</v>
      </c>
      <c r="Q215" s="55">
        <f t="shared" si="373"/>
        <v>1.2590239999999999</v>
      </c>
      <c r="R215" s="55">
        <f t="shared" si="374"/>
        <v>0.14258000000000001</v>
      </c>
      <c r="S215" s="55">
        <f t="shared" si="375"/>
        <v>0.77181</v>
      </c>
      <c r="T215" s="55">
        <f t="shared" si="376"/>
        <v>-0.21779200000000001</v>
      </c>
      <c r="U215" s="55">
        <f t="shared" si="377"/>
        <v>0.87763599999999997</v>
      </c>
      <c r="V215" s="55">
        <f t="shared" si="288"/>
        <v>0.84106300000000001</v>
      </c>
      <c r="W215" s="55">
        <f t="shared" si="289"/>
        <v>1.0041530000000001</v>
      </c>
      <c r="X215" s="55">
        <f t="shared" si="290"/>
        <v>-0.97346200000000005</v>
      </c>
      <c r="Y215" s="55">
        <f t="shared" si="291"/>
        <v>0.962086</v>
      </c>
      <c r="Z215" s="55">
        <f t="shared" si="292"/>
        <v>-0.36222100000000002</v>
      </c>
      <c r="AA215" s="55">
        <f t="shared" si="293"/>
        <v>-0.85171399999999997</v>
      </c>
      <c r="AB215" s="55">
        <f t="shared" si="294"/>
        <v>-1.2297830000000001</v>
      </c>
      <c r="AC215" s="55">
        <f t="shared" si="295"/>
        <v>-1.113645</v>
      </c>
      <c r="AD215" s="55">
        <f t="shared" si="296"/>
        <v>-0.57122700000000004</v>
      </c>
      <c r="AE215" s="55">
        <f t="shared" si="297"/>
        <v>-1.261752</v>
      </c>
      <c r="AF215" s="55">
        <f t="shared" si="298"/>
        <v>-0.39733400000000002</v>
      </c>
      <c r="AG215" s="55">
        <f t="shared" si="299"/>
        <v>-1.5360799999999999</v>
      </c>
      <c r="AH215" s="55">
        <f t="shared" si="300"/>
        <v>0.38037500000000002</v>
      </c>
      <c r="AI215" s="55">
        <f t="shared" si="301"/>
        <v>-1.6188039999999999</v>
      </c>
      <c r="AJ215" s="55">
        <f t="shared" si="302"/>
        <v>-7.8633999999999996E-2</v>
      </c>
      <c r="AK215" s="55">
        <f t="shared" si="303"/>
        <v>-3.1660000000000001E-2</v>
      </c>
      <c r="AL215" s="55">
        <f t="shared" si="304"/>
        <v>-0.88983500000000004</v>
      </c>
      <c r="AM215" s="55">
        <f t="shared" si="305"/>
        <v>0.41203499999999998</v>
      </c>
      <c r="AN215" s="55">
        <f t="shared" si="306"/>
        <v>0.777084</v>
      </c>
      <c r="AO215" s="55">
        <f t="shared" si="307"/>
        <v>-0.33110000000000001</v>
      </c>
      <c r="AP215" s="55">
        <f t="shared" si="308"/>
        <v>-0.287018</v>
      </c>
      <c r="AQ215" s="55">
        <f t="shared" si="309"/>
        <v>1.363599</v>
      </c>
      <c r="AR215" s="55">
        <f t="shared" si="310"/>
        <v>1.2083809999999999</v>
      </c>
      <c r="AS215" s="55">
        <f t="shared" si="311"/>
        <v>0.41487400000000002</v>
      </c>
      <c r="AT215" s="55">
        <f t="shared" si="312"/>
        <v>0.25899</v>
      </c>
      <c r="AU215" s="55">
        <f t="shared" si="313"/>
        <v>0.58913000000000004</v>
      </c>
      <c r="AV215" s="55">
        <f t="shared" si="314"/>
        <v>-0.20588100000000001</v>
      </c>
      <c r="AW215" s="55">
        <f t="shared" si="315"/>
        <v>-5.2186000000000003E-2</v>
      </c>
      <c r="AX215" s="55">
        <f t="shared" si="316"/>
        <v>0.15509400000000001</v>
      </c>
      <c r="AY215" s="55">
        <f t="shared" si="317"/>
        <v>0.41556300000000002</v>
      </c>
      <c r="AZ215" s="55">
        <f t="shared" si="318"/>
        <v>0.458899</v>
      </c>
      <c r="BA215" s="55">
        <f t="shared" si="319"/>
        <v>0.20200000000000001</v>
      </c>
      <c r="BB215" s="55">
        <f t="shared" si="320"/>
        <v>-0.41248099999999999</v>
      </c>
      <c r="BC215" s="55">
        <f t="shared" si="321"/>
        <v>-1.231236</v>
      </c>
      <c r="BD215" s="55">
        <f t="shared" si="322"/>
        <v>0.31484200000000001</v>
      </c>
      <c r="BE215" s="55">
        <f t="shared" si="323"/>
        <v>0.376859</v>
      </c>
      <c r="BF215" s="55">
        <f t="shared" si="324"/>
        <v>-0.29426000000000002</v>
      </c>
      <c r="BG215" s="55">
        <f t="shared" si="325"/>
        <v>0.62272400000000006</v>
      </c>
      <c r="BH215" s="55">
        <f t="shared" si="326"/>
        <v>-3.891E-2</v>
      </c>
      <c r="BJ215" s="55">
        <f t="shared" si="378"/>
        <v>-0.83938599999999997</v>
      </c>
      <c r="BK215" s="55">
        <f t="shared" si="378"/>
        <v>-7.3762999999999995E-2</v>
      </c>
      <c r="BL215" s="55">
        <f t="shared" si="378"/>
        <v>0.222966</v>
      </c>
      <c r="BM215" s="55">
        <f t="shared" si="378"/>
        <v>0.30225400000000002</v>
      </c>
      <c r="BN215" s="55">
        <f t="shared" si="378"/>
        <v>0.68256499999999998</v>
      </c>
      <c r="BO215" s="55">
        <f t="shared" si="378"/>
        <v>-0.35476799999999997</v>
      </c>
      <c r="BP215" s="55">
        <f t="shared" si="378"/>
        <v>-0.264739</v>
      </c>
      <c r="BQ215" s="55">
        <f t="shared" si="378"/>
        <v>-0.81806999999999996</v>
      </c>
      <c r="BR215" s="55">
        <f t="shared" si="378"/>
        <v>0.25250699999999998</v>
      </c>
      <c r="BS215" s="55">
        <f t="shared" si="378"/>
        <v>-0.689828</v>
      </c>
      <c r="BT215" s="55">
        <f t="shared" si="378"/>
        <v>5.0720000000000001E-3</v>
      </c>
      <c r="BU215" s="55">
        <f t="shared" si="378"/>
        <v>-0.25135200000000002</v>
      </c>
      <c r="BV215" s="55">
        <f t="shared" si="378"/>
        <v>3.3418999999999997E-2</v>
      </c>
      <c r="BW215" s="55">
        <f t="shared" si="378"/>
        <v>-0.80864000000000003</v>
      </c>
      <c r="BX215" s="55">
        <f t="shared" si="378"/>
        <v>0.35101399999999999</v>
      </c>
      <c r="BY215" s="55">
        <f t="shared" si="378"/>
        <v>1.280697</v>
      </c>
      <c r="BZ215" s="55">
        <f t="shared" si="327"/>
        <v>-1.7562999999999999E-2</v>
      </c>
      <c r="CA215" s="55">
        <f t="shared" si="327"/>
        <v>-1.189017</v>
      </c>
      <c r="CB215" s="55">
        <f t="shared" si="327"/>
        <v>-0.61908399999999997</v>
      </c>
      <c r="CC215" s="55">
        <f t="shared" si="327"/>
        <v>-4.4188999999999999E-2</v>
      </c>
      <c r="CD215" s="55">
        <f t="shared" si="327"/>
        <v>0.584592</v>
      </c>
      <c r="CE215" s="55">
        <f t="shared" si="327"/>
        <v>1.049345</v>
      </c>
      <c r="CF215" s="55">
        <f t="shared" si="327"/>
        <v>0.62535700000000005</v>
      </c>
      <c r="CG215" s="55">
        <f t="shared" si="327"/>
        <v>0.58512900000000001</v>
      </c>
      <c r="CH215" s="55">
        <f t="shared" si="327"/>
        <v>-1.4290860000000001</v>
      </c>
      <c r="CI215" s="55">
        <f t="shared" si="327"/>
        <v>7.5738E-2</v>
      </c>
      <c r="CJ215" s="55">
        <f t="shared" si="327"/>
        <v>-0.53014099999999997</v>
      </c>
      <c r="CK215" s="55">
        <f t="shared" si="327"/>
        <v>0.73582999999999998</v>
      </c>
      <c r="CL215" s="55">
        <f t="shared" si="327"/>
        <v>-0.82043699999999997</v>
      </c>
      <c r="CM215" s="55">
        <f t="shared" si="327"/>
        <v>-0.92069299999999998</v>
      </c>
      <c r="CN215" s="55">
        <f t="shared" si="327"/>
        <v>-2.0251000000000002E-2</v>
      </c>
      <c r="CO215" s="55">
        <f t="shared" si="328"/>
        <v>-0.95974599999999999</v>
      </c>
      <c r="CP215" s="55">
        <f t="shared" si="328"/>
        <v>0.49084</v>
      </c>
      <c r="CQ215" s="55">
        <f t="shared" si="328"/>
        <v>0.16636699999999999</v>
      </c>
      <c r="CR215" s="55">
        <f t="shared" si="328"/>
        <v>-1.423308</v>
      </c>
      <c r="CS215" s="55">
        <f t="shared" si="328"/>
        <v>-0.426983</v>
      </c>
      <c r="CT215" s="55">
        <f t="shared" si="328"/>
        <v>0.70173099999999999</v>
      </c>
      <c r="CU215" s="55">
        <f t="shared" si="328"/>
        <v>0.28100799999999998</v>
      </c>
      <c r="CV215" s="55">
        <f t="shared" si="328"/>
        <v>-0.125828</v>
      </c>
      <c r="CW215" s="55">
        <f t="shared" si="328"/>
        <v>-0.39920099999999997</v>
      </c>
      <c r="CX215" s="55">
        <f t="shared" si="328"/>
        <v>0.17724200000000001</v>
      </c>
      <c r="CY215" s="55">
        <f t="shared" si="328"/>
        <v>-0.61853800000000003</v>
      </c>
      <c r="CZ215" s="55">
        <f t="shared" si="328"/>
        <v>-0.90148200000000001</v>
      </c>
      <c r="DA215" s="55">
        <f t="shared" si="328"/>
        <v>-0.65776100000000004</v>
      </c>
      <c r="DB215" s="55">
        <f t="shared" si="328"/>
        <v>-0.14538499999999999</v>
      </c>
      <c r="DC215" s="55">
        <f t="shared" si="328"/>
        <v>-0.63981299999999997</v>
      </c>
      <c r="DD215" s="55">
        <f t="shared" si="328"/>
        <v>0.203068</v>
      </c>
      <c r="DE215" s="55">
        <f t="shared" si="287"/>
        <v>0.72957000000000005</v>
      </c>
      <c r="DF215" s="55">
        <f t="shared" si="287"/>
        <v>0.97402999999999995</v>
      </c>
      <c r="DG215" s="55">
        <f t="shared" si="287"/>
        <v>-0.264011</v>
      </c>
      <c r="DI215" s="55">
        <f t="shared" ca="1" si="236"/>
        <v>0.74165199999999998</v>
      </c>
      <c r="DJ215" s="55">
        <f t="shared" ca="1" si="237"/>
        <v>0.26011600000000001</v>
      </c>
      <c r="DK215" s="55">
        <f t="shared" ca="1" si="238"/>
        <v>-0.19200700000000001</v>
      </c>
      <c r="DL215" s="55">
        <f t="shared" ca="1" si="239"/>
        <v>0.39093</v>
      </c>
      <c r="DM215" s="55">
        <f t="shared" ca="1" si="240"/>
        <v>0.431419</v>
      </c>
      <c r="DN215" s="55">
        <f t="shared" ca="1" si="241"/>
        <v>-0.22012899999999999</v>
      </c>
      <c r="DO215" s="55">
        <f t="shared" ca="1" si="242"/>
        <v>1.2590239999999999</v>
      </c>
      <c r="DP215" s="55">
        <f t="shared" ca="1" si="243"/>
        <v>0.14258000000000001</v>
      </c>
      <c r="DQ215" s="55">
        <f t="shared" ca="1" si="244"/>
        <v>0.77181</v>
      </c>
      <c r="DR215" s="55">
        <f t="shared" ca="1" si="245"/>
        <v>-0.21779200000000001</v>
      </c>
      <c r="DS215" s="55">
        <f t="shared" ca="1" si="246"/>
        <v>0.87763599999999997</v>
      </c>
      <c r="DT215" s="55">
        <f t="shared" ca="1" si="247"/>
        <v>0.84106300000000001</v>
      </c>
      <c r="DU215" s="55">
        <f t="shared" ca="1" si="248"/>
        <v>1.0041530000000001</v>
      </c>
      <c r="DV215" s="55">
        <f t="shared" ca="1" si="249"/>
        <v>-0.97346200000000005</v>
      </c>
      <c r="DW215" s="55">
        <f t="shared" ca="1" si="250"/>
        <v>0.962086</v>
      </c>
      <c r="DX215" s="55">
        <f t="shared" ca="1" si="251"/>
        <v>-0.36222100000000002</v>
      </c>
      <c r="DY215" s="55">
        <f t="shared" ca="1" si="252"/>
        <v>-0.85171399999999997</v>
      </c>
      <c r="DZ215" s="55">
        <f t="shared" ca="1" si="253"/>
        <v>-1.2297830000000001</v>
      </c>
      <c r="EA215" s="55">
        <f t="shared" ca="1" si="254"/>
        <v>-1.113645</v>
      </c>
      <c r="EB215" s="55">
        <f t="shared" ca="1" si="255"/>
        <v>-0.57122700000000004</v>
      </c>
      <c r="EC215" s="55">
        <f t="shared" ca="1" si="256"/>
        <v>-1.261752</v>
      </c>
      <c r="ED215" s="55">
        <f t="shared" ca="1" si="257"/>
        <v>-0.39733400000000002</v>
      </c>
      <c r="EE215" s="55">
        <f t="shared" ca="1" si="258"/>
        <v>-1.5360799999999999</v>
      </c>
      <c r="EF215" s="55">
        <f t="shared" ca="1" si="259"/>
        <v>0.39678214277400004</v>
      </c>
      <c r="EG215" s="55">
        <f t="shared" ca="1" si="260"/>
        <v>-1.6036017069420001</v>
      </c>
      <c r="EH215" s="55">
        <f t="shared" ca="1" si="261"/>
        <v>-6.6264017267999992E-2</v>
      </c>
      <c r="EI215" s="55">
        <f t="shared" ca="1" si="262"/>
        <v>-7.160378101099997E-2</v>
      </c>
      <c r="EJ215" s="55">
        <f t="shared" ca="1" si="263"/>
        <v>-0.75956883788500007</v>
      </c>
      <c r="EK215" s="55">
        <f t="shared" ca="1" si="264"/>
        <v>0.31327578616800006</v>
      </c>
      <c r="EL215" s="55">
        <f t="shared" ca="1" si="265"/>
        <v>0.641039431213</v>
      </c>
      <c r="EM215" s="55">
        <f t="shared" ca="1" si="266"/>
        <v>-0.30619135878100001</v>
      </c>
      <c r="EN215" s="55">
        <f t="shared" ca="1" si="267"/>
        <v>-0.34092436736799997</v>
      </c>
      <c r="EO215" s="55">
        <f t="shared" ca="1" si="268"/>
        <v>1.2936639485710002</v>
      </c>
      <c r="EP215" s="55">
        <f t="shared" ca="1" si="269"/>
        <v>1.124883376166</v>
      </c>
      <c r="EQ215" s="55">
        <f t="shared" ca="1" si="270"/>
        <v>0.41487400000000002</v>
      </c>
      <c r="ER215" s="55">
        <f t="shared" ca="1" si="271"/>
        <v>0.25899</v>
      </c>
      <c r="ES215" s="55">
        <f t="shared" ca="1" si="272"/>
        <v>0.58913000000000004</v>
      </c>
      <c r="ET215" s="55">
        <f t="shared" ca="1" si="273"/>
        <v>-0.20588100000000001</v>
      </c>
      <c r="EU215" s="55">
        <f t="shared" ca="1" si="274"/>
        <v>-5.2186000000000003E-2</v>
      </c>
      <c r="EV215" s="55">
        <f t="shared" ca="1" si="275"/>
        <v>0.15509400000000001</v>
      </c>
      <c r="EW215" s="55">
        <f t="shared" ca="1" si="276"/>
        <v>0.41556300000000002</v>
      </c>
      <c r="EX215" s="55">
        <f t="shared" ca="1" si="277"/>
        <v>0.458899</v>
      </c>
      <c r="EY215" s="55">
        <f t="shared" ca="1" si="278"/>
        <v>0.20200000000000001</v>
      </c>
      <c r="EZ215" s="55">
        <f t="shared" ca="1" si="279"/>
        <v>-0.41248099999999999</v>
      </c>
      <c r="FA215" s="55">
        <f t="shared" ca="1" si="280"/>
        <v>-1.231236</v>
      </c>
      <c r="FB215" s="55">
        <f t="shared" ca="1" si="281"/>
        <v>0.31484200000000001</v>
      </c>
      <c r="FC215" s="55">
        <f t="shared" ca="1" si="282"/>
        <v>0.376859</v>
      </c>
      <c r="FD215" s="55">
        <f t="shared" ca="1" si="283"/>
        <v>-0.29426000000000002</v>
      </c>
      <c r="FE215" s="55">
        <f t="shared" ca="1" si="284"/>
        <v>0.62272400000000006</v>
      </c>
      <c r="FF215" s="55">
        <f t="shared" ca="1" si="285"/>
        <v>-3.891E-2</v>
      </c>
      <c r="FH215" s="55">
        <f t="shared" ca="1" si="286"/>
        <v>0</v>
      </c>
      <c r="FI215" s="55">
        <f t="shared" ca="1" si="379"/>
        <v>0</v>
      </c>
      <c r="FJ215" s="55">
        <f t="shared" ca="1" si="380"/>
        <v>0</v>
      </c>
      <c r="FK215" s="55">
        <f t="shared" ca="1" si="381"/>
        <v>0</v>
      </c>
      <c r="FL215" s="55">
        <f t="shared" ca="1" si="382"/>
        <v>0</v>
      </c>
      <c r="FM215" s="55">
        <f t="shared" ca="1" si="383"/>
        <v>0</v>
      </c>
      <c r="FN215" s="55">
        <f t="shared" ca="1" si="384"/>
        <v>0</v>
      </c>
      <c r="FO215" s="55">
        <f t="shared" ca="1" si="385"/>
        <v>0</v>
      </c>
      <c r="FP215" s="55">
        <f t="shared" ca="1" si="386"/>
        <v>0</v>
      </c>
      <c r="FQ215" s="55">
        <f t="shared" ca="1" si="387"/>
        <v>0</v>
      </c>
      <c r="FR215" s="55">
        <f t="shared" ca="1" si="388"/>
        <v>0</v>
      </c>
      <c r="FS215" s="55">
        <f t="shared" ca="1" si="329"/>
        <v>0</v>
      </c>
      <c r="FT215" s="55">
        <f t="shared" ca="1" si="330"/>
        <v>0</v>
      </c>
      <c r="FU215" s="55">
        <f t="shared" ca="1" si="331"/>
        <v>0</v>
      </c>
      <c r="FV215" s="55">
        <f t="shared" ca="1" si="332"/>
        <v>0</v>
      </c>
      <c r="FW215" s="55">
        <f t="shared" ca="1" si="333"/>
        <v>0</v>
      </c>
      <c r="FX215" s="55">
        <f t="shared" ca="1" si="334"/>
        <v>0</v>
      </c>
      <c r="FY215" s="55">
        <f t="shared" ca="1" si="335"/>
        <v>0</v>
      </c>
      <c r="FZ215" s="55">
        <f t="shared" ca="1" si="336"/>
        <v>0</v>
      </c>
      <c r="GA215" s="55">
        <f t="shared" ca="1" si="337"/>
        <v>0</v>
      </c>
      <c r="GB215" s="55">
        <f t="shared" ca="1" si="338"/>
        <v>0</v>
      </c>
      <c r="GC215" s="55">
        <f t="shared" ca="1" si="339"/>
        <v>0</v>
      </c>
      <c r="GD215" s="55">
        <f t="shared" ca="1" si="340"/>
        <v>0</v>
      </c>
      <c r="GE215" s="55">
        <f t="shared" ca="1" si="341"/>
        <v>1.6407142774000016E-2</v>
      </c>
      <c r="GF215" s="55">
        <f t="shared" ca="1" si="342"/>
        <v>1.5202293057999805E-2</v>
      </c>
      <c r="GG215" s="55">
        <f t="shared" ca="1" si="343"/>
        <v>1.2369982732000004E-2</v>
      </c>
      <c r="GH215" s="55">
        <f t="shared" ca="1" si="344"/>
        <v>-3.9943781010999969E-2</v>
      </c>
      <c r="GI215" s="55">
        <f t="shared" ca="1" si="345"/>
        <v>0.13026616211499997</v>
      </c>
      <c r="GJ215" s="55">
        <f t="shared" ca="1" si="346"/>
        <v>-9.8759213831999926E-2</v>
      </c>
      <c r="GK215" s="55">
        <f t="shared" ca="1" si="347"/>
        <v>-0.136044568787</v>
      </c>
      <c r="GL215" s="55">
        <f t="shared" ca="1" si="348"/>
        <v>2.4908641218999994E-2</v>
      </c>
      <c r="GM215" s="55">
        <f t="shared" ca="1" si="349"/>
        <v>-5.3906367367999974E-2</v>
      </c>
      <c r="GN215" s="55">
        <f t="shared" ca="1" si="350"/>
        <v>-6.9935051428999806E-2</v>
      </c>
      <c r="GO215" s="55">
        <f t="shared" ca="1" si="351"/>
        <v>-8.3497623833999945E-2</v>
      </c>
      <c r="GP215" s="55">
        <f t="shared" ca="1" si="352"/>
        <v>0</v>
      </c>
      <c r="GQ215" s="55">
        <f t="shared" ca="1" si="353"/>
        <v>0</v>
      </c>
      <c r="GR215" s="55">
        <f t="shared" ca="1" si="354"/>
        <v>0</v>
      </c>
      <c r="GS215" s="55">
        <f t="shared" ca="1" si="355"/>
        <v>0</v>
      </c>
      <c r="GT215" s="55">
        <f t="shared" ca="1" si="356"/>
        <v>0</v>
      </c>
      <c r="GU215" s="55">
        <f t="shared" ca="1" si="357"/>
        <v>0</v>
      </c>
      <c r="GV215" s="55">
        <f t="shared" ca="1" si="358"/>
        <v>0</v>
      </c>
      <c r="GW215" s="55">
        <f t="shared" ca="1" si="359"/>
        <v>0</v>
      </c>
      <c r="GX215" s="55">
        <f t="shared" ca="1" si="360"/>
        <v>0</v>
      </c>
      <c r="GY215" s="55">
        <f t="shared" ca="1" si="361"/>
        <v>0</v>
      </c>
      <c r="GZ215" s="55">
        <f t="shared" ca="1" si="362"/>
        <v>0</v>
      </c>
      <c r="HA215" s="55">
        <f t="shared" ca="1" si="363"/>
        <v>0</v>
      </c>
      <c r="HB215" s="55">
        <f t="shared" ca="1" si="364"/>
        <v>0</v>
      </c>
      <c r="HC215" s="55">
        <f t="shared" ca="1" si="365"/>
        <v>0</v>
      </c>
      <c r="HD215" s="55">
        <f t="shared" ca="1" si="366"/>
        <v>0</v>
      </c>
      <c r="HE215" s="55">
        <f t="shared" ca="1" si="367"/>
        <v>0</v>
      </c>
    </row>
    <row r="216" spans="1:213">
      <c r="A216" s="27">
        <v>79</v>
      </c>
      <c r="B216" s="27">
        <v>45</v>
      </c>
      <c r="C216" s="27">
        <v>0.84765699999999999</v>
      </c>
      <c r="D216" s="27">
        <v>0.13112299999999999</v>
      </c>
      <c r="E216" s="27">
        <v>16</v>
      </c>
      <c r="F216" s="27">
        <f t="shared" ca="1" si="231"/>
        <v>24</v>
      </c>
      <c r="G216" s="27">
        <f t="shared" si="230"/>
        <v>0</v>
      </c>
      <c r="H216" s="27" t="str">
        <f t="shared" si="232"/>
        <v>Não</v>
      </c>
      <c r="I216" s="27">
        <f t="shared" si="233"/>
        <v>0</v>
      </c>
      <c r="J216" s="37">
        <f t="shared" si="234"/>
        <v>0</v>
      </c>
      <c r="K216" s="55">
        <f t="shared" si="235"/>
        <v>-0.96952099999999997</v>
      </c>
      <c r="L216" s="55">
        <f t="shared" si="368"/>
        <v>0.66410999999999998</v>
      </c>
      <c r="M216" s="55">
        <f t="shared" si="369"/>
        <v>-0.97222600000000003</v>
      </c>
      <c r="N216" s="55">
        <f t="shared" si="370"/>
        <v>-0.63371699999999997</v>
      </c>
      <c r="O216" s="55">
        <f t="shared" si="371"/>
        <v>-0.20852200000000001</v>
      </c>
      <c r="P216" s="55">
        <f t="shared" si="372"/>
        <v>-0.52859100000000003</v>
      </c>
      <c r="Q216" s="55">
        <f t="shared" si="373"/>
        <v>1.0724800000000001</v>
      </c>
      <c r="R216" s="55">
        <f t="shared" si="374"/>
        <v>0.25561099999999998</v>
      </c>
      <c r="S216" s="55">
        <f t="shared" si="375"/>
        <v>0.13075899999999999</v>
      </c>
      <c r="T216" s="55">
        <f t="shared" si="376"/>
        <v>-0.345333</v>
      </c>
      <c r="U216" s="55">
        <f t="shared" si="377"/>
        <v>-6.3410000000000003E-3</v>
      </c>
      <c r="V216" s="55">
        <f t="shared" si="288"/>
        <v>0.30458099999999999</v>
      </c>
      <c r="W216" s="55">
        <f t="shared" si="289"/>
        <v>0.91954400000000003</v>
      </c>
      <c r="X216" s="55">
        <f t="shared" si="290"/>
        <v>1.6418710000000001</v>
      </c>
      <c r="Y216" s="55">
        <f t="shared" si="291"/>
        <v>-5.1436000000000003E-2</v>
      </c>
      <c r="Z216" s="55">
        <f t="shared" si="292"/>
        <v>-0.56040000000000001</v>
      </c>
      <c r="AA216" s="55">
        <f t="shared" si="293"/>
        <v>8.0870000000000004E-3</v>
      </c>
      <c r="AB216" s="55">
        <f t="shared" si="294"/>
        <v>-7.4077000000000004E-2</v>
      </c>
      <c r="AC216" s="55">
        <f t="shared" si="295"/>
        <v>1.7126790000000001</v>
      </c>
      <c r="AD216" s="55">
        <f t="shared" si="296"/>
        <v>0.74573299999999998</v>
      </c>
      <c r="AE216" s="55">
        <f t="shared" si="297"/>
        <v>-0.127611</v>
      </c>
      <c r="AF216" s="55">
        <f t="shared" si="298"/>
        <v>-1.00105</v>
      </c>
      <c r="AG216" s="55">
        <f t="shared" si="299"/>
        <v>0.130331</v>
      </c>
      <c r="AH216" s="55">
        <f t="shared" si="300"/>
        <v>-0.115831</v>
      </c>
      <c r="AI216" s="55">
        <f t="shared" si="301"/>
        <v>-0.10696799999999999</v>
      </c>
      <c r="AJ216" s="55">
        <f t="shared" si="302"/>
        <v>-0.68452299999999999</v>
      </c>
      <c r="AK216" s="55">
        <f t="shared" si="303"/>
        <v>-0.99203300000000005</v>
      </c>
      <c r="AL216" s="55">
        <f t="shared" si="304"/>
        <v>2.9193E-2</v>
      </c>
      <c r="AM216" s="55">
        <f t="shared" si="305"/>
        <v>-0.54664699999999999</v>
      </c>
      <c r="AN216" s="55">
        <f t="shared" si="306"/>
        <v>-0.81507300000000005</v>
      </c>
      <c r="AO216" s="55">
        <f t="shared" si="307"/>
        <v>1.367518</v>
      </c>
      <c r="AP216" s="55">
        <f t="shared" si="308"/>
        <v>-8.6235999999999993E-2</v>
      </c>
      <c r="AQ216" s="55">
        <f t="shared" si="309"/>
        <v>-0.514575</v>
      </c>
      <c r="AR216" s="55">
        <f t="shared" si="310"/>
        <v>0.82640999999999998</v>
      </c>
      <c r="AS216" s="55">
        <f t="shared" si="311"/>
        <v>0.45799499999999999</v>
      </c>
      <c r="AT216" s="55">
        <f t="shared" si="312"/>
        <v>-0.85157499999999997</v>
      </c>
      <c r="AU216" s="55">
        <f t="shared" si="313"/>
        <v>-1.3882490000000001</v>
      </c>
      <c r="AV216" s="55">
        <f t="shared" si="314"/>
        <v>-0.79769599999999996</v>
      </c>
      <c r="AW216" s="55">
        <f t="shared" si="315"/>
        <v>-0.59496199999999999</v>
      </c>
      <c r="AX216" s="55">
        <f t="shared" si="316"/>
        <v>0.27181300000000003</v>
      </c>
      <c r="AY216" s="55">
        <f t="shared" si="317"/>
        <v>-0.75547600000000004</v>
      </c>
      <c r="AZ216" s="55">
        <f t="shared" si="318"/>
        <v>-2.6192E-2</v>
      </c>
      <c r="BA216" s="55">
        <f t="shared" si="319"/>
        <v>0.29480499999999998</v>
      </c>
      <c r="BB216" s="55">
        <f t="shared" si="320"/>
        <v>-0.12639400000000001</v>
      </c>
      <c r="BC216" s="55">
        <f t="shared" si="321"/>
        <v>0.55312499999999998</v>
      </c>
      <c r="BD216" s="55">
        <f t="shared" si="322"/>
        <v>-0.12640100000000001</v>
      </c>
      <c r="BE216" s="55">
        <f t="shared" si="323"/>
        <v>0.25186700000000001</v>
      </c>
      <c r="BF216" s="55">
        <f t="shared" si="324"/>
        <v>-0.52502599999999999</v>
      </c>
      <c r="BG216" s="55">
        <f t="shared" si="325"/>
        <v>-0.55027700000000002</v>
      </c>
      <c r="BH216" s="55">
        <f t="shared" si="326"/>
        <v>1.1503829999999999</v>
      </c>
      <c r="BJ216" s="55">
        <f t="shared" si="378"/>
        <v>-0.31709100000000001</v>
      </c>
      <c r="BK216" s="55">
        <f t="shared" si="378"/>
        <v>-0.89203399999999999</v>
      </c>
      <c r="BL216" s="55">
        <f t="shared" si="378"/>
        <v>-0.50178699999999998</v>
      </c>
      <c r="BM216" s="55">
        <f t="shared" si="378"/>
        <v>1.341126</v>
      </c>
      <c r="BN216" s="55">
        <f t="shared" si="378"/>
        <v>-0.35331899999999999</v>
      </c>
      <c r="BO216" s="55">
        <f t="shared" si="378"/>
        <v>-0.81649300000000002</v>
      </c>
      <c r="BP216" s="55">
        <f t="shared" si="378"/>
        <v>0.76869500000000002</v>
      </c>
      <c r="BQ216" s="55">
        <f t="shared" si="378"/>
        <v>0.78559599999999996</v>
      </c>
      <c r="BR216" s="55">
        <f t="shared" si="378"/>
        <v>-0.50029299999999999</v>
      </c>
      <c r="BS216" s="55">
        <f t="shared" si="378"/>
        <v>5.3810999999999998E-2</v>
      </c>
      <c r="BT216" s="55">
        <f t="shared" si="378"/>
        <v>-1.401068</v>
      </c>
      <c r="BU216" s="55">
        <f t="shared" si="378"/>
        <v>-0.34910000000000002</v>
      </c>
      <c r="BV216" s="55">
        <f t="shared" si="378"/>
        <v>1.39639</v>
      </c>
      <c r="BW216" s="55">
        <f t="shared" si="378"/>
        <v>0.16563800000000001</v>
      </c>
      <c r="BX216" s="55">
        <f t="shared" si="378"/>
        <v>-0.78129099999999996</v>
      </c>
      <c r="BY216" s="55">
        <f t="shared" si="378"/>
        <v>0.19028100000000001</v>
      </c>
      <c r="BZ216" s="55">
        <f t="shared" si="327"/>
        <v>-1.158496</v>
      </c>
      <c r="CA216" s="55">
        <f t="shared" si="327"/>
        <v>-8.0203999999999998E-2</v>
      </c>
      <c r="CB216" s="55">
        <f t="shared" si="327"/>
        <v>-5.5931000000000002E-2</v>
      </c>
      <c r="CC216" s="55">
        <f t="shared" si="327"/>
        <v>0.14855699999999999</v>
      </c>
      <c r="CD216" s="55">
        <f t="shared" si="327"/>
        <v>-0.54910300000000001</v>
      </c>
      <c r="CE216" s="55">
        <f t="shared" si="327"/>
        <v>-1.646245</v>
      </c>
      <c r="CF216" s="55">
        <f t="shared" si="327"/>
        <v>0.36466599999999999</v>
      </c>
      <c r="CG216" s="55">
        <f t="shared" si="327"/>
        <v>1.0881E-2</v>
      </c>
      <c r="CH216" s="55">
        <f t="shared" si="327"/>
        <v>0.95167999999999997</v>
      </c>
      <c r="CI216" s="55">
        <f t="shared" si="327"/>
        <v>0.35824299999999998</v>
      </c>
      <c r="CJ216" s="55">
        <f t="shared" si="327"/>
        <v>-0.28089999999999998</v>
      </c>
      <c r="CK216" s="55">
        <f t="shared" si="327"/>
        <v>-0.410466</v>
      </c>
      <c r="CL216" s="55">
        <f t="shared" si="327"/>
        <v>0.50322500000000003</v>
      </c>
      <c r="CM216" s="55">
        <f t="shared" si="327"/>
        <v>0.31360100000000002</v>
      </c>
      <c r="CN216" s="55">
        <f t="shared" si="327"/>
        <v>-1.7582420000000001</v>
      </c>
      <c r="CO216" s="55">
        <f t="shared" si="328"/>
        <v>1.1691739999999999</v>
      </c>
      <c r="CP216" s="55">
        <f t="shared" si="328"/>
        <v>2.2877999999999999E-2</v>
      </c>
      <c r="CQ216" s="55">
        <f t="shared" si="328"/>
        <v>1.1598599999999999</v>
      </c>
      <c r="CR216" s="55">
        <f t="shared" si="328"/>
        <v>-8.8025999999999993E-2</v>
      </c>
      <c r="CS216" s="55">
        <f t="shared" si="328"/>
        <v>1.3394E-2</v>
      </c>
      <c r="CT216" s="55">
        <f t="shared" si="328"/>
        <v>0.43396099999999999</v>
      </c>
      <c r="CU216" s="55">
        <f t="shared" si="328"/>
        <v>-0.96805399999999997</v>
      </c>
      <c r="CV216" s="55">
        <f t="shared" si="328"/>
        <v>0.22781000000000001</v>
      </c>
      <c r="CW216" s="55">
        <f t="shared" si="328"/>
        <v>4.8700000000000002E-4</v>
      </c>
      <c r="CX216" s="55">
        <f t="shared" si="328"/>
        <v>-0.89963199999999999</v>
      </c>
      <c r="CY216" s="55">
        <f t="shared" si="328"/>
        <v>0.18885199999999999</v>
      </c>
      <c r="CZ216" s="55">
        <f t="shared" si="328"/>
        <v>0.40491199999999999</v>
      </c>
      <c r="DA216" s="55">
        <f t="shared" si="328"/>
        <v>0.131018</v>
      </c>
      <c r="DB216" s="55">
        <f t="shared" si="328"/>
        <v>-0.14644599999999999</v>
      </c>
      <c r="DC216" s="55">
        <f t="shared" si="328"/>
        <v>-0.53958099999999998</v>
      </c>
      <c r="DD216" s="55">
        <f t="shared" si="328"/>
        <v>-0.81196599999999997</v>
      </c>
      <c r="DE216" s="55">
        <f t="shared" si="287"/>
        <v>7.3072999999999999E-2</v>
      </c>
      <c r="DF216" s="55">
        <f t="shared" si="287"/>
        <v>0.273009</v>
      </c>
      <c r="DG216" s="55">
        <f t="shared" si="287"/>
        <v>0.25028899999999998</v>
      </c>
      <c r="DI216" s="55">
        <f t="shared" ca="1" si="236"/>
        <v>-0.96952099999999997</v>
      </c>
      <c r="DJ216" s="55">
        <f t="shared" ca="1" si="237"/>
        <v>0.66410999999999998</v>
      </c>
      <c r="DK216" s="55">
        <f t="shared" ca="1" si="238"/>
        <v>-0.97222600000000003</v>
      </c>
      <c r="DL216" s="55">
        <f t="shared" ca="1" si="239"/>
        <v>-0.63371699999999997</v>
      </c>
      <c r="DM216" s="55">
        <f t="shared" ca="1" si="240"/>
        <v>-0.20852200000000001</v>
      </c>
      <c r="DN216" s="55">
        <f t="shared" ca="1" si="241"/>
        <v>-0.52859100000000003</v>
      </c>
      <c r="DO216" s="55">
        <f t="shared" ca="1" si="242"/>
        <v>1.0724800000000001</v>
      </c>
      <c r="DP216" s="55">
        <f t="shared" ca="1" si="243"/>
        <v>0.25561099999999998</v>
      </c>
      <c r="DQ216" s="55">
        <f t="shared" ca="1" si="244"/>
        <v>0.13075899999999999</v>
      </c>
      <c r="DR216" s="55">
        <f t="shared" ca="1" si="245"/>
        <v>-0.345333</v>
      </c>
      <c r="DS216" s="55">
        <f t="shared" ca="1" si="246"/>
        <v>-6.3410000000000003E-3</v>
      </c>
      <c r="DT216" s="55">
        <f t="shared" ca="1" si="247"/>
        <v>0.30458099999999999</v>
      </c>
      <c r="DU216" s="55">
        <f t="shared" ca="1" si="248"/>
        <v>0.91954400000000003</v>
      </c>
      <c r="DV216" s="55">
        <f t="shared" ca="1" si="249"/>
        <v>1.6418710000000001</v>
      </c>
      <c r="DW216" s="55">
        <f t="shared" ca="1" si="250"/>
        <v>-5.1436000000000003E-2</v>
      </c>
      <c r="DX216" s="55">
        <f t="shared" ca="1" si="251"/>
        <v>-0.56040000000000001</v>
      </c>
      <c r="DY216" s="55">
        <f t="shared" ca="1" si="252"/>
        <v>8.0870000000000004E-3</v>
      </c>
      <c r="DZ216" s="55">
        <f t="shared" ca="1" si="253"/>
        <v>-7.4077000000000004E-2</v>
      </c>
      <c r="EA216" s="55">
        <f t="shared" ca="1" si="254"/>
        <v>1.7126790000000001</v>
      </c>
      <c r="EB216" s="55">
        <f t="shared" ca="1" si="255"/>
        <v>0.74573299999999998</v>
      </c>
      <c r="EC216" s="55">
        <f t="shared" ca="1" si="256"/>
        <v>-0.127611</v>
      </c>
      <c r="ED216" s="55">
        <f t="shared" ca="1" si="257"/>
        <v>-1.00105</v>
      </c>
      <c r="EE216" s="55">
        <f t="shared" ca="1" si="258"/>
        <v>0.130331</v>
      </c>
      <c r="EF216" s="55">
        <f t="shared" ca="1" si="259"/>
        <v>-0.115831</v>
      </c>
      <c r="EG216" s="55">
        <f t="shared" ca="1" si="260"/>
        <v>-0.10696799999999999</v>
      </c>
      <c r="EH216" s="55">
        <f t="shared" ca="1" si="261"/>
        <v>-0.68452299999999999</v>
      </c>
      <c r="EI216" s="55">
        <f t="shared" ca="1" si="262"/>
        <v>-0.99203300000000005</v>
      </c>
      <c r="EJ216" s="55">
        <f t="shared" ca="1" si="263"/>
        <v>2.9193E-2</v>
      </c>
      <c r="EK216" s="55">
        <f t="shared" ca="1" si="264"/>
        <v>-0.54664699999999999</v>
      </c>
      <c r="EL216" s="55">
        <f t="shared" ca="1" si="265"/>
        <v>-0.81507300000000005</v>
      </c>
      <c r="EM216" s="55">
        <f t="shared" ca="1" si="266"/>
        <v>1.367518</v>
      </c>
      <c r="EN216" s="55">
        <f t="shared" ca="1" si="267"/>
        <v>-8.6235999999999993E-2</v>
      </c>
      <c r="EO216" s="55">
        <f t="shared" ca="1" si="268"/>
        <v>-0.514575</v>
      </c>
      <c r="EP216" s="55">
        <f t="shared" ca="1" si="269"/>
        <v>0.82640999999999998</v>
      </c>
      <c r="EQ216" s="55">
        <f t="shared" ca="1" si="270"/>
        <v>0.45799499999999999</v>
      </c>
      <c r="ER216" s="55">
        <f t="shared" ca="1" si="271"/>
        <v>-0.85157499999999997</v>
      </c>
      <c r="ES216" s="55">
        <f t="shared" ca="1" si="272"/>
        <v>-1.3882490000000001</v>
      </c>
      <c r="ET216" s="55">
        <f t="shared" ca="1" si="273"/>
        <v>-0.79769599999999996</v>
      </c>
      <c r="EU216" s="55">
        <f t="shared" ca="1" si="274"/>
        <v>-0.59496199999999999</v>
      </c>
      <c r="EV216" s="55">
        <f t="shared" ca="1" si="275"/>
        <v>0.27181300000000003</v>
      </c>
      <c r="EW216" s="55">
        <f t="shared" ca="1" si="276"/>
        <v>-0.75547600000000004</v>
      </c>
      <c r="EX216" s="55">
        <f t="shared" ca="1" si="277"/>
        <v>-2.6192E-2</v>
      </c>
      <c r="EY216" s="55">
        <f t="shared" ca="1" si="278"/>
        <v>0.29480499999999998</v>
      </c>
      <c r="EZ216" s="55">
        <f t="shared" ca="1" si="279"/>
        <v>-0.12639400000000001</v>
      </c>
      <c r="FA216" s="55">
        <f t="shared" ca="1" si="280"/>
        <v>0.55312499999999998</v>
      </c>
      <c r="FB216" s="55">
        <f t="shared" ca="1" si="281"/>
        <v>-0.12640100000000001</v>
      </c>
      <c r="FC216" s="55">
        <f t="shared" ca="1" si="282"/>
        <v>0.25186700000000001</v>
      </c>
      <c r="FD216" s="55">
        <f t="shared" ca="1" si="283"/>
        <v>-0.52502599999999999</v>
      </c>
      <c r="FE216" s="55">
        <f t="shared" ca="1" si="284"/>
        <v>-0.55027700000000002</v>
      </c>
      <c r="FF216" s="55">
        <f t="shared" ca="1" si="285"/>
        <v>1.1503829999999999</v>
      </c>
      <c r="FH216" s="55">
        <f t="shared" ca="1" si="286"/>
        <v>0</v>
      </c>
      <c r="FI216" s="55">
        <f t="shared" ca="1" si="379"/>
        <v>0</v>
      </c>
      <c r="FJ216" s="55">
        <f t="shared" ca="1" si="380"/>
        <v>0</v>
      </c>
      <c r="FK216" s="55">
        <f t="shared" ca="1" si="381"/>
        <v>0</v>
      </c>
      <c r="FL216" s="55">
        <f t="shared" ca="1" si="382"/>
        <v>0</v>
      </c>
      <c r="FM216" s="55">
        <f t="shared" ca="1" si="383"/>
        <v>0</v>
      </c>
      <c r="FN216" s="55">
        <f t="shared" ca="1" si="384"/>
        <v>0</v>
      </c>
      <c r="FO216" s="55">
        <f t="shared" ca="1" si="385"/>
        <v>0</v>
      </c>
      <c r="FP216" s="55">
        <f t="shared" ca="1" si="386"/>
        <v>0</v>
      </c>
      <c r="FQ216" s="55">
        <f t="shared" ca="1" si="387"/>
        <v>0</v>
      </c>
      <c r="FR216" s="55">
        <f t="shared" ca="1" si="388"/>
        <v>0</v>
      </c>
      <c r="FS216" s="55">
        <f t="shared" ca="1" si="329"/>
        <v>0</v>
      </c>
      <c r="FT216" s="55">
        <f t="shared" ca="1" si="330"/>
        <v>0</v>
      </c>
      <c r="FU216" s="55">
        <f t="shared" ca="1" si="331"/>
        <v>0</v>
      </c>
      <c r="FV216" s="55">
        <f t="shared" ca="1" si="332"/>
        <v>0</v>
      </c>
      <c r="FW216" s="55">
        <f t="shared" ca="1" si="333"/>
        <v>0</v>
      </c>
      <c r="FX216" s="55">
        <f t="shared" ca="1" si="334"/>
        <v>0</v>
      </c>
      <c r="FY216" s="55">
        <f t="shared" ca="1" si="335"/>
        <v>0</v>
      </c>
      <c r="FZ216" s="55">
        <f t="shared" ca="1" si="336"/>
        <v>0</v>
      </c>
      <c r="GA216" s="55">
        <f t="shared" ca="1" si="337"/>
        <v>0</v>
      </c>
      <c r="GB216" s="55">
        <f t="shared" ca="1" si="338"/>
        <v>0</v>
      </c>
      <c r="GC216" s="55">
        <f t="shared" ca="1" si="339"/>
        <v>0</v>
      </c>
      <c r="GD216" s="55">
        <f t="shared" ca="1" si="340"/>
        <v>0</v>
      </c>
      <c r="GE216" s="55">
        <f t="shared" ca="1" si="341"/>
        <v>0</v>
      </c>
      <c r="GF216" s="55">
        <f t="shared" ca="1" si="342"/>
        <v>0</v>
      </c>
      <c r="GG216" s="55">
        <f t="shared" ca="1" si="343"/>
        <v>0</v>
      </c>
      <c r="GH216" s="55">
        <f t="shared" ca="1" si="344"/>
        <v>0</v>
      </c>
      <c r="GI216" s="55">
        <f t="shared" ca="1" si="345"/>
        <v>0</v>
      </c>
      <c r="GJ216" s="55">
        <f t="shared" ca="1" si="346"/>
        <v>0</v>
      </c>
      <c r="GK216" s="55">
        <f t="shared" ca="1" si="347"/>
        <v>0</v>
      </c>
      <c r="GL216" s="55">
        <f t="shared" ca="1" si="348"/>
        <v>0</v>
      </c>
      <c r="GM216" s="55">
        <f t="shared" ca="1" si="349"/>
        <v>0</v>
      </c>
      <c r="GN216" s="55">
        <f t="shared" ca="1" si="350"/>
        <v>0</v>
      </c>
      <c r="GO216" s="55">
        <f t="shared" ca="1" si="351"/>
        <v>0</v>
      </c>
      <c r="GP216" s="55">
        <f t="shared" ca="1" si="352"/>
        <v>0</v>
      </c>
      <c r="GQ216" s="55">
        <f t="shared" ca="1" si="353"/>
        <v>0</v>
      </c>
      <c r="GR216" s="55">
        <f t="shared" ca="1" si="354"/>
        <v>0</v>
      </c>
      <c r="GS216" s="55">
        <f t="shared" ca="1" si="355"/>
        <v>0</v>
      </c>
      <c r="GT216" s="55">
        <f t="shared" ca="1" si="356"/>
        <v>0</v>
      </c>
      <c r="GU216" s="55">
        <f t="shared" ca="1" si="357"/>
        <v>0</v>
      </c>
      <c r="GV216" s="55">
        <f t="shared" ca="1" si="358"/>
        <v>0</v>
      </c>
      <c r="GW216" s="55">
        <f t="shared" ca="1" si="359"/>
        <v>0</v>
      </c>
      <c r="GX216" s="55">
        <f t="shared" ca="1" si="360"/>
        <v>0</v>
      </c>
      <c r="GY216" s="55">
        <f t="shared" ca="1" si="361"/>
        <v>0</v>
      </c>
      <c r="GZ216" s="55">
        <f t="shared" ca="1" si="362"/>
        <v>0</v>
      </c>
      <c r="HA216" s="55">
        <f t="shared" ca="1" si="363"/>
        <v>0</v>
      </c>
      <c r="HB216" s="55">
        <f t="shared" ca="1" si="364"/>
        <v>0</v>
      </c>
      <c r="HC216" s="55">
        <f t="shared" ca="1" si="365"/>
        <v>0</v>
      </c>
      <c r="HD216" s="55">
        <f t="shared" ca="1" si="366"/>
        <v>0</v>
      </c>
      <c r="HE216" s="55">
        <f t="shared" ca="1" si="367"/>
        <v>0</v>
      </c>
    </row>
    <row r="217" spans="1:213">
      <c r="A217" s="27">
        <v>80</v>
      </c>
      <c r="B217" s="27">
        <v>48</v>
      </c>
      <c r="C217" s="27">
        <v>2.5673999999999999E-2</v>
      </c>
      <c r="D217" s="27">
        <v>0.95540400000000003</v>
      </c>
      <c r="E217" s="27">
        <v>48</v>
      </c>
      <c r="F217" s="27">
        <f t="shared" ca="1" si="231"/>
        <v>49</v>
      </c>
      <c r="G217" s="27">
        <f t="shared" si="230"/>
        <v>0</v>
      </c>
      <c r="H217" s="27" t="str">
        <f t="shared" si="232"/>
        <v>Sim</v>
      </c>
      <c r="I217" s="27">
        <f t="shared" si="233"/>
        <v>0</v>
      </c>
      <c r="J217" s="37">
        <f t="shared" si="234"/>
        <v>1</v>
      </c>
      <c r="K217" s="55">
        <f t="shared" si="235"/>
        <v>0.977024</v>
      </c>
      <c r="L217" s="55">
        <f t="shared" si="368"/>
        <v>-0.77819899999999997</v>
      </c>
      <c r="M217" s="55">
        <f t="shared" si="369"/>
        <v>0.28137000000000001</v>
      </c>
      <c r="N217" s="55">
        <f t="shared" si="370"/>
        <v>0.210147</v>
      </c>
      <c r="O217" s="55">
        <f t="shared" si="371"/>
        <v>0.75479200000000002</v>
      </c>
      <c r="P217" s="55">
        <f t="shared" si="372"/>
        <v>-1.792562</v>
      </c>
      <c r="Q217" s="55">
        <f t="shared" si="373"/>
        <v>0.68064400000000003</v>
      </c>
      <c r="R217" s="55">
        <f t="shared" si="374"/>
        <v>-0.47226499999999999</v>
      </c>
      <c r="S217" s="55">
        <f t="shared" si="375"/>
        <v>-0.21042</v>
      </c>
      <c r="T217" s="55">
        <f t="shared" si="376"/>
        <v>-0.56348200000000004</v>
      </c>
      <c r="U217" s="55">
        <f t="shared" si="377"/>
        <v>0.35940800000000001</v>
      </c>
      <c r="V217" s="55">
        <f t="shared" si="288"/>
        <v>-0.662134</v>
      </c>
      <c r="W217" s="55">
        <f t="shared" si="289"/>
        <v>-1.333936</v>
      </c>
      <c r="X217" s="55">
        <f t="shared" si="290"/>
        <v>1.1656359999999999</v>
      </c>
      <c r="Y217" s="55">
        <f t="shared" si="291"/>
        <v>0.39030100000000001</v>
      </c>
      <c r="Z217" s="55">
        <f t="shared" si="292"/>
        <v>0.12973899999999999</v>
      </c>
      <c r="AA217" s="55">
        <f t="shared" si="293"/>
        <v>-0.52273099999999995</v>
      </c>
      <c r="AB217" s="55">
        <f t="shared" si="294"/>
        <v>1.156361</v>
      </c>
      <c r="AC217" s="55">
        <f t="shared" si="295"/>
        <v>-0.85358699999999998</v>
      </c>
      <c r="AD217" s="55">
        <f t="shared" si="296"/>
        <v>4.7983999999999999E-2</v>
      </c>
      <c r="AE217" s="55">
        <f t="shared" si="297"/>
        <v>-0.40818500000000002</v>
      </c>
      <c r="AF217" s="55">
        <f t="shared" si="298"/>
        <v>-0.96428700000000001</v>
      </c>
      <c r="AG217" s="55">
        <f t="shared" si="299"/>
        <v>-0.70098700000000003</v>
      </c>
      <c r="AH217" s="55">
        <f t="shared" si="300"/>
        <v>5.7111000000000002E-2</v>
      </c>
      <c r="AI217" s="55">
        <f t="shared" si="301"/>
        <v>-0.157724</v>
      </c>
      <c r="AJ217" s="55">
        <f t="shared" si="302"/>
        <v>-0.310886</v>
      </c>
      <c r="AK217" s="55">
        <f t="shared" si="303"/>
        <v>-0.24035500000000001</v>
      </c>
      <c r="AL217" s="55">
        <f t="shared" si="304"/>
        <v>1.41211</v>
      </c>
      <c r="AM217" s="55">
        <f t="shared" si="305"/>
        <v>0.32704899999999998</v>
      </c>
      <c r="AN217" s="55">
        <f t="shared" si="306"/>
        <v>0.42012899999999997</v>
      </c>
      <c r="AO217" s="55">
        <f t="shared" si="307"/>
        <v>0.648756</v>
      </c>
      <c r="AP217" s="55">
        <f t="shared" si="308"/>
        <v>0.87153599999999998</v>
      </c>
      <c r="AQ217" s="55">
        <f t="shared" si="309"/>
        <v>0.26472000000000001</v>
      </c>
      <c r="AR217" s="55">
        <f t="shared" si="310"/>
        <v>3.2361000000000001E-2</v>
      </c>
      <c r="AS217" s="55">
        <f t="shared" si="311"/>
        <v>4.2389000000000003E-2</v>
      </c>
      <c r="AT217" s="55">
        <f t="shared" si="312"/>
        <v>0.51620500000000002</v>
      </c>
      <c r="AU217" s="55">
        <f t="shared" si="313"/>
        <v>6.7905999999999994E-2</v>
      </c>
      <c r="AV217" s="55">
        <f t="shared" si="314"/>
        <v>-0.15556400000000001</v>
      </c>
      <c r="AW217" s="55">
        <f t="shared" si="315"/>
        <v>-0.36950100000000002</v>
      </c>
      <c r="AX217" s="55">
        <f t="shared" si="316"/>
        <v>0.35318699999999997</v>
      </c>
      <c r="AY217" s="55">
        <f t="shared" si="317"/>
        <v>-0.182979</v>
      </c>
      <c r="AZ217" s="55">
        <f t="shared" si="318"/>
        <v>1.2469730000000001</v>
      </c>
      <c r="BA217" s="55">
        <f t="shared" si="319"/>
        <v>0.56035299999999999</v>
      </c>
      <c r="BB217" s="55">
        <f t="shared" si="320"/>
        <v>-9.7970000000000002E-3</v>
      </c>
      <c r="BC217" s="55">
        <f t="shared" si="321"/>
        <v>0.322075</v>
      </c>
      <c r="BD217" s="55">
        <f t="shared" si="322"/>
        <v>-1.2087969999999999</v>
      </c>
      <c r="BE217" s="55">
        <f t="shared" si="323"/>
        <v>-0.42161300000000002</v>
      </c>
      <c r="BF217" s="55">
        <f t="shared" si="324"/>
        <v>0.54421399999999998</v>
      </c>
      <c r="BG217" s="55">
        <f t="shared" si="325"/>
        <v>-0.45694699999999999</v>
      </c>
      <c r="BH217" s="55">
        <f t="shared" si="326"/>
        <v>0.80196400000000001</v>
      </c>
      <c r="BJ217" s="55">
        <f t="shared" si="378"/>
        <v>-0.40855599999999997</v>
      </c>
      <c r="BK217" s="55">
        <f t="shared" si="378"/>
        <v>-0.76658899999999996</v>
      </c>
      <c r="BL217" s="55">
        <f t="shared" si="378"/>
        <v>-0.83955400000000002</v>
      </c>
      <c r="BM217" s="55">
        <f t="shared" si="378"/>
        <v>0.16831699999999999</v>
      </c>
      <c r="BN217" s="55">
        <f t="shared" si="378"/>
        <v>-0.42879800000000001</v>
      </c>
      <c r="BO217" s="55">
        <f t="shared" si="378"/>
        <v>-0.57425800000000005</v>
      </c>
      <c r="BP217" s="55">
        <f t="shared" si="378"/>
        <v>0.72298700000000005</v>
      </c>
      <c r="BQ217" s="55">
        <f t="shared" si="378"/>
        <v>0.59974899999999998</v>
      </c>
      <c r="BR217" s="55">
        <f t="shared" si="378"/>
        <v>-1.7849090000000001</v>
      </c>
      <c r="BS217" s="55">
        <f t="shared" si="378"/>
        <v>0.70619799999999999</v>
      </c>
      <c r="BT217" s="55">
        <f t="shared" si="378"/>
        <v>0.13431899999999999</v>
      </c>
      <c r="BU217" s="55">
        <f t="shared" si="378"/>
        <v>-7.6033000000000003E-2</v>
      </c>
      <c r="BV217" s="55">
        <f t="shared" si="378"/>
        <v>1.2705770000000001</v>
      </c>
      <c r="BW217" s="55">
        <f t="shared" si="378"/>
        <v>0.87146000000000001</v>
      </c>
      <c r="BX217" s="55">
        <f t="shared" si="378"/>
        <v>-1.1070279999999999</v>
      </c>
      <c r="BY217" s="55">
        <f t="shared" si="378"/>
        <v>-0.60894499999999996</v>
      </c>
      <c r="BZ217" s="55">
        <f t="shared" si="327"/>
        <v>0.67616900000000002</v>
      </c>
      <c r="CA217" s="55">
        <f t="shared" si="327"/>
        <v>-0.26446700000000001</v>
      </c>
      <c r="CB217" s="55">
        <f t="shared" si="327"/>
        <v>0.21237300000000001</v>
      </c>
      <c r="CC217" s="55">
        <f t="shared" si="327"/>
        <v>-0.108029</v>
      </c>
      <c r="CD217" s="55">
        <f t="shared" si="327"/>
        <v>-7.2497000000000006E-2</v>
      </c>
      <c r="CE217" s="55">
        <f t="shared" si="327"/>
        <v>1.130315</v>
      </c>
      <c r="CF217" s="55">
        <f t="shared" si="327"/>
        <v>-0.467723</v>
      </c>
      <c r="CG217" s="55">
        <f t="shared" si="327"/>
        <v>-0.44977099999999998</v>
      </c>
      <c r="CH217" s="55">
        <f t="shared" si="327"/>
        <v>0.77346499999999996</v>
      </c>
      <c r="CI217" s="55">
        <f t="shared" si="327"/>
        <v>-8.2304000000000002E-2</v>
      </c>
      <c r="CJ217" s="55">
        <f t="shared" si="327"/>
        <v>6.5312999999999996E-2</v>
      </c>
      <c r="CK217" s="55">
        <f t="shared" si="327"/>
        <v>0.56351300000000004</v>
      </c>
      <c r="CL217" s="55">
        <f t="shared" si="327"/>
        <v>0.87226499999999996</v>
      </c>
      <c r="CM217" s="55">
        <f t="shared" si="327"/>
        <v>0.531609</v>
      </c>
      <c r="CN217" s="55">
        <f t="shared" si="327"/>
        <v>0.59523499999999996</v>
      </c>
      <c r="CO217" s="55">
        <f t="shared" si="328"/>
        <v>-0.25506000000000001</v>
      </c>
      <c r="CP217" s="55">
        <f t="shared" si="328"/>
        <v>-0.103106</v>
      </c>
      <c r="CQ217" s="55">
        <f t="shared" si="328"/>
        <v>-1.3946069999999999</v>
      </c>
      <c r="CR217" s="55">
        <f t="shared" si="328"/>
        <v>0.62593600000000005</v>
      </c>
      <c r="CS217" s="55">
        <f t="shared" si="328"/>
        <v>-0.18368200000000001</v>
      </c>
      <c r="CT217" s="55">
        <f t="shared" si="328"/>
        <v>0.10294499999999999</v>
      </c>
      <c r="CU217" s="55">
        <f t="shared" si="328"/>
        <v>0.13464899999999999</v>
      </c>
      <c r="CV217" s="55">
        <f t="shared" si="328"/>
        <v>-0.26313399999999998</v>
      </c>
      <c r="CW217" s="55">
        <f t="shared" si="328"/>
        <v>1.0524979999999999</v>
      </c>
      <c r="CX217" s="55">
        <f t="shared" si="328"/>
        <v>-0.30601200000000001</v>
      </c>
      <c r="CY217" s="55">
        <f t="shared" si="328"/>
        <v>-0.44042999999999999</v>
      </c>
      <c r="CZ217" s="55">
        <f t="shared" si="328"/>
        <v>-0.89527999999999996</v>
      </c>
      <c r="DA217" s="55">
        <f t="shared" si="328"/>
        <v>-0.50405900000000003</v>
      </c>
      <c r="DB217" s="55">
        <f t="shared" si="328"/>
        <v>-0.85123700000000002</v>
      </c>
      <c r="DC217" s="55">
        <f t="shared" si="328"/>
        <v>0.26190799999999997</v>
      </c>
      <c r="DD217" s="55">
        <f t="shared" si="328"/>
        <v>0.100484</v>
      </c>
      <c r="DE217" s="55">
        <f t="shared" si="287"/>
        <v>0.38502500000000001</v>
      </c>
      <c r="DF217" s="55">
        <f t="shared" si="287"/>
        <v>-0.28729900000000003</v>
      </c>
      <c r="DG217" s="55">
        <f t="shared" si="287"/>
        <v>0.25708399999999998</v>
      </c>
      <c r="DI217" s="55">
        <f t="shared" ca="1" si="236"/>
        <v>0.977024</v>
      </c>
      <c r="DJ217" s="55">
        <f t="shared" ca="1" si="237"/>
        <v>-0.77819899999999997</v>
      </c>
      <c r="DK217" s="55">
        <f t="shared" ca="1" si="238"/>
        <v>0.28137000000000001</v>
      </c>
      <c r="DL217" s="55">
        <f t="shared" ca="1" si="239"/>
        <v>0.210147</v>
      </c>
      <c r="DM217" s="55">
        <f t="shared" ca="1" si="240"/>
        <v>0.75479200000000002</v>
      </c>
      <c r="DN217" s="55">
        <f t="shared" ca="1" si="241"/>
        <v>-1.792562</v>
      </c>
      <c r="DO217" s="55">
        <f t="shared" ca="1" si="242"/>
        <v>0.68064400000000003</v>
      </c>
      <c r="DP217" s="55">
        <f t="shared" ca="1" si="243"/>
        <v>-0.47226499999999999</v>
      </c>
      <c r="DQ217" s="55">
        <f t="shared" ca="1" si="244"/>
        <v>-0.21042</v>
      </c>
      <c r="DR217" s="55">
        <f t="shared" ca="1" si="245"/>
        <v>-0.56348200000000004</v>
      </c>
      <c r="DS217" s="55">
        <f t="shared" ca="1" si="246"/>
        <v>0.35940800000000001</v>
      </c>
      <c r="DT217" s="55">
        <f t="shared" ca="1" si="247"/>
        <v>-0.662134</v>
      </c>
      <c r="DU217" s="55">
        <f t="shared" ca="1" si="248"/>
        <v>-1.333936</v>
      </c>
      <c r="DV217" s="55">
        <f t="shared" ca="1" si="249"/>
        <v>1.1656359999999999</v>
      </c>
      <c r="DW217" s="55">
        <f t="shared" ca="1" si="250"/>
        <v>0.39030100000000001</v>
      </c>
      <c r="DX217" s="55">
        <f t="shared" ca="1" si="251"/>
        <v>0.12973899999999999</v>
      </c>
      <c r="DY217" s="55">
        <f t="shared" ca="1" si="252"/>
        <v>-0.52273099999999995</v>
      </c>
      <c r="DZ217" s="55">
        <f t="shared" ca="1" si="253"/>
        <v>1.156361</v>
      </c>
      <c r="EA217" s="55">
        <f t="shared" ca="1" si="254"/>
        <v>-0.85358699999999998</v>
      </c>
      <c r="EB217" s="55">
        <f t="shared" ca="1" si="255"/>
        <v>4.7983999999999999E-2</v>
      </c>
      <c r="EC217" s="55">
        <f t="shared" ca="1" si="256"/>
        <v>-0.40818500000000002</v>
      </c>
      <c r="ED217" s="55">
        <f t="shared" ca="1" si="257"/>
        <v>-0.96428700000000001</v>
      </c>
      <c r="EE217" s="55">
        <f t="shared" ca="1" si="258"/>
        <v>-0.70098700000000003</v>
      </c>
      <c r="EF217" s="55">
        <f t="shared" ca="1" si="259"/>
        <v>5.7111000000000002E-2</v>
      </c>
      <c r="EG217" s="55">
        <f t="shared" ca="1" si="260"/>
        <v>-0.157724</v>
      </c>
      <c r="EH217" s="55">
        <f t="shared" ca="1" si="261"/>
        <v>-0.310886</v>
      </c>
      <c r="EI217" s="55">
        <f t="shared" ca="1" si="262"/>
        <v>-0.24035500000000001</v>
      </c>
      <c r="EJ217" s="55">
        <f t="shared" ca="1" si="263"/>
        <v>1.41211</v>
      </c>
      <c r="EK217" s="55">
        <f t="shared" ca="1" si="264"/>
        <v>0.32704899999999998</v>
      </c>
      <c r="EL217" s="55">
        <f t="shared" ca="1" si="265"/>
        <v>0.42012899999999997</v>
      </c>
      <c r="EM217" s="55">
        <f t="shared" ca="1" si="266"/>
        <v>0.648756</v>
      </c>
      <c r="EN217" s="55">
        <f t="shared" ca="1" si="267"/>
        <v>0.87153599999999998</v>
      </c>
      <c r="EO217" s="55">
        <f t="shared" ca="1" si="268"/>
        <v>0.26472000000000001</v>
      </c>
      <c r="EP217" s="55">
        <f t="shared" ca="1" si="269"/>
        <v>3.2361000000000001E-2</v>
      </c>
      <c r="EQ217" s="55">
        <f t="shared" ca="1" si="270"/>
        <v>4.2389000000000003E-2</v>
      </c>
      <c r="ER217" s="55">
        <f t="shared" ca="1" si="271"/>
        <v>0.51620500000000002</v>
      </c>
      <c r="ES217" s="55">
        <f t="shared" ca="1" si="272"/>
        <v>6.7905999999999994E-2</v>
      </c>
      <c r="ET217" s="55">
        <f t="shared" ca="1" si="273"/>
        <v>-0.15556400000000001</v>
      </c>
      <c r="EU217" s="55">
        <f t="shared" ca="1" si="274"/>
        <v>-0.36950100000000002</v>
      </c>
      <c r="EV217" s="55">
        <f t="shared" ca="1" si="275"/>
        <v>0.35318699999999997</v>
      </c>
      <c r="EW217" s="55">
        <f t="shared" ca="1" si="276"/>
        <v>-0.182979</v>
      </c>
      <c r="EX217" s="55">
        <f t="shared" ca="1" si="277"/>
        <v>1.2469730000000001</v>
      </c>
      <c r="EY217" s="55">
        <f t="shared" ca="1" si="278"/>
        <v>0.56035299999999999</v>
      </c>
      <c r="EZ217" s="55">
        <f t="shared" ca="1" si="279"/>
        <v>-9.7970000000000002E-3</v>
      </c>
      <c r="FA217" s="55">
        <f t="shared" ca="1" si="280"/>
        <v>0.322075</v>
      </c>
      <c r="FB217" s="55">
        <f t="shared" ca="1" si="281"/>
        <v>-1.2087969999999999</v>
      </c>
      <c r="FC217" s="55">
        <f t="shared" ca="1" si="282"/>
        <v>-0.42161300000000002</v>
      </c>
      <c r="FD217" s="55">
        <f t="shared" ca="1" si="283"/>
        <v>0.54421399999999998</v>
      </c>
      <c r="FE217" s="55">
        <f t="shared" ca="1" si="284"/>
        <v>-0.44938137779199999</v>
      </c>
      <c r="FF217" s="55">
        <f t="shared" ca="1" si="285"/>
        <v>0.80196400000000001</v>
      </c>
      <c r="FH217" s="55">
        <f t="shared" ca="1" si="286"/>
        <v>0</v>
      </c>
      <c r="FI217" s="55">
        <f t="shared" ca="1" si="379"/>
        <v>0</v>
      </c>
      <c r="FJ217" s="55">
        <f t="shared" ca="1" si="380"/>
        <v>0</v>
      </c>
      <c r="FK217" s="55">
        <f t="shared" ca="1" si="381"/>
        <v>0</v>
      </c>
      <c r="FL217" s="55">
        <f t="shared" ca="1" si="382"/>
        <v>0</v>
      </c>
      <c r="FM217" s="55">
        <f t="shared" ca="1" si="383"/>
        <v>0</v>
      </c>
      <c r="FN217" s="55">
        <f t="shared" ca="1" si="384"/>
        <v>0</v>
      </c>
      <c r="FO217" s="55">
        <f t="shared" ca="1" si="385"/>
        <v>0</v>
      </c>
      <c r="FP217" s="55">
        <f t="shared" ca="1" si="386"/>
        <v>0</v>
      </c>
      <c r="FQ217" s="55">
        <f t="shared" ca="1" si="387"/>
        <v>0</v>
      </c>
      <c r="FR217" s="55">
        <f t="shared" ca="1" si="388"/>
        <v>0</v>
      </c>
      <c r="FS217" s="55">
        <f t="shared" ca="1" si="329"/>
        <v>0</v>
      </c>
      <c r="FT217" s="55">
        <f t="shared" ca="1" si="330"/>
        <v>0</v>
      </c>
      <c r="FU217" s="55">
        <f t="shared" ca="1" si="331"/>
        <v>0</v>
      </c>
      <c r="FV217" s="55">
        <f t="shared" ca="1" si="332"/>
        <v>0</v>
      </c>
      <c r="FW217" s="55">
        <f t="shared" ca="1" si="333"/>
        <v>0</v>
      </c>
      <c r="FX217" s="55">
        <f t="shared" ca="1" si="334"/>
        <v>0</v>
      </c>
      <c r="FY217" s="55">
        <f t="shared" ca="1" si="335"/>
        <v>0</v>
      </c>
      <c r="FZ217" s="55">
        <f t="shared" ca="1" si="336"/>
        <v>0</v>
      </c>
      <c r="GA217" s="55">
        <f t="shared" ca="1" si="337"/>
        <v>0</v>
      </c>
      <c r="GB217" s="55">
        <f t="shared" ca="1" si="338"/>
        <v>0</v>
      </c>
      <c r="GC217" s="55">
        <f t="shared" ca="1" si="339"/>
        <v>0</v>
      </c>
      <c r="GD217" s="55">
        <f t="shared" ca="1" si="340"/>
        <v>0</v>
      </c>
      <c r="GE217" s="55">
        <f t="shared" ca="1" si="341"/>
        <v>0</v>
      </c>
      <c r="GF217" s="55">
        <f t="shared" ca="1" si="342"/>
        <v>0</v>
      </c>
      <c r="GG217" s="55">
        <f t="shared" ca="1" si="343"/>
        <v>0</v>
      </c>
      <c r="GH217" s="55">
        <f t="shared" ca="1" si="344"/>
        <v>0</v>
      </c>
      <c r="GI217" s="55">
        <f t="shared" ca="1" si="345"/>
        <v>0</v>
      </c>
      <c r="GJ217" s="55">
        <f t="shared" ca="1" si="346"/>
        <v>0</v>
      </c>
      <c r="GK217" s="55">
        <f t="shared" ca="1" si="347"/>
        <v>0</v>
      </c>
      <c r="GL217" s="55">
        <f t="shared" ca="1" si="348"/>
        <v>0</v>
      </c>
      <c r="GM217" s="55">
        <f t="shared" ca="1" si="349"/>
        <v>0</v>
      </c>
      <c r="GN217" s="55">
        <f t="shared" ca="1" si="350"/>
        <v>0</v>
      </c>
      <c r="GO217" s="55">
        <f t="shared" ca="1" si="351"/>
        <v>0</v>
      </c>
      <c r="GP217" s="55">
        <f t="shared" ca="1" si="352"/>
        <v>0</v>
      </c>
      <c r="GQ217" s="55">
        <f t="shared" ca="1" si="353"/>
        <v>0</v>
      </c>
      <c r="GR217" s="55">
        <f t="shared" ca="1" si="354"/>
        <v>0</v>
      </c>
      <c r="GS217" s="55">
        <f t="shared" ca="1" si="355"/>
        <v>0</v>
      </c>
      <c r="GT217" s="55">
        <f t="shared" ca="1" si="356"/>
        <v>0</v>
      </c>
      <c r="GU217" s="55">
        <f t="shared" ca="1" si="357"/>
        <v>0</v>
      </c>
      <c r="GV217" s="55">
        <f t="shared" ca="1" si="358"/>
        <v>0</v>
      </c>
      <c r="GW217" s="55">
        <f t="shared" ca="1" si="359"/>
        <v>0</v>
      </c>
      <c r="GX217" s="55">
        <f t="shared" ca="1" si="360"/>
        <v>0</v>
      </c>
      <c r="GY217" s="55">
        <f t="shared" ca="1" si="361"/>
        <v>0</v>
      </c>
      <c r="GZ217" s="55">
        <f t="shared" ca="1" si="362"/>
        <v>0</v>
      </c>
      <c r="HA217" s="55">
        <f t="shared" ca="1" si="363"/>
        <v>0</v>
      </c>
      <c r="HB217" s="55">
        <f t="shared" ca="1" si="364"/>
        <v>0</v>
      </c>
      <c r="HC217" s="55">
        <f t="shared" ca="1" si="365"/>
        <v>0</v>
      </c>
      <c r="HD217" s="55">
        <f t="shared" ca="1" si="366"/>
        <v>7.5656222080000002E-3</v>
      </c>
      <c r="HE217" s="55">
        <f t="shared" ca="1" si="367"/>
        <v>0</v>
      </c>
    </row>
    <row r="218" spans="1:213">
      <c r="A218" s="27">
        <v>81</v>
      </c>
      <c r="B218" s="27">
        <v>20</v>
      </c>
      <c r="C218" s="27">
        <v>0.897872</v>
      </c>
      <c r="D218" s="27">
        <v>0.82033999999999996</v>
      </c>
      <c r="E218" s="27">
        <v>1</v>
      </c>
      <c r="F218" s="27">
        <f t="shared" ca="1" si="231"/>
        <v>36</v>
      </c>
      <c r="G218" s="27">
        <f t="shared" si="230"/>
        <v>0</v>
      </c>
      <c r="H218" s="27" t="str">
        <f t="shared" si="232"/>
        <v>Não</v>
      </c>
      <c r="I218" s="27">
        <f t="shared" si="233"/>
        <v>0</v>
      </c>
      <c r="J218" s="37">
        <f t="shared" si="234"/>
        <v>0</v>
      </c>
      <c r="K218" s="55">
        <f t="shared" si="235"/>
        <v>-0.31709100000000001</v>
      </c>
      <c r="L218" s="55">
        <f t="shared" si="368"/>
        <v>-0.89203399999999999</v>
      </c>
      <c r="M218" s="55">
        <f t="shared" si="369"/>
        <v>-0.50178699999999998</v>
      </c>
      <c r="N218" s="55">
        <f t="shared" si="370"/>
        <v>1.341126</v>
      </c>
      <c r="O218" s="55">
        <f t="shared" si="371"/>
        <v>-0.35331899999999999</v>
      </c>
      <c r="P218" s="55">
        <f t="shared" si="372"/>
        <v>-0.81649300000000002</v>
      </c>
      <c r="Q218" s="55">
        <f t="shared" si="373"/>
        <v>0.76869500000000002</v>
      </c>
      <c r="R218" s="55">
        <f t="shared" si="374"/>
        <v>0.78559599999999996</v>
      </c>
      <c r="S218" s="55">
        <f t="shared" si="375"/>
        <v>-0.50029299999999999</v>
      </c>
      <c r="T218" s="55">
        <f t="shared" si="376"/>
        <v>5.3810999999999998E-2</v>
      </c>
      <c r="U218" s="55">
        <f t="shared" si="377"/>
        <v>-1.401068</v>
      </c>
      <c r="V218" s="55">
        <f t="shared" si="288"/>
        <v>-0.34910000000000002</v>
      </c>
      <c r="W218" s="55">
        <f t="shared" si="289"/>
        <v>1.39639</v>
      </c>
      <c r="X218" s="55">
        <f t="shared" si="290"/>
        <v>0.16563800000000001</v>
      </c>
      <c r="Y218" s="55">
        <f t="shared" si="291"/>
        <v>-0.78129099999999996</v>
      </c>
      <c r="Z218" s="55">
        <f t="shared" si="292"/>
        <v>0.19028100000000001</v>
      </c>
      <c r="AA218" s="55">
        <f t="shared" si="293"/>
        <v>-1.158496</v>
      </c>
      <c r="AB218" s="55">
        <f t="shared" si="294"/>
        <v>-8.0203999999999998E-2</v>
      </c>
      <c r="AC218" s="55">
        <f t="shared" si="295"/>
        <v>-5.5931000000000002E-2</v>
      </c>
      <c r="AD218" s="55">
        <f t="shared" si="296"/>
        <v>0.14855699999999999</v>
      </c>
      <c r="AE218" s="55">
        <f t="shared" si="297"/>
        <v>-0.54910300000000001</v>
      </c>
      <c r="AF218" s="55">
        <f t="shared" si="298"/>
        <v>-1.646245</v>
      </c>
      <c r="AG218" s="55">
        <f t="shared" si="299"/>
        <v>0.36466599999999999</v>
      </c>
      <c r="AH218" s="55">
        <f t="shared" si="300"/>
        <v>1.0881E-2</v>
      </c>
      <c r="AI218" s="55">
        <f t="shared" si="301"/>
        <v>0.95167999999999997</v>
      </c>
      <c r="AJ218" s="55">
        <f t="shared" si="302"/>
        <v>0.35824299999999998</v>
      </c>
      <c r="AK218" s="55">
        <f t="shared" si="303"/>
        <v>-0.28089999999999998</v>
      </c>
      <c r="AL218" s="55">
        <f t="shared" si="304"/>
        <v>-0.410466</v>
      </c>
      <c r="AM218" s="55">
        <f t="shared" si="305"/>
        <v>0.50322500000000003</v>
      </c>
      <c r="AN218" s="55">
        <f t="shared" si="306"/>
        <v>0.31360100000000002</v>
      </c>
      <c r="AO218" s="55">
        <f t="shared" si="307"/>
        <v>-1.7582420000000001</v>
      </c>
      <c r="AP218" s="55">
        <f t="shared" si="308"/>
        <v>1.1691739999999999</v>
      </c>
      <c r="AQ218" s="55">
        <f t="shared" si="309"/>
        <v>2.2877999999999999E-2</v>
      </c>
      <c r="AR218" s="55">
        <f t="shared" si="310"/>
        <v>1.1598599999999999</v>
      </c>
      <c r="AS218" s="55">
        <f t="shared" si="311"/>
        <v>-8.8025999999999993E-2</v>
      </c>
      <c r="AT218" s="55">
        <f t="shared" si="312"/>
        <v>1.3394E-2</v>
      </c>
      <c r="AU218" s="55">
        <f t="shared" si="313"/>
        <v>0.43396099999999999</v>
      </c>
      <c r="AV218" s="55">
        <f t="shared" si="314"/>
        <v>-0.96805399999999997</v>
      </c>
      <c r="AW218" s="55">
        <f t="shared" si="315"/>
        <v>0.22781000000000001</v>
      </c>
      <c r="AX218" s="55">
        <f t="shared" si="316"/>
        <v>4.8700000000000002E-4</v>
      </c>
      <c r="AY218" s="55">
        <f t="shared" si="317"/>
        <v>-0.89963199999999999</v>
      </c>
      <c r="AZ218" s="55">
        <f t="shared" si="318"/>
        <v>0.18885199999999999</v>
      </c>
      <c r="BA218" s="55">
        <f t="shared" si="319"/>
        <v>0.40491199999999999</v>
      </c>
      <c r="BB218" s="55">
        <f t="shared" si="320"/>
        <v>0.131018</v>
      </c>
      <c r="BC218" s="55">
        <f t="shared" si="321"/>
        <v>-0.14644599999999999</v>
      </c>
      <c r="BD218" s="55">
        <f t="shared" si="322"/>
        <v>-0.53958099999999998</v>
      </c>
      <c r="BE218" s="55">
        <f t="shared" si="323"/>
        <v>-0.81196599999999997</v>
      </c>
      <c r="BF218" s="55">
        <f t="shared" si="324"/>
        <v>7.3072999999999999E-2</v>
      </c>
      <c r="BG218" s="55">
        <f t="shared" si="325"/>
        <v>0.273009</v>
      </c>
      <c r="BH218" s="55">
        <f t="shared" si="326"/>
        <v>0.25028899999999998</v>
      </c>
      <c r="BJ218" s="55">
        <f t="shared" si="378"/>
        <v>-8.9701000000000003E-2</v>
      </c>
      <c r="BK218" s="55">
        <f t="shared" si="378"/>
        <v>-1.062033</v>
      </c>
      <c r="BL218" s="55">
        <f t="shared" si="378"/>
        <v>0.99671799999999999</v>
      </c>
      <c r="BM218" s="55">
        <f t="shared" si="378"/>
        <v>-0.50319899999999995</v>
      </c>
      <c r="BN218" s="55">
        <f t="shared" si="378"/>
        <v>-1.3004290000000001</v>
      </c>
      <c r="BO218" s="55">
        <f t="shared" si="378"/>
        <v>-3.0889E-2</v>
      </c>
      <c r="BP218" s="55">
        <f t="shared" si="378"/>
        <v>0.88186699999999996</v>
      </c>
      <c r="BQ218" s="55">
        <f t="shared" si="378"/>
        <v>0.71436999999999995</v>
      </c>
      <c r="BR218" s="55">
        <f t="shared" si="378"/>
        <v>-0.26535799999999998</v>
      </c>
      <c r="BS218" s="55">
        <f t="shared" si="378"/>
        <v>-0.51729899999999995</v>
      </c>
      <c r="BT218" s="55">
        <f t="shared" si="378"/>
        <v>-1.3392459999999999</v>
      </c>
      <c r="BU218" s="55">
        <f t="shared" si="378"/>
        <v>7.4237999999999998E-2</v>
      </c>
      <c r="BV218" s="55">
        <f t="shared" si="378"/>
        <v>0.51790199999999997</v>
      </c>
      <c r="BW218" s="55">
        <f t="shared" si="378"/>
        <v>-0.42674699999999999</v>
      </c>
      <c r="BX218" s="55">
        <f t="shared" si="378"/>
        <v>0.20774899999999999</v>
      </c>
      <c r="BY218" s="55">
        <f t="shared" si="378"/>
        <v>-0.73572700000000002</v>
      </c>
      <c r="BZ218" s="55">
        <f t="shared" si="327"/>
        <v>0.70632300000000003</v>
      </c>
      <c r="CA218" s="55">
        <f t="shared" si="327"/>
        <v>0.33780100000000002</v>
      </c>
      <c r="CB218" s="55">
        <f t="shared" si="327"/>
        <v>0.563886</v>
      </c>
      <c r="CC218" s="55">
        <f t="shared" si="327"/>
        <v>-0.70856399999999997</v>
      </c>
      <c r="CD218" s="55">
        <f t="shared" si="327"/>
        <v>0.72263100000000002</v>
      </c>
      <c r="CE218" s="55">
        <f t="shared" si="327"/>
        <v>-0.23342099999999999</v>
      </c>
      <c r="CF218" s="55">
        <f t="shared" si="327"/>
        <v>-7.2009000000000004E-2</v>
      </c>
      <c r="CG218" s="55">
        <f t="shared" si="327"/>
        <v>-1.2075830000000001</v>
      </c>
      <c r="CH218" s="55">
        <f t="shared" si="327"/>
        <v>-0.440944</v>
      </c>
      <c r="CI218" s="55">
        <f t="shared" si="327"/>
        <v>1.379237</v>
      </c>
      <c r="CJ218" s="55">
        <f t="shared" si="327"/>
        <v>1.701673</v>
      </c>
      <c r="CK218" s="55">
        <f t="shared" si="327"/>
        <v>-0.17763499999999999</v>
      </c>
      <c r="CL218" s="55">
        <f t="shared" si="327"/>
        <v>-0.97233800000000004</v>
      </c>
      <c r="CM218" s="55">
        <f t="shared" si="327"/>
        <v>-0.75466800000000001</v>
      </c>
      <c r="CN218" s="55">
        <f t="shared" si="327"/>
        <v>0.47717900000000002</v>
      </c>
      <c r="CO218" s="55">
        <f t="shared" si="328"/>
        <v>-1.487E-2</v>
      </c>
      <c r="CP218" s="55">
        <f t="shared" si="328"/>
        <v>0.19036</v>
      </c>
      <c r="CQ218" s="55">
        <f t="shared" si="328"/>
        <v>-5.2224E-2</v>
      </c>
      <c r="CR218" s="55">
        <f t="shared" si="328"/>
        <v>-0.67636700000000005</v>
      </c>
      <c r="CS218" s="55">
        <f t="shared" si="328"/>
        <v>-0.44637100000000002</v>
      </c>
      <c r="CT218" s="55">
        <f t="shared" si="328"/>
        <v>0.46221600000000002</v>
      </c>
      <c r="CU218" s="55">
        <f t="shared" si="328"/>
        <v>0.33387099999999997</v>
      </c>
      <c r="CV218" s="55">
        <f t="shared" si="328"/>
        <v>1.359496</v>
      </c>
      <c r="CW218" s="55">
        <f t="shared" si="328"/>
        <v>0.58911400000000003</v>
      </c>
      <c r="CX218" s="55">
        <f t="shared" si="328"/>
        <v>-0.38329999999999997</v>
      </c>
      <c r="CY218" s="55">
        <f t="shared" si="328"/>
        <v>0.37964500000000001</v>
      </c>
      <c r="CZ218" s="55">
        <f t="shared" si="328"/>
        <v>-0.30181799999999998</v>
      </c>
      <c r="DA218" s="55">
        <f t="shared" si="328"/>
        <v>7.979E-2</v>
      </c>
      <c r="DB218" s="55">
        <f t="shared" si="328"/>
        <v>-0.33604899999999999</v>
      </c>
      <c r="DC218" s="55">
        <f t="shared" si="328"/>
        <v>0.165774</v>
      </c>
      <c r="DD218" s="55">
        <f t="shared" si="328"/>
        <v>0.53484799999999999</v>
      </c>
      <c r="DE218" s="55">
        <f t="shared" si="287"/>
        <v>0.34875499999999998</v>
      </c>
      <c r="DF218" s="55">
        <f t="shared" si="287"/>
        <v>-3.4063999999999997E-2</v>
      </c>
      <c r="DG218" s="55">
        <f t="shared" si="287"/>
        <v>0.59342600000000001</v>
      </c>
      <c r="DI218" s="55">
        <f t="shared" ca="1" si="236"/>
        <v>-0.31709100000000001</v>
      </c>
      <c r="DJ218" s="55">
        <f t="shared" ca="1" si="237"/>
        <v>-0.89203399999999999</v>
      </c>
      <c r="DK218" s="55">
        <f t="shared" ca="1" si="238"/>
        <v>-0.50178699999999998</v>
      </c>
      <c r="DL218" s="55">
        <f t="shared" ca="1" si="239"/>
        <v>1.341126</v>
      </c>
      <c r="DM218" s="55">
        <f t="shared" ca="1" si="240"/>
        <v>-0.35331899999999999</v>
      </c>
      <c r="DN218" s="55">
        <f t="shared" ca="1" si="241"/>
        <v>-0.81649300000000002</v>
      </c>
      <c r="DO218" s="55">
        <f t="shared" ca="1" si="242"/>
        <v>0.76869500000000002</v>
      </c>
      <c r="DP218" s="55">
        <f t="shared" ca="1" si="243"/>
        <v>0.78559599999999996</v>
      </c>
      <c r="DQ218" s="55">
        <f t="shared" ca="1" si="244"/>
        <v>-0.50029299999999999</v>
      </c>
      <c r="DR218" s="55">
        <f t="shared" ca="1" si="245"/>
        <v>5.3810999999999998E-2</v>
      </c>
      <c r="DS218" s="55">
        <f t="shared" ca="1" si="246"/>
        <v>-1.401068</v>
      </c>
      <c r="DT218" s="55">
        <f t="shared" ca="1" si="247"/>
        <v>-0.34910000000000002</v>
      </c>
      <c r="DU218" s="55">
        <f t="shared" ca="1" si="248"/>
        <v>1.39639</v>
      </c>
      <c r="DV218" s="55">
        <f t="shared" ca="1" si="249"/>
        <v>0.16563800000000001</v>
      </c>
      <c r="DW218" s="55">
        <f t="shared" ca="1" si="250"/>
        <v>-0.78129099999999996</v>
      </c>
      <c r="DX218" s="55">
        <f t="shared" ca="1" si="251"/>
        <v>0.19028100000000001</v>
      </c>
      <c r="DY218" s="55">
        <f t="shared" ca="1" si="252"/>
        <v>-1.158496</v>
      </c>
      <c r="DZ218" s="55">
        <f t="shared" ca="1" si="253"/>
        <v>-8.0203999999999998E-2</v>
      </c>
      <c r="EA218" s="55">
        <f t="shared" ca="1" si="254"/>
        <v>-5.5931000000000002E-2</v>
      </c>
      <c r="EB218" s="55">
        <f t="shared" ca="1" si="255"/>
        <v>0.14855699999999999</v>
      </c>
      <c r="EC218" s="55">
        <f t="shared" ca="1" si="256"/>
        <v>-0.54910300000000001</v>
      </c>
      <c r="ED218" s="55">
        <f t="shared" ca="1" si="257"/>
        <v>-1.646245</v>
      </c>
      <c r="EE218" s="55">
        <f t="shared" ca="1" si="258"/>
        <v>0.36466599999999999</v>
      </c>
      <c r="EF218" s="55">
        <f t="shared" ca="1" si="259"/>
        <v>1.0881E-2</v>
      </c>
      <c r="EG218" s="55">
        <f t="shared" ca="1" si="260"/>
        <v>0.95167999999999997</v>
      </c>
      <c r="EH218" s="55">
        <f t="shared" ca="1" si="261"/>
        <v>0.35824299999999998</v>
      </c>
      <c r="EI218" s="55">
        <f t="shared" ca="1" si="262"/>
        <v>-0.28089999999999998</v>
      </c>
      <c r="EJ218" s="55">
        <f t="shared" ca="1" si="263"/>
        <v>-0.410466</v>
      </c>
      <c r="EK218" s="55">
        <f t="shared" ca="1" si="264"/>
        <v>0.50322500000000003</v>
      </c>
      <c r="EL218" s="55">
        <f t="shared" ca="1" si="265"/>
        <v>0.31360100000000002</v>
      </c>
      <c r="EM218" s="55">
        <f t="shared" ca="1" si="266"/>
        <v>-1.7582420000000001</v>
      </c>
      <c r="EN218" s="55">
        <f t="shared" ca="1" si="267"/>
        <v>1.1691739999999999</v>
      </c>
      <c r="EO218" s="55">
        <f t="shared" ca="1" si="268"/>
        <v>2.2877999999999999E-2</v>
      </c>
      <c r="EP218" s="55">
        <f t="shared" ca="1" si="269"/>
        <v>1.1598599999999999</v>
      </c>
      <c r="EQ218" s="55">
        <f t="shared" ca="1" si="270"/>
        <v>-8.8025999999999993E-2</v>
      </c>
      <c r="ER218" s="55">
        <f t="shared" ca="1" si="271"/>
        <v>1.3394E-2</v>
      </c>
      <c r="ES218" s="55">
        <f t="shared" ca="1" si="272"/>
        <v>0.43396099999999999</v>
      </c>
      <c r="ET218" s="55">
        <f t="shared" ca="1" si="273"/>
        <v>-0.96805399999999997</v>
      </c>
      <c r="EU218" s="55">
        <f t="shared" ca="1" si="274"/>
        <v>0.22781000000000001</v>
      </c>
      <c r="EV218" s="55">
        <f t="shared" ca="1" si="275"/>
        <v>4.8700000000000002E-4</v>
      </c>
      <c r="EW218" s="55">
        <f t="shared" ca="1" si="276"/>
        <v>-0.89963199999999999</v>
      </c>
      <c r="EX218" s="55">
        <f t="shared" ca="1" si="277"/>
        <v>0.18885199999999999</v>
      </c>
      <c r="EY218" s="55">
        <f t="shared" ca="1" si="278"/>
        <v>0.40491199999999999</v>
      </c>
      <c r="EZ218" s="55">
        <f t="shared" ca="1" si="279"/>
        <v>0.131018</v>
      </c>
      <c r="FA218" s="55">
        <f t="shared" ca="1" si="280"/>
        <v>-0.14644599999999999</v>
      </c>
      <c r="FB218" s="55">
        <f t="shared" ca="1" si="281"/>
        <v>-0.53958099999999998</v>
      </c>
      <c r="FC218" s="55">
        <f t="shared" ca="1" si="282"/>
        <v>-0.81196599999999997</v>
      </c>
      <c r="FD218" s="55">
        <f t="shared" ca="1" si="283"/>
        <v>7.3072999999999999E-2</v>
      </c>
      <c r="FE218" s="55">
        <f t="shared" ca="1" si="284"/>
        <v>0.273009</v>
      </c>
      <c r="FF218" s="55">
        <f t="shared" ca="1" si="285"/>
        <v>0.25028899999999998</v>
      </c>
      <c r="FH218" s="55">
        <f t="shared" ca="1" si="286"/>
        <v>0</v>
      </c>
      <c r="FI218" s="55">
        <f t="shared" ca="1" si="379"/>
        <v>0</v>
      </c>
      <c r="FJ218" s="55">
        <f t="shared" ca="1" si="380"/>
        <v>0</v>
      </c>
      <c r="FK218" s="55">
        <f t="shared" ca="1" si="381"/>
        <v>0</v>
      </c>
      <c r="FL218" s="55">
        <f t="shared" ca="1" si="382"/>
        <v>0</v>
      </c>
      <c r="FM218" s="55">
        <f t="shared" ca="1" si="383"/>
        <v>0</v>
      </c>
      <c r="FN218" s="55">
        <f t="shared" ca="1" si="384"/>
        <v>0</v>
      </c>
      <c r="FO218" s="55">
        <f t="shared" ca="1" si="385"/>
        <v>0</v>
      </c>
      <c r="FP218" s="55">
        <f t="shared" ca="1" si="386"/>
        <v>0</v>
      </c>
      <c r="FQ218" s="55">
        <f t="shared" ca="1" si="387"/>
        <v>0</v>
      </c>
      <c r="FR218" s="55">
        <f t="shared" ca="1" si="388"/>
        <v>0</v>
      </c>
      <c r="FS218" s="55">
        <f t="shared" ca="1" si="329"/>
        <v>0</v>
      </c>
      <c r="FT218" s="55">
        <f t="shared" ca="1" si="330"/>
        <v>0</v>
      </c>
      <c r="FU218" s="55">
        <f t="shared" ca="1" si="331"/>
        <v>0</v>
      </c>
      <c r="FV218" s="55">
        <f t="shared" ca="1" si="332"/>
        <v>0</v>
      </c>
      <c r="FW218" s="55">
        <f t="shared" ca="1" si="333"/>
        <v>0</v>
      </c>
      <c r="FX218" s="55">
        <f t="shared" ca="1" si="334"/>
        <v>0</v>
      </c>
      <c r="FY218" s="55">
        <f t="shared" ca="1" si="335"/>
        <v>0</v>
      </c>
      <c r="FZ218" s="55">
        <f t="shared" ca="1" si="336"/>
        <v>0</v>
      </c>
      <c r="GA218" s="55">
        <f t="shared" ca="1" si="337"/>
        <v>0</v>
      </c>
      <c r="GB218" s="55">
        <f t="shared" ca="1" si="338"/>
        <v>0</v>
      </c>
      <c r="GC218" s="55">
        <f t="shared" ca="1" si="339"/>
        <v>0</v>
      </c>
      <c r="GD218" s="55">
        <f t="shared" ca="1" si="340"/>
        <v>0</v>
      </c>
      <c r="GE218" s="55">
        <f t="shared" ca="1" si="341"/>
        <v>0</v>
      </c>
      <c r="GF218" s="55">
        <f t="shared" ca="1" si="342"/>
        <v>0</v>
      </c>
      <c r="GG218" s="55">
        <f t="shared" ca="1" si="343"/>
        <v>0</v>
      </c>
      <c r="GH218" s="55">
        <f t="shared" ca="1" si="344"/>
        <v>0</v>
      </c>
      <c r="GI218" s="55">
        <f t="shared" ca="1" si="345"/>
        <v>0</v>
      </c>
      <c r="GJ218" s="55">
        <f t="shared" ca="1" si="346"/>
        <v>0</v>
      </c>
      <c r="GK218" s="55">
        <f t="shared" ca="1" si="347"/>
        <v>0</v>
      </c>
      <c r="GL218" s="55">
        <f t="shared" ca="1" si="348"/>
        <v>0</v>
      </c>
      <c r="GM218" s="55">
        <f t="shared" ca="1" si="349"/>
        <v>0</v>
      </c>
      <c r="GN218" s="55">
        <f t="shared" ca="1" si="350"/>
        <v>0</v>
      </c>
      <c r="GO218" s="55">
        <f t="shared" ca="1" si="351"/>
        <v>0</v>
      </c>
      <c r="GP218" s="55">
        <f t="shared" ca="1" si="352"/>
        <v>0</v>
      </c>
      <c r="GQ218" s="55">
        <f t="shared" ca="1" si="353"/>
        <v>0</v>
      </c>
      <c r="GR218" s="55">
        <f t="shared" ca="1" si="354"/>
        <v>0</v>
      </c>
      <c r="GS218" s="55">
        <f t="shared" ca="1" si="355"/>
        <v>0</v>
      </c>
      <c r="GT218" s="55">
        <f t="shared" ca="1" si="356"/>
        <v>0</v>
      </c>
      <c r="GU218" s="55">
        <f t="shared" ca="1" si="357"/>
        <v>0</v>
      </c>
      <c r="GV218" s="55">
        <f t="shared" ca="1" si="358"/>
        <v>0</v>
      </c>
      <c r="GW218" s="55">
        <f t="shared" ca="1" si="359"/>
        <v>0</v>
      </c>
      <c r="GX218" s="55">
        <f t="shared" ca="1" si="360"/>
        <v>0</v>
      </c>
      <c r="GY218" s="55">
        <f t="shared" ca="1" si="361"/>
        <v>0</v>
      </c>
      <c r="GZ218" s="55">
        <f t="shared" ca="1" si="362"/>
        <v>0</v>
      </c>
      <c r="HA218" s="55">
        <f t="shared" ca="1" si="363"/>
        <v>0</v>
      </c>
      <c r="HB218" s="55">
        <f t="shared" ca="1" si="364"/>
        <v>0</v>
      </c>
      <c r="HC218" s="55">
        <f t="shared" ca="1" si="365"/>
        <v>0</v>
      </c>
      <c r="HD218" s="55">
        <f t="shared" ca="1" si="366"/>
        <v>0</v>
      </c>
      <c r="HE218" s="55">
        <f t="shared" ca="1" si="367"/>
        <v>0</v>
      </c>
    </row>
    <row r="219" spans="1:213">
      <c r="A219" s="27">
        <v>82</v>
      </c>
      <c r="B219" s="27">
        <v>53</v>
      </c>
      <c r="C219" s="27">
        <v>0.233347</v>
      </c>
      <c r="D219" s="27">
        <v>0.84227099999999999</v>
      </c>
      <c r="E219" s="27">
        <v>1</v>
      </c>
      <c r="F219" s="27">
        <f t="shared" ca="1" si="231"/>
        <v>44</v>
      </c>
      <c r="G219" s="27">
        <f t="shared" si="230"/>
        <v>0</v>
      </c>
      <c r="H219" s="27" t="str">
        <f t="shared" si="232"/>
        <v>Sim</v>
      </c>
      <c r="I219" s="27">
        <f t="shared" si="233"/>
        <v>0</v>
      </c>
      <c r="J219" s="37">
        <f t="shared" si="234"/>
        <v>1</v>
      </c>
      <c r="K219" s="55">
        <f t="shared" si="235"/>
        <v>1.0107900000000001</v>
      </c>
      <c r="L219" s="55">
        <f t="shared" si="368"/>
        <v>-0.88376999999999994</v>
      </c>
      <c r="M219" s="55">
        <f t="shared" si="369"/>
        <v>-0.74157600000000001</v>
      </c>
      <c r="N219" s="55">
        <f t="shared" si="370"/>
        <v>-0.76297199999999998</v>
      </c>
      <c r="O219" s="55">
        <f t="shared" si="371"/>
        <v>-0.84866399999999997</v>
      </c>
      <c r="P219" s="55">
        <f t="shared" si="372"/>
        <v>0.29241699999999998</v>
      </c>
      <c r="Q219" s="55">
        <f t="shared" si="373"/>
        <v>-0.57423900000000005</v>
      </c>
      <c r="R219" s="55">
        <f t="shared" si="374"/>
        <v>0.78362399999999999</v>
      </c>
      <c r="S219" s="55">
        <f t="shared" si="375"/>
        <v>0.84691899999999998</v>
      </c>
      <c r="T219" s="55">
        <f t="shared" si="376"/>
        <v>0.54095300000000002</v>
      </c>
      <c r="U219" s="55">
        <f t="shared" si="377"/>
        <v>-1.2010559999999999</v>
      </c>
      <c r="V219" s="55">
        <f t="shared" si="288"/>
        <v>0.90051000000000003</v>
      </c>
      <c r="W219" s="55">
        <f t="shared" si="289"/>
        <v>0.25661400000000001</v>
      </c>
      <c r="X219" s="55">
        <f t="shared" si="290"/>
        <v>-7.8424999999999995E-2</v>
      </c>
      <c r="Y219" s="55">
        <f t="shared" si="291"/>
        <v>0.83231200000000005</v>
      </c>
      <c r="Z219" s="55">
        <f t="shared" si="292"/>
        <v>-0.28163100000000002</v>
      </c>
      <c r="AA219" s="55">
        <f t="shared" si="293"/>
        <v>-0.18229799999999999</v>
      </c>
      <c r="AB219" s="55">
        <f t="shared" si="294"/>
        <v>0.49211300000000002</v>
      </c>
      <c r="AC219" s="55">
        <f t="shared" si="295"/>
        <v>1.135105</v>
      </c>
      <c r="AD219" s="55">
        <f t="shared" si="296"/>
        <v>-0.13441500000000001</v>
      </c>
      <c r="AE219" s="55">
        <f t="shared" si="297"/>
        <v>0.28303899999999999</v>
      </c>
      <c r="AF219" s="55">
        <f t="shared" si="298"/>
        <v>4.4645999999999998E-2</v>
      </c>
      <c r="AG219" s="55">
        <f t="shared" si="299"/>
        <v>0.783196</v>
      </c>
      <c r="AH219" s="55">
        <f t="shared" si="300"/>
        <v>-0.25130000000000002</v>
      </c>
      <c r="AI219" s="55">
        <f t="shared" si="301"/>
        <v>1.254807</v>
      </c>
      <c r="AJ219" s="55">
        <f t="shared" si="302"/>
        <v>0.24223800000000001</v>
      </c>
      <c r="AK219" s="55">
        <f t="shared" si="303"/>
        <v>-0.66971400000000003</v>
      </c>
      <c r="AL219" s="55">
        <f t="shared" si="304"/>
        <v>-0.63559399999999999</v>
      </c>
      <c r="AM219" s="55">
        <f t="shared" si="305"/>
        <v>0.83333999999999997</v>
      </c>
      <c r="AN219" s="55">
        <f t="shared" si="306"/>
        <v>-0.51413600000000004</v>
      </c>
      <c r="AO219" s="55">
        <f t="shared" si="307"/>
        <v>0.59201899999999996</v>
      </c>
      <c r="AP219" s="55">
        <f t="shared" si="308"/>
        <v>-0.88652399999999998</v>
      </c>
      <c r="AQ219" s="55">
        <f t="shared" si="309"/>
        <v>0.37301200000000001</v>
      </c>
      <c r="AR219" s="55">
        <f t="shared" si="310"/>
        <v>-0.210336</v>
      </c>
      <c r="AS219" s="55">
        <f t="shared" si="311"/>
        <v>0.299093</v>
      </c>
      <c r="AT219" s="55">
        <f t="shared" si="312"/>
        <v>1.491269</v>
      </c>
      <c r="AU219" s="55">
        <f t="shared" si="313"/>
        <v>0.41825699999999999</v>
      </c>
      <c r="AV219" s="55">
        <f t="shared" si="314"/>
        <v>0.101591</v>
      </c>
      <c r="AW219" s="55">
        <f t="shared" si="315"/>
        <v>-0.26250099999999998</v>
      </c>
      <c r="AX219" s="55">
        <f t="shared" si="316"/>
        <v>0.44266100000000003</v>
      </c>
      <c r="AY219" s="55">
        <f t="shared" si="317"/>
        <v>0.94009100000000001</v>
      </c>
      <c r="AZ219" s="55">
        <f t="shared" si="318"/>
        <v>0.54240699999999997</v>
      </c>
      <c r="BA219" s="55">
        <f t="shared" si="319"/>
        <v>0.25891700000000001</v>
      </c>
      <c r="BB219" s="55">
        <f t="shared" si="320"/>
        <v>-0.27995100000000001</v>
      </c>
      <c r="BC219" s="55">
        <f t="shared" si="321"/>
        <v>-0.27900700000000001</v>
      </c>
      <c r="BD219" s="55">
        <f t="shared" si="322"/>
        <v>-0.518536</v>
      </c>
      <c r="BE219" s="55">
        <f t="shared" si="323"/>
        <v>-1.1963159999999999</v>
      </c>
      <c r="BF219" s="55">
        <f t="shared" si="324"/>
        <v>-0.195964</v>
      </c>
      <c r="BG219" s="55">
        <f t="shared" si="325"/>
        <v>1.0676159999999999</v>
      </c>
      <c r="BH219" s="55">
        <f t="shared" si="326"/>
        <v>-0.19059999999999999</v>
      </c>
      <c r="BJ219" s="55">
        <f t="shared" si="378"/>
        <v>-0.252108</v>
      </c>
      <c r="BK219" s="55">
        <f t="shared" si="378"/>
        <v>-1.254791</v>
      </c>
      <c r="BL219" s="55">
        <f t="shared" si="378"/>
        <v>0.85070100000000004</v>
      </c>
      <c r="BM219" s="55">
        <f t="shared" si="378"/>
        <v>0.45818900000000001</v>
      </c>
      <c r="BN219" s="55">
        <f t="shared" si="378"/>
        <v>-1.107664</v>
      </c>
      <c r="BO219" s="55">
        <f t="shared" si="378"/>
        <v>-0.62712999999999997</v>
      </c>
      <c r="BP219" s="55">
        <f t="shared" si="378"/>
        <v>-0.87274200000000002</v>
      </c>
      <c r="BQ219" s="55">
        <f t="shared" si="378"/>
        <v>0.69743699999999997</v>
      </c>
      <c r="BR219" s="55">
        <f t="shared" si="378"/>
        <v>-0.50827100000000003</v>
      </c>
      <c r="BS219" s="55">
        <f t="shared" si="378"/>
        <v>-0.17824699999999999</v>
      </c>
      <c r="BT219" s="55">
        <f t="shared" si="378"/>
        <v>-0.21669099999999999</v>
      </c>
      <c r="BU219" s="55">
        <f t="shared" si="378"/>
        <v>-0.156221</v>
      </c>
      <c r="BV219" s="55">
        <f t="shared" si="378"/>
        <v>-1.057574</v>
      </c>
      <c r="BW219" s="55">
        <f t="shared" si="378"/>
        <v>0.95014900000000002</v>
      </c>
      <c r="BX219" s="55">
        <f t="shared" si="378"/>
        <v>0.287993</v>
      </c>
      <c r="BY219" s="55">
        <f t="shared" si="378"/>
        <v>0.70925700000000003</v>
      </c>
      <c r="BZ219" s="55">
        <f t="shared" si="327"/>
        <v>-0.20768300000000001</v>
      </c>
      <c r="CA219" s="55">
        <f t="shared" si="327"/>
        <v>-0.45103900000000002</v>
      </c>
      <c r="CB219" s="55">
        <f t="shared" si="327"/>
        <v>0.44376500000000002</v>
      </c>
      <c r="CC219" s="55">
        <f t="shared" si="327"/>
        <v>0.98195399999999999</v>
      </c>
      <c r="CD219" s="55">
        <f t="shared" si="327"/>
        <v>0.62348199999999998</v>
      </c>
      <c r="CE219" s="55">
        <f t="shared" si="327"/>
        <v>0.57149399999999995</v>
      </c>
      <c r="CF219" s="55">
        <f t="shared" si="327"/>
        <v>0.532169</v>
      </c>
      <c r="CG219" s="55">
        <f t="shared" si="327"/>
        <v>1.39242</v>
      </c>
      <c r="CH219" s="55">
        <f t="shared" si="327"/>
        <v>8.8690000000000005E-2</v>
      </c>
      <c r="CI219" s="55">
        <f t="shared" si="327"/>
        <v>-1.7580560000000001</v>
      </c>
      <c r="CJ219" s="55">
        <f t="shared" si="327"/>
        <v>0.68662299999999998</v>
      </c>
      <c r="CK219" s="55">
        <f t="shared" si="327"/>
        <v>0.81466400000000005</v>
      </c>
      <c r="CL219" s="55">
        <f t="shared" si="327"/>
        <v>-0.62037600000000004</v>
      </c>
      <c r="CM219" s="55">
        <f t="shared" si="327"/>
        <v>-0.72668100000000002</v>
      </c>
      <c r="CN219" s="55">
        <f t="shared" si="327"/>
        <v>0.82117099999999998</v>
      </c>
      <c r="CO219" s="55">
        <f t="shared" si="328"/>
        <v>-0.90939599999999998</v>
      </c>
      <c r="CP219" s="55">
        <f t="shared" si="328"/>
        <v>1.2582930000000001</v>
      </c>
      <c r="CQ219" s="55">
        <f t="shared" si="328"/>
        <v>-0.77181500000000003</v>
      </c>
      <c r="CR219" s="55">
        <f t="shared" si="328"/>
        <v>0.26988899999999999</v>
      </c>
      <c r="CS219" s="55">
        <f t="shared" si="328"/>
        <v>-0.31845499999999999</v>
      </c>
      <c r="CT219" s="55">
        <f t="shared" si="328"/>
        <v>-0.89831000000000005</v>
      </c>
      <c r="CU219" s="55">
        <f t="shared" si="328"/>
        <v>-0.80399500000000002</v>
      </c>
      <c r="CV219" s="55">
        <f t="shared" si="328"/>
        <v>-1.174266</v>
      </c>
      <c r="CW219" s="55">
        <f t="shared" si="328"/>
        <v>-0.41018500000000002</v>
      </c>
      <c r="CX219" s="55">
        <f t="shared" si="328"/>
        <v>-2.2689000000000001E-2</v>
      </c>
      <c r="CY219" s="55">
        <f t="shared" si="328"/>
        <v>-9.2197000000000001E-2</v>
      </c>
      <c r="CZ219" s="55">
        <f t="shared" si="328"/>
        <v>-0.20809</v>
      </c>
      <c r="DA219" s="55">
        <f t="shared" si="328"/>
        <v>0.20910000000000001</v>
      </c>
      <c r="DB219" s="55">
        <f t="shared" si="328"/>
        <v>-0.84453800000000001</v>
      </c>
      <c r="DC219" s="55">
        <f t="shared" si="328"/>
        <v>-0.78732199999999997</v>
      </c>
      <c r="DD219" s="55">
        <f t="shared" si="328"/>
        <v>0.112526</v>
      </c>
      <c r="DE219" s="55">
        <f t="shared" si="287"/>
        <v>-0.17535300000000001</v>
      </c>
      <c r="DF219" s="55">
        <f t="shared" si="287"/>
        <v>0.39268199999999998</v>
      </c>
      <c r="DG219" s="55">
        <f t="shared" si="287"/>
        <v>-1.261163</v>
      </c>
      <c r="DI219" s="55">
        <f t="shared" ca="1" si="236"/>
        <v>1.0107900000000001</v>
      </c>
      <c r="DJ219" s="55">
        <f t="shared" ca="1" si="237"/>
        <v>-0.94229077130899996</v>
      </c>
      <c r="DK219" s="55">
        <f t="shared" ca="1" si="238"/>
        <v>-0.49042774106699993</v>
      </c>
      <c r="DL219" s="55">
        <f t="shared" ca="1" si="239"/>
        <v>-0.57035949663099994</v>
      </c>
      <c r="DM219" s="55">
        <f t="shared" ca="1" si="240"/>
        <v>-0.88951581099999999</v>
      </c>
      <c r="DN219" s="55">
        <f t="shared" ca="1" si="241"/>
        <v>0.14737777123699997</v>
      </c>
      <c r="DO219" s="55">
        <f t="shared" ca="1" si="242"/>
        <v>-0.62132157968700008</v>
      </c>
      <c r="DP219" s="55">
        <f t="shared" ca="1" si="243"/>
        <v>0.77002981067699994</v>
      </c>
      <c r="DQ219" s="55">
        <f t="shared" ca="1" si="244"/>
        <v>0.63316623649000003</v>
      </c>
      <c r="DR219" s="55">
        <f t="shared" ca="1" si="245"/>
        <v>0.4275143032</v>
      </c>
      <c r="DS219" s="55">
        <f t="shared" ca="1" si="246"/>
        <v>-1.0457930929149999</v>
      </c>
      <c r="DT219" s="55">
        <f t="shared" ca="1" si="247"/>
        <v>0.73383287610100001</v>
      </c>
      <c r="DU219" s="55">
        <f t="shared" ca="1" si="248"/>
        <v>4.9328440947999985E-2</v>
      </c>
      <c r="DV219" s="55">
        <f t="shared" ca="1" si="249"/>
        <v>8.3810948446000011E-2</v>
      </c>
      <c r="DW219" s="55">
        <f t="shared" ca="1" si="250"/>
        <v>0.74645710844900004</v>
      </c>
      <c r="DX219" s="55">
        <f t="shared" ca="1" si="251"/>
        <v>-0.12533922664800001</v>
      </c>
      <c r="DY219" s="55">
        <f t="shared" ca="1" si="252"/>
        <v>-0.18630195066499999</v>
      </c>
      <c r="DZ219" s="55">
        <f t="shared" ca="1" si="253"/>
        <v>0.34335057819199999</v>
      </c>
      <c r="EA219" s="55">
        <f t="shared" ca="1" si="254"/>
        <v>1.02606063314</v>
      </c>
      <c r="EB219" s="55">
        <f t="shared" ca="1" si="255"/>
        <v>4.1668766001000015E-2</v>
      </c>
      <c r="EC219" s="55">
        <f t="shared" ca="1" si="256"/>
        <v>0.33673673394699999</v>
      </c>
      <c r="ED219" s="55">
        <f t="shared" ca="1" si="257"/>
        <v>0.127745208192</v>
      </c>
      <c r="EE219" s="55">
        <f t="shared" ca="1" si="258"/>
        <v>0.74360176231700004</v>
      </c>
      <c r="EF219" s="55">
        <f t="shared" ca="1" si="259"/>
        <v>7.962311880000017E-3</v>
      </c>
      <c r="EG219" s="55">
        <f t="shared" ca="1" si="260"/>
        <v>1.0708765317069999</v>
      </c>
      <c r="EH219" s="55">
        <f t="shared" ca="1" si="261"/>
        <v>-7.3266372326000029E-2</v>
      </c>
      <c r="EI219" s="55">
        <f t="shared" ca="1" si="262"/>
        <v>-0.45578032132700008</v>
      </c>
      <c r="EJ219" s="55">
        <f t="shared" ca="1" si="263"/>
        <v>-0.40684625591799994</v>
      </c>
      <c r="EK219" s="55">
        <f t="shared" ca="1" si="264"/>
        <v>0.60404682903599993</v>
      </c>
      <c r="EL219" s="55">
        <f t="shared" ca="1" si="265"/>
        <v>-0.54766051030500007</v>
      </c>
      <c r="EM219" s="55">
        <f t="shared" ca="1" si="266"/>
        <v>0.62816291580799999</v>
      </c>
      <c r="EN219" s="55">
        <f t="shared" ca="1" si="267"/>
        <v>-0.89013157768799989</v>
      </c>
      <c r="EO219" s="55">
        <f t="shared" ca="1" si="268"/>
        <v>0.51264648684900005</v>
      </c>
      <c r="EP219" s="55">
        <f t="shared" ca="1" si="269"/>
        <v>-0.29889752119099999</v>
      </c>
      <c r="EQ219" s="55">
        <f t="shared" ca="1" si="270"/>
        <v>0.29448668228399999</v>
      </c>
      <c r="ER219" s="55">
        <f t="shared" ca="1" si="271"/>
        <v>1.205823043204</v>
      </c>
      <c r="ES219" s="55">
        <f t="shared" ca="1" si="272"/>
        <v>0.21059620365699999</v>
      </c>
      <c r="ET219" s="55">
        <f t="shared" ca="1" si="273"/>
        <v>-4.1246174194000007E-2</v>
      </c>
      <c r="EU219" s="55">
        <f t="shared" ca="1" si="274"/>
        <v>-0.40631278168500001</v>
      </c>
      <c r="EV219" s="55">
        <f t="shared" ca="1" si="275"/>
        <v>0.30814245326599998</v>
      </c>
      <c r="EW219" s="55">
        <f t="shared" ca="1" si="276"/>
        <v>0.78823267338000003</v>
      </c>
      <c r="EX219" s="55">
        <f t="shared" ca="1" si="277"/>
        <v>0.44231154568399994</v>
      </c>
      <c r="EY219" s="55">
        <f t="shared" ca="1" si="278"/>
        <v>0.18525645289700002</v>
      </c>
      <c r="EZ219" s="55">
        <f t="shared" ca="1" si="279"/>
        <v>-0.20281347482099998</v>
      </c>
      <c r="FA219" s="55">
        <f t="shared" ca="1" si="280"/>
        <v>-0.27900700000000001</v>
      </c>
      <c r="FB219" s="55">
        <f t="shared" ca="1" si="281"/>
        <v>-0.518536</v>
      </c>
      <c r="FC219" s="55">
        <f t="shared" ca="1" si="282"/>
        <v>-1.1963159999999999</v>
      </c>
      <c r="FD219" s="55">
        <f t="shared" ca="1" si="283"/>
        <v>-0.195964</v>
      </c>
      <c r="FE219" s="55">
        <f t="shared" ca="1" si="284"/>
        <v>1.0676159999999999</v>
      </c>
      <c r="FF219" s="55">
        <f t="shared" ca="1" si="285"/>
        <v>-0.19059999999999999</v>
      </c>
      <c r="FH219" s="55">
        <f t="shared" ca="1" si="286"/>
        <v>0</v>
      </c>
      <c r="FI219" s="55">
        <f t="shared" ca="1" si="379"/>
        <v>-5.8520771309000019E-2</v>
      </c>
      <c r="FJ219" s="55">
        <f t="shared" ca="1" si="380"/>
        <v>0.25114825893300008</v>
      </c>
      <c r="FK219" s="55">
        <f t="shared" ca="1" si="381"/>
        <v>0.19261250336900004</v>
      </c>
      <c r="FL219" s="55">
        <f t="shared" ca="1" si="382"/>
        <v>-4.0851811000000016E-2</v>
      </c>
      <c r="FM219" s="55">
        <f t="shared" ca="1" si="383"/>
        <v>-0.14503922876300002</v>
      </c>
      <c r="FN219" s="55">
        <f t="shared" ca="1" si="384"/>
        <v>-4.7082579687000026E-2</v>
      </c>
      <c r="FO219" s="55">
        <f t="shared" ca="1" si="385"/>
        <v>-1.359418932300005E-2</v>
      </c>
      <c r="FP219" s="55">
        <f t="shared" ca="1" si="386"/>
        <v>-0.21375276350999994</v>
      </c>
      <c r="FQ219" s="55">
        <f t="shared" ca="1" si="387"/>
        <v>-0.11343869680000002</v>
      </c>
      <c r="FR219" s="55">
        <f t="shared" ca="1" si="388"/>
        <v>0.15526290708500001</v>
      </c>
      <c r="FS219" s="55">
        <f t="shared" ca="1" si="329"/>
        <v>-0.16667712389900002</v>
      </c>
      <c r="FT219" s="55">
        <f t="shared" ca="1" si="330"/>
        <v>-0.20728555905200002</v>
      </c>
      <c r="FU219" s="55">
        <f t="shared" ca="1" si="331"/>
        <v>0.16223594844600001</v>
      </c>
      <c r="FV219" s="55">
        <f t="shared" ca="1" si="332"/>
        <v>-8.5854891551000012E-2</v>
      </c>
      <c r="FW219" s="55">
        <f t="shared" ca="1" si="333"/>
        <v>0.15629177335200001</v>
      </c>
      <c r="FX219" s="55">
        <f t="shared" ca="1" si="334"/>
        <v>-4.0039506650000056E-3</v>
      </c>
      <c r="FY219" s="55">
        <f t="shared" ca="1" si="335"/>
        <v>-0.14876242180800003</v>
      </c>
      <c r="FZ219" s="55">
        <f t="shared" ca="1" si="336"/>
        <v>-0.10904436686000007</v>
      </c>
      <c r="GA219" s="55">
        <f t="shared" ca="1" si="337"/>
        <v>0.17608376600100001</v>
      </c>
      <c r="GB219" s="55">
        <f t="shared" ca="1" si="338"/>
        <v>5.3697733947000004E-2</v>
      </c>
      <c r="GC219" s="55">
        <f t="shared" ca="1" si="339"/>
        <v>8.3099208192000007E-2</v>
      </c>
      <c r="GD219" s="55">
        <f t="shared" ca="1" si="340"/>
        <v>-3.9594237682999966E-2</v>
      </c>
      <c r="GE219" s="55">
        <f t="shared" ca="1" si="341"/>
        <v>0.25926231188000004</v>
      </c>
      <c r="GF219" s="55">
        <f t="shared" ca="1" si="342"/>
        <v>-0.18393046829300008</v>
      </c>
      <c r="GG219" s="55">
        <f t="shared" ca="1" si="343"/>
        <v>-0.31550437232600004</v>
      </c>
      <c r="GH219" s="55">
        <f t="shared" ca="1" si="344"/>
        <v>0.21393367867299995</v>
      </c>
      <c r="GI219" s="55">
        <f t="shared" ca="1" si="345"/>
        <v>0.22874774408200005</v>
      </c>
      <c r="GJ219" s="55">
        <f t="shared" ca="1" si="346"/>
        <v>-0.22929317096400004</v>
      </c>
      <c r="GK219" s="55">
        <f t="shared" ca="1" si="347"/>
        <v>-3.3524510305000033E-2</v>
      </c>
      <c r="GL219" s="55">
        <f t="shared" ca="1" si="348"/>
        <v>3.6143915808000027E-2</v>
      </c>
      <c r="GM219" s="55">
        <f t="shared" ca="1" si="349"/>
        <v>-3.6075776879999077E-3</v>
      </c>
      <c r="GN219" s="55">
        <f t="shared" ca="1" si="350"/>
        <v>0.13963448684900004</v>
      </c>
      <c r="GO219" s="55">
        <f t="shared" ca="1" si="351"/>
        <v>-8.8561521190999998E-2</v>
      </c>
      <c r="GP219" s="55">
        <f t="shared" ca="1" si="352"/>
        <v>-4.6063177160000079E-3</v>
      </c>
      <c r="GQ219" s="55">
        <f t="shared" ca="1" si="353"/>
        <v>-0.28544595679599993</v>
      </c>
      <c r="GR219" s="55">
        <f t="shared" ca="1" si="354"/>
        <v>-0.207660796343</v>
      </c>
      <c r="GS219" s="55">
        <f t="shared" ca="1" si="355"/>
        <v>-0.14283717419399999</v>
      </c>
      <c r="GT219" s="55">
        <f t="shared" ca="1" si="356"/>
        <v>-0.14381178168500003</v>
      </c>
      <c r="GU219" s="55">
        <f t="shared" ca="1" si="357"/>
        <v>-0.13451854673400004</v>
      </c>
      <c r="GV219" s="55">
        <f t="shared" ca="1" si="358"/>
        <v>-0.15185832661999998</v>
      </c>
      <c r="GW219" s="55">
        <f t="shared" ca="1" si="359"/>
        <v>-0.10009545431600003</v>
      </c>
      <c r="GX219" s="55">
        <f t="shared" ca="1" si="360"/>
        <v>-7.366054710299999E-2</v>
      </c>
      <c r="GY219" s="55">
        <f t="shared" ca="1" si="361"/>
        <v>7.7137525179000022E-2</v>
      </c>
      <c r="GZ219" s="55">
        <f t="shared" ca="1" si="362"/>
        <v>0</v>
      </c>
      <c r="HA219" s="55">
        <f t="shared" ca="1" si="363"/>
        <v>0</v>
      </c>
      <c r="HB219" s="55">
        <f t="shared" ca="1" si="364"/>
        <v>0</v>
      </c>
      <c r="HC219" s="55">
        <f t="shared" ca="1" si="365"/>
        <v>0</v>
      </c>
      <c r="HD219" s="55">
        <f t="shared" ca="1" si="366"/>
        <v>0</v>
      </c>
      <c r="HE219" s="55">
        <f t="shared" ca="1" si="367"/>
        <v>0</v>
      </c>
    </row>
    <row r="220" spans="1:213">
      <c r="A220" s="27">
        <v>83</v>
      </c>
      <c r="B220" s="27">
        <v>99</v>
      </c>
      <c r="C220" s="27">
        <v>0.34376800000000002</v>
      </c>
      <c r="D220" s="27">
        <v>0.91666800000000004</v>
      </c>
      <c r="E220" s="27">
        <v>24</v>
      </c>
      <c r="F220" s="27">
        <f t="shared" ca="1" si="231"/>
        <v>43</v>
      </c>
      <c r="G220" s="27">
        <f t="shared" si="230"/>
        <v>0</v>
      </c>
      <c r="H220" s="27" t="str">
        <f t="shared" si="232"/>
        <v>Sim</v>
      </c>
      <c r="I220" s="27">
        <f t="shared" si="233"/>
        <v>0</v>
      </c>
      <c r="J220" s="37">
        <f t="shared" si="234"/>
        <v>1</v>
      </c>
      <c r="K220" s="55">
        <f t="shared" si="235"/>
        <v>0.57696199999999997</v>
      </c>
      <c r="L220" s="55">
        <f t="shared" si="368"/>
        <v>-1.4874590000000001</v>
      </c>
      <c r="M220" s="55">
        <f t="shared" si="369"/>
        <v>0.952291</v>
      </c>
      <c r="N220" s="55">
        <f t="shared" si="370"/>
        <v>0.77326700000000004</v>
      </c>
      <c r="O220" s="55">
        <f t="shared" si="371"/>
        <v>0.68866700000000003</v>
      </c>
      <c r="P220" s="55">
        <f t="shared" si="372"/>
        <v>1.7243740000000001</v>
      </c>
      <c r="Q220" s="55">
        <f t="shared" si="373"/>
        <v>0.71753599999999995</v>
      </c>
      <c r="R220" s="55">
        <f t="shared" si="374"/>
        <v>-0.16437399999999999</v>
      </c>
      <c r="S220" s="55">
        <f t="shared" si="375"/>
        <v>-0.93447999999999998</v>
      </c>
      <c r="T220" s="55">
        <f t="shared" si="376"/>
        <v>0.85742600000000002</v>
      </c>
      <c r="U220" s="55">
        <f t="shared" si="377"/>
        <v>0.73014000000000001</v>
      </c>
      <c r="V220" s="55">
        <f t="shared" si="288"/>
        <v>-0.70085299999999995</v>
      </c>
      <c r="W220" s="55">
        <f t="shared" si="289"/>
        <v>-0.52315500000000004</v>
      </c>
      <c r="X220" s="55">
        <f t="shared" si="290"/>
        <v>0.13569300000000001</v>
      </c>
      <c r="Y220" s="55">
        <f t="shared" si="291"/>
        <v>0.29335800000000001</v>
      </c>
      <c r="Z220" s="55">
        <f t="shared" si="292"/>
        <v>0.14247599999999999</v>
      </c>
      <c r="AA220" s="55">
        <f t="shared" si="293"/>
        <v>-1.601702</v>
      </c>
      <c r="AB220" s="55">
        <f t="shared" si="294"/>
        <v>0.20288600000000001</v>
      </c>
      <c r="AC220" s="55">
        <f t="shared" si="295"/>
        <v>-7.2257000000000002E-2</v>
      </c>
      <c r="AD220" s="55">
        <f t="shared" si="296"/>
        <v>-0.57675200000000004</v>
      </c>
      <c r="AE220" s="55">
        <f t="shared" si="297"/>
        <v>-0.76120500000000002</v>
      </c>
      <c r="AF220" s="55">
        <f t="shared" si="298"/>
        <v>0.44364799999999999</v>
      </c>
      <c r="AG220" s="55">
        <f t="shared" si="299"/>
        <v>-0.96713899999999997</v>
      </c>
      <c r="AH220" s="55">
        <f t="shared" si="300"/>
        <v>-0.476827</v>
      </c>
      <c r="AI220" s="55">
        <f t="shared" si="301"/>
        <v>0.82053100000000001</v>
      </c>
      <c r="AJ220" s="55">
        <f t="shared" si="302"/>
        <v>0.50718799999999997</v>
      </c>
      <c r="AK220" s="55">
        <f t="shared" si="303"/>
        <v>0.67582600000000004</v>
      </c>
      <c r="AL220" s="55">
        <f t="shared" si="304"/>
        <v>-0.82073300000000005</v>
      </c>
      <c r="AM220" s="55">
        <f t="shared" si="305"/>
        <v>-0.12155100000000001</v>
      </c>
      <c r="AN220" s="55">
        <f t="shared" si="306"/>
        <v>-0.88685800000000004</v>
      </c>
      <c r="AO220" s="55">
        <f t="shared" si="307"/>
        <v>0.95257199999999997</v>
      </c>
      <c r="AP220" s="55">
        <f t="shared" si="308"/>
        <v>-0.26838699999999999</v>
      </c>
      <c r="AQ220" s="55">
        <f t="shared" si="309"/>
        <v>-0.74785000000000001</v>
      </c>
      <c r="AR220" s="55">
        <f t="shared" si="310"/>
        <v>-0.24892</v>
      </c>
      <c r="AS220" s="55">
        <f t="shared" si="311"/>
        <v>1.508637</v>
      </c>
      <c r="AT220" s="55">
        <f t="shared" si="312"/>
        <v>-0.489956</v>
      </c>
      <c r="AU220" s="55">
        <f t="shared" si="313"/>
        <v>-0.17260800000000001</v>
      </c>
      <c r="AV220" s="55">
        <f t="shared" si="314"/>
        <v>0.88971900000000004</v>
      </c>
      <c r="AW220" s="55">
        <f t="shared" si="315"/>
        <v>-0.54454499999999995</v>
      </c>
      <c r="AX220" s="55">
        <f t="shared" si="316"/>
        <v>-0.20375699999999999</v>
      </c>
      <c r="AY220" s="55">
        <f t="shared" si="317"/>
        <v>5.0379999999999999E-3</v>
      </c>
      <c r="AZ220" s="55">
        <f t="shared" si="318"/>
        <v>-0.27812399999999998</v>
      </c>
      <c r="BA220" s="55">
        <f t="shared" si="319"/>
        <v>0.50661299999999998</v>
      </c>
      <c r="BB220" s="55">
        <f t="shared" si="320"/>
        <v>-0.91919600000000001</v>
      </c>
      <c r="BC220" s="55">
        <f t="shared" si="321"/>
        <v>-0.54686199999999996</v>
      </c>
      <c r="BD220" s="55">
        <f t="shared" si="322"/>
        <v>-0.19409399999999999</v>
      </c>
      <c r="BE220" s="55">
        <f t="shared" si="323"/>
        <v>-0.57920000000000005</v>
      </c>
      <c r="BF220" s="55">
        <f t="shared" si="324"/>
        <v>0.247589</v>
      </c>
      <c r="BG220" s="55">
        <f t="shared" si="325"/>
        <v>1.1391500000000001</v>
      </c>
      <c r="BH220" s="55">
        <f t="shared" si="326"/>
        <v>0.30823800000000001</v>
      </c>
      <c r="BJ220" s="55">
        <f t="shared" si="378"/>
        <v>0.14165700000000001</v>
      </c>
      <c r="BK220" s="55">
        <f t="shared" si="378"/>
        <v>0.93150100000000002</v>
      </c>
      <c r="BL220" s="55">
        <f t="shared" si="378"/>
        <v>0.21973599999999999</v>
      </c>
      <c r="BM220" s="55">
        <f t="shared" si="378"/>
        <v>8.7349999999999997E-2</v>
      </c>
      <c r="BN220" s="55">
        <f t="shared" si="378"/>
        <v>0.66057299999999997</v>
      </c>
      <c r="BO220" s="55">
        <f t="shared" si="378"/>
        <v>0.32617000000000002</v>
      </c>
      <c r="BP220" s="55">
        <f t="shared" si="378"/>
        <v>0.486794</v>
      </c>
      <c r="BQ220" s="55">
        <f t="shared" si="378"/>
        <v>-0.60062700000000002</v>
      </c>
      <c r="BR220" s="55">
        <f t="shared" si="378"/>
        <v>1.7281930000000001</v>
      </c>
      <c r="BS220" s="55">
        <f t="shared" si="378"/>
        <v>1.279531</v>
      </c>
      <c r="BT220" s="55">
        <f t="shared" si="378"/>
        <v>-0.37542500000000001</v>
      </c>
      <c r="BU220" s="55">
        <f t="shared" si="378"/>
        <v>-0.86995599999999995</v>
      </c>
      <c r="BV220" s="55">
        <f t="shared" si="378"/>
        <v>-0.88975000000000004</v>
      </c>
      <c r="BW220" s="55">
        <f t="shared" si="378"/>
        <v>-1.1213439999999999</v>
      </c>
      <c r="BX220" s="55">
        <f t="shared" si="378"/>
        <v>1.2563500000000001</v>
      </c>
      <c r="BY220" s="55">
        <f t="shared" si="378"/>
        <v>0.63623399999999997</v>
      </c>
      <c r="BZ220" s="55">
        <f t="shared" si="327"/>
        <v>0.55337499999999995</v>
      </c>
      <c r="CA220" s="55">
        <f t="shared" si="327"/>
        <v>-0.316774</v>
      </c>
      <c r="CB220" s="55">
        <f t="shared" si="327"/>
        <v>-0.57559000000000005</v>
      </c>
      <c r="CC220" s="55">
        <f t="shared" si="327"/>
        <v>-0.77202599999999999</v>
      </c>
      <c r="CD220" s="55">
        <f t="shared" si="327"/>
        <v>-0.78446899999999997</v>
      </c>
      <c r="CE220" s="55">
        <f t="shared" si="327"/>
        <v>0.47545100000000001</v>
      </c>
      <c r="CF220" s="55">
        <f t="shared" si="327"/>
        <v>0.97257099999999996</v>
      </c>
      <c r="CG220" s="55">
        <f t="shared" si="327"/>
        <v>0.81458900000000001</v>
      </c>
      <c r="CH220" s="55">
        <f t="shared" si="327"/>
        <v>0.34436099999999997</v>
      </c>
      <c r="CI220" s="55">
        <f t="shared" si="327"/>
        <v>4.1963E-2</v>
      </c>
      <c r="CJ220" s="55">
        <f t="shared" si="327"/>
        <v>0.81816999999999995</v>
      </c>
      <c r="CK220" s="55">
        <f t="shared" si="327"/>
        <v>0.49418299999999998</v>
      </c>
      <c r="CL220" s="55">
        <f t="shared" si="327"/>
        <v>-0.74974099999999999</v>
      </c>
      <c r="CM220" s="55">
        <f t="shared" si="327"/>
        <v>-1.1178939999999999</v>
      </c>
      <c r="CN220" s="55">
        <f t="shared" si="327"/>
        <v>1.0275810000000001</v>
      </c>
      <c r="CO220" s="55">
        <f t="shared" si="328"/>
        <v>0.18726499999999999</v>
      </c>
      <c r="CP220" s="55">
        <f t="shared" si="328"/>
        <v>-0.46878799999999998</v>
      </c>
      <c r="CQ220" s="55">
        <f t="shared" si="328"/>
        <v>0.21907799999999999</v>
      </c>
      <c r="CR220" s="55">
        <f t="shared" si="328"/>
        <v>0.65311699999999995</v>
      </c>
      <c r="CS220" s="55">
        <f t="shared" si="328"/>
        <v>-0.532003</v>
      </c>
      <c r="CT220" s="55">
        <f t="shared" si="328"/>
        <v>0.80649400000000004</v>
      </c>
      <c r="CU220" s="55">
        <f t="shared" si="328"/>
        <v>-0.388903</v>
      </c>
      <c r="CV220" s="55">
        <f t="shared" si="328"/>
        <v>-0.21298</v>
      </c>
      <c r="CW220" s="55">
        <f t="shared" si="328"/>
        <v>-0.33707300000000001</v>
      </c>
      <c r="CX220" s="55">
        <f t="shared" si="328"/>
        <v>-1.7750000000000001E-3</v>
      </c>
      <c r="CY220" s="55">
        <f t="shared" si="328"/>
        <v>-0.43126399999999998</v>
      </c>
      <c r="CZ220" s="55">
        <f t="shared" si="328"/>
        <v>0.65154900000000004</v>
      </c>
      <c r="DA220" s="55">
        <f t="shared" si="328"/>
        <v>-0.22847300000000001</v>
      </c>
      <c r="DB220" s="55">
        <f t="shared" si="328"/>
        <v>-0.868004</v>
      </c>
      <c r="DC220" s="55">
        <f t="shared" si="328"/>
        <v>-0.905532</v>
      </c>
      <c r="DD220" s="55">
        <f t="shared" si="328"/>
        <v>0.25758300000000001</v>
      </c>
      <c r="DE220" s="55">
        <f t="shared" si="287"/>
        <v>-5.6763000000000001E-2</v>
      </c>
      <c r="DF220" s="55">
        <f t="shared" si="287"/>
        <v>-0.61416400000000004</v>
      </c>
      <c r="DG220" s="55">
        <f t="shared" si="287"/>
        <v>9.1121999999999995E-2</v>
      </c>
      <c r="DI220" s="55">
        <f t="shared" ca="1" si="236"/>
        <v>0.57696199999999997</v>
      </c>
      <c r="DJ220" s="55">
        <f t="shared" ca="1" si="237"/>
        <v>-1.4874590000000001</v>
      </c>
      <c r="DK220" s="55">
        <f t="shared" ca="1" si="238"/>
        <v>0.952291</v>
      </c>
      <c r="DL220" s="55">
        <f t="shared" ca="1" si="239"/>
        <v>0.77326700000000004</v>
      </c>
      <c r="DM220" s="55">
        <f t="shared" ca="1" si="240"/>
        <v>0.68866700000000003</v>
      </c>
      <c r="DN220" s="55">
        <f t="shared" ca="1" si="241"/>
        <v>1.7243740000000001</v>
      </c>
      <c r="DO220" s="55">
        <f t="shared" ca="1" si="242"/>
        <v>0.71753599999999995</v>
      </c>
      <c r="DP220" s="55">
        <f t="shared" ca="1" si="243"/>
        <v>-0.16437399999999999</v>
      </c>
      <c r="DQ220" s="55">
        <f t="shared" ca="1" si="244"/>
        <v>-0.93447999999999998</v>
      </c>
      <c r="DR220" s="55">
        <f t="shared" ca="1" si="245"/>
        <v>0.85742600000000002</v>
      </c>
      <c r="DS220" s="55">
        <f t="shared" ca="1" si="246"/>
        <v>0.73014000000000001</v>
      </c>
      <c r="DT220" s="55">
        <f t="shared" ca="1" si="247"/>
        <v>-0.70085299999999995</v>
      </c>
      <c r="DU220" s="55">
        <f t="shared" ca="1" si="248"/>
        <v>-0.52315500000000004</v>
      </c>
      <c r="DV220" s="55">
        <f t="shared" ca="1" si="249"/>
        <v>0.13569300000000001</v>
      </c>
      <c r="DW220" s="55">
        <f t="shared" ca="1" si="250"/>
        <v>0.29335800000000001</v>
      </c>
      <c r="DX220" s="55">
        <f t="shared" ca="1" si="251"/>
        <v>0.14247599999999999</v>
      </c>
      <c r="DY220" s="55">
        <f t="shared" ca="1" si="252"/>
        <v>-1.601702</v>
      </c>
      <c r="DZ220" s="55">
        <f t="shared" ca="1" si="253"/>
        <v>0.20288600000000001</v>
      </c>
      <c r="EA220" s="55">
        <f t="shared" ca="1" si="254"/>
        <v>-7.2257000000000002E-2</v>
      </c>
      <c r="EB220" s="55">
        <f t="shared" ca="1" si="255"/>
        <v>-0.57675200000000004</v>
      </c>
      <c r="EC220" s="55">
        <f t="shared" ca="1" si="256"/>
        <v>-0.76120500000000002</v>
      </c>
      <c r="ED220" s="55">
        <f t="shared" ca="1" si="257"/>
        <v>0.44364799999999999</v>
      </c>
      <c r="EE220" s="55">
        <f t="shared" ca="1" si="258"/>
        <v>-0.96713899999999997</v>
      </c>
      <c r="EF220" s="55">
        <f t="shared" ca="1" si="259"/>
        <v>-0.476827</v>
      </c>
      <c r="EG220" s="55">
        <f t="shared" ca="1" si="260"/>
        <v>0.78085080155999997</v>
      </c>
      <c r="EH220" s="55">
        <f t="shared" ca="1" si="261"/>
        <v>0.46841987029999999</v>
      </c>
      <c r="EI220" s="55">
        <f t="shared" ca="1" si="262"/>
        <v>0.68768781020799996</v>
      </c>
      <c r="EJ220" s="55">
        <f t="shared" ca="1" si="263"/>
        <v>-0.7111584198880001</v>
      </c>
      <c r="EK220" s="55">
        <f t="shared" ca="1" si="264"/>
        <v>-0.17389932907999997</v>
      </c>
      <c r="EL220" s="55">
        <f t="shared" ca="1" si="265"/>
        <v>-0.90611069195200011</v>
      </c>
      <c r="EM220" s="55">
        <f t="shared" ca="1" si="266"/>
        <v>0.95882264998799993</v>
      </c>
      <c r="EN220" s="55">
        <f t="shared" ca="1" si="267"/>
        <v>-0.23041660753599999</v>
      </c>
      <c r="EO220" s="55">
        <f t="shared" ca="1" si="268"/>
        <v>-0.72459520541600009</v>
      </c>
      <c r="EP220" s="55">
        <f t="shared" ca="1" si="269"/>
        <v>-0.20992079066400002</v>
      </c>
      <c r="EQ220" s="55">
        <f t="shared" ca="1" si="270"/>
        <v>1.4373448073599999</v>
      </c>
      <c r="ER220" s="55">
        <f t="shared" ca="1" si="271"/>
        <v>-0.49345986060400004</v>
      </c>
      <c r="ES220" s="55">
        <f t="shared" ca="1" si="272"/>
        <v>-9.101747213600006E-2</v>
      </c>
      <c r="ET220" s="55">
        <f t="shared" ca="1" si="273"/>
        <v>0.78316887149600012</v>
      </c>
      <c r="EU220" s="55">
        <f t="shared" ca="1" si="274"/>
        <v>-0.51691502542000001</v>
      </c>
      <c r="EV220" s="55">
        <f t="shared" ca="1" si="275"/>
        <v>-0.214866488912</v>
      </c>
      <c r="EW220" s="55">
        <f t="shared" ca="1" si="276"/>
        <v>4.4702590840000004E-3</v>
      </c>
      <c r="EX220" s="55">
        <f t="shared" ca="1" si="277"/>
        <v>-0.29088546247999997</v>
      </c>
      <c r="EY220" s="55">
        <f t="shared" ca="1" si="278"/>
        <v>0.51869080675199997</v>
      </c>
      <c r="EZ220" s="55">
        <f t="shared" ca="1" si="279"/>
        <v>-0.91919600000000001</v>
      </c>
      <c r="FA220" s="55">
        <f t="shared" ca="1" si="280"/>
        <v>-0.54686199999999996</v>
      </c>
      <c r="FB220" s="55">
        <f t="shared" ca="1" si="281"/>
        <v>-0.19409399999999999</v>
      </c>
      <c r="FC220" s="55">
        <f t="shared" ca="1" si="282"/>
        <v>-0.57920000000000005</v>
      </c>
      <c r="FD220" s="55">
        <f t="shared" ca="1" si="283"/>
        <v>0.247589</v>
      </c>
      <c r="FE220" s="55">
        <f t="shared" ca="1" si="284"/>
        <v>1.1391500000000001</v>
      </c>
      <c r="FF220" s="55">
        <f t="shared" ca="1" si="285"/>
        <v>0.30823800000000001</v>
      </c>
      <c r="FH220" s="55">
        <f t="shared" ca="1" si="286"/>
        <v>0</v>
      </c>
      <c r="FI220" s="55">
        <f t="shared" ca="1" si="379"/>
        <v>0</v>
      </c>
      <c r="FJ220" s="55">
        <f t="shared" ca="1" si="380"/>
        <v>0</v>
      </c>
      <c r="FK220" s="55">
        <f t="shared" ca="1" si="381"/>
        <v>0</v>
      </c>
      <c r="FL220" s="55">
        <f t="shared" ca="1" si="382"/>
        <v>0</v>
      </c>
      <c r="FM220" s="55">
        <f t="shared" ca="1" si="383"/>
        <v>0</v>
      </c>
      <c r="FN220" s="55">
        <f t="shared" ca="1" si="384"/>
        <v>0</v>
      </c>
      <c r="FO220" s="55">
        <f t="shared" ca="1" si="385"/>
        <v>0</v>
      </c>
      <c r="FP220" s="55">
        <f t="shared" ca="1" si="386"/>
        <v>0</v>
      </c>
      <c r="FQ220" s="55">
        <f t="shared" ca="1" si="387"/>
        <v>0</v>
      </c>
      <c r="FR220" s="55">
        <f t="shared" ca="1" si="388"/>
        <v>0</v>
      </c>
      <c r="FS220" s="55">
        <f t="shared" ca="1" si="329"/>
        <v>0</v>
      </c>
      <c r="FT220" s="55">
        <f t="shared" ca="1" si="330"/>
        <v>0</v>
      </c>
      <c r="FU220" s="55">
        <f t="shared" ca="1" si="331"/>
        <v>0</v>
      </c>
      <c r="FV220" s="55">
        <f t="shared" ca="1" si="332"/>
        <v>0</v>
      </c>
      <c r="FW220" s="55">
        <f t="shared" ca="1" si="333"/>
        <v>0</v>
      </c>
      <c r="FX220" s="55">
        <f t="shared" ca="1" si="334"/>
        <v>0</v>
      </c>
      <c r="FY220" s="55">
        <f t="shared" ca="1" si="335"/>
        <v>0</v>
      </c>
      <c r="FZ220" s="55">
        <f t="shared" ca="1" si="336"/>
        <v>0</v>
      </c>
      <c r="GA220" s="55">
        <f t="shared" ca="1" si="337"/>
        <v>0</v>
      </c>
      <c r="GB220" s="55">
        <f t="shared" ca="1" si="338"/>
        <v>0</v>
      </c>
      <c r="GC220" s="55">
        <f t="shared" ca="1" si="339"/>
        <v>0</v>
      </c>
      <c r="GD220" s="55">
        <f t="shared" ca="1" si="340"/>
        <v>0</v>
      </c>
      <c r="GE220" s="55">
        <f t="shared" ca="1" si="341"/>
        <v>0</v>
      </c>
      <c r="GF220" s="55">
        <f t="shared" ca="1" si="342"/>
        <v>-3.9680198440000036E-2</v>
      </c>
      <c r="GG220" s="55">
        <f t="shared" ca="1" si="343"/>
        <v>-3.8768129699999987E-2</v>
      </c>
      <c r="GH220" s="55">
        <f t="shared" ca="1" si="344"/>
        <v>1.1861810207999923E-2</v>
      </c>
      <c r="GI220" s="55">
        <f t="shared" ca="1" si="345"/>
        <v>0.10957458011199994</v>
      </c>
      <c r="GJ220" s="55">
        <f t="shared" ca="1" si="346"/>
        <v>-5.2348329079999964E-2</v>
      </c>
      <c r="GK220" s="55">
        <f t="shared" ca="1" si="347"/>
        <v>-1.9252691952000078E-2</v>
      </c>
      <c r="GL220" s="55">
        <f t="shared" ca="1" si="348"/>
        <v>6.2506499879999566E-3</v>
      </c>
      <c r="GM220" s="55">
        <f t="shared" ca="1" si="349"/>
        <v>3.7970392463999997E-2</v>
      </c>
      <c r="GN220" s="55">
        <f t="shared" ca="1" si="350"/>
        <v>2.3254794583999927E-2</v>
      </c>
      <c r="GO220" s="55">
        <f t="shared" ca="1" si="351"/>
        <v>3.8999209335999985E-2</v>
      </c>
      <c r="GP220" s="55">
        <f t="shared" ca="1" si="352"/>
        <v>-7.1292192640000085E-2</v>
      </c>
      <c r="GQ220" s="55">
        <f t="shared" ca="1" si="353"/>
        <v>-3.503860604000042E-3</v>
      </c>
      <c r="GR220" s="55">
        <f t="shared" ca="1" si="354"/>
        <v>8.1590527863999951E-2</v>
      </c>
      <c r="GS220" s="55">
        <f t="shared" ca="1" si="355"/>
        <v>-0.10655012850399992</v>
      </c>
      <c r="GT220" s="55">
        <f t="shared" ca="1" si="356"/>
        <v>2.7629974579999939E-2</v>
      </c>
      <c r="GU220" s="55">
        <f t="shared" ca="1" si="357"/>
        <v>-1.1109488912000004E-2</v>
      </c>
      <c r="GV220" s="55">
        <f t="shared" ca="1" si="358"/>
        <v>-5.6774091599999955E-4</v>
      </c>
      <c r="GW220" s="55">
        <f t="shared" ca="1" si="359"/>
        <v>-1.2761462479999985E-2</v>
      </c>
      <c r="GX220" s="55">
        <f t="shared" ca="1" si="360"/>
        <v>1.2077806751999987E-2</v>
      </c>
      <c r="GY220" s="55">
        <f t="shared" ca="1" si="361"/>
        <v>0</v>
      </c>
      <c r="GZ220" s="55">
        <f t="shared" ca="1" si="362"/>
        <v>0</v>
      </c>
      <c r="HA220" s="55">
        <f t="shared" ca="1" si="363"/>
        <v>0</v>
      </c>
      <c r="HB220" s="55">
        <f t="shared" ca="1" si="364"/>
        <v>0</v>
      </c>
      <c r="HC220" s="55">
        <f t="shared" ca="1" si="365"/>
        <v>0</v>
      </c>
      <c r="HD220" s="55">
        <f t="shared" ca="1" si="366"/>
        <v>0</v>
      </c>
      <c r="HE220" s="55">
        <f t="shared" ca="1" si="367"/>
        <v>0</v>
      </c>
    </row>
    <row r="221" spans="1:213">
      <c r="A221" s="27">
        <v>84</v>
      </c>
      <c r="B221" s="27">
        <v>56</v>
      </c>
      <c r="C221" s="27">
        <v>0.37492399999999998</v>
      </c>
      <c r="D221" s="27">
        <v>0.694519</v>
      </c>
      <c r="E221" s="27">
        <v>44</v>
      </c>
      <c r="F221" s="27">
        <f t="shared" ca="1" si="231"/>
        <v>46</v>
      </c>
      <c r="G221" s="27">
        <f t="shared" si="230"/>
        <v>0</v>
      </c>
      <c r="H221" s="27" t="str">
        <f t="shared" si="232"/>
        <v>Sim</v>
      </c>
      <c r="I221" s="27">
        <f t="shared" si="233"/>
        <v>0</v>
      </c>
      <c r="J221" s="37">
        <f t="shared" si="234"/>
        <v>1</v>
      </c>
      <c r="K221" s="55">
        <f t="shared" si="235"/>
        <v>0.92113900000000004</v>
      </c>
      <c r="L221" s="55">
        <f t="shared" si="368"/>
        <v>-0.29337000000000002</v>
      </c>
      <c r="M221" s="55">
        <f t="shared" si="369"/>
        <v>0.44889099999999998</v>
      </c>
      <c r="N221" s="55">
        <f t="shared" si="370"/>
        <v>0.75926700000000003</v>
      </c>
      <c r="O221" s="55">
        <f t="shared" si="371"/>
        <v>1.6478440000000001</v>
      </c>
      <c r="P221" s="55">
        <f t="shared" si="372"/>
        <v>0.93362199999999995</v>
      </c>
      <c r="Q221" s="55">
        <f t="shared" si="373"/>
        <v>5.6568E-2</v>
      </c>
      <c r="R221" s="55">
        <f t="shared" si="374"/>
        <v>1.2903420000000001</v>
      </c>
      <c r="S221" s="55">
        <f t="shared" si="375"/>
        <v>0.406779</v>
      </c>
      <c r="T221" s="55">
        <f t="shared" si="376"/>
        <v>-0.81093899999999997</v>
      </c>
      <c r="U221" s="55">
        <f t="shared" si="377"/>
        <v>0.94307600000000003</v>
      </c>
      <c r="V221" s="55">
        <f t="shared" si="288"/>
        <v>-0.74760400000000005</v>
      </c>
      <c r="W221" s="55">
        <f t="shared" si="289"/>
        <v>1.547347</v>
      </c>
      <c r="X221" s="55">
        <f t="shared" si="290"/>
        <v>-0.329567</v>
      </c>
      <c r="Y221" s="55">
        <f t="shared" si="291"/>
        <v>7.3186000000000001E-2</v>
      </c>
      <c r="Z221" s="55">
        <f t="shared" si="292"/>
        <v>-0.147924</v>
      </c>
      <c r="AA221" s="55">
        <f t="shared" si="293"/>
        <v>1.4850099999999999</v>
      </c>
      <c r="AB221" s="55">
        <f t="shared" si="294"/>
        <v>-0.77529400000000004</v>
      </c>
      <c r="AC221" s="55">
        <f t="shared" si="295"/>
        <v>0.84227600000000002</v>
      </c>
      <c r="AD221" s="55">
        <f t="shared" si="296"/>
        <v>0.92862999999999996</v>
      </c>
      <c r="AE221" s="55">
        <f t="shared" si="297"/>
        <v>0.82414200000000004</v>
      </c>
      <c r="AF221" s="55">
        <f t="shared" si="298"/>
        <v>-0.63624700000000001</v>
      </c>
      <c r="AG221" s="55">
        <f t="shared" si="299"/>
        <v>0.323988</v>
      </c>
      <c r="AH221" s="55">
        <f t="shared" si="300"/>
        <v>0.23015099999999999</v>
      </c>
      <c r="AI221" s="55">
        <f t="shared" si="301"/>
        <v>0.44046299999999999</v>
      </c>
      <c r="AJ221" s="55">
        <f t="shared" si="302"/>
        <v>-0.68194399999999999</v>
      </c>
      <c r="AK221" s="55">
        <f t="shared" si="303"/>
        <v>0.29517700000000002</v>
      </c>
      <c r="AL221" s="55">
        <f t="shared" si="304"/>
        <v>-1.4813989999999999</v>
      </c>
      <c r="AM221" s="55">
        <f t="shared" si="305"/>
        <v>0.408771</v>
      </c>
      <c r="AN221" s="55">
        <f t="shared" si="306"/>
        <v>0.72226400000000002</v>
      </c>
      <c r="AO221" s="55">
        <f t="shared" si="307"/>
        <v>0.23936499999999999</v>
      </c>
      <c r="AP221" s="55">
        <f t="shared" si="308"/>
        <v>0.93853299999999995</v>
      </c>
      <c r="AQ221" s="55">
        <f t="shared" si="309"/>
        <v>-0.94483899999999998</v>
      </c>
      <c r="AR221" s="55">
        <f t="shared" si="310"/>
        <v>-0.971854</v>
      </c>
      <c r="AS221" s="55">
        <f t="shared" si="311"/>
        <v>-0.39461200000000002</v>
      </c>
      <c r="AT221" s="55">
        <f t="shared" si="312"/>
        <v>0.90890499999999996</v>
      </c>
      <c r="AU221" s="55">
        <f t="shared" si="313"/>
        <v>0.66777500000000001</v>
      </c>
      <c r="AV221" s="55">
        <f t="shared" si="314"/>
        <v>1.8090900000000001</v>
      </c>
      <c r="AW221" s="55">
        <f t="shared" si="315"/>
        <v>3.8622999999999998E-2</v>
      </c>
      <c r="AX221" s="55">
        <f t="shared" si="316"/>
        <v>-0.18663099999999999</v>
      </c>
      <c r="AY221" s="55">
        <f t="shared" si="317"/>
        <v>-0.28596199999999999</v>
      </c>
      <c r="AZ221" s="55">
        <f t="shared" si="318"/>
        <v>0.35414800000000002</v>
      </c>
      <c r="BA221" s="55">
        <f t="shared" si="319"/>
        <v>-0.25786999999999999</v>
      </c>
      <c r="BB221" s="55">
        <f t="shared" si="320"/>
        <v>-0.74679899999999999</v>
      </c>
      <c r="BC221" s="55">
        <f t="shared" si="321"/>
        <v>-0.64471500000000004</v>
      </c>
      <c r="BD221" s="55">
        <f t="shared" si="322"/>
        <v>-0.44550400000000001</v>
      </c>
      <c r="BE221" s="55">
        <f t="shared" si="323"/>
        <v>-0.234232</v>
      </c>
      <c r="BF221" s="55">
        <f t="shared" si="324"/>
        <v>1.110959</v>
      </c>
      <c r="BG221" s="55">
        <f t="shared" si="325"/>
        <v>-0.47712300000000002</v>
      </c>
      <c r="BH221" s="55">
        <f t="shared" si="326"/>
        <v>0.72406599999999999</v>
      </c>
      <c r="BJ221" s="55">
        <f t="shared" si="378"/>
        <v>0.69282900000000003</v>
      </c>
      <c r="BK221" s="55">
        <f t="shared" si="378"/>
        <v>0.71467999999999998</v>
      </c>
      <c r="BL221" s="55">
        <f t="shared" si="378"/>
        <v>1.2126570000000001</v>
      </c>
      <c r="BM221" s="55">
        <f t="shared" si="378"/>
        <v>0.45126899999999998</v>
      </c>
      <c r="BN221" s="55">
        <f t="shared" si="378"/>
        <v>0.98350499999999996</v>
      </c>
      <c r="BO221" s="55">
        <f t="shared" si="378"/>
        <v>0.68548600000000004</v>
      </c>
      <c r="BP221" s="55">
        <f t="shared" si="378"/>
        <v>-0.48544799999999999</v>
      </c>
      <c r="BQ221" s="55">
        <f t="shared" si="378"/>
        <v>-0.589256</v>
      </c>
      <c r="BR221" s="55">
        <f t="shared" si="378"/>
        <v>1.5953120000000001</v>
      </c>
      <c r="BS221" s="55">
        <f t="shared" si="378"/>
        <v>0.53074600000000005</v>
      </c>
      <c r="BT221" s="55">
        <f t="shared" si="378"/>
        <v>0.60611800000000005</v>
      </c>
      <c r="BU221" s="55">
        <f t="shared" si="378"/>
        <v>-0.25597799999999998</v>
      </c>
      <c r="BV221" s="55">
        <f t="shared" si="378"/>
        <v>-0.82231299999999996</v>
      </c>
      <c r="BW221" s="55">
        <f t="shared" si="378"/>
        <v>0.101855</v>
      </c>
      <c r="BX221" s="55">
        <f t="shared" si="378"/>
        <v>-5.0455E-2</v>
      </c>
      <c r="BY221" s="55">
        <f t="shared" si="378"/>
        <v>-0.49763299999999999</v>
      </c>
      <c r="BZ221" s="55">
        <f t="shared" si="327"/>
        <v>-0.41728700000000002</v>
      </c>
      <c r="CA221" s="55">
        <f t="shared" si="327"/>
        <v>0.94844899999999999</v>
      </c>
      <c r="CB221" s="55">
        <f t="shared" si="327"/>
        <v>1.5517179999999999</v>
      </c>
      <c r="CC221" s="55">
        <f t="shared" si="327"/>
        <v>-0.74891399999999997</v>
      </c>
      <c r="CD221" s="55">
        <f t="shared" si="327"/>
        <v>-5.0248000000000001E-2</v>
      </c>
      <c r="CE221" s="55">
        <f t="shared" si="327"/>
        <v>-1.2618000000000001E-2</v>
      </c>
      <c r="CF221" s="55">
        <f t="shared" si="327"/>
        <v>0.34831000000000001</v>
      </c>
      <c r="CG221" s="55">
        <f t="shared" si="327"/>
        <v>0.63383100000000003</v>
      </c>
      <c r="CH221" s="55">
        <f t="shared" si="327"/>
        <v>0.53678700000000001</v>
      </c>
      <c r="CI221" s="55">
        <f t="shared" si="327"/>
        <v>0.40151300000000001</v>
      </c>
      <c r="CJ221" s="55">
        <f t="shared" si="327"/>
        <v>-2.4989999999999998E-2</v>
      </c>
      <c r="CK221" s="55">
        <f t="shared" si="327"/>
        <v>-0.154254</v>
      </c>
      <c r="CL221" s="55">
        <f t="shared" si="327"/>
        <v>-0.74421000000000004</v>
      </c>
      <c r="CM221" s="55">
        <f t="shared" si="327"/>
        <v>0.69545599999999996</v>
      </c>
      <c r="CN221" s="55">
        <f t="shared" si="327"/>
        <v>0.92507300000000003</v>
      </c>
      <c r="CO221" s="55">
        <f t="shared" si="328"/>
        <v>0.50984099999999999</v>
      </c>
      <c r="CP221" s="55">
        <f t="shared" si="328"/>
        <v>1.180007</v>
      </c>
      <c r="CQ221" s="55">
        <f t="shared" si="328"/>
        <v>-0.68346700000000005</v>
      </c>
      <c r="CR221" s="55">
        <f t="shared" si="328"/>
        <v>0.350964</v>
      </c>
      <c r="CS221" s="55">
        <f t="shared" si="328"/>
        <v>-0.80468099999999998</v>
      </c>
      <c r="CT221" s="55">
        <f t="shared" si="328"/>
        <v>-0.99315799999999999</v>
      </c>
      <c r="CU221" s="55">
        <f t="shared" si="328"/>
        <v>0.50609499999999996</v>
      </c>
      <c r="CV221" s="55">
        <f t="shared" si="328"/>
        <v>3.9163999999999997E-2</v>
      </c>
      <c r="CW221" s="55">
        <f t="shared" si="328"/>
        <v>0.75449200000000005</v>
      </c>
      <c r="CX221" s="55">
        <f t="shared" si="328"/>
        <v>-0.72423800000000005</v>
      </c>
      <c r="CY221" s="55">
        <f t="shared" si="328"/>
        <v>-1.437047</v>
      </c>
      <c r="CZ221" s="55">
        <f t="shared" si="328"/>
        <v>0.22187799999999999</v>
      </c>
      <c r="DA221" s="55">
        <f t="shared" si="328"/>
        <v>0.92526600000000003</v>
      </c>
      <c r="DB221" s="55">
        <f t="shared" si="328"/>
        <v>0.57592299999999996</v>
      </c>
      <c r="DC221" s="55">
        <f t="shared" si="328"/>
        <v>-0.42172900000000002</v>
      </c>
      <c r="DD221" s="55">
        <f t="shared" ref="DD221:DG236" si="389">VLOOKUP($B221,$A$33:$BG$132,DD$134,FALSE)</f>
        <v>-0.86690800000000001</v>
      </c>
      <c r="DE221" s="55">
        <f t="shared" si="389"/>
        <v>-0.44526199999999999</v>
      </c>
      <c r="DF221" s="55">
        <f t="shared" si="389"/>
        <v>-0.397623</v>
      </c>
      <c r="DG221" s="55">
        <f t="shared" si="389"/>
        <v>-0.37359500000000001</v>
      </c>
      <c r="DI221" s="55">
        <f t="shared" ca="1" si="236"/>
        <v>0.92113900000000004</v>
      </c>
      <c r="DJ221" s="55">
        <f t="shared" ca="1" si="237"/>
        <v>-0.29337000000000002</v>
      </c>
      <c r="DK221" s="55">
        <f t="shared" ca="1" si="238"/>
        <v>0.44889099999999998</v>
      </c>
      <c r="DL221" s="55">
        <f t="shared" ca="1" si="239"/>
        <v>0.75926700000000003</v>
      </c>
      <c r="DM221" s="55">
        <f t="shared" ca="1" si="240"/>
        <v>1.6478440000000001</v>
      </c>
      <c r="DN221" s="55">
        <f t="shared" ca="1" si="241"/>
        <v>0.93362199999999995</v>
      </c>
      <c r="DO221" s="55">
        <f t="shared" ca="1" si="242"/>
        <v>5.6568E-2</v>
      </c>
      <c r="DP221" s="55">
        <f t="shared" ca="1" si="243"/>
        <v>1.2903420000000001</v>
      </c>
      <c r="DQ221" s="55">
        <f t="shared" ca="1" si="244"/>
        <v>0.406779</v>
      </c>
      <c r="DR221" s="55">
        <f t="shared" ca="1" si="245"/>
        <v>-0.81093899999999997</v>
      </c>
      <c r="DS221" s="55">
        <f t="shared" ca="1" si="246"/>
        <v>0.94307600000000003</v>
      </c>
      <c r="DT221" s="55">
        <f t="shared" ca="1" si="247"/>
        <v>-0.74760400000000005</v>
      </c>
      <c r="DU221" s="55">
        <f t="shared" ca="1" si="248"/>
        <v>1.547347</v>
      </c>
      <c r="DV221" s="55">
        <f t="shared" ca="1" si="249"/>
        <v>-0.329567</v>
      </c>
      <c r="DW221" s="55">
        <f t="shared" ca="1" si="250"/>
        <v>7.3186000000000001E-2</v>
      </c>
      <c r="DX221" s="55">
        <f t="shared" ca="1" si="251"/>
        <v>-0.147924</v>
      </c>
      <c r="DY221" s="55">
        <f t="shared" ca="1" si="252"/>
        <v>1.4850099999999999</v>
      </c>
      <c r="DZ221" s="55">
        <f t="shared" ca="1" si="253"/>
        <v>-0.77529400000000004</v>
      </c>
      <c r="EA221" s="55">
        <f t="shared" ca="1" si="254"/>
        <v>0.84227600000000002</v>
      </c>
      <c r="EB221" s="55">
        <f t="shared" ca="1" si="255"/>
        <v>0.92862999999999996</v>
      </c>
      <c r="EC221" s="55">
        <f t="shared" ca="1" si="256"/>
        <v>0.82414200000000004</v>
      </c>
      <c r="ED221" s="55">
        <f t="shared" ca="1" si="257"/>
        <v>-0.63624700000000001</v>
      </c>
      <c r="EE221" s="55">
        <f t="shared" ca="1" si="258"/>
        <v>0.323988</v>
      </c>
      <c r="EF221" s="55">
        <f t="shared" ca="1" si="259"/>
        <v>0.23015099999999999</v>
      </c>
      <c r="EG221" s="55">
        <f t="shared" ca="1" si="260"/>
        <v>0.44046299999999999</v>
      </c>
      <c r="EH221" s="55">
        <f t="shared" ca="1" si="261"/>
        <v>-0.68194399999999999</v>
      </c>
      <c r="EI221" s="55">
        <f t="shared" ca="1" si="262"/>
        <v>0.29517700000000002</v>
      </c>
      <c r="EJ221" s="55">
        <f t="shared" ca="1" si="263"/>
        <v>-1.4813989999999999</v>
      </c>
      <c r="EK221" s="55">
        <f t="shared" ca="1" si="264"/>
        <v>0.408771</v>
      </c>
      <c r="EL221" s="55">
        <f t="shared" ca="1" si="265"/>
        <v>0.72226400000000002</v>
      </c>
      <c r="EM221" s="55">
        <f t="shared" ca="1" si="266"/>
        <v>0.23936499999999999</v>
      </c>
      <c r="EN221" s="55">
        <f t="shared" ca="1" si="267"/>
        <v>0.93853299999999995</v>
      </c>
      <c r="EO221" s="55">
        <f t="shared" ca="1" si="268"/>
        <v>-0.94483899999999998</v>
      </c>
      <c r="EP221" s="55">
        <f t="shared" ca="1" si="269"/>
        <v>-0.971854</v>
      </c>
      <c r="EQ221" s="55">
        <f t="shared" ca="1" si="270"/>
        <v>-0.39461200000000002</v>
      </c>
      <c r="ER221" s="55">
        <f t="shared" ca="1" si="271"/>
        <v>0.90890499999999996</v>
      </c>
      <c r="ES221" s="55">
        <f t="shared" ca="1" si="272"/>
        <v>0.66777500000000001</v>
      </c>
      <c r="ET221" s="55">
        <f t="shared" ca="1" si="273"/>
        <v>1.8090900000000001</v>
      </c>
      <c r="EU221" s="55">
        <f t="shared" ca="1" si="274"/>
        <v>3.8622999999999998E-2</v>
      </c>
      <c r="EV221" s="55">
        <f t="shared" ca="1" si="275"/>
        <v>-0.18663099999999999</v>
      </c>
      <c r="EW221" s="55">
        <f t="shared" ca="1" si="276"/>
        <v>-0.28596199999999999</v>
      </c>
      <c r="EX221" s="55">
        <f t="shared" ca="1" si="277"/>
        <v>0.35414800000000002</v>
      </c>
      <c r="EY221" s="55">
        <f t="shared" ca="1" si="278"/>
        <v>-0.25786999999999999</v>
      </c>
      <c r="EZ221" s="55">
        <f t="shared" ca="1" si="279"/>
        <v>-0.74679899999999999</v>
      </c>
      <c r="FA221" s="55">
        <f t="shared" ca="1" si="280"/>
        <v>-0.27183328312200006</v>
      </c>
      <c r="FB221" s="55">
        <f t="shared" ca="1" si="281"/>
        <v>-0.43824118922499999</v>
      </c>
      <c r="FC221" s="55">
        <f t="shared" ca="1" si="282"/>
        <v>-0.234232</v>
      </c>
      <c r="FD221" s="55">
        <f t="shared" ca="1" si="283"/>
        <v>1.110959</v>
      </c>
      <c r="FE221" s="55">
        <f t="shared" ca="1" si="284"/>
        <v>-0.47712300000000002</v>
      </c>
      <c r="FF221" s="55">
        <f t="shared" ca="1" si="285"/>
        <v>0.72406599999999999</v>
      </c>
      <c r="FH221" s="55">
        <f t="shared" ca="1" si="286"/>
        <v>0</v>
      </c>
      <c r="FI221" s="55">
        <f t="shared" ca="1" si="379"/>
        <v>0</v>
      </c>
      <c r="FJ221" s="55">
        <f t="shared" ca="1" si="380"/>
        <v>0</v>
      </c>
      <c r="FK221" s="55">
        <f t="shared" ca="1" si="381"/>
        <v>0</v>
      </c>
      <c r="FL221" s="55">
        <f t="shared" ca="1" si="382"/>
        <v>0</v>
      </c>
      <c r="FM221" s="55">
        <f t="shared" ca="1" si="383"/>
        <v>0</v>
      </c>
      <c r="FN221" s="55">
        <f t="shared" ca="1" si="384"/>
        <v>0</v>
      </c>
      <c r="FO221" s="55">
        <f t="shared" ca="1" si="385"/>
        <v>0</v>
      </c>
      <c r="FP221" s="55">
        <f t="shared" ca="1" si="386"/>
        <v>0</v>
      </c>
      <c r="FQ221" s="55">
        <f t="shared" ca="1" si="387"/>
        <v>0</v>
      </c>
      <c r="FR221" s="55">
        <f t="shared" ca="1" si="388"/>
        <v>0</v>
      </c>
      <c r="FS221" s="55">
        <f t="shared" ca="1" si="329"/>
        <v>0</v>
      </c>
      <c r="FT221" s="55">
        <f t="shared" ca="1" si="330"/>
        <v>0</v>
      </c>
      <c r="FU221" s="55">
        <f t="shared" ca="1" si="331"/>
        <v>0</v>
      </c>
      <c r="FV221" s="55">
        <f t="shared" ca="1" si="332"/>
        <v>0</v>
      </c>
      <c r="FW221" s="55">
        <f t="shared" ca="1" si="333"/>
        <v>0</v>
      </c>
      <c r="FX221" s="55">
        <f t="shared" ca="1" si="334"/>
        <v>0</v>
      </c>
      <c r="FY221" s="55">
        <f t="shared" ca="1" si="335"/>
        <v>0</v>
      </c>
      <c r="FZ221" s="55">
        <f t="shared" ca="1" si="336"/>
        <v>0</v>
      </c>
      <c r="GA221" s="55">
        <f t="shared" ca="1" si="337"/>
        <v>0</v>
      </c>
      <c r="GB221" s="55">
        <f t="shared" ca="1" si="338"/>
        <v>0</v>
      </c>
      <c r="GC221" s="55">
        <f t="shared" ca="1" si="339"/>
        <v>0</v>
      </c>
      <c r="GD221" s="55">
        <f t="shared" ca="1" si="340"/>
        <v>0</v>
      </c>
      <c r="GE221" s="55">
        <f t="shared" ca="1" si="341"/>
        <v>0</v>
      </c>
      <c r="GF221" s="55">
        <f t="shared" ca="1" si="342"/>
        <v>0</v>
      </c>
      <c r="GG221" s="55">
        <f t="shared" ca="1" si="343"/>
        <v>0</v>
      </c>
      <c r="GH221" s="55">
        <f t="shared" ca="1" si="344"/>
        <v>0</v>
      </c>
      <c r="GI221" s="55">
        <f t="shared" ca="1" si="345"/>
        <v>0</v>
      </c>
      <c r="GJ221" s="55">
        <f t="shared" ca="1" si="346"/>
        <v>0</v>
      </c>
      <c r="GK221" s="55">
        <f t="shared" ca="1" si="347"/>
        <v>0</v>
      </c>
      <c r="GL221" s="55">
        <f t="shared" ca="1" si="348"/>
        <v>0</v>
      </c>
      <c r="GM221" s="55">
        <f t="shared" ca="1" si="349"/>
        <v>0</v>
      </c>
      <c r="GN221" s="55">
        <f t="shared" ca="1" si="350"/>
        <v>0</v>
      </c>
      <c r="GO221" s="55">
        <f t="shared" ca="1" si="351"/>
        <v>0</v>
      </c>
      <c r="GP221" s="55">
        <f t="shared" ca="1" si="352"/>
        <v>0</v>
      </c>
      <c r="GQ221" s="55">
        <f t="shared" ca="1" si="353"/>
        <v>0</v>
      </c>
      <c r="GR221" s="55">
        <f t="shared" ca="1" si="354"/>
        <v>0</v>
      </c>
      <c r="GS221" s="55">
        <f t="shared" ca="1" si="355"/>
        <v>0</v>
      </c>
      <c r="GT221" s="55">
        <f t="shared" ca="1" si="356"/>
        <v>0</v>
      </c>
      <c r="GU221" s="55">
        <f t="shared" ca="1" si="357"/>
        <v>0</v>
      </c>
      <c r="GV221" s="55">
        <f t="shared" ca="1" si="358"/>
        <v>0</v>
      </c>
      <c r="GW221" s="55">
        <f t="shared" ca="1" si="359"/>
        <v>0</v>
      </c>
      <c r="GX221" s="55">
        <f t="shared" ca="1" si="360"/>
        <v>0</v>
      </c>
      <c r="GY221" s="55">
        <f t="shared" ca="1" si="361"/>
        <v>0</v>
      </c>
      <c r="GZ221" s="55">
        <f t="shared" ca="1" si="362"/>
        <v>0.37288171687799998</v>
      </c>
      <c r="HA221" s="55">
        <f t="shared" ca="1" si="363"/>
        <v>7.262810775000017E-3</v>
      </c>
      <c r="HB221" s="55">
        <f t="shared" ca="1" si="364"/>
        <v>0</v>
      </c>
      <c r="HC221" s="55">
        <f t="shared" ca="1" si="365"/>
        <v>0</v>
      </c>
      <c r="HD221" s="55">
        <f t="shared" ca="1" si="366"/>
        <v>0</v>
      </c>
      <c r="HE221" s="55">
        <f t="shared" ca="1" si="367"/>
        <v>0</v>
      </c>
    </row>
    <row r="222" spans="1:213">
      <c r="A222" s="27">
        <v>85</v>
      </c>
      <c r="B222" s="27">
        <v>50</v>
      </c>
      <c r="C222" s="27">
        <v>0.85333700000000001</v>
      </c>
      <c r="D222" s="27">
        <v>0.308647</v>
      </c>
      <c r="E222" s="27">
        <v>42</v>
      </c>
      <c r="F222" s="27">
        <f t="shared" ca="1" si="231"/>
        <v>48</v>
      </c>
      <c r="G222" s="27">
        <f t="shared" si="230"/>
        <v>0</v>
      </c>
      <c r="H222" s="27" t="str">
        <f t="shared" si="232"/>
        <v>Não</v>
      </c>
      <c r="I222" s="27">
        <f t="shared" si="233"/>
        <v>0</v>
      </c>
      <c r="J222" s="37">
        <f t="shared" si="234"/>
        <v>0</v>
      </c>
      <c r="K222" s="55">
        <f t="shared" si="235"/>
        <v>-0.31709100000000001</v>
      </c>
      <c r="L222" s="55">
        <f t="shared" si="368"/>
        <v>-0.89203399999999999</v>
      </c>
      <c r="M222" s="55">
        <f t="shared" si="369"/>
        <v>-0.50178699999999998</v>
      </c>
      <c r="N222" s="55">
        <f t="shared" si="370"/>
        <v>1.341126</v>
      </c>
      <c r="O222" s="55">
        <f t="shared" si="371"/>
        <v>-0.35331899999999999</v>
      </c>
      <c r="P222" s="55">
        <f t="shared" si="372"/>
        <v>-0.81649300000000002</v>
      </c>
      <c r="Q222" s="55">
        <f t="shared" si="373"/>
        <v>0.76869500000000002</v>
      </c>
      <c r="R222" s="55">
        <f t="shared" si="374"/>
        <v>0.78559599999999996</v>
      </c>
      <c r="S222" s="55">
        <f t="shared" si="375"/>
        <v>-0.50029299999999999</v>
      </c>
      <c r="T222" s="55">
        <f t="shared" si="376"/>
        <v>5.3810999999999998E-2</v>
      </c>
      <c r="U222" s="55">
        <f t="shared" si="377"/>
        <v>-1.401068</v>
      </c>
      <c r="V222" s="55">
        <f t="shared" si="288"/>
        <v>-0.34910000000000002</v>
      </c>
      <c r="W222" s="55">
        <f t="shared" si="289"/>
        <v>1.39639</v>
      </c>
      <c r="X222" s="55">
        <f t="shared" si="290"/>
        <v>0.16563800000000001</v>
      </c>
      <c r="Y222" s="55">
        <f t="shared" si="291"/>
        <v>-0.78129099999999996</v>
      </c>
      <c r="Z222" s="55">
        <f t="shared" si="292"/>
        <v>0.19028100000000001</v>
      </c>
      <c r="AA222" s="55">
        <f t="shared" si="293"/>
        <v>-1.158496</v>
      </c>
      <c r="AB222" s="55">
        <f t="shared" si="294"/>
        <v>-8.0203999999999998E-2</v>
      </c>
      <c r="AC222" s="55">
        <f t="shared" si="295"/>
        <v>-5.5931000000000002E-2</v>
      </c>
      <c r="AD222" s="55">
        <f t="shared" si="296"/>
        <v>0.14855699999999999</v>
      </c>
      <c r="AE222" s="55">
        <f t="shared" si="297"/>
        <v>-0.54910300000000001</v>
      </c>
      <c r="AF222" s="55">
        <f t="shared" si="298"/>
        <v>-1.646245</v>
      </c>
      <c r="AG222" s="55">
        <f t="shared" si="299"/>
        <v>0.36466599999999999</v>
      </c>
      <c r="AH222" s="55">
        <f t="shared" si="300"/>
        <v>1.0881E-2</v>
      </c>
      <c r="AI222" s="55">
        <f t="shared" si="301"/>
        <v>0.95167999999999997</v>
      </c>
      <c r="AJ222" s="55">
        <f t="shared" si="302"/>
        <v>0.35824299999999998</v>
      </c>
      <c r="AK222" s="55">
        <f t="shared" si="303"/>
        <v>-0.28089999999999998</v>
      </c>
      <c r="AL222" s="55">
        <f t="shared" si="304"/>
        <v>-0.410466</v>
      </c>
      <c r="AM222" s="55">
        <f t="shared" si="305"/>
        <v>0.50322500000000003</v>
      </c>
      <c r="AN222" s="55">
        <f t="shared" si="306"/>
        <v>0.31360100000000002</v>
      </c>
      <c r="AO222" s="55">
        <f t="shared" si="307"/>
        <v>-1.7582420000000001</v>
      </c>
      <c r="AP222" s="55">
        <f t="shared" si="308"/>
        <v>1.1691739999999999</v>
      </c>
      <c r="AQ222" s="55">
        <f t="shared" si="309"/>
        <v>2.2877999999999999E-2</v>
      </c>
      <c r="AR222" s="55">
        <f t="shared" si="310"/>
        <v>1.1598599999999999</v>
      </c>
      <c r="AS222" s="55">
        <f t="shared" si="311"/>
        <v>-8.8025999999999993E-2</v>
      </c>
      <c r="AT222" s="55">
        <f t="shared" si="312"/>
        <v>1.3394E-2</v>
      </c>
      <c r="AU222" s="55">
        <f t="shared" si="313"/>
        <v>0.43396099999999999</v>
      </c>
      <c r="AV222" s="55">
        <f t="shared" si="314"/>
        <v>-0.96805399999999997</v>
      </c>
      <c r="AW222" s="55">
        <f t="shared" si="315"/>
        <v>0.22781000000000001</v>
      </c>
      <c r="AX222" s="55">
        <f t="shared" si="316"/>
        <v>4.8700000000000002E-4</v>
      </c>
      <c r="AY222" s="55">
        <f t="shared" si="317"/>
        <v>-0.89963199999999999</v>
      </c>
      <c r="AZ222" s="55">
        <f t="shared" si="318"/>
        <v>0.18885199999999999</v>
      </c>
      <c r="BA222" s="55">
        <f t="shared" si="319"/>
        <v>0.40491199999999999</v>
      </c>
      <c r="BB222" s="55">
        <f t="shared" si="320"/>
        <v>0.131018</v>
      </c>
      <c r="BC222" s="55">
        <f t="shared" si="321"/>
        <v>-0.14644599999999999</v>
      </c>
      <c r="BD222" s="55">
        <f t="shared" si="322"/>
        <v>-0.53958099999999998</v>
      </c>
      <c r="BE222" s="55">
        <f t="shared" si="323"/>
        <v>-0.81196599999999997</v>
      </c>
      <c r="BF222" s="55">
        <f t="shared" si="324"/>
        <v>7.3072999999999999E-2</v>
      </c>
      <c r="BG222" s="55">
        <f t="shared" si="325"/>
        <v>0.273009</v>
      </c>
      <c r="BH222" s="55">
        <f t="shared" si="326"/>
        <v>0.25028899999999998</v>
      </c>
      <c r="BJ222" s="55">
        <f t="shared" si="378"/>
        <v>-1.0969869999999999</v>
      </c>
      <c r="BK222" s="55">
        <f t="shared" si="378"/>
        <v>0.38115300000000002</v>
      </c>
      <c r="BL222" s="55">
        <f t="shared" si="378"/>
        <v>0.52356899999999995</v>
      </c>
      <c r="BM222" s="55">
        <f t="shared" si="378"/>
        <v>-1.714448</v>
      </c>
      <c r="BN222" s="55">
        <f t="shared" si="378"/>
        <v>0.639714</v>
      </c>
      <c r="BO222" s="55">
        <f t="shared" si="378"/>
        <v>-0.27751399999999998</v>
      </c>
      <c r="BP222" s="55">
        <f t="shared" si="378"/>
        <v>0.22517899999999999</v>
      </c>
      <c r="BQ222" s="55">
        <f t="shared" si="378"/>
        <v>-6.7871000000000001E-2</v>
      </c>
      <c r="BR222" s="55">
        <f t="shared" si="378"/>
        <v>-0.26596500000000001</v>
      </c>
      <c r="BS222" s="55">
        <f t="shared" si="378"/>
        <v>-3.7038000000000001E-2</v>
      </c>
      <c r="BT222" s="55">
        <f t="shared" si="378"/>
        <v>0.96115200000000001</v>
      </c>
      <c r="BU222" s="55">
        <f t="shared" si="378"/>
        <v>0.51594700000000004</v>
      </c>
      <c r="BV222" s="55">
        <f t="shared" si="378"/>
        <v>0.59214999999999995</v>
      </c>
      <c r="BW222" s="55">
        <f t="shared" si="378"/>
        <v>-0.90259299999999998</v>
      </c>
      <c r="BX222" s="55">
        <f t="shared" si="378"/>
        <v>0.98840300000000003</v>
      </c>
      <c r="BY222" s="55">
        <f t="shared" ref="BY222:CN236" si="390">VLOOKUP($B222,$A$33:$BG$132,BY$134,FALSE)</f>
        <v>-0.674983</v>
      </c>
      <c r="BZ222" s="55">
        <f t="shared" si="390"/>
        <v>0.97841800000000001</v>
      </c>
      <c r="CA222" s="55">
        <f t="shared" si="390"/>
        <v>0.82400099999999998</v>
      </c>
      <c r="CB222" s="55">
        <f t="shared" si="390"/>
        <v>1.396997</v>
      </c>
      <c r="CC222" s="55">
        <f t="shared" si="390"/>
        <v>-0.45306800000000003</v>
      </c>
      <c r="CD222" s="55">
        <f t="shared" si="390"/>
        <v>0.68356899999999998</v>
      </c>
      <c r="CE222" s="55">
        <f t="shared" si="390"/>
        <v>0.73449600000000004</v>
      </c>
      <c r="CF222" s="55">
        <f t="shared" si="390"/>
        <v>0.567998</v>
      </c>
      <c r="CG222" s="55">
        <f t="shared" si="390"/>
        <v>-0.45733400000000002</v>
      </c>
      <c r="CH222" s="55">
        <f t="shared" si="390"/>
        <v>-1.048338</v>
      </c>
      <c r="CI222" s="55">
        <f t="shared" si="390"/>
        <v>-1.1257E-2</v>
      </c>
      <c r="CJ222" s="55">
        <f t="shared" si="390"/>
        <v>0.294599</v>
      </c>
      <c r="CK222" s="55">
        <f t="shared" si="390"/>
        <v>1.0457559999999999</v>
      </c>
      <c r="CL222" s="55">
        <f t="shared" si="390"/>
        <v>-0.35778199999999999</v>
      </c>
      <c r="CM222" s="55">
        <f t="shared" si="390"/>
        <v>-0.12554699999999999</v>
      </c>
      <c r="CN222" s="55">
        <f t="shared" si="390"/>
        <v>-0.62191700000000005</v>
      </c>
      <c r="CO222" s="55">
        <f t="shared" ref="CO222:DD236" si="391">VLOOKUP($B222,$A$33:$BG$132,CO$134,FALSE)</f>
        <v>0.52560499999999999</v>
      </c>
      <c r="CP222" s="55">
        <f t="shared" si="391"/>
        <v>2.4389000000000001E-2</v>
      </c>
      <c r="CQ222" s="55">
        <f t="shared" si="391"/>
        <v>-1.1259049999999999</v>
      </c>
      <c r="CR222" s="55">
        <f t="shared" si="391"/>
        <v>0.78310400000000002</v>
      </c>
      <c r="CS222" s="55">
        <f t="shared" si="391"/>
        <v>-0.625803</v>
      </c>
      <c r="CT222" s="55">
        <f t="shared" si="391"/>
        <v>0.32439000000000001</v>
      </c>
      <c r="CU222" s="55">
        <f t="shared" si="391"/>
        <v>-0.28769800000000001</v>
      </c>
      <c r="CV222" s="55">
        <f t="shared" si="391"/>
        <v>-0.81347199999999997</v>
      </c>
      <c r="CW222" s="55">
        <f t="shared" si="391"/>
        <v>0.20236699999999999</v>
      </c>
      <c r="CX222" s="55">
        <f t="shared" si="391"/>
        <v>0.71817299999999995</v>
      </c>
      <c r="CY222" s="55">
        <f t="shared" si="391"/>
        <v>-1.6559000000000001E-2</v>
      </c>
      <c r="CZ222" s="55">
        <f t="shared" si="391"/>
        <v>-0.30865999999999999</v>
      </c>
      <c r="DA222" s="55">
        <f t="shared" si="391"/>
        <v>-0.412381</v>
      </c>
      <c r="DB222" s="55">
        <f t="shared" si="391"/>
        <v>-0.70930300000000002</v>
      </c>
      <c r="DC222" s="55">
        <f t="shared" si="391"/>
        <v>-7.7965000000000007E-2</v>
      </c>
      <c r="DD222" s="55">
        <f t="shared" si="391"/>
        <v>0.49343900000000002</v>
      </c>
      <c r="DE222" s="55">
        <f t="shared" si="389"/>
        <v>-0.40752500000000003</v>
      </c>
      <c r="DF222" s="55">
        <f t="shared" si="389"/>
        <v>0.80309900000000001</v>
      </c>
      <c r="DG222" s="55">
        <f t="shared" si="389"/>
        <v>-0.17697399999999999</v>
      </c>
      <c r="DI222" s="55">
        <f t="shared" ca="1" si="236"/>
        <v>-0.31709100000000001</v>
      </c>
      <c r="DJ222" s="55">
        <f t="shared" ca="1" si="237"/>
        <v>-0.89203399999999999</v>
      </c>
      <c r="DK222" s="55">
        <f t="shared" ca="1" si="238"/>
        <v>-0.50178699999999998</v>
      </c>
      <c r="DL222" s="55">
        <f t="shared" ca="1" si="239"/>
        <v>1.341126</v>
      </c>
      <c r="DM222" s="55">
        <f t="shared" ca="1" si="240"/>
        <v>-0.35331899999999999</v>
      </c>
      <c r="DN222" s="55">
        <f t="shared" ca="1" si="241"/>
        <v>-0.81649300000000002</v>
      </c>
      <c r="DO222" s="55">
        <f t="shared" ca="1" si="242"/>
        <v>0.76869500000000002</v>
      </c>
      <c r="DP222" s="55">
        <f t="shared" ca="1" si="243"/>
        <v>0.78559599999999996</v>
      </c>
      <c r="DQ222" s="55">
        <f t="shared" ca="1" si="244"/>
        <v>-0.50029299999999999</v>
      </c>
      <c r="DR222" s="55">
        <f t="shared" ca="1" si="245"/>
        <v>5.3810999999999998E-2</v>
      </c>
      <c r="DS222" s="55">
        <f t="shared" ca="1" si="246"/>
        <v>-1.401068</v>
      </c>
      <c r="DT222" s="55">
        <f t="shared" ca="1" si="247"/>
        <v>-0.34910000000000002</v>
      </c>
      <c r="DU222" s="55">
        <f t="shared" ca="1" si="248"/>
        <v>1.39639</v>
      </c>
      <c r="DV222" s="55">
        <f t="shared" ca="1" si="249"/>
        <v>0.16563800000000001</v>
      </c>
      <c r="DW222" s="55">
        <f t="shared" ca="1" si="250"/>
        <v>-0.78129099999999996</v>
      </c>
      <c r="DX222" s="55">
        <f t="shared" ca="1" si="251"/>
        <v>0.19028100000000001</v>
      </c>
      <c r="DY222" s="55">
        <f t="shared" ca="1" si="252"/>
        <v>-1.158496</v>
      </c>
      <c r="DZ222" s="55">
        <f t="shared" ca="1" si="253"/>
        <v>-8.0203999999999998E-2</v>
      </c>
      <c r="EA222" s="55">
        <f t="shared" ca="1" si="254"/>
        <v>-5.5931000000000002E-2</v>
      </c>
      <c r="EB222" s="55">
        <f t="shared" ca="1" si="255"/>
        <v>0.14855699999999999</v>
      </c>
      <c r="EC222" s="55">
        <f t="shared" ca="1" si="256"/>
        <v>-0.54910300000000001</v>
      </c>
      <c r="ED222" s="55">
        <f t="shared" ca="1" si="257"/>
        <v>-1.646245</v>
      </c>
      <c r="EE222" s="55">
        <f t="shared" ca="1" si="258"/>
        <v>0.36466599999999999</v>
      </c>
      <c r="EF222" s="55">
        <f t="shared" ca="1" si="259"/>
        <v>1.0881E-2</v>
      </c>
      <c r="EG222" s="55">
        <f t="shared" ca="1" si="260"/>
        <v>0.95167999999999997</v>
      </c>
      <c r="EH222" s="55">
        <f t="shared" ca="1" si="261"/>
        <v>0.35824299999999998</v>
      </c>
      <c r="EI222" s="55">
        <f t="shared" ca="1" si="262"/>
        <v>-0.28089999999999998</v>
      </c>
      <c r="EJ222" s="55">
        <f t="shared" ca="1" si="263"/>
        <v>-0.410466</v>
      </c>
      <c r="EK222" s="55">
        <f t="shared" ca="1" si="264"/>
        <v>0.50322500000000003</v>
      </c>
      <c r="EL222" s="55">
        <f t="shared" ca="1" si="265"/>
        <v>0.31360100000000002</v>
      </c>
      <c r="EM222" s="55">
        <f t="shared" ca="1" si="266"/>
        <v>-1.7582420000000001</v>
      </c>
      <c r="EN222" s="55">
        <f t="shared" ca="1" si="267"/>
        <v>1.1691739999999999</v>
      </c>
      <c r="EO222" s="55">
        <f t="shared" ca="1" si="268"/>
        <v>2.2877999999999999E-2</v>
      </c>
      <c r="EP222" s="55">
        <f t="shared" ca="1" si="269"/>
        <v>1.1598599999999999</v>
      </c>
      <c r="EQ222" s="55">
        <f t="shared" ca="1" si="270"/>
        <v>-8.8025999999999993E-2</v>
      </c>
      <c r="ER222" s="55">
        <f t="shared" ca="1" si="271"/>
        <v>1.3394E-2</v>
      </c>
      <c r="ES222" s="55">
        <f t="shared" ca="1" si="272"/>
        <v>0.43396099999999999</v>
      </c>
      <c r="ET222" s="55">
        <f t="shared" ca="1" si="273"/>
        <v>-0.96805399999999997</v>
      </c>
      <c r="EU222" s="55">
        <f t="shared" ca="1" si="274"/>
        <v>0.22781000000000001</v>
      </c>
      <c r="EV222" s="55">
        <f t="shared" ca="1" si="275"/>
        <v>4.8700000000000002E-4</v>
      </c>
      <c r="EW222" s="55">
        <f t="shared" ca="1" si="276"/>
        <v>-0.89963199999999999</v>
      </c>
      <c r="EX222" s="55">
        <f t="shared" ca="1" si="277"/>
        <v>0.18885199999999999</v>
      </c>
      <c r="EY222" s="55">
        <f t="shared" ca="1" si="278"/>
        <v>0.40491199999999999</v>
      </c>
      <c r="EZ222" s="55">
        <f t="shared" ca="1" si="279"/>
        <v>0.131018</v>
      </c>
      <c r="FA222" s="55">
        <f t="shared" ca="1" si="280"/>
        <v>-0.14644599999999999</v>
      </c>
      <c r="FB222" s="55">
        <f t="shared" ca="1" si="281"/>
        <v>-0.53958099999999998</v>
      </c>
      <c r="FC222" s="55">
        <f t="shared" ca="1" si="282"/>
        <v>-0.81196599999999997</v>
      </c>
      <c r="FD222" s="55">
        <f t="shared" ca="1" si="283"/>
        <v>7.3072999999999999E-2</v>
      </c>
      <c r="FE222" s="55">
        <f t="shared" ca="1" si="284"/>
        <v>0.273009</v>
      </c>
      <c r="FF222" s="55">
        <f t="shared" ca="1" si="285"/>
        <v>0.25028899999999998</v>
      </c>
      <c r="FH222" s="55">
        <f t="shared" ca="1" si="286"/>
        <v>0</v>
      </c>
      <c r="FI222" s="55">
        <f t="shared" ca="1" si="379"/>
        <v>0</v>
      </c>
      <c r="FJ222" s="55">
        <f t="shared" ca="1" si="380"/>
        <v>0</v>
      </c>
      <c r="FK222" s="55">
        <f t="shared" ca="1" si="381"/>
        <v>0</v>
      </c>
      <c r="FL222" s="55">
        <f t="shared" ca="1" si="382"/>
        <v>0</v>
      </c>
      <c r="FM222" s="55">
        <f t="shared" ca="1" si="383"/>
        <v>0</v>
      </c>
      <c r="FN222" s="55">
        <f t="shared" ca="1" si="384"/>
        <v>0</v>
      </c>
      <c r="FO222" s="55">
        <f t="shared" ca="1" si="385"/>
        <v>0</v>
      </c>
      <c r="FP222" s="55">
        <f t="shared" ca="1" si="386"/>
        <v>0</v>
      </c>
      <c r="FQ222" s="55">
        <f t="shared" ca="1" si="387"/>
        <v>0</v>
      </c>
      <c r="FR222" s="55">
        <f t="shared" ca="1" si="388"/>
        <v>0</v>
      </c>
      <c r="FS222" s="55">
        <f t="shared" ca="1" si="329"/>
        <v>0</v>
      </c>
      <c r="FT222" s="55">
        <f t="shared" ca="1" si="330"/>
        <v>0</v>
      </c>
      <c r="FU222" s="55">
        <f t="shared" ca="1" si="331"/>
        <v>0</v>
      </c>
      <c r="FV222" s="55">
        <f t="shared" ca="1" si="332"/>
        <v>0</v>
      </c>
      <c r="FW222" s="55">
        <f t="shared" ca="1" si="333"/>
        <v>0</v>
      </c>
      <c r="FX222" s="55">
        <f t="shared" ca="1" si="334"/>
        <v>0</v>
      </c>
      <c r="FY222" s="55">
        <f t="shared" ca="1" si="335"/>
        <v>0</v>
      </c>
      <c r="FZ222" s="55">
        <f t="shared" ca="1" si="336"/>
        <v>0</v>
      </c>
      <c r="GA222" s="55">
        <f t="shared" ca="1" si="337"/>
        <v>0</v>
      </c>
      <c r="GB222" s="55">
        <f t="shared" ca="1" si="338"/>
        <v>0</v>
      </c>
      <c r="GC222" s="55">
        <f t="shared" ca="1" si="339"/>
        <v>0</v>
      </c>
      <c r="GD222" s="55">
        <f t="shared" ca="1" si="340"/>
        <v>0</v>
      </c>
      <c r="GE222" s="55">
        <f t="shared" ca="1" si="341"/>
        <v>0</v>
      </c>
      <c r="GF222" s="55">
        <f t="shared" ca="1" si="342"/>
        <v>0</v>
      </c>
      <c r="GG222" s="55">
        <f t="shared" ca="1" si="343"/>
        <v>0</v>
      </c>
      <c r="GH222" s="55">
        <f t="shared" ca="1" si="344"/>
        <v>0</v>
      </c>
      <c r="GI222" s="55">
        <f t="shared" ca="1" si="345"/>
        <v>0</v>
      </c>
      <c r="GJ222" s="55">
        <f t="shared" ca="1" si="346"/>
        <v>0</v>
      </c>
      <c r="GK222" s="55">
        <f t="shared" ca="1" si="347"/>
        <v>0</v>
      </c>
      <c r="GL222" s="55">
        <f t="shared" ca="1" si="348"/>
        <v>0</v>
      </c>
      <c r="GM222" s="55">
        <f t="shared" ca="1" si="349"/>
        <v>0</v>
      </c>
      <c r="GN222" s="55">
        <f t="shared" ca="1" si="350"/>
        <v>0</v>
      </c>
      <c r="GO222" s="55">
        <f t="shared" ca="1" si="351"/>
        <v>0</v>
      </c>
      <c r="GP222" s="55">
        <f t="shared" ca="1" si="352"/>
        <v>0</v>
      </c>
      <c r="GQ222" s="55">
        <f t="shared" ca="1" si="353"/>
        <v>0</v>
      </c>
      <c r="GR222" s="55">
        <f t="shared" ca="1" si="354"/>
        <v>0</v>
      </c>
      <c r="GS222" s="55">
        <f t="shared" ca="1" si="355"/>
        <v>0</v>
      </c>
      <c r="GT222" s="55">
        <f t="shared" ca="1" si="356"/>
        <v>0</v>
      </c>
      <c r="GU222" s="55">
        <f t="shared" ca="1" si="357"/>
        <v>0</v>
      </c>
      <c r="GV222" s="55">
        <f t="shared" ca="1" si="358"/>
        <v>0</v>
      </c>
      <c r="GW222" s="55">
        <f t="shared" ca="1" si="359"/>
        <v>0</v>
      </c>
      <c r="GX222" s="55">
        <f t="shared" ca="1" si="360"/>
        <v>0</v>
      </c>
      <c r="GY222" s="55">
        <f t="shared" ca="1" si="361"/>
        <v>0</v>
      </c>
      <c r="GZ222" s="55">
        <f t="shared" ca="1" si="362"/>
        <v>0</v>
      </c>
      <c r="HA222" s="55">
        <f t="shared" ca="1" si="363"/>
        <v>0</v>
      </c>
      <c r="HB222" s="55">
        <f t="shared" ca="1" si="364"/>
        <v>0</v>
      </c>
      <c r="HC222" s="55">
        <f t="shared" ca="1" si="365"/>
        <v>0</v>
      </c>
      <c r="HD222" s="55">
        <f t="shared" ca="1" si="366"/>
        <v>0</v>
      </c>
      <c r="HE222" s="55">
        <f t="shared" ca="1" si="367"/>
        <v>0</v>
      </c>
    </row>
    <row r="223" spans="1:213">
      <c r="A223" s="27">
        <v>86</v>
      </c>
      <c r="B223" s="27">
        <v>34</v>
      </c>
      <c r="C223" s="27">
        <v>0.54684200000000005</v>
      </c>
      <c r="D223" s="27">
        <v>0.90149500000000005</v>
      </c>
      <c r="E223" s="27">
        <v>46</v>
      </c>
      <c r="F223" s="27">
        <f t="shared" ca="1" si="231"/>
        <v>46</v>
      </c>
      <c r="G223" s="27">
        <f t="shared" si="230"/>
        <v>0</v>
      </c>
      <c r="H223" s="27" t="str">
        <f t="shared" si="232"/>
        <v>Sim</v>
      </c>
      <c r="I223" s="27">
        <f t="shared" si="233"/>
        <v>0</v>
      </c>
      <c r="J223" s="37">
        <f t="shared" si="234"/>
        <v>1</v>
      </c>
      <c r="K223" s="55">
        <f t="shared" si="235"/>
        <v>0.80271800000000004</v>
      </c>
      <c r="L223" s="55">
        <f t="shared" si="368"/>
        <v>0.41569299999999998</v>
      </c>
      <c r="M223" s="55">
        <f t="shared" si="369"/>
        <v>-0.65010199999999996</v>
      </c>
      <c r="N223" s="55">
        <f t="shared" si="370"/>
        <v>1.421875</v>
      </c>
      <c r="O223" s="55">
        <f t="shared" si="371"/>
        <v>-1.3561369999999999</v>
      </c>
      <c r="P223" s="55">
        <f t="shared" si="372"/>
        <v>-0.280613</v>
      </c>
      <c r="Q223" s="55">
        <f t="shared" si="373"/>
        <v>-0.77776800000000001</v>
      </c>
      <c r="R223" s="55">
        <f t="shared" si="374"/>
        <v>0.216886</v>
      </c>
      <c r="S223" s="55">
        <f t="shared" si="375"/>
        <v>-9.5966999999999997E-2</v>
      </c>
      <c r="T223" s="55">
        <f t="shared" si="376"/>
        <v>-1.415297</v>
      </c>
      <c r="U223" s="55">
        <f t="shared" si="377"/>
        <v>0.40227499999999999</v>
      </c>
      <c r="V223" s="55">
        <f t="shared" si="288"/>
        <v>5.2469999999999999E-3</v>
      </c>
      <c r="W223" s="55">
        <f t="shared" si="289"/>
        <v>-0.25848399999999999</v>
      </c>
      <c r="X223" s="55">
        <f t="shared" si="290"/>
        <v>-0.59054499999999999</v>
      </c>
      <c r="Y223" s="55">
        <f t="shared" si="291"/>
        <v>-0.66590099999999997</v>
      </c>
      <c r="Z223" s="55">
        <f t="shared" si="292"/>
        <v>-1.029955</v>
      </c>
      <c r="AA223" s="55">
        <f t="shared" si="293"/>
        <v>0.46449499999999999</v>
      </c>
      <c r="AB223" s="55">
        <f t="shared" si="294"/>
        <v>1.274626</v>
      </c>
      <c r="AC223" s="55">
        <f t="shared" si="295"/>
        <v>-0.88309400000000005</v>
      </c>
      <c r="AD223" s="55">
        <f t="shared" si="296"/>
        <v>0.18010200000000001</v>
      </c>
      <c r="AE223" s="55">
        <f t="shared" si="297"/>
        <v>-2.7584000000000001E-2</v>
      </c>
      <c r="AF223" s="55">
        <f t="shared" si="298"/>
        <v>0.92403800000000003</v>
      </c>
      <c r="AG223" s="55">
        <f t="shared" si="299"/>
        <v>0.16814299999999999</v>
      </c>
      <c r="AH223" s="55">
        <f t="shared" si="300"/>
        <v>0.79659800000000003</v>
      </c>
      <c r="AI223" s="55">
        <f t="shared" si="301"/>
        <v>-0.64390000000000003</v>
      </c>
      <c r="AJ223" s="55">
        <f t="shared" si="302"/>
        <v>-0.66383000000000003</v>
      </c>
      <c r="AK223" s="55">
        <f t="shared" si="303"/>
        <v>-0.73873999999999995</v>
      </c>
      <c r="AL223" s="55">
        <f t="shared" si="304"/>
        <v>-0.97223599999999999</v>
      </c>
      <c r="AM223" s="55">
        <f t="shared" si="305"/>
        <v>0.71340599999999998</v>
      </c>
      <c r="AN223" s="55">
        <f t="shared" si="306"/>
        <v>0.93837599999999999</v>
      </c>
      <c r="AO223" s="55">
        <f t="shared" si="307"/>
        <v>-0.27566000000000002</v>
      </c>
      <c r="AP223" s="55">
        <f t="shared" si="308"/>
        <v>-0.31607000000000002</v>
      </c>
      <c r="AQ223" s="55">
        <f t="shared" si="309"/>
        <v>1.2694879999999999</v>
      </c>
      <c r="AR223" s="55">
        <f t="shared" si="310"/>
        <v>0.28856700000000002</v>
      </c>
      <c r="AS223" s="55">
        <f t="shared" si="311"/>
        <v>4.6719999999999999E-3</v>
      </c>
      <c r="AT223" s="55">
        <f t="shared" si="312"/>
        <v>-1.6549000000000001E-2</v>
      </c>
      <c r="AU223" s="55">
        <f t="shared" si="313"/>
        <v>0.64384699999999995</v>
      </c>
      <c r="AV223" s="55">
        <f t="shared" si="314"/>
        <v>0.36836799999999997</v>
      </c>
      <c r="AW223" s="55">
        <f t="shared" si="315"/>
        <v>0.689689</v>
      </c>
      <c r="AX223" s="55">
        <f t="shared" si="316"/>
        <v>0.12138500000000001</v>
      </c>
      <c r="AY223" s="55">
        <f t="shared" si="317"/>
        <v>0.36139500000000002</v>
      </c>
      <c r="AZ223" s="55">
        <f t="shared" si="318"/>
        <v>1.077331</v>
      </c>
      <c r="BA223" s="55">
        <f t="shared" si="319"/>
        <v>-1.804222</v>
      </c>
      <c r="BB223" s="55">
        <f t="shared" si="320"/>
        <v>-0.78857100000000002</v>
      </c>
      <c r="BC223" s="55">
        <f t="shared" si="321"/>
        <v>-1.718933</v>
      </c>
      <c r="BD223" s="55">
        <f t="shared" si="322"/>
        <v>0.42726199999999998</v>
      </c>
      <c r="BE223" s="55">
        <f t="shared" si="323"/>
        <v>0.47566399999999998</v>
      </c>
      <c r="BF223" s="55">
        <f t="shared" si="324"/>
        <v>0.336169</v>
      </c>
      <c r="BG223" s="55">
        <f t="shared" si="325"/>
        <v>0.69408199999999998</v>
      </c>
      <c r="BH223" s="55">
        <f t="shared" si="326"/>
        <v>-0.95454600000000001</v>
      </c>
      <c r="BJ223" s="55">
        <f t="shared" ref="BJ223:BY236" si="392">VLOOKUP($B223,$A$33:$BG$132,BJ$134,FALSE)</f>
        <v>-0.66622000000000003</v>
      </c>
      <c r="BK223" s="55">
        <f t="shared" si="392"/>
        <v>-0.53908500000000004</v>
      </c>
      <c r="BL223" s="55">
        <f t="shared" si="392"/>
        <v>1.3139609999999999</v>
      </c>
      <c r="BM223" s="55">
        <f t="shared" si="392"/>
        <v>0.37419999999999998</v>
      </c>
      <c r="BN223" s="55">
        <f t="shared" si="392"/>
        <v>0.31695899999999999</v>
      </c>
      <c r="BO223" s="55">
        <f t="shared" si="392"/>
        <v>0.31533600000000001</v>
      </c>
      <c r="BP223" s="55">
        <f t="shared" si="392"/>
        <v>0.65815500000000005</v>
      </c>
      <c r="BQ223" s="55">
        <f t="shared" si="392"/>
        <v>0.12439</v>
      </c>
      <c r="BR223" s="55">
        <f t="shared" si="392"/>
        <v>-0.24601200000000001</v>
      </c>
      <c r="BS223" s="55">
        <f t="shared" si="392"/>
        <v>0.685338</v>
      </c>
      <c r="BT223" s="55">
        <f t="shared" si="392"/>
        <v>-1.6915340000000001</v>
      </c>
      <c r="BU223" s="55">
        <f t="shared" si="392"/>
        <v>1.7136009999999999</v>
      </c>
      <c r="BV223" s="55">
        <f t="shared" si="392"/>
        <v>-0.175285</v>
      </c>
      <c r="BW223" s="55">
        <f t="shared" si="392"/>
        <v>-0.88014700000000001</v>
      </c>
      <c r="BX223" s="55">
        <f t="shared" si="392"/>
        <v>0.24867</v>
      </c>
      <c r="BY223" s="55">
        <f t="shared" si="392"/>
        <v>-0.24318600000000001</v>
      </c>
      <c r="BZ223" s="55">
        <f t="shared" si="390"/>
        <v>1.020362</v>
      </c>
      <c r="CA223" s="55">
        <f t="shared" si="390"/>
        <v>-0.47453499999999998</v>
      </c>
      <c r="CB223" s="55">
        <f t="shared" si="390"/>
        <v>0.40415600000000002</v>
      </c>
      <c r="CC223" s="55">
        <f t="shared" si="390"/>
        <v>0.108114</v>
      </c>
      <c r="CD223" s="55">
        <f t="shared" si="390"/>
        <v>-0.73552499999999998</v>
      </c>
      <c r="CE223" s="55">
        <f t="shared" si="390"/>
        <v>0.56257599999999996</v>
      </c>
      <c r="CF223" s="55">
        <f t="shared" si="390"/>
        <v>0.539435</v>
      </c>
      <c r="CG223" s="55">
        <f t="shared" si="390"/>
        <v>0.74824500000000005</v>
      </c>
      <c r="CH223" s="55">
        <f t="shared" si="390"/>
        <v>-0.71911400000000003</v>
      </c>
      <c r="CI223" s="55">
        <f t="shared" si="390"/>
        <v>0.592117</v>
      </c>
      <c r="CJ223" s="55">
        <f t="shared" si="390"/>
        <v>-0.68152699999999999</v>
      </c>
      <c r="CK223" s="55">
        <f t="shared" si="390"/>
        <v>-3.1071999999999999E-2</v>
      </c>
      <c r="CL223" s="55">
        <f t="shared" si="390"/>
        <v>0.574847</v>
      </c>
      <c r="CM223" s="55">
        <f t="shared" si="390"/>
        <v>4.0721E-2</v>
      </c>
      <c r="CN223" s="55">
        <f t="shared" si="390"/>
        <v>-0.31113400000000002</v>
      </c>
      <c r="CO223" s="55">
        <f t="shared" si="391"/>
        <v>0.128106</v>
      </c>
      <c r="CP223" s="55">
        <f t="shared" si="391"/>
        <v>0.75648499999999996</v>
      </c>
      <c r="CQ223" s="55">
        <f t="shared" si="391"/>
        <v>0.64789099999999999</v>
      </c>
      <c r="CR223" s="55">
        <f t="shared" si="391"/>
        <v>0.62507000000000001</v>
      </c>
      <c r="CS223" s="55">
        <f t="shared" si="391"/>
        <v>0.26489299999999999</v>
      </c>
      <c r="CT223" s="55">
        <f t="shared" si="391"/>
        <v>-0.50260000000000005</v>
      </c>
      <c r="CU223" s="55">
        <f t="shared" si="391"/>
        <v>-0.37491999999999998</v>
      </c>
      <c r="CV223" s="55">
        <f t="shared" si="391"/>
        <v>0.42408800000000002</v>
      </c>
      <c r="CW223" s="55">
        <f t="shared" si="391"/>
        <v>0.13993700000000001</v>
      </c>
      <c r="CX223" s="55">
        <f t="shared" si="391"/>
        <v>-0.25101899999999999</v>
      </c>
      <c r="CY223" s="55">
        <f t="shared" si="391"/>
        <v>0.60972800000000005</v>
      </c>
      <c r="CZ223" s="55">
        <f t="shared" si="391"/>
        <v>-0.87458400000000003</v>
      </c>
      <c r="DA223" s="55">
        <f t="shared" si="391"/>
        <v>0.52196799999999999</v>
      </c>
      <c r="DB223" s="55">
        <f t="shared" si="391"/>
        <v>-0.47540500000000002</v>
      </c>
      <c r="DC223" s="55">
        <f t="shared" si="391"/>
        <v>0.41020699999999999</v>
      </c>
      <c r="DD223" s="55">
        <f t="shared" si="391"/>
        <v>0.496174</v>
      </c>
      <c r="DE223" s="55">
        <f t="shared" si="389"/>
        <v>0.10736800000000001</v>
      </c>
      <c r="DF223" s="55">
        <f t="shared" si="389"/>
        <v>0.55427300000000002</v>
      </c>
      <c r="DG223" s="55">
        <f t="shared" si="389"/>
        <v>-1.0216069999999999</v>
      </c>
      <c r="DI223" s="55">
        <f t="shared" ca="1" si="236"/>
        <v>0.80271800000000004</v>
      </c>
      <c r="DJ223" s="55">
        <f t="shared" ca="1" si="237"/>
        <v>0.41569299999999998</v>
      </c>
      <c r="DK223" s="55">
        <f t="shared" ca="1" si="238"/>
        <v>-0.65010199999999996</v>
      </c>
      <c r="DL223" s="55">
        <f t="shared" ca="1" si="239"/>
        <v>1.421875</v>
      </c>
      <c r="DM223" s="55">
        <f t="shared" ca="1" si="240"/>
        <v>-1.3561369999999999</v>
      </c>
      <c r="DN223" s="55">
        <f t="shared" ca="1" si="241"/>
        <v>-0.280613</v>
      </c>
      <c r="DO223" s="55">
        <f t="shared" ca="1" si="242"/>
        <v>-0.77776800000000001</v>
      </c>
      <c r="DP223" s="55">
        <f t="shared" ca="1" si="243"/>
        <v>0.216886</v>
      </c>
      <c r="DQ223" s="55">
        <f t="shared" ca="1" si="244"/>
        <v>-9.5966999999999997E-2</v>
      </c>
      <c r="DR223" s="55">
        <f t="shared" ca="1" si="245"/>
        <v>-1.415297</v>
      </c>
      <c r="DS223" s="55">
        <f t="shared" ca="1" si="246"/>
        <v>0.40227499999999999</v>
      </c>
      <c r="DT223" s="55">
        <f t="shared" ca="1" si="247"/>
        <v>5.2469999999999999E-3</v>
      </c>
      <c r="DU223" s="55">
        <f t="shared" ca="1" si="248"/>
        <v>-0.25848399999999999</v>
      </c>
      <c r="DV223" s="55">
        <f t="shared" ca="1" si="249"/>
        <v>-0.59054499999999999</v>
      </c>
      <c r="DW223" s="55">
        <f t="shared" ca="1" si="250"/>
        <v>-0.66590099999999997</v>
      </c>
      <c r="DX223" s="55">
        <f t="shared" ca="1" si="251"/>
        <v>-1.029955</v>
      </c>
      <c r="DY223" s="55">
        <f t="shared" ca="1" si="252"/>
        <v>0.46449499999999999</v>
      </c>
      <c r="DZ223" s="55">
        <f t="shared" ca="1" si="253"/>
        <v>1.274626</v>
      </c>
      <c r="EA223" s="55">
        <f t="shared" ca="1" si="254"/>
        <v>-0.88309400000000005</v>
      </c>
      <c r="EB223" s="55">
        <f t="shared" ca="1" si="255"/>
        <v>0.18010200000000001</v>
      </c>
      <c r="EC223" s="55">
        <f t="shared" ca="1" si="256"/>
        <v>-2.7584000000000001E-2</v>
      </c>
      <c r="ED223" s="55">
        <f t="shared" ca="1" si="257"/>
        <v>0.92403800000000003</v>
      </c>
      <c r="EE223" s="55">
        <f t="shared" ca="1" si="258"/>
        <v>0.16814299999999999</v>
      </c>
      <c r="EF223" s="55">
        <f t="shared" ca="1" si="259"/>
        <v>0.79659800000000003</v>
      </c>
      <c r="EG223" s="55">
        <f t="shared" ca="1" si="260"/>
        <v>-0.64390000000000003</v>
      </c>
      <c r="EH223" s="55">
        <f t="shared" ca="1" si="261"/>
        <v>-0.66383000000000003</v>
      </c>
      <c r="EI223" s="55">
        <f t="shared" ca="1" si="262"/>
        <v>-0.73873999999999995</v>
      </c>
      <c r="EJ223" s="55">
        <f t="shared" ca="1" si="263"/>
        <v>-0.97223599999999999</v>
      </c>
      <c r="EK223" s="55">
        <f t="shared" ca="1" si="264"/>
        <v>0.71340599999999998</v>
      </c>
      <c r="EL223" s="55">
        <f t="shared" ca="1" si="265"/>
        <v>0.93837599999999999</v>
      </c>
      <c r="EM223" s="55">
        <f t="shared" ca="1" si="266"/>
        <v>-0.27566000000000002</v>
      </c>
      <c r="EN223" s="55">
        <f t="shared" ca="1" si="267"/>
        <v>-0.31607000000000002</v>
      </c>
      <c r="EO223" s="55">
        <f t="shared" ca="1" si="268"/>
        <v>1.2694879999999999</v>
      </c>
      <c r="EP223" s="55">
        <f t="shared" ca="1" si="269"/>
        <v>0.28856700000000002</v>
      </c>
      <c r="EQ223" s="55">
        <f t="shared" ca="1" si="270"/>
        <v>4.6719999999999999E-3</v>
      </c>
      <c r="ER223" s="55">
        <f t="shared" ca="1" si="271"/>
        <v>-1.6549000000000001E-2</v>
      </c>
      <c r="ES223" s="55">
        <f t="shared" ca="1" si="272"/>
        <v>0.64384699999999995</v>
      </c>
      <c r="ET223" s="55">
        <f t="shared" ca="1" si="273"/>
        <v>0.36836799999999997</v>
      </c>
      <c r="EU223" s="55">
        <f t="shared" ca="1" si="274"/>
        <v>0.689689</v>
      </c>
      <c r="EV223" s="55">
        <f t="shared" ca="1" si="275"/>
        <v>0.12138500000000001</v>
      </c>
      <c r="EW223" s="55">
        <f t="shared" ca="1" si="276"/>
        <v>0.36139500000000002</v>
      </c>
      <c r="EX223" s="55">
        <f t="shared" ca="1" si="277"/>
        <v>1.077331</v>
      </c>
      <c r="EY223" s="55">
        <f t="shared" ca="1" si="278"/>
        <v>-1.804222</v>
      </c>
      <c r="EZ223" s="55">
        <f t="shared" ca="1" si="279"/>
        <v>-0.78857100000000002</v>
      </c>
      <c r="FA223" s="55">
        <f t="shared" ca="1" si="280"/>
        <v>-1.718933</v>
      </c>
      <c r="FB223" s="55">
        <f t="shared" ca="1" si="281"/>
        <v>0.42726199999999998</v>
      </c>
      <c r="FC223" s="55">
        <f t="shared" ca="1" si="282"/>
        <v>0.47566399999999998</v>
      </c>
      <c r="FD223" s="55">
        <f t="shared" ca="1" si="283"/>
        <v>0.336169</v>
      </c>
      <c r="FE223" s="55">
        <f t="shared" ca="1" si="284"/>
        <v>0.69408199999999998</v>
      </c>
      <c r="FF223" s="55">
        <f t="shared" ca="1" si="285"/>
        <v>-0.95454600000000001</v>
      </c>
      <c r="FH223" s="55">
        <f t="shared" ca="1" si="286"/>
        <v>0</v>
      </c>
      <c r="FI223" s="55">
        <f t="shared" ca="1" si="379"/>
        <v>0</v>
      </c>
      <c r="FJ223" s="55">
        <f t="shared" ca="1" si="380"/>
        <v>0</v>
      </c>
      <c r="FK223" s="55">
        <f t="shared" ca="1" si="381"/>
        <v>0</v>
      </c>
      <c r="FL223" s="55">
        <f t="shared" ca="1" si="382"/>
        <v>0</v>
      </c>
      <c r="FM223" s="55">
        <f t="shared" ca="1" si="383"/>
        <v>0</v>
      </c>
      <c r="FN223" s="55">
        <f t="shared" ca="1" si="384"/>
        <v>0</v>
      </c>
      <c r="FO223" s="55">
        <f t="shared" ca="1" si="385"/>
        <v>0</v>
      </c>
      <c r="FP223" s="55">
        <f t="shared" ca="1" si="386"/>
        <v>0</v>
      </c>
      <c r="FQ223" s="55">
        <f t="shared" ca="1" si="387"/>
        <v>0</v>
      </c>
      <c r="FR223" s="55">
        <f t="shared" ca="1" si="388"/>
        <v>0</v>
      </c>
      <c r="FS223" s="55">
        <f t="shared" ca="1" si="329"/>
        <v>0</v>
      </c>
      <c r="FT223" s="55">
        <f t="shared" ca="1" si="330"/>
        <v>0</v>
      </c>
      <c r="FU223" s="55">
        <f t="shared" ca="1" si="331"/>
        <v>0</v>
      </c>
      <c r="FV223" s="55">
        <f t="shared" ca="1" si="332"/>
        <v>0</v>
      </c>
      <c r="FW223" s="55">
        <f t="shared" ca="1" si="333"/>
        <v>0</v>
      </c>
      <c r="FX223" s="55">
        <f t="shared" ca="1" si="334"/>
        <v>0</v>
      </c>
      <c r="FY223" s="55">
        <f t="shared" ca="1" si="335"/>
        <v>0</v>
      </c>
      <c r="FZ223" s="55">
        <f t="shared" ca="1" si="336"/>
        <v>0</v>
      </c>
      <c r="GA223" s="55">
        <f t="shared" ca="1" si="337"/>
        <v>0</v>
      </c>
      <c r="GB223" s="55">
        <f t="shared" ca="1" si="338"/>
        <v>0</v>
      </c>
      <c r="GC223" s="55">
        <f t="shared" ca="1" si="339"/>
        <v>0</v>
      </c>
      <c r="GD223" s="55">
        <f t="shared" ca="1" si="340"/>
        <v>0</v>
      </c>
      <c r="GE223" s="55">
        <f t="shared" ca="1" si="341"/>
        <v>0</v>
      </c>
      <c r="GF223" s="55">
        <f t="shared" ca="1" si="342"/>
        <v>0</v>
      </c>
      <c r="GG223" s="55">
        <f t="shared" ca="1" si="343"/>
        <v>0</v>
      </c>
      <c r="GH223" s="55">
        <f t="shared" ca="1" si="344"/>
        <v>0</v>
      </c>
      <c r="GI223" s="55">
        <f t="shared" ca="1" si="345"/>
        <v>0</v>
      </c>
      <c r="GJ223" s="55">
        <f t="shared" ca="1" si="346"/>
        <v>0</v>
      </c>
      <c r="GK223" s="55">
        <f t="shared" ca="1" si="347"/>
        <v>0</v>
      </c>
      <c r="GL223" s="55">
        <f t="shared" ca="1" si="348"/>
        <v>0</v>
      </c>
      <c r="GM223" s="55">
        <f t="shared" ca="1" si="349"/>
        <v>0</v>
      </c>
      <c r="GN223" s="55">
        <f t="shared" ca="1" si="350"/>
        <v>0</v>
      </c>
      <c r="GO223" s="55">
        <f t="shared" ca="1" si="351"/>
        <v>0</v>
      </c>
      <c r="GP223" s="55">
        <f t="shared" ca="1" si="352"/>
        <v>0</v>
      </c>
      <c r="GQ223" s="55">
        <f t="shared" ca="1" si="353"/>
        <v>0</v>
      </c>
      <c r="GR223" s="55">
        <f t="shared" ca="1" si="354"/>
        <v>0</v>
      </c>
      <c r="GS223" s="55">
        <f t="shared" ca="1" si="355"/>
        <v>0</v>
      </c>
      <c r="GT223" s="55">
        <f t="shared" ca="1" si="356"/>
        <v>0</v>
      </c>
      <c r="GU223" s="55">
        <f t="shared" ca="1" si="357"/>
        <v>0</v>
      </c>
      <c r="GV223" s="55">
        <f t="shared" ca="1" si="358"/>
        <v>0</v>
      </c>
      <c r="GW223" s="55">
        <f t="shared" ca="1" si="359"/>
        <v>0</v>
      </c>
      <c r="GX223" s="55">
        <f t="shared" ca="1" si="360"/>
        <v>0</v>
      </c>
      <c r="GY223" s="55">
        <f t="shared" ca="1" si="361"/>
        <v>0</v>
      </c>
      <c r="GZ223" s="55">
        <f t="shared" ca="1" si="362"/>
        <v>0</v>
      </c>
      <c r="HA223" s="55">
        <f t="shared" ca="1" si="363"/>
        <v>0</v>
      </c>
      <c r="HB223" s="55">
        <f t="shared" ca="1" si="364"/>
        <v>0</v>
      </c>
      <c r="HC223" s="55">
        <f t="shared" ca="1" si="365"/>
        <v>0</v>
      </c>
      <c r="HD223" s="55">
        <f t="shared" ca="1" si="366"/>
        <v>0</v>
      </c>
      <c r="HE223" s="55">
        <f t="shared" ca="1" si="367"/>
        <v>0</v>
      </c>
    </row>
    <row r="224" spans="1:213">
      <c r="A224" s="27">
        <v>87</v>
      </c>
      <c r="B224" s="27">
        <v>23</v>
      </c>
      <c r="C224" s="27">
        <v>0.98060999999999998</v>
      </c>
      <c r="D224" s="27">
        <v>0.99920600000000004</v>
      </c>
      <c r="E224" s="27">
        <v>38</v>
      </c>
      <c r="F224" s="27">
        <f t="shared" ca="1" si="231"/>
        <v>42</v>
      </c>
      <c r="G224" s="27">
        <f t="shared" si="230"/>
        <v>0</v>
      </c>
      <c r="H224" s="27" t="str">
        <f t="shared" si="232"/>
        <v>Não</v>
      </c>
      <c r="I224" s="27">
        <f t="shared" si="233"/>
        <v>0</v>
      </c>
      <c r="J224" s="37">
        <f t="shared" si="234"/>
        <v>0</v>
      </c>
      <c r="K224" s="55">
        <f t="shared" si="235"/>
        <v>0.14194000000000001</v>
      </c>
      <c r="L224" s="55">
        <f t="shared" si="368"/>
        <v>1.2506390000000001</v>
      </c>
      <c r="M224" s="55">
        <f t="shared" si="369"/>
        <v>-0.81791199999999997</v>
      </c>
      <c r="N224" s="55">
        <f t="shared" si="370"/>
        <v>0.54447299999999998</v>
      </c>
      <c r="O224" s="55">
        <f t="shared" si="371"/>
        <v>-0.45896700000000001</v>
      </c>
      <c r="P224" s="55">
        <f t="shared" si="372"/>
        <v>0.69933100000000004</v>
      </c>
      <c r="Q224" s="55">
        <f t="shared" si="373"/>
        <v>0.81448100000000001</v>
      </c>
      <c r="R224" s="55">
        <f t="shared" si="374"/>
        <v>-0.191992</v>
      </c>
      <c r="S224" s="55">
        <f t="shared" si="375"/>
        <v>-0.18806999999999999</v>
      </c>
      <c r="T224" s="55">
        <f t="shared" si="376"/>
        <v>0.104064</v>
      </c>
      <c r="U224" s="55">
        <f t="shared" si="377"/>
        <v>-0.58274999999999999</v>
      </c>
      <c r="V224" s="55">
        <f t="shared" si="288"/>
        <v>0.21702199999999999</v>
      </c>
      <c r="W224" s="55">
        <f t="shared" si="289"/>
        <v>-0.42371900000000001</v>
      </c>
      <c r="X224" s="55">
        <f t="shared" si="290"/>
        <v>0.85927600000000004</v>
      </c>
      <c r="Y224" s="55">
        <f t="shared" si="291"/>
        <v>0.43825799999999998</v>
      </c>
      <c r="Z224" s="55">
        <f t="shared" si="292"/>
        <v>-0.80034700000000003</v>
      </c>
      <c r="AA224" s="55">
        <f t="shared" si="293"/>
        <v>-0.74512299999999998</v>
      </c>
      <c r="AB224" s="55">
        <f t="shared" si="294"/>
        <v>-0.32855600000000001</v>
      </c>
      <c r="AC224" s="55">
        <f t="shared" si="295"/>
        <v>1.5563480000000001</v>
      </c>
      <c r="AD224" s="55">
        <f t="shared" si="296"/>
        <v>-1.0259309999999999</v>
      </c>
      <c r="AE224" s="55">
        <f t="shared" si="297"/>
        <v>-0.40920400000000001</v>
      </c>
      <c r="AF224" s="55">
        <f t="shared" si="298"/>
        <v>9.3523999999999996E-2</v>
      </c>
      <c r="AG224" s="55">
        <f t="shared" si="299"/>
        <v>6.3188999999999995E-2</v>
      </c>
      <c r="AH224" s="55">
        <f t="shared" si="300"/>
        <v>0.15293499999999999</v>
      </c>
      <c r="AI224" s="55">
        <f t="shared" si="301"/>
        <v>-0.72272800000000004</v>
      </c>
      <c r="AJ224" s="55">
        <f t="shared" si="302"/>
        <v>-0.51946199999999998</v>
      </c>
      <c r="AK224" s="55">
        <f t="shared" si="303"/>
        <v>0.13444999999999999</v>
      </c>
      <c r="AL224" s="55">
        <f t="shared" si="304"/>
        <v>0.94771300000000003</v>
      </c>
      <c r="AM224" s="55">
        <f t="shared" si="305"/>
        <v>0.21096799999999999</v>
      </c>
      <c r="AN224" s="55">
        <f t="shared" si="306"/>
        <v>0.60152000000000005</v>
      </c>
      <c r="AO224" s="55">
        <f t="shared" si="307"/>
        <v>0.15823899999999999</v>
      </c>
      <c r="AP224" s="55">
        <f t="shared" si="308"/>
        <v>-0.80809200000000003</v>
      </c>
      <c r="AQ224" s="55">
        <f t="shared" si="309"/>
        <v>0.320656</v>
      </c>
      <c r="AR224" s="55">
        <f t="shared" si="310"/>
        <v>-0.56914699999999996</v>
      </c>
      <c r="AS224" s="55">
        <f t="shared" si="311"/>
        <v>0.104336</v>
      </c>
      <c r="AT224" s="55">
        <f t="shared" si="312"/>
        <v>-0.14121300000000001</v>
      </c>
      <c r="AU224" s="55">
        <f t="shared" si="313"/>
        <v>3.6859000000000003E-2</v>
      </c>
      <c r="AV224" s="55">
        <f t="shared" si="314"/>
        <v>-0.66616200000000003</v>
      </c>
      <c r="AW224" s="55">
        <f t="shared" si="315"/>
        <v>0.64614499999999997</v>
      </c>
      <c r="AX224" s="55">
        <f t="shared" si="316"/>
        <v>0.16065399999999999</v>
      </c>
      <c r="AY224" s="55">
        <f t="shared" si="317"/>
        <v>1.140854</v>
      </c>
      <c r="AZ224" s="55">
        <f t="shared" si="318"/>
        <v>0.75732500000000003</v>
      </c>
      <c r="BA224" s="55">
        <f t="shared" si="319"/>
        <v>0.56845500000000004</v>
      </c>
      <c r="BB224" s="55">
        <f t="shared" si="320"/>
        <v>-1.2027939999999999</v>
      </c>
      <c r="BC224" s="55">
        <f t="shared" si="321"/>
        <v>-6.7622000000000002E-2</v>
      </c>
      <c r="BD224" s="55">
        <f t="shared" si="322"/>
        <v>-0.34335500000000002</v>
      </c>
      <c r="BE224" s="55">
        <f t="shared" si="323"/>
        <v>0.84750599999999998</v>
      </c>
      <c r="BF224" s="55">
        <f t="shared" si="324"/>
        <v>-0.29188599999999998</v>
      </c>
      <c r="BG224" s="55">
        <f t="shared" si="325"/>
        <v>-0.28097</v>
      </c>
      <c r="BH224" s="55">
        <f t="shared" si="326"/>
        <v>-0.70093300000000003</v>
      </c>
      <c r="BJ224" s="55">
        <f t="shared" si="392"/>
        <v>0.62340799999999996</v>
      </c>
      <c r="BK224" s="55">
        <f t="shared" si="392"/>
        <v>-0.388465</v>
      </c>
      <c r="BL224" s="55">
        <f t="shared" si="392"/>
        <v>5.6070000000000002E-2</v>
      </c>
      <c r="BM224" s="55">
        <f t="shared" si="392"/>
        <v>7.9558000000000004E-2</v>
      </c>
      <c r="BN224" s="55">
        <f t="shared" si="392"/>
        <v>0.96263500000000002</v>
      </c>
      <c r="BO224" s="55">
        <f t="shared" si="392"/>
        <v>0.15728300000000001</v>
      </c>
      <c r="BP224" s="55">
        <f t="shared" si="392"/>
        <v>-0.16175100000000001</v>
      </c>
      <c r="BQ224" s="55">
        <f t="shared" si="392"/>
        <v>0.80041499999999999</v>
      </c>
      <c r="BR224" s="55">
        <f t="shared" si="392"/>
        <v>-0.85971399999999998</v>
      </c>
      <c r="BS224" s="55">
        <f t="shared" si="392"/>
        <v>0.67834000000000005</v>
      </c>
      <c r="BT224" s="55">
        <f t="shared" si="392"/>
        <v>5.4384000000000002E-2</v>
      </c>
      <c r="BU224" s="55">
        <f t="shared" si="392"/>
        <v>-0.63309899999999997</v>
      </c>
      <c r="BV224" s="55">
        <f t="shared" si="392"/>
        <v>-1.530619</v>
      </c>
      <c r="BW224" s="55">
        <f t="shared" si="392"/>
        <v>-1.4579279999999999</v>
      </c>
      <c r="BX224" s="55">
        <f t="shared" si="392"/>
        <v>0.20503399999999999</v>
      </c>
      <c r="BY224" s="55">
        <f t="shared" si="392"/>
        <v>0.92105700000000001</v>
      </c>
      <c r="BZ224" s="55">
        <f t="shared" si="390"/>
        <v>0.62899000000000005</v>
      </c>
      <c r="CA224" s="55">
        <f t="shared" si="390"/>
        <v>-4.3908000000000003E-2</v>
      </c>
      <c r="CB224" s="55">
        <f t="shared" si="390"/>
        <v>0.28092299999999998</v>
      </c>
      <c r="CC224" s="55">
        <f t="shared" si="390"/>
        <v>-0.456926</v>
      </c>
      <c r="CD224" s="55">
        <f t="shared" si="390"/>
        <v>0.85801099999999997</v>
      </c>
      <c r="CE224" s="55">
        <f t="shared" si="390"/>
        <v>-0.24601700000000001</v>
      </c>
      <c r="CF224" s="55">
        <f t="shared" si="390"/>
        <v>-0.61331400000000003</v>
      </c>
      <c r="CG224" s="55">
        <f t="shared" si="390"/>
        <v>-0.403613</v>
      </c>
      <c r="CH224" s="55">
        <f t="shared" si="390"/>
        <v>-0.86787400000000003</v>
      </c>
      <c r="CI224" s="55">
        <f t="shared" si="390"/>
        <v>-8.0771999999999997E-2</v>
      </c>
      <c r="CJ224" s="55">
        <f t="shared" si="390"/>
        <v>-0.50662700000000005</v>
      </c>
      <c r="CK224" s="55">
        <f t="shared" si="390"/>
        <v>-5.1968E-2</v>
      </c>
      <c r="CL224" s="55">
        <f t="shared" si="390"/>
        <v>1.2316450000000001</v>
      </c>
      <c r="CM224" s="55">
        <f t="shared" si="390"/>
        <v>-0.17550399999999999</v>
      </c>
      <c r="CN224" s="55">
        <f t="shared" si="390"/>
        <v>0.39920099999999997</v>
      </c>
      <c r="CO224" s="55">
        <f t="shared" si="391"/>
        <v>-0.81987600000000005</v>
      </c>
      <c r="CP224" s="55">
        <f t="shared" si="391"/>
        <v>0.87561999999999995</v>
      </c>
      <c r="CQ224" s="55">
        <f t="shared" si="391"/>
        <v>0.68350100000000003</v>
      </c>
      <c r="CR224" s="55">
        <f t="shared" si="391"/>
        <v>-1.003925</v>
      </c>
      <c r="CS224" s="55">
        <f t="shared" si="391"/>
        <v>-0.71970599999999996</v>
      </c>
      <c r="CT224" s="55">
        <f t="shared" si="391"/>
        <v>0.49610500000000002</v>
      </c>
      <c r="CU224" s="55">
        <f t="shared" si="391"/>
        <v>0.11883100000000001</v>
      </c>
      <c r="CV224" s="55">
        <f t="shared" si="391"/>
        <v>0.90245799999999998</v>
      </c>
      <c r="CW224" s="55">
        <f t="shared" si="391"/>
        <v>0.146954</v>
      </c>
      <c r="CX224" s="55">
        <f t="shared" si="391"/>
        <v>3.9683000000000003E-2</v>
      </c>
      <c r="CY224" s="55">
        <f t="shared" si="391"/>
        <v>-1.390312</v>
      </c>
      <c r="CZ224" s="55">
        <f t="shared" si="391"/>
        <v>0.51397999999999999</v>
      </c>
      <c r="DA224" s="55">
        <f t="shared" si="391"/>
        <v>-0.69938699999999998</v>
      </c>
      <c r="DB224" s="55">
        <f t="shared" si="391"/>
        <v>-0.61740399999999995</v>
      </c>
      <c r="DC224" s="55">
        <f t="shared" si="391"/>
        <v>-0.36079800000000001</v>
      </c>
      <c r="DD224" s="55">
        <f t="shared" si="391"/>
        <v>-0.52576500000000004</v>
      </c>
      <c r="DE224" s="55">
        <f t="shared" si="389"/>
        <v>0.21933800000000001</v>
      </c>
      <c r="DF224" s="55">
        <f t="shared" si="389"/>
        <v>-0.73863699999999999</v>
      </c>
      <c r="DG224" s="55">
        <f t="shared" si="389"/>
        <v>0.98329599999999995</v>
      </c>
      <c r="DI224" s="55">
        <f t="shared" ca="1" si="236"/>
        <v>0.14194000000000001</v>
      </c>
      <c r="DJ224" s="55">
        <f t="shared" ca="1" si="237"/>
        <v>1.2506390000000001</v>
      </c>
      <c r="DK224" s="55">
        <f t="shared" ca="1" si="238"/>
        <v>-0.81791199999999997</v>
      </c>
      <c r="DL224" s="55">
        <f t="shared" ca="1" si="239"/>
        <v>0.54447299999999998</v>
      </c>
      <c r="DM224" s="55">
        <f t="shared" ca="1" si="240"/>
        <v>-0.45896700000000001</v>
      </c>
      <c r="DN224" s="55">
        <f t="shared" ca="1" si="241"/>
        <v>0.69933100000000004</v>
      </c>
      <c r="DO224" s="55">
        <f t="shared" ca="1" si="242"/>
        <v>0.81448100000000001</v>
      </c>
      <c r="DP224" s="55">
        <f t="shared" ca="1" si="243"/>
        <v>-0.191992</v>
      </c>
      <c r="DQ224" s="55">
        <f t="shared" ca="1" si="244"/>
        <v>-0.18806999999999999</v>
      </c>
      <c r="DR224" s="55">
        <f t="shared" ca="1" si="245"/>
        <v>0.104064</v>
      </c>
      <c r="DS224" s="55">
        <f t="shared" ca="1" si="246"/>
        <v>-0.58274999999999999</v>
      </c>
      <c r="DT224" s="55">
        <f t="shared" ca="1" si="247"/>
        <v>0.21702199999999999</v>
      </c>
      <c r="DU224" s="55">
        <f t="shared" ca="1" si="248"/>
        <v>-0.42371900000000001</v>
      </c>
      <c r="DV224" s="55">
        <f t="shared" ca="1" si="249"/>
        <v>0.85927600000000004</v>
      </c>
      <c r="DW224" s="55">
        <f t="shared" ca="1" si="250"/>
        <v>0.43825799999999998</v>
      </c>
      <c r="DX224" s="55">
        <f t="shared" ca="1" si="251"/>
        <v>-0.80034700000000003</v>
      </c>
      <c r="DY224" s="55">
        <f t="shared" ca="1" si="252"/>
        <v>-0.74512299999999998</v>
      </c>
      <c r="DZ224" s="55">
        <f t="shared" ca="1" si="253"/>
        <v>-0.32855600000000001</v>
      </c>
      <c r="EA224" s="55">
        <f t="shared" ca="1" si="254"/>
        <v>1.5563480000000001</v>
      </c>
      <c r="EB224" s="55">
        <f t="shared" ca="1" si="255"/>
        <v>-1.0259309999999999</v>
      </c>
      <c r="EC224" s="55">
        <f t="shared" ca="1" si="256"/>
        <v>-0.40920400000000001</v>
      </c>
      <c r="ED224" s="55">
        <f t="shared" ca="1" si="257"/>
        <v>9.3523999999999996E-2</v>
      </c>
      <c r="EE224" s="55">
        <f t="shared" ca="1" si="258"/>
        <v>6.3188999999999995E-2</v>
      </c>
      <c r="EF224" s="55">
        <f t="shared" ca="1" si="259"/>
        <v>0.15293499999999999</v>
      </c>
      <c r="EG224" s="55">
        <f t="shared" ca="1" si="260"/>
        <v>-0.72272800000000004</v>
      </c>
      <c r="EH224" s="55">
        <f t="shared" ca="1" si="261"/>
        <v>-0.51946199999999998</v>
      </c>
      <c r="EI224" s="55">
        <f t="shared" ca="1" si="262"/>
        <v>0.13444999999999999</v>
      </c>
      <c r="EJ224" s="55">
        <f t="shared" ca="1" si="263"/>
        <v>0.94771300000000003</v>
      </c>
      <c r="EK224" s="55">
        <f t="shared" ca="1" si="264"/>
        <v>0.21096799999999999</v>
      </c>
      <c r="EL224" s="55">
        <f t="shared" ca="1" si="265"/>
        <v>0.60152000000000005</v>
      </c>
      <c r="EM224" s="55">
        <f t="shared" ca="1" si="266"/>
        <v>0.15823899999999999</v>
      </c>
      <c r="EN224" s="55">
        <f t="shared" ca="1" si="267"/>
        <v>-0.80809200000000003</v>
      </c>
      <c r="EO224" s="55">
        <f t="shared" ca="1" si="268"/>
        <v>0.320656</v>
      </c>
      <c r="EP224" s="55">
        <f t="shared" ca="1" si="269"/>
        <v>-0.56914699999999996</v>
      </c>
      <c r="EQ224" s="55">
        <f t="shared" ca="1" si="270"/>
        <v>0.104336</v>
      </c>
      <c r="ER224" s="55">
        <f t="shared" ca="1" si="271"/>
        <v>-0.14121300000000001</v>
      </c>
      <c r="ES224" s="55">
        <f t="shared" ca="1" si="272"/>
        <v>3.6859000000000003E-2</v>
      </c>
      <c r="ET224" s="55">
        <f t="shared" ca="1" si="273"/>
        <v>-0.66616200000000003</v>
      </c>
      <c r="EU224" s="55">
        <f t="shared" ca="1" si="274"/>
        <v>0.64614499999999997</v>
      </c>
      <c r="EV224" s="55">
        <f t="shared" ca="1" si="275"/>
        <v>0.16065399999999999</v>
      </c>
      <c r="EW224" s="55">
        <f t="shared" ca="1" si="276"/>
        <v>1.140854</v>
      </c>
      <c r="EX224" s="55">
        <f t="shared" ca="1" si="277"/>
        <v>0.75732500000000003</v>
      </c>
      <c r="EY224" s="55">
        <f t="shared" ca="1" si="278"/>
        <v>0.56845500000000004</v>
      </c>
      <c r="EZ224" s="55">
        <f t="shared" ca="1" si="279"/>
        <v>-1.2027939999999999</v>
      </c>
      <c r="FA224" s="55">
        <f t="shared" ca="1" si="280"/>
        <v>-6.7622000000000002E-2</v>
      </c>
      <c r="FB224" s="55">
        <f t="shared" ca="1" si="281"/>
        <v>-0.34335500000000002</v>
      </c>
      <c r="FC224" s="55">
        <f t="shared" ca="1" si="282"/>
        <v>0.84750599999999998</v>
      </c>
      <c r="FD224" s="55">
        <f t="shared" ca="1" si="283"/>
        <v>-0.29188599999999998</v>
      </c>
      <c r="FE224" s="55">
        <f t="shared" ca="1" si="284"/>
        <v>-0.28097</v>
      </c>
      <c r="FF224" s="55">
        <f t="shared" ca="1" si="285"/>
        <v>-0.70093300000000003</v>
      </c>
      <c r="FH224" s="55">
        <f t="shared" ca="1" si="286"/>
        <v>0</v>
      </c>
      <c r="FI224" s="55">
        <f t="shared" ca="1" si="379"/>
        <v>0</v>
      </c>
      <c r="FJ224" s="55">
        <f t="shared" ca="1" si="380"/>
        <v>0</v>
      </c>
      <c r="FK224" s="55">
        <f t="shared" ca="1" si="381"/>
        <v>0</v>
      </c>
      <c r="FL224" s="55">
        <f t="shared" ca="1" si="382"/>
        <v>0</v>
      </c>
      <c r="FM224" s="55">
        <f t="shared" ca="1" si="383"/>
        <v>0</v>
      </c>
      <c r="FN224" s="55">
        <f t="shared" ca="1" si="384"/>
        <v>0</v>
      </c>
      <c r="FO224" s="55">
        <f t="shared" ca="1" si="385"/>
        <v>0</v>
      </c>
      <c r="FP224" s="55">
        <f t="shared" ca="1" si="386"/>
        <v>0</v>
      </c>
      <c r="FQ224" s="55">
        <f t="shared" ca="1" si="387"/>
        <v>0</v>
      </c>
      <c r="FR224" s="55">
        <f t="shared" ca="1" si="388"/>
        <v>0</v>
      </c>
      <c r="FS224" s="55">
        <f t="shared" ca="1" si="329"/>
        <v>0</v>
      </c>
      <c r="FT224" s="55">
        <f t="shared" ca="1" si="330"/>
        <v>0</v>
      </c>
      <c r="FU224" s="55">
        <f t="shared" ca="1" si="331"/>
        <v>0</v>
      </c>
      <c r="FV224" s="55">
        <f t="shared" ca="1" si="332"/>
        <v>0</v>
      </c>
      <c r="FW224" s="55">
        <f t="shared" ca="1" si="333"/>
        <v>0</v>
      </c>
      <c r="FX224" s="55">
        <f t="shared" ca="1" si="334"/>
        <v>0</v>
      </c>
      <c r="FY224" s="55">
        <f t="shared" ca="1" si="335"/>
        <v>0</v>
      </c>
      <c r="FZ224" s="55">
        <f t="shared" ca="1" si="336"/>
        <v>0</v>
      </c>
      <c r="GA224" s="55">
        <f t="shared" ca="1" si="337"/>
        <v>0</v>
      </c>
      <c r="GB224" s="55">
        <f t="shared" ca="1" si="338"/>
        <v>0</v>
      </c>
      <c r="GC224" s="55">
        <f t="shared" ca="1" si="339"/>
        <v>0</v>
      </c>
      <c r="GD224" s="55">
        <f t="shared" ca="1" si="340"/>
        <v>0</v>
      </c>
      <c r="GE224" s="55">
        <f t="shared" ca="1" si="341"/>
        <v>0</v>
      </c>
      <c r="GF224" s="55">
        <f t="shared" ca="1" si="342"/>
        <v>0</v>
      </c>
      <c r="GG224" s="55">
        <f t="shared" ca="1" si="343"/>
        <v>0</v>
      </c>
      <c r="GH224" s="55">
        <f t="shared" ca="1" si="344"/>
        <v>0</v>
      </c>
      <c r="GI224" s="55">
        <f t="shared" ca="1" si="345"/>
        <v>0</v>
      </c>
      <c r="GJ224" s="55">
        <f t="shared" ca="1" si="346"/>
        <v>0</v>
      </c>
      <c r="GK224" s="55">
        <f t="shared" ca="1" si="347"/>
        <v>0</v>
      </c>
      <c r="GL224" s="55">
        <f t="shared" ca="1" si="348"/>
        <v>0</v>
      </c>
      <c r="GM224" s="55">
        <f t="shared" ca="1" si="349"/>
        <v>0</v>
      </c>
      <c r="GN224" s="55">
        <f t="shared" ca="1" si="350"/>
        <v>0</v>
      </c>
      <c r="GO224" s="55">
        <f t="shared" ca="1" si="351"/>
        <v>0</v>
      </c>
      <c r="GP224" s="55">
        <f t="shared" ca="1" si="352"/>
        <v>0</v>
      </c>
      <c r="GQ224" s="55">
        <f t="shared" ca="1" si="353"/>
        <v>0</v>
      </c>
      <c r="GR224" s="55">
        <f t="shared" ca="1" si="354"/>
        <v>0</v>
      </c>
      <c r="GS224" s="55">
        <f t="shared" ca="1" si="355"/>
        <v>0</v>
      </c>
      <c r="GT224" s="55">
        <f t="shared" ca="1" si="356"/>
        <v>0</v>
      </c>
      <c r="GU224" s="55">
        <f t="shared" ca="1" si="357"/>
        <v>0</v>
      </c>
      <c r="GV224" s="55">
        <f t="shared" ca="1" si="358"/>
        <v>0</v>
      </c>
      <c r="GW224" s="55">
        <f t="shared" ca="1" si="359"/>
        <v>0</v>
      </c>
      <c r="GX224" s="55">
        <f t="shared" ca="1" si="360"/>
        <v>0</v>
      </c>
      <c r="GY224" s="55">
        <f t="shared" ca="1" si="361"/>
        <v>0</v>
      </c>
      <c r="GZ224" s="55">
        <f t="shared" ca="1" si="362"/>
        <v>0</v>
      </c>
      <c r="HA224" s="55">
        <f t="shared" ca="1" si="363"/>
        <v>0</v>
      </c>
      <c r="HB224" s="55">
        <f t="shared" ca="1" si="364"/>
        <v>0</v>
      </c>
      <c r="HC224" s="55">
        <f t="shared" ca="1" si="365"/>
        <v>0</v>
      </c>
      <c r="HD224" s="55">
        <f t="shared" ca="1" si="366"/>
        <v>0</v>
      </c>
      <c r="HE224" s="55">
        <f t="shared" ca="1" si="367"/>
        <v>0</v>
      </c>
    </row>
    <row r="225" spans="1:213">
      <c r="A225" s="27">
        <v>88</v>
      </c>
      <c r="B225" s="27">
        <v>65</v>
      </c>
      <c r="C225" s="27">
        <v>0.25423800000000002</v>
      </c>
      <c r="D225" s="27">
        <v>0.33730599999999999</v>
      </c>
      <c r="E225" s="27">
        <v>14</v>
      </c>
      <c r="F225" s="27">
        <f t="shared" ca="1" si="231"/>
        <v>39</v>
      </c>
      <c r="G225" s="27">
        <f t="shared" si="230"/>
        <v>0</v>
      </c>
      <c r="H225" s="27" t="str">
        <f t="shared" si="232"/>
        <v>Sim</v>
      </c>
      <c r="I225" s="27">
        <f t="shared" si="233"/>
        <v>0</v>
      </c>
      <c r="J225" s="37">
        <f t="shared" si="234"/>
        <v>1</v>
      </c>
      <c r="K225" s="55">
        <f t="shared" si="235"/>
        <v>0.427541</v>
      </c>
      <c r="L225" s="55">
        <f t="shared" si="368"/>
        <v>0.88970300000000002</v>
      </c>
      <c r="M225" s="55">
        <f t="shared" si="369"/>
        <v>1.0445359999999999</v>
      </c>
      <c r="N225" s="55">
        <f t="shared" si="370"/>
        <v>0.94583399999999995</v>
      </c>
      <c r="O225" s="55">
        <f t="shared" si="371"/>
        <v>0.93252000000000002</v>
      </c>
      <c r="P225" s="55">
        <f t="shared" si="372"/>
        <v>-0.110526</v>
      </c>
      <c r="Q225" s="55">
        <f t="shared" si="373"/>
        <v>0.421041</v>
      </c>
      <c r="R225" s="55">
        <f t="shared" si="374"/>
        <v>0.74219599999999997</v>
      </c>
      <c r="S225" s="55">
        <f t="shared" si="375"/>
        <v>0.85197999999999996</v>
      </c>
      <c r="T225" s="55">
        <f t="shared" si="376"/>
        <v>-0.60107299999999997</v>
      </c>
      <c r="U225" s="55">
        <f t="shared" si="377"/>
        <v>0.78763000000000005</v>
      </c>
      <c r="V225" s="55">
        <f t="shared" si="288"/>
        <v>-0.54883300000000002</v>
      </c>
      <c r="W225" s="55">
        <f t="shared" si="289"/>
        <v>-9.8946999999999993E-2</v>
      </c>
      <c r="X225" s="55">
        <f t="shared" si="290"/>
        <v>0.63033099999999997</v>
      </c>
      <c r="Y225" s="55">
        <f t="shared" si="291"/>
        <v>0.296014</v>
      </c>
      <c r="Z225" s="55">
        <f t="shared" si="292"/>
        <v>0.86529599999999995</v>
      </c>
      <c r="AA225" s="55">
        <f t="shared" si="293"/>
        <v>-0.46758699999999997</v>
      </c>
      <c r="AB225" s="55">
        <f t="shared" si="294"/>
        <v>-0.76345799999999997</v>
      </c>
      <c r="AC225" s="55">
        <f t="shared" si="295"/>
        <v>0.84248100000000004</v>
      </c>
      <c r="AD225" s="55">
        <f t="shared" si="296"/>
        <v>0.78327899999999995</v>
      </c>
      <c r="AE225" s="55">
        <f t="shared" si="297"/>
        <v>0.61870999999999998</v>
      </c>
      <c r="AF225" s="55">
        <f t="shared" si="298"/>
        <v>1.1808259999999999</v>
      </c>
      <c r="AG225" s="55">
        <f t="shared" si="299"/>
        <v>-0.899088</v>
      </c>
      <c r="AH225" s="55">
        <f t="shared" si="300"/>
        <v>-0.46016899999999999</v>
      </c>
      <c r="AI225" s="55">
        <f t="shared" si="301"/>
        <v>-0.48933199999999999</v>
      </c>
      <c r="AJ225" s="55">
        <f t="shared" si="302"/>
        <v>-0.59450599999999998</v>
      </c>
      <c r="AK225" s="55">
        <f t="shared" si="303"/>
        <v>-0.95906599999999997</v>
      </c>
      <c r="AL225" s="55">
        <f t="shared" si="304"/>
        <v>-0.187248</v>
      </c>
      <c r="AM225" s="55">
        <f t="shared" si="305"/>
        <v>-0.77245200000000003</v>
      </c>
      <c r="AN225" s="55">
        <f t="shared" si="306"/>
        <v>0.42386499999999999</v>
      </c>
      <c r="AO225" s="55">
        <f t="shared" si="307"/>
        <v>0.71424500000000002</v>
      </c>
      <c r="AP225" s="55">
        <f t="shared" si="308"/>
        <v>3.8719999999999997E-2</v>
      </c>
      <c r="AQ225" s="55">
        <f t="shared" si="309"/>
        <v>-1.5256479999999999</v>
      </c>
      <c r="AR225" s="55">
        <f t="shared" si="310"/>
        <v>0.554342</v>
      </c>
      <c r="AS225" s="55">
        <f t="shared" si="311"/>
        <v>-0.86659900000000001</v>
      </c>
      <c r="AT225" s="55">
        <f t="shared" si="312"/>
        <v>1.9007750000000001</v>
      </c>
      <c r="AU225" s="55">
        <f t="shared" si="313"/>
        <v>0.70712299999999995</v>
      </c>
      <c r="AV225" s="55">
        <f t="shared" si="314"/>
        <v>0.26419999999999999</v>
      </c>
      <c r="AW225" s="55">
        <f t="shared" si="315"/>
        <v>0.85240400000000005</v>
      </c>
      <c r="AX225" s="55">
        <f t="shared" si="316"/>
        <v>0.90576000000000001</v>
      </c>
      <c r="AY225" s="55">
        <f t="shared" si="317"/>
        <v>-0.61505100000000001</v>
      </c>
      <c r="AZ225" s="55">
        <f t="shared" si="318"/>
        <v>0.29700199999999999</v>
      </c>
      <c r="BA225" s="55">
        <f t="shared" si="319"/>
        <v>0.485425</v>
      </c>
      <c r="BB225" s="55">
        <f t="shared" si="320"/>
        <v>-0.17513000000000001</v>
      </c>
      <c r="BC225" s="55">
        <f t="shared" si="321"/>
        <v>0.58527099999999999</v>
      </c>
      <c r="BD225" s="55">
        <f t="shared" si="322"/>
        <v>-3.61E-2</v>
      </c>
      <c r="BE225" s="55">
        <f t="shared" si="323"/>
        <v>-0.11219899999999999</v>
      </c>
      <c r="BF225" s="55">
        <f t="shared" si="324"/>
        <v>-0.138653</v>
      </c>
      <c r="BG225" s="55">
        <f t="shared" si="325"/>
        <v>-0.65617999999999999</v>
      </c>
      <c r="BH225" s="55">
        <f t="shared" si="326"/>
        <v>-9.8567000000000002E-2</v>
      </c>
      <c r="BJ225" s="55">
        <f t="shared" si="392"/>
        <v>-0.28954200000000002</v>
      </c>
      <c r="BK225" s="55">
        <f t="shared" si="392"/>
        <v>-2.6342000000000001E-2</v>
      </c>
      <c r="BL225" s="55">
        <f t="shared" si="392"/>
        <v>1.5683940000000001</v>
      </c>
      <c r="BM225" s="55">
        <f t="shared" si="392"/>
        <v>-0.72652099999999997</v>
      </c>
      <c r="BN225" s="55">
        <f t="shared" si="392"/>
        <v>0.27178600000000003</v>
      </c>
      <c r="BO225" s="55">
        <f t="shared" si="392"/>
        <v>0.54248799999999997</v>
      </c>
      <c r="BP225" s="55">
        <f t="shared" si="392"/>
        <v>-0.79119200000000001</v>
      </c>
      <c r="BQ225" s="55">
        <f t="shared" si="392"/>
        <v>-0.59809500000000004</v>
      </c>
      <c r="BR225" s="55">
        <f t="shared" si="392"/>
        <v>1.3168979999999999</v>
      </c>
      <c r="BS225" s="55">
        <f t="shared" si="392"/>
        <v>-0.467142</v>
      </c>
      <c r="BT225" s="55">
        <f t="shared" si="392"/>
        <v>0.15556900000000001</v>
      </c>
      <c r="BU225" s="55">
        <f t="shared" si="392"/>
        <v>0.64772600000000002</v>
      </c>
      <c r="BV225" s="55">
        <f t="shared" si="392"/>
        <v>0.70243</v>
      </c>
      <c r="BW225" s="55">
        <f t="shared" si="392"/>
        <v>0.29363800000000001</v>
      </c>
      <c r="BX225" s="55">
        <f t="shared" si="392"/>
        <v>0.59576899999999999</v>
      </c>
      <c r="BY225" s="55">
        <f t="shared" si="392"/>
        <v>1.041228</v>
      </c>
      <c r="BZ225" s="55">
        <f t="shared" si="390"/>
        <v>1.430679</v>
      </c>
      <c r="CA225" s="55">
        <f t="shared" si="390"/>
        <v>9.6909999999999996E-2</v>
      </c>
      <c r="CB225" s="55">
        <f t="shared" si="390"/>
        <v>0.20613200000000001</v>
      </c>
      <c r="CC225" s="55">
        <f t="shared" si="390"/>
        <v>-0.59160500000000005</v>
      </c>
      <c r="CD225" s="55">
        <f t="shared" si="390"/>
        <v>-0.35940800000000001</v>
      </c>
      <c r="CE225" s="55">
        <f t="shared" si="390"/>
        <v>0.53883199999999998</v>
      </c>
      <c r="CF225" s="55">
        <f t="shared" si="390"/>
        <v>0.74221800000000004</v>
      </c>
      <c r="CG225" s="55">
        <f t="shared" si="390"/>
        <v>-0.71087800000000001</v>
      </c>
      <c r="CH225" s="55">
        <f t="shared" si="390"/>
        <v>-0.60980100000000004</v>
      </c>
      <c r="CI225" s="55">
        <f t="shared" si="390"/>
        <v>-0.104517</v>
      </c>
      <c r="CJ225" s="55">
        <f t="shared" si="390"/>
        <v>-0.374529</v>
      </c>
      <c r="CK225" s="55">
        <f t="shared" si="390"/>
        <v>0.42504999999999998</v>
      </c>
      <c r="CL225" s="55">
        <f t="shared" si="390"/>
        <v>-1.4208430000000001</v>
      </c>
      <c r="CM225" s="55">
        <f t="shared" si="390"/>
        <v>0.44993899999999998</v>
      </c>
      <c r="CN225" s="55">
        <f t="shared" si="390"/>
        <v>0.73405699999999996</v>
      </c>
      <c r="CO225" s="55">
        <f t="shared" si="391"/>
        <v>-0.50785999999999998</v>
      </c>
      <c r="CP225" s="55">
        <f t="shared" si="391"/>
        <v>0.81760900000000003</v>
      </c>
      <c r="CQ225" s="55">
        <f t="shared" si="391"/>
        <v>7.2500999999999996E-2</v>
      </c>
      <c r="CR225" s="55">
        <f t="shared" si="391"/>
        <v>0.14438599999999999</v>
      </c>
      <c r="CS225" s="55">
        <f t="shared" si="391"/>
        <v>0.67340699999999998</v>
      </c>
      <c r="CT225" s="55">
        <f t="shared" si="391"/>
        <v>-0.45261000000000001</v>
      </c>
      <c r="CU225" s="55">
        <f t="shared" si="391"/>
        <v>-0.11408500000000001</v>
      </c>
      <c r="CV225" s="55">
        <f t="shared" si="391"/>
        <v>-0.11279500000000001</v>
      </c>
      <c r="CW225" s="55">
        <f t="shared" si="391"/>
        <v>0.55067200000000005</v>
      </c>
      <c r="CX225" s="55">
        <f t="shared" si="391"/>
        <v>-0.61355700000000002</v>
      </c>
      <c r="CY225" s="55">
        <f t="shared" si="391"/>
        <v>-0.21176</v>
      </c>
      <c r="CZ225" s="55">
        <f t="shared" si="391"/>
        <v>-0.25395499999999999</v>
      </c>
      <c r="DA225" s="55">
        <f t="shared" si="391"/>
        <v>-0.79663799999999996</v>
      </c>
      <c r="DB225" s="55">
        <f t="shared" si="391"/>
        <v>-0.38058199999999998</v>
      </c>
      <c r="DC225" s="55">
        <f t="shared" si="391"/>
        <v>-1.3752599999999999</v>
      </c>
      <c r="DD225" s="55">
        <f t="shared" si="391"/>
        <v>-1.6423E-2</v>
      </c>
      <c r="DE225" s="55">
        <f t="shared" si="389"/>
        <v>0.39559</v>
      </c>
      <c r="DF225" s="55">
        <f t="shared" si="389"/>
        <v>5.9903999999999999E-2</v>
      </c>
      <c r="DG225" s="55">
        <f t="shared" si="389"/>
        <v>0.10580299999999999</v>
      </c>
      <c r="DI225" s="55">
        <f t="shared" ca="1" si="236"/>
        <v>0.427541</v>
      </c>
      <c r="DJ225" s="55">
        <f t="shared" ca="1" si="237"/>
        <v>0.88970300000000002</v>
      </c>
      <c r="DK225" s="55">
        <f t="shared" ca="1" si="238"/>
        <v>1.0445359999999999</v>
      </c>
      <c r="DL225" s="55">
        <f t="shared" ca="1" si="239"/>
        <v>0.94583399999999995</v>
      </c>
      <c r="DM225" s="55">
        <f t="shared" ca="1" si="240"/>
        <v>0.93252000000000002</v>
      </c>
      <c r="DN225" s="55">
        <f t="shared" ca="1" si="241"/>
        <v>-0.110526</v>
      </c>
      <c r="DO225" s="55">
        <f t="shared" ca="1" si="242"/>
        <v>0.421041</v>
      </c>
      <c r="DP225" s="55">
        <f t="shared" ca="1" si="243"/>
        <v>0.74219599999999997</v>
      </c>
      <c r="DQ225" s="55">
        <f t="shared" ca="1" si="244"/>
        <v>0.85197999999999996</v>
      </c>
      <c r="DR225" s="55">
        <f t="shared" ca="1" si="245"/>
        <v>-0.60107299999999997</v>
      </c>
      <c r="DS225" s="55">
        <f t="shared" ca="1" si="246"/>
        <v>0.78763000000000005</v>
      </c>
      <c r="DT225" s="55">
        <f t="shared" ca="1" si="247"/>
        <v>-0.54883300000000002</v>
      </c>
      <c r="DU225" s="55">
        <f t="shared" ca="1" si="248"/>
        <v>-9.8946999999999993E-2</v>
      </c>
      <c r="DV225" s="55">
        <f t="shared" ca="1" si="249"/>
        <v>0.63033099999999997</v>
      </c>
      <c r="DW225" s="55">
        <f t="shared" ca="1" si="250"/>
        <v>0.49465983997000001</v>
      </c>
      <c r="DX225" s="55">
        <f t="shared" ca="1" si="251"/>
        <v>0.98188508080799997</v>
      </c>
      <c r="DY225" s="55">
        <f t="shared" ca="1" si="252"/>
        <v>0.79038248860400007</v>
      </c>
      <c r="DZ225" s="55">
        <f t="shared" ca="1" si="253"/>
        <v>-0.19329728860799997</v>
      </c>
      <c r="EA225" s="55">
        <f t="shared" ca="1" si="254"/>
        <v>0.42077633579400003</v>
      </c>
      <c r="EB225" s="55">
        <f t="shared" ca="1" si="255"/>
        <v>-0.12784837749600009</v>
      </c>
      <c r="EC225" s="55">
        <f t="shared" ca="1" si="256"/>
        <v>-2.9482929891999993E-2</v>
      </c>
      <c r="ED225" s="55">
        <f t="shared" ca="1" si="257"/>
        <v>0.75538042816399997</v>
      </c>
      <c r="EE225" s="55">
        <f t="shared" ca="1" si="258"/>
        <v>0.18859563836400001</v>
      </c>
      <c r="EF225" s="55">
        <f t="shared" ca="1" si="259"/>
        <v>-0.62631235004599994</v>
      </c>
      <c r="EG225" s="55">
        <f t="shared" ca="1" si="260"/>
        <v>-0.56916608348600006</v>
      </c>
      <c r="EH225" s="55">
        <f t="shared" ca="1" si="261"/>
        <v>-0.26979322963399999</v>
      </c>
      <c r="EI225" s="55">
        <f t="shared" ca="1" si="262"/>
        <v>-0.57169683732200005</v>
      </c>
      <c r="EJ225" s="55">
        <f t="shared" ca="1" si="263"/>
        <v>0.21851821081200001</v>
      </c>
      <c r="EK225" s="55">
        <f t="shared" ca="1" si="264"/>
        <v>-1.2021368253540001</v>
      </c>
      <c r="EL225" s="55">
        <f t="shared" ca="1" si="265"/>
        <v>0.44114408335599997</v>
      </c>
      <c r="EM225" s="55">
        <f t="shared" ca="1" si="266"/>
        <v>0.72737429352799998</v>
      </c>
      <c r="EN225" s="55">
        <f t="shared" ca="1" si="267"/>
        <v>-0.32349528651999998</v>
      </c>
      <c r="EO225" s="55">
        <f t="shared" ca="1" si="268"/>
        <v>2.7214354358000015E-2</v>
      </c>
      <c r="EP225" s="55">
        <f t="shared" ca="1" si="269"/>
        <v>0.23502886034600001</v>
      </c>
      <c r="EQ225" s="55">
        <f t="shared" ca="1" si="270"/>
        <v>-0.19662530641000003</v>
      </c>
      <c r="ER225" s="55">
        <f t="shared" ca="1" si="271"/>
        <v>1.087405590608</v>
      </c>
      <c r="ES225" s="55">
        <f t="shared" ca="1" si="272"/>
        <v>-6.1425100702000052E-2</v>
      </c>
      <c r="ET225" s="55">
        <f t="shared" ca="1" si="273"/>
        <v>1.3512800209999995E-2</v>
      </c>
      <c r="EU225" s="55">
        <f t="shared" ca="1" si="274"/>
        <v>0.21277241389400003</v>
      </c>
      <c r="EV225" s="55">
        <f t="shared" ca="1" si="275"/>
        <v>0.90576000000000001</v>
      </c>
      <c r="EW225" s="55">
        <f t="shared" ca="1" si="276"/>
        <v>-0.61505100000000001</v>
      </c>
      <c r="EX225" s="55">
        <f t="shared" ca="1" si="277"/>
        <v>0.29700199999999999</v>
      </c>
      <c r="EY225" s="55">
        <f t="shared" ca="1" si="278"/>
        <v>0.485425</v>
      </c>
      <c r="EZ225" s="55">
        <f t="shared" ca="1" si="279"/>
        <v>-0.17513000000000001</v>
      </c>
      <c r="FA225" s="55">
        <f t="shared" ca="1" si="280"/>
        <v>0.58527099999999999</v>
      </c>
      <c r="FB225" s="55">
        <f t="shared" ca="1" si="281"/>
        <v>-3.61E-2</v>
      </c>
      <c r="FC225" s="55">
        <f t="shared" ca="1" si="282"/>
        <v>-0.11219899999999999</v>
      </c>
      <c r="FD225" s="55">
        <f t="shared" ca="1" si="283"/>
        <v>-0.138653</v>
      </c>
      <c r="FE225" s="55">
        <f t="shared" ca="1" si="284"/>
        <v>-0.65617999999999999</v>
      </c>
      <c r="FF225" s="55">
        <f t="shared" ca="1" si="285"/>
        <v>-9.8567000000000002E-2</v>
      </c>
      <c r="FH225" s="55">
        <f t="shared" ca="1" si="286"/>
        <v>0</v>
      </c>
      <c r="FI225" s="55">
        <f t="shared" ca="1" si="379"/>
        <v>0</v>
      </c>
      <c r="FJ225" s="55">
        <f t="shared" ca="1" si="380"/>
        <v>0</v>
      </c>
      <c r="FK225" s="55">
        <f t="shared" ca="1" si="381"/>
        <v>0</v>
      </c>
      <c r="FL225" s="55">
        <f t="shared" ca="1" si="382"/>
        <v>0</v>
      </c>
      <c r="FM225" s="55">
        <f t="shared" ca="1" si="383"/>
        <v>0</v>
      </c>
      <c r="FN225" s="55">
        <f t="shared" ca="1" si="384"/>
        <v>0</v>
      </c>
      <c r="FO225" s="55">
        <f t="shared" ca="1" si="385"/>
        <v>0</v>
      </c>
      <c r="FP225" s="55">
        <f t="shared" ca="1" si="386"/>
        <v>0</v>
      </c>
      <c r="FQ225" s="55">
        <f t="shared" ca="1" si="387"/>
        <v>0</v>
      </c>
      <c r="FR225" s="55">
        <f t="shared" ca="1" si="388"/>
        <v>0</v>
      </c>
      <c r="FS225" s="55">
        <f t="shared" ca="1" si="329"/>
        <v>0</v>
      </c>
      <c r="FT225" s="55">
        <f t="shared" ca="1" si="330"/>
        <v>0</v>
      </c>
      <c r="FU225" s="55">
        <f t="shared" ca="1" si="331"/>
        <v>0</v>
      </c>
      <c r="FV225" s="55">
        <f t="shared" ca="1" si="332"/>
        <v>0.19864583997000002</v>
      </c>
      <c r="FW225" s="55">
        <f t="shared" ca="1" si="333"/>
        <v>0.11658908080800001</v>
      </c>
      <c r="FX225" s="55">
        <f t="shared" ca="1" si="334"/>
        <v>1.257969488604</v>
      </c>
      <c r="FY225" s="55">
        <f t="shared" ca="1" si="335"/>
        <v>0.57016071139199997</v>
      </c>
      <c r="FZ225" s="55">
        <f t="shared" ca="1" si="336"/>
        <v>-0.421704664206</v>
      </c>
      <c r="GA225" s="55">
        <f t="shared" ca="1" si="337"/>
        <v>-0.91112737749600003</v>
      </c>
      <c r="GB225" s="55">
        <f t="shared" ca="1" si="338"/>
        <v>-0.64819292989199995</v>
      </c>
      <c r="GC225" s="55">
        <f t="shared" ca="1" si="339"/>
        <v>-0.42544557183599996</v>
      </c>
      <c r="GD225" s="55">
        <f t="shared" ca="1" si="340"/>
        <v>1.0876836383640001</v>
      </c>
      <c r="GE225" s="55">
        <f t="shared" ca="1" si="341"/>
        <v>-0.16614335004599995</v>
      </c>
      <c r="GF225" s="55">
        <f t="shared" ca="1" si="342"/>
        <v>-7.9834083486000074E-2</v>
      </c>
      <c r="GG225" s="55">
        <f t="shared" ca="1" si="343"/>
        <v>0.32471277036599999</v>
      </c>
      <c r="GH225" s="55">
        <f t="shared" ca="1" si="344"/>
        <v>0.38736916267799992</v>
      </c>
      <c r="GI225" s="55">
        <f t="shared" ca="1" si="345"/>
        <v>0.40576621081200004</v>
      </c>
      <c r="GJ225" s="55">
        <f t="shared" ca="1" si="346"/>
        <v>-0.4296848253540001</v>
      </c>
      <c r="GK225" s="55">
        <f t="shared" ca="1" si="347"/>
        <v>1.727908335599998E-2</v>
      </c>
      <c r="GL225" s="55">
        <f t="shared" ca="1" si="348"/>
        <v>1.3129293527999963E-2</v>
      </c>
      <c r="GM225" s="55">
        <f t="shared" ca="1" si="349"/>
        <v>-0.36221528651999996</v>
      </c>
      <c r="GN225" s="55">
        <f t="shared" ca="1" si="350"/>
        <v>1.552862354358</v>
      </c>
      <c r="GO225" s="55">
        <f t="shared" ca="1" si="351"/>
        <v>-0.31931313965399999</v>
      </c>
      <c r="GP225" s="55">
        <f t="shared" ca="1" si="352"/>
        <v>0.66997369359000003</v>
      </c>
      <c r="GQ225" s="55">
        <f t="shared" ca="1" si="353"/>
        <v>-0.81336940939200009</v>
      </c>
      <c r="GR225" s="55">
        <f t="shared" ca="1" si="354"/>
        <v>-0.76854810070199997</v>
      </c>
      <c r="GS225" s="55">
        <f t="shared" ca="1" si="355"/>
        <v>-0.25068719978999998</v>
      </c>
      <c r="GT225" s="55">
        <f t="shared" ca="1" si="356"/>
        <v>-0.63963158610600002</v>
      </c>
      <c r="GU225" s="55">
        <f t="shared" ca="1" si="357"/>
        <v>0</v>
      </c>
      <c r="GV225" s="55">
        <f t="shared" ca="1" si="358"/>
        <v>0</v>
      </c>
      <c r="GW225" s="55">
        <f t="shared" ca="1" si="359"/>
        <v>0</v>
      </c>
      <c r="GX225" s="55">
        <f t="shared" ca="1" si="360"/>
        <v>0</v>
      </c>
      <c r="GY225" s="55">
        <f t="shared" ca="1" si="361"/>
        <v>0</v>
      </c>
      <c r="GZ225" s="55">
        <f t="shared" ca="1" si="362"/>
        <v>0</v>
      </c>
      <c r="HA225" s="55">
        <f t="shared" ca="1" si="363"/>
        <v>0</v>
      </c>
      <c r="HB225" s="55">
        <f t="shared" ca="1" si="364"/>
        <v>0</v>
      </c>
      <c r="HC225" s="55">
        <f t="shared" ca="1" si="365"/>
        <v>0</v>
      </c>
      <c r="HD225" s="55">
        <f t="shared" ca="1" si="366"/>
        <v>0</v>
      </c>
      <c r="HE225" s="55">
        <f t="shared" ca="1" si="367"/>
        <v>0</v>
      </c>
    </row>
    <row r="226" spans="1:213">
      <c r="A226" s="27">
        <v>89</v>
      </c>
      <c r="B226" s="27">
        <v>37</v>
      </c>
      <c r="C226" s="27">
        <v>6.5642000000000006E-2</v>
      </c>
      <c r="D226" s="27">
        <v>0.23285400000000001</v>
      </c>
      <c r="E226" s="27">
        <v>20</v>
      </c>
      <c r="F226" s="27">
        <f t="shared" ca="1" si="231"/>
        <v>32</v>
      </c>
      <c r="G226" s="27">
        <f t="shared" si="230"/>
        <v>0</v>
      </c>
      <c r="H226" s="27" t="str">
        <f t="shared" si="232"/>
        <v>Sim</v>
      </c>
      <c r="I226" s="27">
        <f t="shared" si="233"/>
        <v>0</v>
      </c>
      <c r="J226" s="37">
        <f t="shared" si="234"/>
        <v>1</v>
      </c>
      <c r="K226" s="55">
        <f t="shared" si="235"/>
        <v>-0.28954200000000002</v>
      </c>
      <c r="L226" s="55">
        <f t="shared" si="368"/>
        <v>-2.6342000000000001E-2</v>
      </c>
      <c r="M226" s="55">
        <f t="shared" si="369"/>
        <v>1.5683940000000001</v>
      </c>
      <c r="N226" s="55">
        <f t="shared" si="370"/>
        <v>-0.72652099999999997</v>
      </c>
      <c r="O226" s="55">
        <f t="shared" si="371"/>
        <v>0.27178600000000003</v>
      </c>
      <c r="P226" s="55">
        <f t="shared" si="372"/>
        <v>0.54248799999999997</v>
      </c>
      <c r="Q226" s="55">
        <f t="shared" si="373"/>
        <v>-0.79119200000000001</v>
      </c>
      <c r="R226" s="55">
        <f t="shared" si="374"/>
        <v>-0.59809500000000004</v>
      </c>
      <c r="S226" s="55">
        <f t="shared" si="375"/>
        <v>1.3168979999999999</v>
      </c>
      <c r="T226" s="55">
        <f t="shared" si="376"/>
        <v>-0.467142</v>
      </c>
      <c r="U226" s="55">
        <f t="shared" si="377"/>
        <v>0.15556900000000001</v>
      </c>
      <c r="V226" s="55">
        <f t="shared" si="288"/>
        <v>0.64772600000000002</v>
      </c>
      <c r="W226" s="55">
        <f t="shared" si="289"/>
        <v>0.70243</v>
      </c>
      <c r="X226" s="55">
        <f t="shared" si="290"/>
        <v>0.29363800000000001</v>
      </c>
      <c r="Y226" s="55">
        <f t="shared" si="291"/>
        <v>0.59576899999999999</v>
      </c>
      <c r="Z226" s="55">
        <f t="shared" si="292"/>
        <v>1.041228</v>
      </c>
      <c r="AA226" s="55">
        <f t="shared" si="293"/>
        <v>1.430679</v>
      </c>
      <c r="AB226" s="55">
        <f t="shared" si="294"/>
        <v>9.6909999999999996E-2</v>
      </c>
      <c r="AC226" s="55">
        <f t="shared" si="295"/>
        <v>0.20613200000000001</v>
      </c>
      <c r="AD226" s="55">
        <f t="shared" si="296"/>
        <v>-0.59160500000000005</v>
      </c>
      <c r="AE226" s="55">
        <f t="shared" si="297"/>
        <v>-0.35940800000000001</v>
      </c>
      <c r="AF226" s="55">
        <f t="shared" si="298"/>
        <v>0.53883199999999998</v>
      </c>
      <c r="AG226" s="55">
        <f t="shared" si="299"/>
        <v>0.74221800000000004</v>
      </c>
      <c r="AH226" s="55">
        <f t="shared" si="300"/>
        <v>-0.71087800000000001</v>
      </c>
      <c r="AI226" s="55">
        <f t="shared" si="301"/>
        <v>-0.60980100000000004</v>
      </c>
      <c r="AJ226" s="55">
        <f t="shared" si="302"/>
        <v>-0.104517</v>
      </c>
      <c r="AK226" s="55">
        <f t="shared" si="303"/>
        <v>-0.374529</v>
      </c>
      <c r="AL226" s="55">
        <f t="shared" si="304"/>
        <v>0.42504999999999998</v>
      </c>
      <c r="AM226" s="55">
        <f t="shared" si="305"/>
        <v>-1.4208430000000001</v>
      </c>
      <c r="AN226" s="55">
        <f t="shared" si="306"/>
        <v>0.44993899999999998</v>
      </c>
      <c r="AO226" s="55">
        <f t="shared" si="307"/>
        <v>0.73405699999999996</v>
      </c>
      <c r="AP226" s="55">
        <f t="shared" si="308"/>
        <v>-0.50785999999999998</v>
      </c>
      <c r="AQ226" s="55">
        <f t="shared" si="309"/>
        <v>0.81760900000000003</v>
      </c>
      <c r="AR226" s="55">
        <f t="shared" si="310"/>
        <v>7.2500999999999996E-2</v>
      </c>
      <c r="AS226" s="55">
        <f t="shared" si="311"/>
        <v>0.14438599999999999</v>
      </c>
      <c r="AT226" s="55">
        <f t="shared" si="312"/>
        <v>0.67340699999999998</v>
      </c>
      <c r="AU226" s="55">
        <f t="shared" si="313"/>
        <v>-0.45261000000000001</v>
      </c>
      <c r="AV226" s="55">
        <f t="shared" si="314"/>
        <v>-0.11408500000000001</v>
      </c>
      <c r="AW226" s="55">
        <f t="shared" si="315"/>
        <v>-0.11279500000000001</v>
      </c>
      <c r="AX226" s="55">
        <f t="shared" si="316"/>
        <v>0.55067200000000005</v>
      </c>
      <c r="AY226" s="55">
        <f t="shared" si="317"/>
        <v>-0.61355700000000002</v>
      </c>
      <c r="AZ226" s="55">
        <f t="shared" si="318"/>
        <v>-0.21176</v>
      </c>
      <c r="BA226" s="55">
        <f t="shared" si="319"/>
        <v>-0.25395499999999999</v>
      </c>
      <c r="BB226" s="55">
        <f t="shared" si="320"/>
        <v>-0.79663799999999996</v>
      </c>
      <c r="BC226" s="55">
        <f t="shared" si="321"/>
        <v>-0.38058199999999998</v>
      </c>
      <c r="BD226" s="55">
        <f t="shared" si="322"/>
        <v>-1.3752599999999999</v>
      </c>
      <c r="BE226" s="55">
        <f t="shared" si="323"/>
        <v>-1.6423E-2</v>
      </c>
      <c r="BF226" s="55">
        <f t="shared" si="324"/>
        <v>0.39559</v>
      </c>
      <c r="BG226" s="55">
        <f t="shared" si="325"/>
        <v>5.9903999999999999E-2</v>
      </c>
      <c r="BH226" s="55">
        <f t="shared" si="326"/>
        <v>0.10580299999999999</v>
      </c>
      <c r="BJ226" s="55">
        <f t="shared" si="392"/>
        <v>0.977024</v>
      </c>
      <c r="BK226" s="55">
        <f t="shared" si="392"/>
        <v>-0.77819899999999997</v>
      </c>
      <c r="BL226" s="55">
        <f t="shared" si="392"/>
        <v>0.28137000000000001</v>
      </c>
      <c r="BM226" s="55">
        <f t="shared" si="392"/>
        <v>0.210147</v>
      </c>
      <c r="BN226" s="55">
        <f t="shared" si="392"/>
        <v>0.75479200000000002</v>
      </c>
      <c r="BO226" s="55">
        <f t="shared" si="392"/>
        <v>-1.792562</v>
      </c>
      <c r="BP226" s="55">
        <f t="shared" si="392"/>
        <v>0.68064400000000003</v>
      </c>
      <c r="BQ226" s="55">
        <f t="shared" si="392"/>
        <v>-0.47226499999999999</v>
      </c>
      <c r="BR226" s="55">
        <f t="shared" si="392"/>
        <v>-0.21042</v>
      </c>
      <c r="BS226" s="55">
        <f t="shared" si="392"/>
        <v>-0.56348200000000004</v>
      </c>
      <c r="BT226" s="55">
        <f t="shared" si="392"/>
        <v>0.35940800000000001</v>
      </c>
      <c r="BU226" s="55">
        <f t="shared" si="392"/>
        <v>-0.662134</v>
      </c>
      <c r="BV226" s="55">
        <f t="shared" si="392"/>
        <v>-1.333936</v>
      </c>
      <c r="BW226" s="55">
        <f t="shared" si="392"/>
        <v>1.1656359999999999</v>
      </c>
      <c r="BX226" s="55">
        <f t="shared" si="392"/>
        <v>0.39030100000000001</v>
      </c>
      <c r="BY226" s="55">
        <f t="shared" si="392"/>
        <v>0.12973899999999999</v>
      </c>
      <c r="BZ226" s="55">
        <f t="shared" si="390"/>
        <v>-0.52273099999999995</v>
      </c>
      <c r="CA226" s="55">
        <f t="shared" si="390"/>
        <v>1.156361</v>
      </c>
      <c r="CB226" s="55">
        <f t="shared" si="390"/>
        <v>-0.85358699999999998</v>
      </c>
      <c r="CC226" s="55">
        <f t="shared" si="390"/>
        <v>4.7983999999999999E-2</v>
      </c>
      <c r="CD226" s="55">
        <f t="shared" si="390"/>
        <v>-0.40818500000000002</v>
      </c>
      <c r="CE226" s="55">
        <f t="shared" si="390"/>
        <v>-0.96428700000000001</v>
      </c>
      <c r="CF226" s="55">
        <f t="shared" si="390"/>
        <v>-0.70098700000000003</v>
      </c>
      <c r="CG226" s="55">
        <f t="shared" si="390"/>
        <v>5.7111000000000002E-2</v>
      </c>
      <c r="CH226" s="55">
        <f t="shared" si="390"/>
        <v>-0.157724</v>
      </c>
      <c r="CI226" s="55">
        <f t="shared" si="390"/>
        <v>-0.310886</v>
      </c>
      <c r="CJ226" s="55">
        <f t="shared" si="390"/>
        <v>-0.24035500000000001</v>
      </c>
      <c r="CK226" s="55">
        <f t="shared" si="390"/>
        <v>1.41211</v>
      </c>
      <c r="CL226" s="55">
        <f t="shared" si="390"/>
        <v>0.32704899999999998</v>
      </c>
      <c r="CM226" s="55">
        <f t="shared" si="390"/>
        <v>0.42012899999999997</v>
      </c>
      <c r="CN226" s="55">
        <f t="shared" si="390"/>
        <v>0.648756</v>
      </c>
      <c r="CO226" s="55">
        <f t="shared" si="391"/>
        <v>0.87153599999999998</v>
      </c>
      <c r="CP226" s="55">
        <f t="shared" si="391"/>
        <v>0.26472000000000001</v>
      </c>
      <c r="CQ226" s="55">
        <f t="shared" si="391"/>
        <v>3.2361000000000001E-2</v>
      </c>
      <c r="CR226" s="55">
        <f t="shared" si="391"/>
        <v>4.2389000000000003E-2</v>
      </c>
      <c r="CS226" s="55">
        <f t="shared" si="391"/>
        <v>0.51620500000000002</v>
      </c>
      <c r="CT226" s="55">
        <f t="shared" si="391"/>
        <v>6.7905999999999994E-2</v>
      </c>
      <c r="CU226" s="55">
        <f t="shared" si="391"/>
        <v>-0.15556400000000001</v>
      </c>
      <c r="CV226" s="55">
        <f t="shared" si="391"/>
        <v>-0.36950100000000002</v>
      </c>
      <c r="CW226" s="55">
        <f t="shared" si="391"/>
        <v>0.35318699999999997</v>
      </c>
      <c r="CX226" s="55">
        <f t="shared" si="391"/>
        <v>-0.182979</v>
      </c>
      <c r="CY226" s="55">
        <f t="shared" si="391"/>
        <v>1.2469730000000001</v>
      </c>
      <c r="CZ226" s="55">
        <f t="shared" si="391"/>
        <v>0.56035299999999999</v>
      </c>
      <c r="DA226" s="55">
        <f t="shared" si="391"/>
        <v>-9.7970000000000002E-3</v>
      </c>
      <c r="DB226" s="55">
        <f t="shared" si="391"/>
        <v>0.322075</v>
      </c>
      <c r="DC226" s="55">
        <f t="shared" si="391"/>
        <v>-1.2087969999999999</v>
      </c>
      <c r="DD226" s="55">
        <f t="shared" si="391"/>
        <v>-0.42161300000000002</v>
      </c>
      <c r="DE226" s="55">
        <f t="shared" si="389"/>
        <v>0.54421399999999998</v>
      </c>
      <c r="DF226" s="55">
        <f t="shared" si="389"/>
        <v>-0.45694699999999999</v>
      </c>
      <c r="DG226" s="55">
        <f t="shared" si="389"/>
        <v>0.80196400000000001</v>
      </c>
      <c r="DI226" s="55">
        <f t="shared" ca="1" si="236"/>
        <v>-0.28954200000000002</v>
      </c>
      <c r="DJ226" s="55">
        <f t="shared" ca="1" si="237"/>
        <v>-2.6342000000000001E-2</v>
      </c>
      <c r="DK226" s="55">
        <f t="shared" ca="1" si="238"/>
        <v>1.5683940000000001</v>
      </c>
      <c r="DL226" s="55">
        <f t="shared" ca="1" si="239"/>
        <v>-0.72652099999999997</v>
      </c>
      <c r="DM226" s="55">
        <f t="shared" ca="1" si="240"/>
        <v>0.27178600000000003</v>
      </c>
      <c r="DN226" s="55">
        <f t="shared" ca="1" si="241"/>
        <v>0.54248799999999997</v>
      </c>
      <c r="DO226" s="55">
        <f t="shared" ca="1" si="242"/>
        <v>-0.79119200000000001</v>
      </c>
      <c r="DP226" s="55">
        <f t="shared" ca="1" si="243"/>
        <v>-0.59809500000000004</v>
      </c>
      <c r="DQ226" s="55">
        <f t="shared" ca="1" si="244"/>
        <v>1.3168979999999999</v>
      </c>
      <c r="DR226" s="55">
        <f t="shared" ca="1" si="245"/>
        <v>-0.467142</v>
      </c>
      <c r="DS226" s="55">
        <f t="shared" ca="1" si="246"/>
        <v>0.15556900000000001</v>
      </c>
      <c r="DT226" s="55">
        <f t="shared" ca="1" si="247"/>
        <v>0.64772600000000002</v>
      </c>
      <c r="DU226" s="55">
        <f t="shared" ca="1" si="248"/>
        <v>0.70243</v>
      </c>
      <c r="DV226" s="55">
        <f t="shared" ca="1" si="249"/>
        <v>0.29363800000000001</v>
      </c>
      <c r="DW226" s="55">
        <f t="shared" ca="1" si="250"/>
        <v>0.59576899999999999</v>
      </c>
      <c r="DX226" s="55">
        <f t="shared" ca="1" si="251"/>
        <v>1.041228</v>
      </c>
      <c r="DY226" s="55">
        <f t="shared" ca="1" si="252"/>
        <v>1.430679</v>
      </c>
      <c r="DZ226" s="55">
        <f t="shared" ca="1" si="253"/>
        <v>9.6909999999999996E-2</v>
      </c>
      <c r="EA226" s="55">
        <f t="shared" ca="1" si="254"/>
        <v>0.20613200000000001</v>
      </c>
      <c r="EB226" s="55">
        <f t="shared" ca="1" si="255"/>
        <v>-0.59160500000000005</v>
      </c>
      <c r="EC226" s="55">
        <f t="shared" ca="1" si="256"/>
        <v>-0.39682708044199999</v>
      </c>
      <c r="ED226" s="55">
        <f t="shared" ca="1" si="257"/>
        <v>-0.61427972837400002</v>
      </c>
      <c r="EE226" s="55">
        <f t="shared" ca="1" si="258"/>
        <v>-0.36493094293000006</v>
      </c>
      <c r="EF226" s="55">
        <f t="shared" ca="1" si="259"/>
        <v>-0.12171831060600001</v>
      </c>
      <c r="EG226" s="55">
        <f t="shared" ca="1" si="260"/>
        <v>-0.26299193775800001</v>
      </c>
      <c r="EH226" s="55">
        <f t="shared" ca="1" si="261"/>
        <v>-0.26283215287399997</v>
      </c>
      <c r="EI226" s="55">
        <f t="shared" ca="1" si="262"/>
        <v>-0.271597952596</v>
      </c>
      <c r="EJ226" s="55">
        <f t="shared" ca="1" si="263"/>
        <v>1.18226913076</v>
      </c>
      <c r="EK226" s="55">
        <f t="shared" ca="1" si="264"/>
        <v>-7.9954643768000044E-2</v>
      </c>
      <c r="EL226" s="55">
        <f t="shared" ca="1" si="265"/>
        <v>0.42707037774000001</v>
      </c>
      <c r="EM226" s="55">
        <f t="shared" ca="1" si="266"/>
        <v>0.66861867905399996</v>
      </c>
      <c r="EN226" s="55">
        <f t="shared" ca="1" si="267"/>
        <v>0.550338123816</v>
      </c>
      <c r="EO226" s="55">
        <f t="shared" ca="1" si="268"/>
        <v>0.81760900000000003</v>
      </c>
      <c r="EP226" s="55">
        <f t="shared" ca="1" si="269"/>
        <v>7.2500999999999996E-2</v>
      </c>
      <c r="EQ226" s="55">
        <f t="shared" ca="1" si="270"/>
        <v>0.14438599999999999</v>
      </c>
      <c r="ER226" s="55">
        <f t="shared" ca="1" si="271"/>
        <v>0.67340699999999998</v>
      </c>
      <c r="ES226" s="55">
        <f t="shared" ca="1" si="272"/>
        <v>-0.45261000000000001</v>
      </c>
      <c r="ET226" s="55">
        <f t="shared" ca="1" si="273"/>
        <v>-0.11408500000000001</v>
      </c>
      <c r="EU226" s="55">
        <f t="shared" ca="1" si="274"/>
        <v>-0.11279500000000001</v>
      </c>
      <c r="EV226" s="55">
        <f t="shared" ca="1" si="275"/>
        <v>0.55067200000000005</v>
      </c>
      <c r="EW226" s="55">
        <f t="shared" ca="1" si="276"/>
        <v>-0.61355700000000002</v>
      </c>
      <c r="EX226" s="55">
        <f t="shared" ca="1" si="277"/>
        <v>-0.21176</v>
      </c>
      <c r="EY226" s="55">
        <f t="shared" ca="1" si="278"/>
        <v>-0.25395499999999999</v>
      </c>
      <c r="EZ226" s="55">
        <f t="shared" ca="1" si="279"/>
        <v>-0.79663799999999996</v>
      </c>
      <c r="FA226" s="55">
        <f t="shared" ca="1" si="280"/>
        <v>-0.38058199999999998</v>
      </c>
      <c r="FB226" s="55">
        <f t="shared" ca="1" si="281"/>
        <v>-1.3752599999999999</v>
      </c>
      <c r="FC226" s="55">
        <f t="shared" ca="1" si="282"/>
        <v>-1.6423E-2</v>
      </c>
      <c r="FD226" s="55">
        <f t="shared" ca="1" si="283"/>
        <v>0.39559</v>
      </c>
      <c r="FE226" s="55">
        <f t="shared" ca="1" si="284"/>
        <v>5.9903999999999999E-2</v>
      </c>
      <c r="FF226" s="55">
        <f t="shared" ca="1" si="285"/>
        <v>0.10580299999999999</v>
      </c>
      <c r="FH226" s="55">
        <f t="shared" ca="1" si="286"/>
        <v>0</v>
      </c>
      <c r="FI226" s="55">
        <f t="shared" ca="1" si="379"/>
        <v>0</v>
      </c>
      <c r="FJ226" s="55">
        <f t="shared" ca="1" si="380"/>
        <v>0</v>
      </c>
      <c r="FK226" s="55">
        <f t="shared" ca="1" si="381"/>
        <v>0</v>
      </c>
      <c r="FL226" s="55">
        <f t="shared" ca="1" si="382"/>
        <v>0</v>
      </c>
      <c r="FM226" s="55">
        <f t="shared" ca="1" si="383"/>
        <v>0</v>
      </c>
      <c r="FN226" s="55">
        <f t="shared" ca="1" si="384"/>
        <v>0</v>
      </c>
      <c r="FO226" s="55">
        <f t="shared" ca="1" si="385"/>
        <v>0</v>
      </c>
      <c r="FP226" s="55">
        <f t="shared" ca="1" si="386"/>
        <v>0</v>
      </c>
      <c r="FQ226" s="55">
        <f t="shared" ca="1" si="387"/>
        <v>0</v>
      </c>
      <c r="FR226" s="55">
        <f t="shared" ca="1" si="388"/>
        <v>0</v>
      </c>
      <c r="FS226" s="55">
        <f t="shared" ca="1" si="329"/>
        <v>0</v>
      </c>
      <c r="FT226" s="55">
        <f t="shared" ca="1" si="330"/>
        <v>0</v>
      </c>
      <c r="FU226" s="55">
        <f t="shared" ca="1" si="331"/>
        <v>0</v>
      </c>
      <c r="FV226" s="55">
        <f t="shared" ca="1" si="332"/>
        <v>0</v>
      </c>
      <c r="FW226" s="55">
        <f t="shared" ca="1" si="333"/>
        <v>0</v>
      </c>
      <c r="FX226" s="55">
        <f t="shared" ca="1" si="334"/>
        <v>0</v>
      </c>
      <c r="FY226" s="55">
        <f t="shared" ca="1" si="335"/>
        <v>0</v>
      </c>
      <c r="FZ226" s="55">
        <f t="shared" ca="1" si="336"/>
        <v>0</v>
      </c>
      <c r="GA226" s="55">
        <f t="shared" ca="1" si="337"/>
        <v>0</v>
      </c>
      <c r="GB226" s="55">
        <f t="shared" ca="1" si="338"/>
        <v>-3.7419080441999986E-2</v>
      </c>
      <c r="GC226" s="55">
        <f t="shared" ca="1" si="339"/>
        <v>-1.153111728374</v>
      </c>
      <c r="GD226" s="55">
        <f t="shared" ca="1" si="340"/>
        <v>-1.1071489429300001</v>
      </c>
      <c r="GE226" s="55">
        <f t="shared" ca="1" si="341"/>
        <v>0.58915968939399999</v>
      </c>
      <c r="GF226" s="55">
        <f t="shared" ca="1" si="342"/>
        <v>0.34680906224200003</v>
      </c>
      <c r="GG226" s="55">
        <f t="shared" ca="1" si="343"/>
        <v>-0.15831515287399997</v>
      </c>
      <c r="GH226" s="55">
        <f t="shared" ca="1" si="344"/>
        <v>0.102931047404</v>
      </c>
      <c r="GI226" s="55">
        <f t="shared" ca="1" si="345"/>
        <v>0.75721913076000003</v>
      </c>
      <c r="GJ226" s="55">
        <f t="shared" ca="1" si="346"/>
        <v>1.340888356232</v>
      </c>
      <c r="GK226" s="55">
        <f t="shared" ca="1" si="347"/>
        <v>-2.2868622259999971E-2</v>
      </c>
      <c r="GL226" s="55">
        <f t="shared" ca="1" si="348"/>
        <v>-6.5438320945999995E-2</v>
      </c>
      <c r="GM226" s="55">
        <f t="shared" ca="1" si="349"/>
        <v>1.0581981238160001</v>
      </c>
      <c r="GN226" s="55">
        <f t="shared" ca="1" si="350"/>
        <v>0</v>
      </c>
      <c r="GO226" s="55">
        <f t="shared" ca="1" si="351"/>
        <v>0</v>
      </c>
      <c r="GP226" s="55">
        <f t="shared" ca="1" si="352"/>
        <v>0</v>
      </c>
      <c r="GQ226" s="55">
        <f t="shared" ca="1" si="353"/>
        <v>0</v>
      </c>
      <c r="GR226" s="55">
        <f t="shared" ca="1" si="354"/>
        <v>0</v>
      </c>
      <c r="GS226" s="55">
        <f t="shared" ca="1" si="355"/>
        <v>0</v>
      </c>
      <c r="GT226" s="55">
        <f t="shared" ca="1" si="356"/>
        <v>0</v>
      </c>
      <c r="GU226" s="55">
        <f t="shared" ca="1" si="357"/>
        <v>0</v>
      </c>
      <c r="GV226" s="55">
        <f t="shared" ca="1" si="358"/>
        <v>0</v>
      </c>
      <c r="GW226" s="55">
        <f t="shared" ca="1" si="359"/>
        <v>0</v>
      </c>
      <c r="GX226" s="55">
        <f t="shared" ca="1" si="360"/>
        <v>0</v>
      </c>
      <c r="GY226" s="55">
        <f t="shared" ca="1" si="361"/>
        <v>0</v>
      </c>
      <c r="GZ226" s="55">
        <f t="shared" ca="1" si="362"/>
        <v>0</v>
      </c>
      <c r="HA226" s="55">
        <f t="shared" ca="1" si="363"/>
        <v>0</v>
      </c>
      <c r="HB226" s="55">
        <f t="shared" ca="1" si="364"/>
        <v>0</v>
      </c>
      <c r="HC226" s="55">
        <f t="shared" ca="1" si="365"/>
        <v>0</v>
      </c>
      <c r="HD226" s="55">
        <f t="shared" ca="1" si="366"/>
        <v>0</v>
      </c>
      <c r="HE226" s="55">
        <f t="shared" ca="1" si="367"/>
        <v>0</v>
      </c>
    </row>
    <row r="227" spans="1:213">
      <c r="A227" s="27">
        <v>90</v>
      </c>
      <c r="B227" s="27">
        <v>27</v>
      </c>
      <c r="C227" s="27">
        <v>0.25144899999999998</v>
      </c>
      <c r="D227" s="27">
        <v>0.354493</v>
      </c>
      <c r="E227" s="27">
        <v>13</v>
      </c>
      <c r="F227" s="27">
        <f t="shared" ca="1" si="231"/>
        <v>28</v>
      </c>
      <c r="G227" s="27">
        <f t="shared" si="230"/>
        <v>0</v>
      </c>
      <c r="H227" s="27" t="str">
        <f t="shared" si="232"/>
        <v>Sim</v>
      </c>
      <c r="I227" s="27">
        <f t="shared" si="233"/>
        <v>0</v>
      </c>
      <c r="J227" s="37">
        <f t="shared" si="234"/>
        <v>1</v>
      </c>
      <c r="K227" s="55">
        <f t="shared" si="235"/>
        <v>-1.1206419999999999</v>
      </c>
      <c r="L227" s="55">
        <f t="shared" si="368"/>
        <v>-1.3029770000000001</v>
      </c>
      <c r="M227" s="55">
        <f t="shared" si="369"/>
        <v>0.63195299999999999</v>
      </c>
      <c r="N227" s="55">
        <f t="shared" si="370"/>
        <v>0.98210200000000003</v>
      </c>
      <c r="O227" s="55">
        <f t="shared" si="371"/>
        <v>-0.57215499999999997</v>
      </c>
      <c r="P227" s="55">
        <f t="shared" si="372"/>
        <v>-0.43438700000000002</v>
      </c>
      <c r="Q227" s="55">
        <f t="shared" si="373"/>
        <v>-0.78777299999999995</v>
      </c>
      <c r="R227" s="55">
        <f t="shared" si="374"/>
        <v>0.70708700000000002</v>
      </c>
      <c r="S227" s="55">
        <f t="shared" si="375"/>
        <v>-0.69861499999999999</v>
      </c>
      <c r="T227" s="55">
        <f t="shared" si="376"/>
        <v>0.17693</v>
      </c>
      <c r="U227" s="55">
        <f t="shared" si="377"/>
        <v>-3.4855999999999998E-2</v>
      </c>
      <c r="V227" s="55">
        <f t="shared" si="288"/>
        <v>-0.24126500000000001</v>
      </c>
      <c r="W227" s="55">
        <f t="shared" si="289"/>
        <v>-0.76626899999999998</v>
      </c>
      <c r="X227" s="55">
        <f t="shared" si="290"/>
        <v>0.76902300000000001</v>
      </c>
      <c r="Y227" s="55">
        <f t="shared" si="291"/>
        <v>0.34150900000000001</v>
      </c>
      <c r="Z227" s="55">
        <f t="shared" si="292"/>
        <v>1.2394810000000001</v>
      </c>
      <c r="AA227" s="55">
        <f t="shared" si="293"/>
        <v>9.9690000000000001E-2</v>
      </c>
      <c r="AB227" s="55">
        <f t="shared" si="294"/>
        <v>-0.23971600000000001</v>
      </c>
      <c r="AC227" s="55">
        <f t="shared" si="295"/>
        <v>0.92815599999999998</v>
      </c>
      <c r="AD227" s="55">
        <f t="shared" si="296"/>
        <v>1.4252050000000001</v>
      </c>
      <c r="AE227" s="55">
        <f t="shared" si="297"/>
        <v>0.64546000000000003</v>
      </c>
      <c r="AF227" s="55">
        <f t="shared" si="298"/>
        <v>0.69140599999999997</v>
      </c>
      <c r="AG227" s="55">
        <f t="shared" si="299"/>
        <v>0.424819</v>
      </c>
      <c r="AH227" s="55">
        <f t="shared" si="300"/>
        <v>-0.34880899999999998</v>
      </c>
      <c r="AI227" s="55">
        <f t="shared" si="301"/>
        <v>-9.5500000000000001E-4</v>
      </c>
      <c r="AJ227" s="55">
        <f t="shared" si="302"/>
        <v>-1.0865530000000001</v>
      </c>
      <c r="AK227" s="55">
        <f t="shared" si="303"/>
        <v>0.57345100000000004</v>
      </c>
      <c r="AL227" s="55">
        <f t="shared" si="304"/>
        <v>0.34295399999999998</v>
      </c>
      <c r="AM227" s="55">
        <f t="shared" si="305"/>
        <v>0.13766200000000001</v>
      </c>
      <c r="AN227" s="55">
        <f t="shared" si="306"/>
        <v>-1.1162510000000001</v>
      </c>
      <c r="AO227" s="55">
        <f t="shared" si="307"/>
        <v>0.73047600000000001</v>
      </c>
      <c r="AP227" s="55">
        <f t="shared" si="308"/>
        <v>0.68080600000000002</v>
      </c>
      <c r="AQ227" s="55">
        <f t="shared" si="309"/>
        <v>0.863236</v>
      </c>
      <c r="AR227" s="55">
        <f t="shared" si="310"/>
        <v>-0.58311199999999996</v>
      </c>
      <c r="AS227" s="55">
        <f t="shared" si="311"/>
        <v>0.47052300000000002</v>
      </c>
      <c r="AT227" s="55">
        <f t="shared" si="312"/>
        <v>-0.24438599999999999</v>
      </c>
      <c r="AU227" s="55">
        <f t="shared" si="313"/>
        <v>0.61097999999999997</v>
      </c>
      <c r="AV227" s="55">
        <f t="shared" si="314"/>
        <v>-0.82228699999999999</v>
      </c>
      <c r="AW227" s="55">
        <f t="shared" si="315"/>
        <v>-0.55370900000000001</v>
      </c>
      <c r="AX227" s="55">
        <f t="shared" si="316"/>
        <v>-1.9292E-2</v>
      </c>
      <c r="AY227" s="55">
        <f t="shared" si="317"/>
        <v>-1.0748390000000001</v>
      </c>
      <c r="AZ227" s="55">
        <f t="shared" si="318"/>
        <v>-0.47066599999999997</v>
      </c>
      <c r="BA227" s="55">
        <f t="shared" si="319"/>
        <v>-1.5998859999999999</v>
      </c>
      <c r="BB227" s="55">
        <f t="shared" si="320"/>
        <v>3.5397999999999999E-2</v>
      </c>
      <c r="BC227" s="55">
        <f t="shared" si="321"/>
        <v>-0.80943900000000002</v>
      </c>
      <c r="BD227" s="55">
        <f t="shared" si="322"/>
        <v>-0.61132799999999998</v>
      </c>
      <c r="BE227" s="55">
        <f t="shared" si="323"/>
        <v>0.132438</v>
      </c>
      <c r="BF227" s="55">
        <f t="shared" si="324"/>
        <v>-0.14102799999999999</v>
      </c>
      <c r="BG227" s="55">
        <f t="shared" si="325"/>
        <v>1.547493</v>
      </c>
      <c r="BH227" s="55">
        <f t="shared" si="326"/>
        <v>-0.62312100000000004</v>
      </c>
      <c r="BJ227" s="55">
        <f t="shared" si="392"/>
        <v>0.80271800000000004</v>
      </c>
      <c r="BK227" s="55">
        <f t="shared" si="392"/>
        <v>0.41569299999999998</v>
      </c>
      <c r="BL227" s="55">
        <f t="shared" si="392"/>
        <v>-0.65010199999999996</v>
      </c>
      <c r="BM227" s="55">
        <f t="shared" si="392"/>
        <v>1.421875</v>
      </c>
      <c r="BN227" s="55">
        <f t="shared" si="392"/>
        <v>-1.3561369999999999</v>
      </c>
      <c r="BO227" s="55">
        <f t="shared" si="392"/>
        <v>-0.280613</v>
      </c>
      <c r="BP227" s="55">
        <f t="shared" si="392"/>
        <v>-0.77776800000000001</v>
      </c>
      <c r="BQ227" s="55">
        <f t="shared" si="392"/>
        <v>0.216886</v>
      </c>
      <c r="BR227" s="55">
        <f t="shared" si="392"/>
        <v>-9.5966999999999997E-2</v>
      </c>
      <c r="BS227" s="55">
        <f t="shared" si="392"/>
        <v>-1.415297</v>
      </c>
      <c r="BT227" s="55">
        <f t="shared" si="392"/>
        <v>0.40227499999999999</v>
      </c>
      <c r="BU227" s="55">
        <f t="shared" si="392"/>
        <v>5.2469999999999999E-3</v>
      </c>
      <c r="BV227" s="55">
        <f t="shared" si="392"/>
        <v>-0.25848399999999999</v>
      </c>
      <c r="BW227" s="55">
        <f t="shared" si="392"/>
        <v>-0.59054499999999999</v>
      </c>
      <c r="BX227" s="55">
        <f t="shared" si="392"/>
        <v>-0.66590099999999997</v>
      </c>
      <c r="BY227" s="55">
        <f t="shared" si="392"/>
        <v>-1.029955</v>
      </c>
      <c r="BZ227" s="55">
        <f t="shared" si="390"/>
        <v>0.46449499999999999</v>
      </c>
      <c r="CA227" s="55">
        <f t="shared" si="390"/>
        <v>1.274626</v>
      </c>
      <c r="CB227" s="55">
        <f t="shared" si="390"/>
        <v>-0.88309400000000005</v>
      </c>
      <c r="CC227" s="55">
        <f t="shared" si="390"/>
        <v>0.18010200000000001</v>
      </c>
      <c r="CD227" s="55">
        <f t="shared" si="390"/>
        <v>-2.7584000000000001E-2</v>
      </c>
      <c r="CE227" s="55">
        <f t="shared" si="390"/>
        <v>0.92403800000000003</v>
      </c>
      <c r="CF227" s="55">
        <f t="shared" si="390"/>
        <v>0.16814299999999999</v>
      </c>
      <c r="CG227" s="55">
        <f t="shared" si="390"/>
        <v>0.79659800000000003</v>
      </c>
      <c r="CH227" s="55">
        <f t="shared" si="390"/>
        <v>-0.64390000000000003</v>
      </c>
      <c r="CI227" s="55">
        <f t="shared" si="390"/>
        <v>-0.66383000000000003</v>
      </c>
      <c r="CJ227" s="55">
        <f t="shared" si="390"/>
        <v>-0.73873999999999995</v>
      </c>
      <c r="CK227" s="55">
        <f t="shared" si="390"/>
        <v>-0.97223599999999999</v>
      </c>
      <c r="CL227" s="55">
        <f t="shared" si="390"/>
        <v>0.71340599999999998</v>
      </c>
      <c r="CM227" s="55">
        <f t="shared" si="390"/>
        <v>0.93837599999999999</v>
      </c>
      <c r="CN227" s="55">
        <f t="shared" si="390"/>
        <v>-0.27566000000000002</v>
      </c>
      <c r="CO227" s="55">
        <f t="shared" si="391"/>
        <v>-0.31607000000000002</v>
      </c>
      <c r="CP227" s="55">
        <f t="shared" si="391"/>
        <v>1.2694879999999999</v>
      </c>
      <c r="CQ227" s="55">
        <f t="shared" si="391"/>
        <v>0.28856700000000002</v>
      </c>
      <c r="CR227" s="55">
        <f t="shared" si="391"/>
        <v>4.6719999999999999E-3</v>
      </c>
      <c r="CS227" s="55">
        <f t="shared" si="391"/>
        <v>-1.6549000000000001E-2</v>
      </c>
      <c r="CT227" s="55">
        <f t="shared" si="391"/>
        <v>0.64384699999999995</v>
      </c>
      <c r="CU227" s="55">
        <f t="shared" si="391"/>
        <v>0.36836799999999997</v>
      </c>
      <c r="CV227" s="55">
        <f t="shared" si="391"/>
        <v>0.689689</v>
      </c>
      <c r="CW227" s="55">
        <f t="shared" si="391"/>
        <v>0.12138500000000001</v>
      </c>
      <c r="CX227" s="55">
        <f t="shared" si="391"/>
        <v>0.36139500000000002</v>
      </c>
      <c r="CY227" s="55">
        <f t="shared" si="391"/>
        <v>1.077331</v>
      </c>
      <c r="CZ227" s="55">
        <f t="shared" si="391"/>
        <v>-1.804222</v>
      </c>
      <c r="DA227" s="55">
        <f t="shared" si="391"/>
        <v>-0.78857100000000002</v>
      </c>
      <c r="DB227" s="55">
        <f t="shared" si="391"/>
        <v>-1.718933</v>
      </c>
      <c r="DC227" s="55">
        <f t="shared" si="391"/>
        <v>0.42726199999999998</v>
      </c>
      <c r="DD227" s="55">
        <f t="shared" si="391"/>
        <v>0.47566399999999998</v>
      </c>
      <c r="DE227" s="55">
        <f t="shared" si="389"/>
        <v>0.336169</v>
      </c>
      <c r="DF227" s="55">
        <f t="shared" si="389"/>
        <v>0.69408199999999998</v>
      </c>
      <c r="DG227" s="55">
        <f t="shared" si="389"/>
        <v>-0.95454600000000001</v>
      </c>
      <c r="DI227" s="55">
        <f t="shared" ca="1" si="236"/>
        <v>-1.1206419999999999</v>
      </c>
      <c r="DJ227" s="55">
        <f t="shared" ca="1" si="237"/>
        <v>-1.3029770000000001</v>
      </c>
      <c r="DK227" s="55">
        <f t="shared" ca="1" si="238"/>
        <v>0.63195299999999999</v>
      </c>
      <c r="DL227" s="55">
        <f t="shared" ca="1" si="239"/>
        <v>0.98210200000000003</v>
      </c>
      <c r="DM227" s="55">
        <f t="shared" ca="1" si="240"/>
        <v>-0.57215499999999997</v>
      </c>
      <c r="DN227" s="55">
        <f t="shared" ca="1" si="241"/>
        <v>-0.43438700000000002</v>
      </c>
      <c r="DO227" s="55">
        <f t="shared" ca="1" si="242"/>
        <v>-0.78777299999999995</v>
      </c>
      <c r="DP227" s="55">
        <f t="shared" ca="1" si="243"/>
        <v>0.70708700000000002</v>
      </c>
      <c r="DQ227" s="55">
        <f t="shared" ca="1" si="244"/>
        <v>-0.69861499999999999</v>
      </c>
      <c r="DR227" s="55">
        <f t="shared" ca="1" si="245"/>
        <v>0.17693</v>
      </c>
      <c r="DS227" s="55">
        <f t="shared" ca="1" si="246"/>
        <v>-3.4855999999999998E-2</v>
      </c>
      <c r="DT227" s="55">
        <f t="shared" ca="1" si="247"/>
        <v>-0.24126500000000001</v>
      </c>
      <c r="DU227" s="55">
        <f t="shared" ca="1" si="248"/>
        <v>-0.76626899999999998</v>
      </c>
      <c r="DV227" s="55">
        <f t="shared" ca="1" si="249"/>
        <v>-0.10858766097600003</v>
      </c>
      <c r="DW227" s="55">
        <f t="shared" ca="1" si="250"/>
        <v>-0.30878120686999999</v>
      </c>
      <c r="DX227" s="55">
        <f t="shared" ca="1" si="251"/>
        <v>-0.22545582405200004</v>
      </c>
      <c r="DY227" s="55">
        <f t="shared" ca="1" si="252"/>
        <v>0.33517418113500003</v>
      </c>
      <c r="DZ227" s="55">
        <f t="shared" ca="1" si="253"/>
        <v>0.73780236139400013</v>
      </c>
      <c r="EA227" s="55">
        <f t="shared" ca="1" si="254"/>
        <v>-0.24101855375000003</v>
      </c>
      <c r="EB227" s="55">
        <f t="shared" ca="1" si="255"/>
        <v>0.6214822977790001</v>
      </c>
      <c r="EC227" s="55">
        <f t="shared" ca="1" si="256"/>
        <v>0.21100538669200003</v>
      </c>
      <c r="ED227" s="55">
        <f t="shared" ca="1" si="257"/>
        <v>0.84157158442400015</v>
      </c>
      <c r="EE227" s="55">
        <f t="shared" ca="1" si="258"/>
        <v>0.25913284526800001</v>
      </c>
      <c r="EF227" s="55">
        <f t="shared" ca="1" si="259"/>
        <v>0.39055923634900003</v>
      </c>
      <c r="EG227" s="55">
        <f t="shared" ca="1" si="260"/>
        <v>-0.41598049811500004</v>
      </c>
      <c r="EH227" s="55">
        <f t="shared" ca="1" si="261"/>
        <v>-0.81368234443900012</v>
      </c>
      <c r="EI227" s="55">
        <f t="shared" ca="1" si="262"/>
        <v>-0.27357747583699998</v>
      </c>
      <c r="EJ227" s="55">
        <f t="shared" ca="1" si="263"/>
        <v>-0.50601035133000005</v>
      </c>
      <c r="EK227" s="55">
        <f t="shared" ca="1" si="264"/>
        <v>0.13766200000000001</v>
      </c>
      <c r="EL227" s="55">
        <f t="shared" ca="1" si="265"/>
        <v>-1.1162510000000001</v>
      </c>
      <c r="EM227" s="55">
        <f t="shared" ca="1" si="266"/>
        <v>0.73047600000000001</v>
      </c>
      <c r="EN227" s="55">
        <f t="shared" ca="1" si="267"/>
        <v>0.68080600000000002</v>
      </c>
      <c r="EO227" s="55">
        <f t="shared" ca="1" si="268"/>
        <v>0.863236</v>
      </c>
      <c r="EP227" s="55">
        <f t="shared" ca="1" si="269"/>
        <v>-0.58311199999999996</v>
      </c>
      <c r="EQ227" s="55">
        <f t="shared" ca="1" si="270"/>
        <v>0.47052300000000002</v>
      </c>
      <c r="ER227" s="55">
        <f t="shared" ca="1" si="271"/>
        <v>-0.24438599999999999</v>
      </c>
      <c r="ES227" s="55">
        <f t="shared" ca="1" si="272"/>
        <v>0.61097999999999997</v>
      </c>
      <c r="ET227" s="55">
        <f t="shared" ca="1" si="273"/>
        <v>-0.82228699999999999</v>
      </c>
      <c r="EU227" s="55">
        <f t="shared" ca="1" si="274"/>
        <v>-0.55370900000000001</v>
      </c>
      <c r="EV227" s="55">
        <f t="shared" ca="1" si="275"/>
        <v>-1.9292E-2</v>
      </c>
      <c r="EW227" s="55">
        <f t="shared" ca="1" si="276"/>
        <v>-1.0748390000000001</v>
      </c>
      <c r="EX227" s="55">
        <f t="shared" ca="1" si="277"/>
        <v>-0.47066599999999997</v>
      </c>
      <c r="EY227" s="55">
        <f t="shared" ca="1" si="278"/>
        <v>-1.5998859999999999</v>
      </c>
      <c r="EZ227" s="55">
        <f t="shared" ca="1" si="279"/>
        <v>3.5397999999999999E-2</v>
      </c>
      <c r="FA227" s="55">
        <f t="shared" ca="1" si="280"/>
        <v>-0.80943900000000002</v>
      </c>
      <c r="FB227" s="55">
        <f t="shared" ca="1" si="281"/>
        <v>-0.61132799999999998</v>
      </c>
      <c r="FC227" s="55">
        <f t="shared" ca="1" si="282"/>
        <v>0.132438</v>
      </c>
      <c r="FD227" s="55">
        <f t="shared" ca="1" si="283"/>
        <v>-0.14102799999999999</v>
      </c>
      <c r="FE227" s="55">
        <f t="shared" ca="1" si="284"/>
        <v>1.547493</v>
      </c>
      <c r="FF227" s="55">
        <f t="shared" ca="1" si="285"/>
        <v>-0.62312100000000004</v>
      </c>
      <c r="FH227" s="55">
        <f t="shared" ca="1" si="286"/>
        <v>0</v>
      </c>
      <c r="FI227" s="55">
        <f t="shared" ca="1" si="379"/>
        <v>0</v>
      </c>
      <c r="FJ227" s="55">
        <f t="shared" ca="1" si="380"/>
        <v>0</v>
      </c>
      <c r="FK227" s="55">
        <f t="shared" ca="1" si="381"/>
        <v>0</v>
      </c>
      <c r="FL227" s="55">
        <f t="shared" ca="1" si="382"/>
        <v>0</v>
      </c>
      <c r="FM227" s="55">
        <f t="shared" ca="1" si="383"/>
        <v>0</v>
      </c>
      <c r="FN227" s="55">
        <f t="shared" ca="1" si="384"/>
        <v>0</v>
      </c>
      <c r="FO227" s="55">
        <f t="shared" ca="1" si="385"/>
        <v>0</v>
      </c>
      <c r="FP227" s="55">
        <f t="shared" ca="1" si="386"/>
        <v>0</v>
      </c>
      <c r="FQ227" s="55">
        <f t="shared" ca="1" si="387"/>
        <v>0</v>
      </c>
      <c r="FR227" s="55">
        <f t="shared" ca="1" si="388"/>
        <v>0</v>
      </c>
      <c r="FS227" s="55">
        <f t="shared" ca="1" si="329"/>
        <v>0</v>
      </c>
      <c r="FT227" s="55">
        <f t="shared" ca="1" si="330"/>
        <v>0</v>
      </c>
      <c r="FU227" s="55">
        <f t="shared" ca="1" si="331"/>
        <v>-0.87761066097600005</v>
      </c>
      <c r="FV227" s="55">
        <f t="shared" ca="1" si="332"/>
        <v>-0.65029020687000005</v>
      </c>
      <c r="FW227" s="55">
        <f t="shared" ca="1" si="333"/>
        <v>-1.4649368240520002</v>
      </c>
      <c r="FX227" s="55">
        <f t="shared" ca="1" si="334"/>
        <v>0.23548418113500003</v>
      </c>
      <c r="FY227" s="55">
        <f t="shared" ca="1" si="335"/>
        <v>0.97751836139400017</v>
      </c>
      <c r="FZ227" s="55">
        <f t="shared" ca="1" si="336"/>
        <v>-1.16917455375</v>
      </c>
      <c r="GA227" s="55">
        <f t="shared" ca="1" si="337"/>
        <v>-0.80372270222099995</v>
      </c>
      <c r="GB227" s="55">
        <f t="shared" ca="1" si="338"/>
        <v>-0.434454613308</v>
      </c>
      <c r="GC227" s="55">
        <f t="shared" ca="1" si="339"/>
        <v>0.15016558442400019</v>
      </c>
      <c r="GD227" s="55">
        <f t="shared" ca="1" si="340"/>
        <v>-0.16568615473199999</v>
      </c>
      <c r="GE227" s="55">
        <f t="shared" ca="1" si="341"/>
        <v>0.73936823634899995</v>
      </c>
      <c r="GF227" s="55">
        <f t="shared" ca="1" si="342"/>
        <v>-0.41502549811500006</v>
      </c>
      <c r="GG227" s="55">
        <f t="shared" ca="1" si="343"/>
        <v>0.27287065556099999</v>
      </c>
      <c r="GH227" s="55">
        <f t="shared" ca="1" si="344"/>
        <v>-0.84702847583700003</v>
      </c>
      <c r="GI227" s="55">
        <f t="shared" ca="1" si="345"/>
        <v>-0.84896435133000003</v>
      </c>
      <c r="GJ227" s="55">
        <f t="shared" ca="1" si="346"/>
        <v>0</v>
      </c>
      <c r="GK227" s="55">
        <f t="shared" ca="1" si="347"/>
        <v>0</v>
      </c>
      <c r="GL227" s="55">
        <f t="shared" ca="1" si="348"/>
        <v>0</v>
      </c>
      <c r="GM227" s="55">
        <f t="shared" ca="1" si="349"/>
        <v>0</v>
      </c>
      <c r="GN227" s="55">
        <f t="shared" ca="1" si="350"/>
        <v>0</v>
      </c>
      <c r="GO227" s="55">
        <f t="shared" ca="1" si="351"/>
        <v>0</v>
      </c>
      <c r="GP227" s="55">
        <f t="shared" ca="1" si="352"/>
        <v>0</v>
      </c>
      <c r="GQ227" s="55">
        <f t="shared" ca="1" si="353"/>
        <v>0</v>
      </c>
      <c r="GR227" s="55">
        <f t="shared" ca="1" si="354"/>
        <v>0</v>
      </c>
      <c r="GS227" s="55">
        <f t="shared" ca="1" si="355"/>
        <v>0</v>
      </c>
      <c r="GT227" s="55">
        <f t="shared" ca="1" si="356"/>
        <v>0</v>
      </c>
      <c r="GU227" s="55">
        <f t="shared" ca="1" si="357"/>
        <v>0</v>
      </c>
      <c r="GV227" s="55">
        <f t="shared" ca="1" si="358"/>
        <v>0</v>
      </c>
      <c r="GW227" s="55">
        <f t="shared" ca="1" si="359"/>
        <v>0</v>
      </c>
      <c r="GX227" s="55">
        <f t="shared" ca="1" si="360"/>
        <v>0</v>
      </c>
      <c r="GY227" s="55">
        <f t="shared" ca="1" si="361"/>
        <v>0</v>
      </c>
      <c r="GZ227" s="55">
        <f t="shared" ca="1" si="362"/>
        <v>0</v>
      </c>
      <c r="HA227" s="55">
        <f t="shared" ca="1" si="363"/>
        <v>0</v>
      </c>
      <c r="HB227" s="55">
        <f t="shared" ca="1" si="364"/>
        <v>0</v>
      </c>
      <c r="HC227" s="55">
        <f t="shared" ca="1" si="365"/>
        <v>0</v>
      </c>
      <c r="HD227" s="55">
        <f t="shared" ca="1" si="366"/>
        <v>0</v>
      </c>
      <c r="HE227" s="55">
        <f t="shared" ca="1" si="367"/>
        <v>0</v>
      </c>
    </row>
    <row r="228" spans="1:213">
      <c r="A228" s="27">
        <v>91</v>
      </c>
      <c r="B228" s="27">
        <v>97</v>
      </c>
      <c r="C228" s="27">
        <v>0.31486199999999998</v>
      </c>
      <c r="D228" s="27">
        <v>0.55754099999999995</v>
      </c>
      <c r="E228" s="27">
        <v>42</v>
      </c>
      <c r="F228" s="27">
        <f t="shared" ca="1" si="231"/>
        <v>44</v>
      </c>
      <c r="G228" s="27">
        <f t="shared" si="230"/>
        <v>0</v>
      </c>
      <c r="H228" s="27" t="str">
        <f t="shared" si="232"/>
        <v>Sim</v>
      </c>
      <c r="I228" s="27">
        <f t="shared" si="233"/>
        <v>0</v>
      </c>
      <c r="J228" s="37">
        <f t="shared" si="234"/>
        <v>1</v>
      </c>
      <c r="K228" s="55">
        <f t="shared" si="235"/>
        <v>0.90972600000000003</v>
      </c>
      <c r="L228" s="55">
        <f t="shared" si="368"/>
        <v>-0.45310499999999998</v>
      </c>
      <c r="M228" s="55">
        <f t="shared" si="369"/>
        <v>-1.0521959999999999</v>
      </c>
      <c r="N228" s="55">
        <f t="shared" si="370"/>
        <v>5.6633000000000003E-2</v>
      </c>
      <c r="O228" s="55">
        <f t="shared" si="371"/>
        <v>0.449739</v>
      </c>
      <c r="P228" s="55">
        <f t="shared" si="372"/>
        <v>0.845279</v>
      </c>
      <c r="Q228" s="55">
        <f t="shared" si="373"/>
        <v>0.38819399999999998</v>
      </c>
      <c r="R228" s="55">
        <f t="shared" si="374"/>
        <v>0.97882199999999997</v>
      </c>
      <c r="S228" s="55">
        <f t="shared" si="375"/>
        <v>-0.136128</v>
      </c>
      <c r="T228" s="55">
        <f t="shared" si="376"/>
        <v>0.45363300000000001</v>
      </c>
      <c r="U228" s="55">
        <f t="shared" si="377"/>
        <v>0.65946899999999997</v>
      </c>
      <c r="V228" s="55">
        <f t="shared" si="288"/>
        <v>-0.32113700000000001</v>
      </c>
      <c r="W228" s="55">
        <f t="shared" si="289"/>
        <v>-0.63678500000000005</v>
      </c>
      <c r="X228" s="55">
        <f t="shared" si="290"/>
        <v>1.073164</v>
      </c>
      <c r="Y228" s="55">
        <f t="shared" si="291"/>
        <v>-0.51376999999999995</v>
      </c>
      <c r="Z228" s="55">
        <f t="shared" si="292"/>
        <v>0.63609599999999999</v>
      </c>
      <c r="AA228" s="55">
        <f t="shared" si="293"/>
        <v>0.40853899999999999</v>
      </c>
      <c r="AB228" s="55">
        <f t="shared" si="294"/>
        <v>0.51034400000000002</v>
      </c>
      <c r="AC228" s="55">
        <f t="shared" si="295"/>
        <v>0.83618800000000004</v>
      </c>
      <c r="AD228" s="55">
        <f t="shared" si="296"/>
        <v>0.82614699999999996</v>
      </c>
      <c r="AE228" s="55">
        <f t="shared" si="297"/>
        <v>-9.1495000000000007E-2</v>
      </c>
      <c r="AF228" s="55">
        <f t="shared" si="298"/>
        <v>-1.8576859999999999</v>
      </c>
      <c r="AG228" s="55">
        <f t="shared" si="299"/>
        <v>-7.9833000000000001E-2</v>
      </c>
      <c r="AH228" s="55">
        <f t="shared" si="300"/>
        <v>-0.62732200000000005</v>
      </c>
      <c r="AI228" s="55">
        <f t="shared" si="301"/>
        <v>0.68394600000000005</v>
      </c>
      <c r="AJ228" s="55">
        <f t="shared" si="302"/>
        <v>0.124973</v>
      </c>
      <c r="AK228" s="55">
        <f t="shared" si="303"/>
        <v>1.392938</v>
      </c>
      <c r="AL228" s="55">
        <f t="shared" si="304"/>
        <v>-0.38086300000000001</v>
      </c>
      <c r="AM228" s="55">
        <f t="shared" si="305"/>
        <v>-0.81379299999999999</v>
      </c>
      <c r="AN228" s="55">
        <f t="shared" si="306"/>
        <v>-0.59833099999999995</v>
      </c>
      <c r="AO228" s="55">
        <f t="shared" si="307"/>
        <v>0.67982200000000004</v>
      </c>
      <c r="AP228" s="55">
        <f t="shared" si="308"/>
        <v>0.80859700000000001</v>
      </c>
      <c r="AQ228" s="55">
        <f t="shared" si="309"/>
        <v>-0.582121</v>
      </c>
      <c r="AR228" s="55">
        <f t="shared" si="310"/>
        <v>0.78030100000000002</v>
      </c>
      <c r="AS228" s="55">
        <f t="shared" si="311"/>
        <v>1.738081</v>
      </c>
      <c r="AT228" s="55">
        <f t="shared" si="312"/>
        <v>-0.22570399999999999</v>
      </c>
      <c r="AU228" s="55">
        <f t="shared" si="313"/>
        <v>1.471268</v>
      </c>
      <c r="AV228" s="55">
        <f t="shared" si="314"/>
        <v>-1.0703499999999999</v>
      </c>
      <c r="AW228" s="55">
        <f t="shared" si="315"/>
        <v>0.96555400000000002</v>
      </c>
      <c r="AX228" s="55">
        <f t="shared" si="316"/>
        <v>-1.3589549999999999</v>
      </c>
      <c r="AY228" s="55">
        <f t="shared" si="317"/>
        <v>-0.49991099999999999</v>
      </c>
      <c r="AZ228" s="55">
        <f t="shared" si="318"/>
        <v>3.5972999999999998E-2</v>
      </c>
      <c r="BA228" s="55">
        <f t="shared" si="319"/>
        <v>-0.77413399999999999</v>
      </c>
      <c r="BB228" s="55">
        <f t="shared" si="320"/>
        <v>-0.40991499999999997</v>
      </c>
      <c r="BC228" s="55">
        <f t="shared" si="321"/>
        <v>-0.111816</v>
      </c>
      <c r="BD228" s="55">
        <f t="shared" si="322"/>
        <v>-4.861E-2</v>
      </c>
      <c r="BE228" s="55">
        <f t="shared" si="323"/>
        <v>-0.36741800000000002</v>
      </c>
      <c r="BF228" s="55">
        <f t="shared" si="324"/>
        <v>-0.16547500000000001</v>
      </c>
      <c r="BG228" s="55">
        <f t="shared" si="325"/>
        <v>-0.41493799999999997</v>
      </c>
      <c r="BH228" s="55">
        <f t="shared" si="326"/>
        <v>0.59654700000000005</v>
      </c>
      <c r="BJ228" s="55">
        <f t="shared" si="392"/>
        <v>1.614214</v>
      </c>
      <c r="BK228" s="55">
        <f t="shared" si="392"/>
        <v>0.23215</v>
      </c>
      <c r="BL228" s="55">
        <f t="shared" si="392"/>
        <v>0.25669599999999998</v>
      </c>
      <c r="BM228" s="55">
        <f t="shared" si="392"/>
        <v>-0.116481</v>
      </c>
      <c r="BN228" s="55">
        <f t="shared" si="392"/>
        <v>1.692396</v>
      </c>
      <c r="BO228" s="55">
        <f t="shared" si="392"/>
        <v>2.0740000000000001E-2</v>
      </c>
      <c r="BP228" s="55">
        <f t="shared" si="392"/>
        <v>0.43417099999999997</v>
      </c>
      <c r="BQ228" s="55">
        <f t="shared" si="392"/>
        <v>0.15672700000000001</v>
      </c>
      <c r="BR228" s="55">
        <f t="shared" si="392"/>
        <v>0.84644900000000001</v>
      </c>
      <c r="BS228" s="55">
        <f t="shared" si="392"/>
        <v>-0.326988</v>
      </c>
      <c r="BT228" s="55">
        <f t="shared" si="392"/>
        <v>0.35654599999999997</v>
      </c>
      <c r="BU228" s="55">
        <f t="shared" si="392"/>
        <v>-0.69081700000000001</v>
      </c>
      <c r="BV228" s="55">
        <f t="shared" si="392"/>
        <v>-1.5205679999999999</v>
      </c>
      <c r="BW228" s="55">
        <f t="shared" si="392"/>
        <v>0.101855</v>
      </c>
      <c r="BX228" s="55">
        <f t="shared" si="392"/>
        <v>-5.0455E-2</v>
      </c>
      <c r="BY228" s="55">
        <f t="shared" si="392"/>
        <v>0.73058999999999996</v>
      </c>
      <c r="BZ228" s="55">
        <f t="shared" si="390"/>
        <v>-1.4077809999999999</v>
      </c>
      <c r="CA228" s="55">
        <f t="shared" si="390"/>
        <v>0.94844899999999999</v>
      </c>
      <c r="CB228" s="55">
        <f t="shared" si="390"/>
        <v>0.60904899999999995</v>
      </c>
      <c r="CC228" s="55">
        <f t="shared" si="390"/>
        <v>-0.75822400000000001</v>
      </c>
      <c r="CD228" s="55">
        <f t="shared" si="390"/>
        <v>0.56430199999999997</v>
      </c>
      <c r="CE228" s="55">
        <f t="shared" si="390"/>
        <v>0.21484500000000001</v>
      </c>
      <c r="CF228" s="55">
        <f t="shared" si="390"/>
        <v>0.75581500000000001</v>
      </c>
      <c r="CG228" s="55">
        <f t="shared" si="390"/>
        <v>0.199127</v>
      </c>
      <c r="CH228" s="55">
        <f t="shared" si="390"/>
        <v>-0.65629000000000004</v>
      </c>
      <c r="CI228" s="55">
        <f t="shared" si="390"/>
        <v>-0.14308100000000001</v>
      </c>
      <c r="CJ228" s="55">
        <f t="shared" si="390"/>
        <v>3.3890000000000003E-2</v>
      </c>
      <c r="CK228" s="55">
        <f t="shared" si="390"/>
        <v>0.30363499999999999</v>
      </c>
      <c r="CL228" s="55">
        <f t="shared" si="390"/>
        <v>-0.53788599999999998</v>
      </c>
      <c r="CM228" s="55">
        <f t="shared" si="390"/>
        <v>-0.13880600000000001</v>
      </c>
      <c r="CN228" s="55">
        <f t="shared" si="390"/>
        <v>1.799318</v>
      </c>
      <c r="CO228" s="55">
        <f t="shared" si="391"/>
        <v>-0.298431</v>
      </c>
      <c r="CP228" s="55">
        <f t="shared" si="391"/>
        <v>0.81237499999999996</v>
      </c>
      <c r="CQ228" s="55">
        <f t="shared" si="391"/>
        <v>-0.84752400000000006</v>
      </c>
      <c r="CR228" s="55">
        <f t="shared" si="391"/>
        <v>-0.52254</v>
      </c>
      <c r="CS228" s="55">
        <f t="shared" si="391"/>
        <v>0.27977600000000002</v>
      </c>
      <c r="CT228" s="55">
        <f t="shared" si="391"/>
        <v>1.7250000000000001E-2</v>
      </c>
      <c r="CU228" s="55">
        <f t="shared" si="391"/>
        <v>8.5168999999999995E-2</v>
      </c>
      <c r="CV228" s="55">
        <f t="shared" si="391"/>
        <v>-0.88034800000000002</v>
      </c>
      <c r="CW228" s="55">
        <f t="shared" si="391"/>
        <v>-0.25476799999999999</v>
      </c>
      <c r="CX228" s="55">
        <f t="shared" si="391"/>
        <v>0.21149499999999999</v>
      </c>
      <c r="CY228" s="55">
        <f t="shared" si="391"/>
        <v>-0.44474599999999997</v>
      </c>
      <c r="CZ228" s="55">
        <f t="shared" si="391"/>
        <v>-1.1809909999999999</v>
      </c>
      <c r="DA228" s="55">
        <f t="shared" si="391"/>
        <v>0.28868300000000002</v>
      </c>
      <c r="DB228" s="55">
        <f t="shared" si="391"/>
        <v>0.70152700000000001</v>
      </c>
      <c r="DC228" s="55">
        <f t="shared" si="391"/>
        <v>-0.30702600000000002</v>
      </c>
      <c r="DD228" s="55">
        <f t="shared" si="391"/>
        <v>-0.76923600000000003</v>
      </c>
      <c r="DE228" s="55">
        <f t="shared" si="389"/>
        <v>0.71762300000000001</v>
      </c>
      <c r="DF228" s="55">
        <f t="shared" si="389"/>
        <v>-1.0298890000000001</v>
      </c>
      <c r="DG228" s="55">
        <f t="shared" si="389"/>
        <v>-0.94150599999999995</v>
      </c>
      <c r="DI228" s="55">
        <f t="shared" ca="1" si="236"/>
        <v>0.90972600000000003</v>
      </c>
      <c r="DJ228" s="55">
        <f t="shared" ca="1" si="237"/>
        <v>-0.45310499999999998</v>
      </c>
      <c r="DK228" s="55">
        <f t="shared" ca="1" si="238"/>
        <v>-1.0521959999999999</v>
      </c>
      <c r="DL228" s="55">
        <f t="shared" ca="1" si="239"/>
        <v>5.6633000000000003E-2</v>
      </c>
      <c r="DM228" s="55">
        <f t="shared" ca="1" si="240"/>
        <v>0.449739</v>
      </c>
      <c r="DN228" s="55">
        <f t="shared" ca="1" si="241"/>
        <v>0.845279</v>
      </c>
      <c r="DO228" s="55">
        <f t="shared" ca="1" si="242"/>
        <v>0.38819399999999998</v>
      </c>
      <c r="DP228" s="55">
        <f t="shared" ca="1" si="243"/>
        <v>0.97882199999999997</v>
      </c>
      <c r="DQ228" s="55">
        <f t="shared" ca="1" si="244"/>
        <v>-0.136128</v>
      </c>
      <c r="DR228" s="55">
        <f t="shared" ca="1" si="245"/>
        <v>0.45363300000000001</v>
      </c>
      <c r="DS228" s="55">
        <f t="shared" ca="1" si="246"/>
        <v>0.65946899999999997</v>
      </c>
      <c r="DT228" s="55">
        <f t="shared" ca="1" si="247"/>
        <v>-0.32113700000000001</v>
      </c>
      <c r="DU228" s="55">
        <f t="shared" ca="1" si="248"/>
        <v>-0.63678500000000005</v>
      </c>
      <c r="DV228" s="55">
        <f t="shared" ca="1" si="249"/>
        <v>1.073164</v>
      </c>
      <c r="DW228" s="55">
        <f t="shared" ca="1" si="250"/>
        <v>-0.51376999999999995</v>
      </c>
      <c r="DX228" s="55">
        <f t="shared" ca="1" si="251"/>
        <v>0.63609599999999999</v>
      </c>
      <c r="DY228" s="55">
        <f t="shared" ca="1" si="252"/>
        <v>0.40853899999999999</v>
      </c>
      <c r="DZ228" s="55">
        <f t="shared" ca="1" si="253"/>
        <v>0.51034400000000002</v>
      </c>
      <c r="EA228" s="55">
        <f t="shared" ca="1" si="254"/>
        <v>0.83618800000000004</v>
      </c>
      <c r="EB228" s="55">
        <f t="shared" ca="1" si="255"/>
        <v>0.82614699999999996</v>
      </c>
      <c r="EC228" s="55">
        <f t="shared" ca="1" si="256"/>
        <v>-9.1495000000000007E-2</v>
      </c>
      <c r="ED228" s="55">
        <f t="shared" ca="1" si="257"/>
        <v>-1.8576859999999999</v>
      </c>
      <c r="EE228" s="55">
        <f t="shared" ca="1" si="258"/>
        <v>-7.9833000000000001E-2</v>
      </c>
      <c r="EF228" s="55">
        <f t="shared" ca="1" si="259"/>
        <v>-0.62732200000000005</v>
      </c>
      <c r="EG228" s="55">
        <f t="shared" ca="1" si="260"/>
        <v>0.68394600000000005</v>
      </c>
      <c r="EH228" s="55">
        <f t="shared" ca="1" si="261"/>
        <v>0.124973</v>
      </c>
      <c r="EI228" s="55">
        <f t="shared" ca="1" si="262"/>
        <v>1.392938</v>
      </c>
      <c r="EJ228" s="55">
        <f t="shared" ca="1" si="263"/>
        <v>-0.38086300000000001</v>
      </c>
      <c r="EK228" s="55">
        <f t="shared" ca="1" si="264"/>
        <v>-0.81379299999999999</v>
      </c>
      <c r="EL228" s="55">
        <f t="shared" ca="1" si="265"/>
        <v>-0.59833099999999995</v>
      </c>
      <c r="EM228" s="55">
        <f t="shared" ca="1" si="266"/>
        <v>0.67982200000000004</v>
      </c>
      <c r="EN228" s="55">
        <f t="shared" ca="1" si="267"/>
        <v>0.80859700000000001</v>
      </c>
      <c r="EO228" s="55">
        <f t="shared" ca="1" si="268"/>
        <v>-0.582121</v>
      </c>
      <c r="EP228" s="55">
        <f t="shared" ca="1" si="269"/>
        <v>0.78030100000000002</v>
      </c>
      <c r="EQ228" s="55">
        <f t="shared" ca="1" si="270"/>
        <v>1.738081</v>
      </c>
      <c r="ER228" s="55">
        <f t="shared" ca="1" si="271"/>
        <v>-0.22570399999999999</v>
      </c>
      <c r="ES228" s="55">
        <f t="shared" ca="1" si="272"/>
        <v>1.471268</v>
      </c>
      <c r="ET228" s="55">
        <f t="shared" ca="1" si="273"/>
        <v>-1.0703499999999999</v>
      </c>
      <c r="EU228" s="55">
        <f t="shared" ca="1" si="274"/>
        <v>0.96555400000000002</v>
      </c>
      <c r="EV228" s="55">
        <f t="shared" ca="1" si="275"/>
        <v>-1.3589549999999999</v>
      </c>
      <c r="EW228" s="55">
        <f t="shared" ca="1" si="276"/>
        <v>-0.49991099999999999</v>
      </c>
      <c r="EX228" s="55">
        <f t="shared" ca="1" si="277"/>
        <v>3.5972999999999998E-2</v>
      </c>
      <c r="EY228" s="55">
        <f t="shared" ca="1" si="278"/>
        <v>-0.95415154136299996</v>
      </c>
      <c r="EZ228" s="55">
        <f t="shared" ca="1" si="279"/>
        <v>-0.10081402751799995</v>
      </c>
      <c r="FA228" s="55">
        <f t="shared" ca="1" si="280"/>
        <v>-0.111816</v>
      </c>
      <c r="FB228" s="55">
        <f t="shared" ca="1" si="281"/>
        <v>-4.861E-2</v>
      </c>
      <c r="FC228" s="55">
        <f t="shared" ca="1" si="282"/>
        <v>-0.36741800000000002</v>
      </c>
      <c r="FD228" s="55">
        <f t="shared" ca="1" si="283"/>
        <v>-0.16547500000000001</v>
      </c>
      <c r="FE228" s="55">
        <f t="shared" ca="1" si="284"/>
        <v>-0.41493799999999997</v>
      </c>
      <c r="FF228" s="55">
        <f t="shared" ca="1" si="285"/>
        <v>0.59654700000000005</v>
      </c>
      <c r="FH228" s="55">
        <f t="shared" ca="1" si="286"/>
        <v>0</v>
      </c>
      <c r="FI228" s="55">
        <f t="shared" ca="1" si="379"/>
        <v>0</v>
      </c>
      <c r="FJ228" s="55">
        <f t="shared" ca="1" si="380"/>
        <v>0</v>
      </c>
      <c r="FK228" s="55">
        <f t="shared" ca="1" si="381"/>
        <v>0</v>
      </c>
      <c r="FL228" s="55">
        <f t="shared" ca="1" si="382"/>
        <v>0</v>
      </c>
      <c r="FM228" s="55">
        <f t="shared" ca="1" si="383"/>
        <v>0</v>
      </c>
      <c r="FN228" s="55">
        <f t="shared" ca="1" si="384"/>
        <v>0</v>
      </c>
      <c r="FO228" s="55">
        <f t="shared" ca="1" si="385"/>
        <v>0</v>
      </c>
      <c r="FP228" s="55">
        <f t="shared" ca="1" si="386"/>
        <v>0</v>
      </c>
      <c r="FQ228" s="55">
        <f t="shared" ca="1" si="387"/>
        <v>0</v>
      </c>
      <c r="FR228" s="55">
        <f t="shared" ca="1" si="388"/>
        <v>0</v>
      </c>
      <c r="FS228" s="55">
        <f t="shared" ca="1" si="329"/>
        <v>0</v>
      </c>
      <c r="FT228" s="55">
        <f t="shared" ca="1" si="330"/>
        <v>0</v>
      </c>
      <c r="FU228" s="55">
        <f t="shared" ca="1" si="331"/>
        <v>0</v>
      </c>
      <c r="FV228" s="55">
        <f t="shared" ca="1" si="332"/>
        <v>0</v>
      </c>
      <c r="FW228" s="55">
        <f t="shared" ca="1" si="333"/>
        <v>0</v>
      </c>
      <c r="FX228" s="55">
        <f t="shared" ca="1" si="334"/>
        <v>0</v>
      </c>
      <c r="FY228" s="55">
        <f t="shared" ca="1" si="335"/>
        <v>0</v>
      </c>
      <c r="FZ228" s="55">
        <f t="shared" ca="1" si="336"/>
        <v>0</v>
      </c>
      <c r="GA228" s="55">
        <f t="shared" ca="1" si="337"/>
        <v>0</v>
      </c>
      <c r="GB228" s="55">
        <f t="shared" ca="1" si="338"/>
        <v>0</v>
      </c>
      <c r="GC228" s="55">
        <f t="shared" ca="1" si="339"/>
        <v>0</v>
      </c>
      <c r="GD228" s="55">
        <f t="shared" ca="1" si="340"/>
        <v>0</v>
      </c>
      <c r="GE228" s="55">
        <f t="shared" ca="1" si="341"/>
        <v>0</v>
      </c>
      <c r="GF228" s="55">
        <f t="shared" ca="1" si="342"/>
        <v>0</v>
      </c>
      <c r="GG228" s="55">
        <f t="shared" ca="1" si="343"/>
        <v>0</v>
      </c>
      <c r="GH228" s="55">
        <f t="shared" ca="1" si="344"/>
        <v>0</v>
      </c>
      <c r="GI228" s="55">
        <f t="shared" ca="1" si="345"/>
        <v>0</v>
      </c>
      <c r="GJ228" s="55">
        <f t="shared" ca="1" si="346"/>
        <v>0</v>
      </c>
      <c r="GK228" s="55">
        <f t="shared" ca="1" si="347"/>
        <v>0</v>
      </c>
      <c r="GL228" s="55">
        <f t="shared" ca="1" si="348"/>
        <v>0</v>
      </c>
      <c r="GM228" s="55">
        <f t="shared" ca="1" si="349"/>
        <v>0</v>
      </c>
      <c r="GN228" s="55">
        <f t="shared" ca="1" si="350"/>
        <v>0</v>
      </c>
      <c r="GO228" s="55">
        <f t="shared" ca="1" si="351"/>
        <v>0</v>
      </c>
      <c r="GP228" s="55">
        <f t="shared" ca="1" si="352"/>
        <v>0</v>
      </c>
      <c r="GQ228" s="55">
        <f t="shared" ca="1" si="353"/>
        <v>0</v>
      </c>
      <c r="GR228" s="55">
        <f t="shared" ca="1" si="354"/>
        <v>0</v>
      </c>
      <c r="GS228" s="55">
        <f t="shared" ca="1" si="355"/>
        <v>0</v>
      </c>
      <c r="GT228" s="55">
        <f t="shared" ca="1" si="356"/>
        <v>0</v>
      </c>
      <c r="GU228" s="55">
        <f t="shared" ca="1" si="357"/>
        <v>0</v>
      </c>
      <c r="GV228" s="55">
        <f t="shared" ca="1" si="358"/>
        <v>0</v>
      </c>
      <c r="GW228" s="55">
        <f t="shared" ca="1" si="359"/>
        <v>0</v>
      </c>
      <c r="GX228" s="55">
        <f t="shared" ca="1" si="360"/>
        <v>-0.18001754136299997</v>
      </c>
      <c r="GY228" s="55">
        <f t="shared" ca="1" si="361"/>
        <v>0.30910097248200002</v>
      </c>
      <c r="GZ228" s="55">
        <f t="shared" ca="1" si="362"/>
        <v>0</v>
      </c>
      <c r="HA228" s="55">
        <f t="shared" ca="1" si="363"/>
        <v>0</v>
      </c>
      <c r="HB228" s="55">
        <f t="shared" ca="1" si="364"/>
        <v>0</v>
      </c>
      <c r="HC228" s="55">
        <f t="shared" ca="1" si="365"/>
        <v>0</v>
      </c>
      <c r="HD228" s="55">
        <f t="shared" ca="1" si="366"/>
        <v>0</v>
      </c>
      <c r="HE228" s="55">
        <f t="shared" ca="1" si="367"/>
        <v>0</v>
      </c>
    </row>
    <row r="229" spans="1:213">
      <c r="A229" s="27">
        <v>92</v>
      </c>
      <c r="B229" s="27">
        <v>65</v>
      </c>
      <c r="C229" s="27">
        <v>0.89753799999999995</v>
      </c>
      <c r="D229" s="27">
        <v>0.90749899999999994</v>
      </c>
      <c r="E229" s="27">
        <v>46</v>
      </c>
      <c r="F229" s="27">
        <f t="shared" ca="1" si="231"/>
        <v>46</v>
      </c>
      <c r="G229" s="27">
        <f t="shared" si="230"/>
        <v>0</v>
      </c>
      <c r="H229" s="27" t="str">
        <f t="shared" si="232"/>
        <v>Não</v>
      </c>
      <c r="I229" s="27">
        <f t="shared" si="233"/>
        <v>0</v>
      </c>
      <c r="J229" s="37">
        <f t="shared" si="234"/>
        <v>0</v>
      </c>
      <c r="K229" s="55">
        <f t="shared" si="235"/>
        <v>-8.9701000000000003E-2</v>
      </c>
      <c r="L229" s="55">
        <f t="shared" si="368"/>
        <v>-1.062033</v>
      </c>
      <c r="M229" s="55">
        <f t="shared" si="369"/>
        <v>0.99671799999999999</v>
      </c>
      <c r="N229" s="55">
        <f t="shared" si="370"/>
        <v>-0.50319899999999995</v>
      </c>
      <c r="O229" s="55">
        <f t="shared" si="371"/>
        <v>-1.3004290000000001</v>
      </c>
      <c r="P229" s="55">
        <f t="shared" si="372"/>
        <v>-3.0889E-2</v>
      </c>
      <c r="Q229" s="55">
        <f t="shared" si="373"/>
        <v>0.88186699999999996</v>
      </c>
      <c r="R229" s="55">
        <f t="shared" si="374"/>
        <v>0.71436999999999995</v>
      </c>
      <c r="S229" s="55">
        <f t="shared" si="375"/>
        <v>-0.26535799999999998</v>
      </c>
      <c r="T229" s="55">
        <f t="shared" si="376"/>
        <v>-0.51729899999999995</v>
      </c>
      <c r="U229" s="55">
        <f t="shared" si="377"/>
        <v>-1.3392459999999999</v>
      </c>
      <c r="V229" s="55">
        <f t="shared" si="288"/>
        <v>7.4237999999999998E-2</v>
      </c>
      <c r="W229" s="55">
        <f t="shared" si="289"/>
        <v>0.51790199999999997</v>
      </c>
      <c r="X229" s="55">
        <f t="shared" si="290"/>
        <v>-0.42674699999999999</v>
      </c>
      <c r="Y229" s="55">
        <f t="shared" si="291"/>
        <v>0.20774899999999999</v>
      </c>
      <c r="Z229" s="55">
        <f t="shared" si="292"/>
        <v>-0.73572700000000002</v>
      </c>
      <c r="AA229" s="55">
        <f t="shared" si="293"/>
        <v>0.70632300000000003</v>
      </c>
      <c r="AB229" s="55">
        <f t="shared" si="294"/>
        <v>0.33780100000000002</v>
      </c>
      <c r="AC229" s="55">
        <f t="shared" si="295"/>
        <v>0.563886</v>
      </c>
      <c r="AD229" s="55">
        <f t="shared" si="296"/>
        <v>-0.70856399999999997</v>
      </c>
      <c r="AE229" s="55">
        <f t="shared" si="297"/>
        <v>0.72263100000000002</v>
      </c>
      <c r="AF229" s="55">
        <f t="shared" si="298"/>
        <v>-0.23342099999999999</v>
      </c>
      <c r="AG229" s="55">
        <f t="shared" si="299"/>
        <v>-7.2009000000000004E-2</v>
      </c>
      <c r="AH229" s="55">
        <f t="shared" si="300"/>
        <v>-1.2075830000000001</v>
      </c>
      <c r="AI229" s="55">
        <f t="shared" si="301"/>
        <v>-0.440944</v>
      </c>
      <c r="AJ229" s="55">
        <f t="shared" si="302"/>
        <v>1.379237</v>
      </c>
      <c r="AK229" s="55">
        <f t="shared" si="303"/>
        <v>1.701673</v>
      </c>
      <c r="AL229" s="55">
        <f t="shared" si="304"/>
        <v>-0.17763499999999999</v>
      </c>
      <c r="AM229" s="55">
        <f t="shared" si="305"/>
        <v>-0.97233800000000004</v>
      </c>
      <c r="AN229" s="55">
        <f t="shared" si="306"/>
        <v>-0.75466800000000001</v>
      </c>
      <c r="AO229" s="55">
        <f t="shared" si="307"/>
        <v>0.47717900000000002</v>
      </c>
      <c r="AP229" s="55">
        <f t="shared" si="308"/>
        <v>-1.487E-2</v>
      </c>
      <c r="AQ229" s="55">
        <f t="shared" si="309"/>
        <v>0.19036</v>
      </c>
      <c r="AR229" s="55">
        <f t="shared" si="310"/>
        <v>-5.2224E-2</v>
      </c>
      <c r="AS229" s="55">
        <f t="shared" si="311"/>
        <v>-0.67636700000000005</v>
      </c>
      <c r="AT229" s="55">
        <f t="shared" si="312"/>
        <v>-0.44637100000000002</v>
      </c>
      <c r="AU229" s="55">
        <f t="shared" si="313"/>
        <v>0.46221600000000002</v>
      </c>
      <c r="AV229" s="55">
        <f t="shared" si="314"/>
        <v>0.33387099999999997</v>
      </c>
      <c r="AW229" s="55">
        <f t="shared" si="315"/>
        <v>1.359496</v>
      </c>
      <c r="AX229" s="55">
        <f t="shared" si="316"/>
        <v>0.58911400000000003</v>
      </c>
      <c r="AY229" s="55">
        <f t="shared" si="317"/>
        <v>-0.38329999999999997</v>
      </c>
      <c r="AZ229" s="55">
        <f t="shared" si="318"/>
        <v>0.37964500000000001</v>
      </c>
      <c r="BA229" s="55">
        <f t="shared" si="319"/>
        <v>-0.30181799999999998</v>
      </c>
      <c r="BB229" s="55">
        <f t="shared" si="320"/>
        <v>7.979E-2</v>
      </c>
      <c r="BC229" s="55">
        <f t="shared" si="321"/>
        <v>-0.33604899999999999</v>
      </c>
      <c r="BD229" s="55">
        <f t="shared" si="322"/>
        <v>0.165774</v>
      </c>
      <c r="BE229" s="55">
        <f t="shared" si="323"/>
        <v>0.53484799999999999</v>
      </c>
      <c r="BF229" s="55">
        <f t="shared" si="324"/>
        <v>0.34875499999999998</v>
      </c>
      <c r="BG229" s="55">
        <f t="shared" si="325"/>
        <v>-3.4063999999999997E-2</v>
      </c>
      <c r="BH229" s="55">
        <f t="shared" si="326"/>
        <v>0.59342600000000001</v>
      </c>
      <c r="BJ229" s="55">
        <f t="shared" si="392"/>
        <v>-0.28954200000000002</v>
      </c>
      <c r="BK229" s="55">
        <f t="shared" si="392"/>
        <v>-2.6342000000000001E-2</v>
      </c>
      <c r="BL229" s="55">
        <f t="shared" si="392"/>
        <v>1.5683940000000001</v>
      </c>
      <c r="BM229" s="55">
        <f t="shared" si="392"/>
        <v>-0.72652099999999997</v>
      </c>
      <c r="BN229" s="55">
        <f t="shared" si="392"/>
        <v>0.27178600000000003</v>
      </c>
      <c r="BO229" s="55">
        <f t="shared" si="392"/>
        <v>0.54248799999999997</v>
      </c>
      <c r="BP229" s="55">
        <f t="shared" si="392"/>
        <v>-0.79119200000000001</v>
      </c>
      <c r="BQ229" s="55">
        <f t="shared" si="392"/>
        <v>-0.59809500000000004</v>
      </c>
      <c r="BR229" s="55">
        <f t="shared" si="392"/>
        <v>1.3168979999999999</v>
      </c>
      <c r="BS229" s="55">
        <f t="shared" si="392"/>
        <v>-0.467142</v>
      </c>
      <c r="BT229" s="55">
        <f t="shared" si="392"/>
        <v>0.15556900000000001</v>
      </c>
      <c r="BU229" s="55">
        <f t="shared" si="392"/>
        <v>0.64772600000000002</v>
      </c>
      <c r="BV229" s="55">
        <f t="shared" si="392"/>
        <v>0.70243</v>
      </c>
      <c r="BW229" s="55">
        <f t="shared" si="392"/>
        <v>0.29363800000000001</v>
      </c>
      <c r="BX229" s="55">
        <f t="shared" si="392"/>
        <v>0.59576899999999999</v>
      </c>
      <c r="BY229" s="55">
        <f t="shared" si="392"/>
        <v>1.041228</v>
      </c>
      <c r="BZ229" s="55">
        <f t="shared" si="390"/>
        <v>1.430679</v>
      </c>
      <c r="CA229" s="55">
        <f t="shared" si="390"/>
        <v>9.6909999999999996E-2</v>
      </c>
      <c r="CB229" s="55">
        <f t="shared" si="390"/>
        <v>0.20613200000000001</v>
      </c>
      <c r="CC229" s="55">
        <f t="shared" si="390"/>
        <v>-0.59160500000000005</v>
      </c>
      <c r="CD229" s="55">
        <f t="shared" si="390"/>
        <v>-0.35940800000000001</v>
      </c>
      <c r="CE229" s="55">
        <f t="shared" si="390"/>
        <v>0.53883199999999998</v>
      </c>
      <c r="CF229" s="55">
        <f t="shared" si="390"/>
        <v>0.74221800000000004</v>
      </c>
      <c r="CG229" s="55">
        <f t="shared" si="390"/>
        <v>-0.71087800000000001</v>
      </c>
      <c r="CH229" s="55">
        <f t="shared" si="390"/>
        <v>-0.60980100000000004</v>
      </c>
      <c r="CI229" s="55">
        <f t="shared" si="390"/>
        <v>-0.104517</v>
      </c>
      <c r="CJ229" s="55">
        <f t="shared" si="390"/>
        <v>-0.374529</v>
      </c>
      <c r="CK229" s="55">
        <f t="shared" si="390"/>
        <v>0.42504999999999998</v>
      </c>
      <c r="CL229" s="55">
        <f t="shared" si="390"/>
        <v>-1.4208430000000001</v>
      </c>
      <c r="CM229" s="55">
        <f t="shared" si="390"/>
        <v>0.44993899999999998</v>
      </c>
      <c r="CN229" s="55">
        <f t="shared" si="390"/>
        <v>0.73405699999999996</v>
      </c>
      <c r="CO229" s="55">
        <f t="shared" si="391"/>
        <v>-0.50785999999999998</v>
      </c>
      <c r="CP229" s="55">
        <f t="shared" si="391"/>
        <v>0.81760900000000003</v>
      </c>
      <c r="CQ229" s="55">
        <f t="shared" si="391"/>
        <v>7.2500999999999996E-2</v>
      </c>
      <c r="CR229" s="55">
        <f t="shared" si="391"/>
        <v>0.14438599999999999</v>
      </c>
      <c r="CS229" s="55">
        <f t="shared" si="391"/>
        <v>0.67340699999999998</v>
      </c>
      <c r="CT229" s="55">
        <f t="shared" si="391"/>
        <v>-0.45261000000000001</v>
      </c>
      <c r="CU229" s="55">
        <f t="shared" si="391"/>
        <v>-0.11408500000000001</v>
      </c>
      <c r="CV229" s="55">
        <f t="shared" si="391"/>
        <v>-0.11279500000000001</v>
      </c>
      <c r="CW229" s="55">
        <f t="shared" si="391"/>
        <v>0.55067200000000005</v>
      </c>
      <c r="CX229" s="55">
        <f t="shared" si="391"/>
        <v>-0.61355700000000002</v>
      </c>
      <c r="CY229" s="55">
        <f t="shared" si="391"/>
        <v>-0.21176</v>
      </c>
      <c r="CZ229" s="55">
        <f t="shared" si="391"/>
        <v>-0.25395499999999999</v>
      </c>
      <c r="DA229" s="55">
        <f t="shared" si="391"/>
        <v>-0.79663799999999996</v>
      </c>
      <c r="DB229" s="55">
        <f t="shared" si="391"/>
        <v>-0.38058199999999998</v>
      </c>
      <c r="DC229" s="55">
        <f t="shared" si="391"/>
        <v>-1.3752599999999999</v>
      </c>
      <c r="DD229" s="55">
        <f t="shared" si="391"/>
        <v>-1.6423E-2</v>
      </c>
      <c r="DE229" s="55">
        <f t="shared" si="389"/>
        <v>0.39559</v>
      </c>
      <c r="DF229" s="55">
        <f t="shared" si="389"/>
        <v>5.9903999999999999E-2</v>
      </c>
      <c r="DG229" s="55">
        <f t="shared" si="389"/>
        <v>0.10580299999999999</v>
      </c>
      <c r="DI229" s="55">
        <f t="shared" ca="1" si="236"/>
        <v>-8.9701000000000003E-2</v>
      </c>
      <c r="DJ229" s="55">
        <f t="shared" ca="1" si="237"/>
        <v>-1.062033</v>
      </c>
      <c r="DK229" s="55">
        <f t="shared" ca="1" si="238"/>
        <v>0.99671799999999999</v>
      </c>
      <c r="DL229" s="55">
        <f t="shared" ca="1" si="239"/>
        <v>-0.50319899999999995</v>
      </c>
      <c r="DM229" s="55">
        <f t="shared" ca="1" si="240"/>
        <v>-1.3004290000000001</v>
      </c>
      <c r="DN229" s="55">
        <f t="shared" ca="1" si="241"/>
        <v>-3.0889E-2</v>
      </c>
      <c r="DO229" s="55">
        <f t="shared" ca="1" si="242"/>
        <v>0.88186699999999996</v>
      </c>
      <c r="DP229" s="55">
        <f t="shared" ca="1" si="243"/>
        <v>0.71436999999999995</v>
      </c>
      <c r="DQ229" s="55">
        <f t="shared" ca="1" si="244"/>
        <v>-0.26535799999999998</v>
      </c>
      <c r="DR229" s="55">
        <f t="shared" ca="1" si="245"/>
        <v>-0.51729899999999995</v>
      </c>
      <c r="DS229" s="55">
        <f t="shared" ca="1" si="246"/>
        <v>-1.3392459999999999</v>
      </c>
      <c r="DT229" s="55">
        <f t="shared" ca="1" si="247"/>
        <v>7.4237999999999998E-2</v>
      </c>
      <c r="DU229" s="55">
        <f t="shared" ca="1" si="248"/>
        <v>0.51790199999999997</v>
      </c>
      <c r="DV229" s="55">
        <f t="shared" ca="1" si="249"/>
        <v>-0.42674699999999999</v>
      </c>
      <c r="DW229" s="55">
        <f t="shared" ca="1" si="250"/>
        <v>0.20774899999999999</v>
      </c>
      <c r="DX229" s="55">
        <f t="shared" ca="1" si="251"/>
        <v>-0.73572700000000002</v>
      </c>
      <c r="DY229" s="55">
        <f t="shared" ca="1" si="252"/>
        <v>0.70632300000000003</v>
      </c>
      <c r="DZ229" s="55">
        <f t="shared" ca="1" si="253"/>
        <v>0.33780100000000002</v>
      </c>
      <c r="EA229" s="55">
        <f t="shared" ca="1" si="254"/>
        <v>0.563886</v>
      </c>
      <c r="EB229" s="55">
        <f t="shared" ca="1" si="255"/>
        <v>-0.70856399999999997</v>
      </c>
      <c r="EC229" s="55">
        <f t="shared" ca="1" si="256"/>
        <v>0.72263100000000002</v>
      </c>
      <c r="ED229" s="55">
        <f t="shared" ca="1" si="257"/>
        <v>-0.23342099999999999</v>
      </c>
      <c r="EE229" s="55">
        <f t="shared" ca="1" si="258"/>
        <v>-7.2009000000000004E-2</v>
      </c>
      <c r="EF229" s="55">
        <f t="shared" ca="1" si="259"/>
        <v>-1.2075830000000001</v>
      </c>
      <c r="EG229" s="55">
        <f t="shared" ca="1" si="260"/>
        <v>-0.440944</v>
      </c>
      <c r="EH229" s="55">
        <f t="shared" ca="1" si="261"/>
        <v>1.379237</v>
      </c>
      <c r="EI229" s="55">
        <f t="shared" ca="1" si="262"/>
        <v>1.701673</v>
      </c>
      <c r="EJ229" s="55">
        <f t="shared" ca="1" si="263"/>
        <v>-0.17763499999999999</v>
      </c>
      <c r="EK229" s="55">
        <f t="shared" ca="1" si="264"/>
        <v>-0.97233800000000004</v>
      </c>
      <c r="EL229" s="55">
        <f t="shared" ca="1" si="265"/>
        <v>-0.75466800000000001</v>
      </c>
      <c r="EM229" s="55">
        <f t="shared" ca="1" si="266"/>
        <v>0.47717900000000002</v>
      </c>
      <c r="EN229" s="55">
        <f t="shared" ca="1" si="267"/>
        <v>-1.487E-2</v>
      </c>
      <c r="EO229" s="55">
        <f t="shared" ca="1" si="268"/>
        <v>0.19036</v>
      </c>
      <c r="EP229" s="55">
        <f t="shared" ca="1" si="269"/>
        <v>-5.2224E-2</v>
      </c>
      <c r="EQ229" s="55">
        <f t="shared" ca="1" si="270"/>
        <v>-0.67636700000000005</v>
      </c>
      <c r="ER229" s="55">
        <f t="shared" ca="1" si="271"/>
        <v>-0.44637100000000002</v>
      </c>
      <c r="ES229" s="55">
        <f t="shared" ca="1" si="272"/>
        <v>0.46221600000000002</v>
      </c>
      <c r="ET229" s="55">
        <f t="shared" ca="1" si="273"/>
        <v>0.33387099999999997</v>
      </c>
      <c r="EU229" s="55">
        <f t="shared" ca="1" si="274"/>
        <v>1.359496</v>
      </c>
      <c r="EV229" s="55">
        <f t="shared" ca="1" si="275"/>
        <v>0.58911400000000003</v>
      </c>
      <c r="EW229" s="55">
        <f t="shared" ca="1" si="276"/>
        <v>-0.38329999999999997</v>
      </c>
      <c r="EX229" s="55">
        <f t="shared" ca="1" si="277"/>
        <v>0.37964500000000001</v>
      </c>
      <c r="EY229" s="55">
        <f t="shared" ca="1" si="278"/>
        <v>-0.30181799999999998</v>
      </c>
      <c r="EZ229" s="55">
        <f t="shared" ca="1" si="279"/>
        <v>7.979E-2</v>
      </c>
      <c r="FA229" s="55">
        <f t="shared" ca="1" si="280"/>
        <v>-0.33604899999999999</v>
      </c>
      <c r="FB229" s="55">
        <f t="shared" ca="1" si="281"/>
        <v>0.165774</v>
      </c>
      <c r="FC229" s="55">
        <f t="shared" ca="1" si="282"/>
        <v>0.53484799999999999</v>
      </c>
      <c r="FD229" s="55">
        <f t="shared" ca="1" si="283"/>
        <v>0.34875499999999998</v>
      </c>
      <c r="FE229" s="55">
        <f t="shared" ca="1" si="284"/>
        <v>-3.4063999999999997E-2</v>
      </c>
      <c r="FF229" s="55">
        <f t="shared" ca="1" si="285"/>
        <v>0.59342600000000001</v>
      </c>
      <c r="FH229" s="55">
        <f t="shared" ca="1" si="286"/>
        <v>0</v>
      </c>
      <c r="FI229" s="55">
        <f t="shared" ca="1" si="379"/>
        <v>0</v>
      </c>
      <c r="FJ229" s="55">
        <f t="shared" ca="1" si="380"/>
        <v>0</v>
      </c>
      <c r="FK229" s="55">
        <f t="shared" ca="1" si="381"/>
        <v>0</v>
      </c>
      <c r="FL229" s="55">
        <f t="shared" ca="1" si="382"/>
        <v>0</v>
      </c>
      <c r="FM229" s="55">
        <f t="shared" ca="1" si="383"/>
        <v>0</v>
      </c>
      <c r="FN229" s="55">
        <f t="shared" ca="1" si="384"/>
        <v>0</v>
      </c>
      <c r="FO229" s="55">
        <f t="shared" ca="1" si="385"/>
        <v>0</v>
      </c>
      <c r="FP229" s="55">
        <f t="shared" ca="1" si="386"/>
        <v>0</v>
      </c>
      <c r="FQ229" s="55">
        <f t="shared" ca="1" si="387"/>
        <v>0</v>
      </c>
      <c r="FR229" s="55">
        <f t="shared" ca="1" si="388"/>
        <v>0</v>
      </c>
      <c r="FS229" s="55">
        <f t="shared" ca="1" si="329"/>
        <v>0</v>
      </c>
      <c r="FT229" s="55">
        <f t="shared" ca="1" si="330"/>
        <v>0</v>
      </c>
      <c r="FU229" s="55">
        <f t="shared" ca="1" si="331"/>
        <v>0</v>
      </c>
      <c r="FV229" s="55">
        <f t="shared" ca="1" si="332"/>
        <v>0</v>
      </c>
      <c r="FW229" s="55">
        <f t="shared" ca="1" si="333"/>
        <v>0</v>
      </c>
      <c r="FX229" s="55">
        <f t="shared" ca="1" si="334"/>
        <v>0</v>
      </c>
      <c r="FY229" s="55">
        <f t="shared" ca="1" si="335"/>
        <v>0</v>
      </c>
      <c r="FZ229" s="55">
        <f t="shared" ca="1" si="336"/>
        <v>0</v>
      </c>
      <c r="GA229" s="55">
        <f t="shared" ca="1" si="337"/>
        <v>0</v>
      </c>
      <c r="GB229" s="55">
        <f t="shared" ca="1" si="338"/>
        <v>0</v>
      </c>
      <c r="GC229" s="55">
        <f t="shared" ca="1" si="339"/>
        <v>0</v>
      </c>
      <c r="GD229" s="55">
        <f t="shared" ca="1" si="340"/>
        <v>0</v>
      </c>
      <c r="GE229" s="55">
        <f t="shared" ca="1" si="341"/>
        <v>0</v>
      </c>
      <c r="GF229" s="55">
        <f t="shared" ca="1" si="342"/>
        <v>0</v>
      </c>
      <c r="GG229" s="55">
        <f t="shared" ca="1" si="343"/>
        <v>0</v>
      </c>
      <c r="GH229" s="55">
        <f t="shared" ca="1" si="344"/>
        <v>0</v>
      </c>
      <c r="GI229" s="55">
        <f t="shared" ca="1" si="345"/>
        <v>0</v>
      </c>
      <c r="GJ229" s="55">
        <f t="shared" ca="1" si="346"/>
        <v>0</v>
      </c>
      <c r="GK229" s="55">
        <f t="shared" ca="1" si="347"/>
        <v>0</v>
      </c>
      <c r="GL229" s="55">
        <f t="shared" ca="1" si="348"/>
        <v>0</v>
      </c>
      <c r="GM229" s="55">
        <f t="shared" ca="1" si="349"/>
        <v>0</v>
      </c>
      <c r="GN229" s="55">
        <f t="shared" ca="1" si="350"/>
        <v>0</v>
      </c>
      <c r="GO229" s="55">
        <f t="shared" ca="1" si="351"/>
        <v>0</v>
      </c>
      <c r="GP229" s="55">
        <f t="shared" ca="1" si="352"/>
        <v>0</v>
      </c>
      <c r="GQ229" s="55">
        <f t="shared" ca="1" si="353"/>
        <v>0</v>
      </c>
      <c r="GR229" s="55">
        <f t="shared" ca="1" si="354"/>
        <v>0</v>
      </c>
      <c r="GS229" s="55">
        <f t="shared" ca="1" si="355"/>
        <v>0</v>
      </c>
      <c r="GT229" s="55">
        <f t="shared" ca="1" si="356"/>
        <v>0</v>
      </c>
      <c r="GU229" s="55">
        <f t="shared" ca="1" si="357"/>
        <v>0</v>
      </c>
      <c r="GV229" s="55">
        <f t="shared" ca="1" si="358"/>
        <v>0</v>
      </c>
      <c r="GW229" s="55">
        <f t="shared" ca="1" si="359"/>
        <v>0</v>
      </c>
      <c r="GX229" s="55">
        <f t="shared" ca="1" si="360"/>
        <v>0</v>
      </c>
      <c r="GY229" s="55">
        <f t="shared" ca="1" si="361"/>
        <v>0</v>
      </c>
      <c r="GZ229" s="55">
        <f t="shared" ca="1" si="362"/>
        <v>0</v>
      </c>
      <c r="HA229" s="55">
        <f t="shared" ca="1" si="363"/>
        <v>0</v>
      </c>
      <c r="HB229" s="55">
        <f t="shared" ca="1" si="364"/>
        <v>0</v>
      </c>
      <c r="HC229" s="55">
        <f t="shared" ca="1" si="365"/>
        <v>0</v>
      </c>
      <c r="HD229" s="55">
        <f t="shared" ca="1" si="366"/>
        <v>0</v>
      </c>
      <c r="HE229" s="55">
        <f t="shared" ca="1" si="367"/>
        <v>0</v>
      </c>
    </row>
    <row r="230" spans="1:213">
      <c r="A230" s="27">
        <v>93</v>
      </c>
      <c r="B230" s="27">
        <v>34</v>
      </c>
      <c r="C230" s="27">
        <v>3.7079999999999999E-3</v>
      </c>
      <c r="D230" s="27">
        <v>0.63299700000000003</v>
      </c>
      <c r="E230" s="27">
        <v>31</v>
      </c>
      <c r="F230" s="27">
        <f t="shared" ca="1" si="231"/>
        <v>49</v>
      </c>
      <c r="G230" s="27">
        <f t="shared" si="230"/>
        <v>0</v>
      </c>
      <c r="H230" s="27" t="str">
        <f t="shared" si="232"/>
        <v>Sim</v>
      </c>
      <c r="I230" s="27">
        <f t="shared" si="233"/>
        <v>0</v>
      </c>
      <c r="J230" s="37">
        <f t="shared" si="234"/>
        <v>1</v>
      </c>
      <c r="K230" s="55">
        <f t="shared" si="235"/>
        <v>-0.26093499999999997</v>
      </c>
      <c r="L230" s="55">
        <f t="shared" si="368"/>
        <v>0.79002799999999995</v>
      </c>
      <c r="M230" s="55">
        <f t="shared" si="369"/>
        <v>-2.0379999999999999E-2</v>
      </c>
      <c r="N230" s="55">
        <f t="shared" si="370"/>
        <v>1.2761089999999999</v>
      </c>
      <c r="O230" s="55">
        <f t="shared" si="371"/>
        <v>-0.45896700000000001</v>
      </c>
      <c r="P230" s="55">
        <f t="shared" si="372"/>
        <v>0.61991799999999997</v>
      </c>
      <c r="Q230" s="55">
        <f t="shared" si="373"/>
        <v>1.3424970000000001</v>
      </c>
      <c r="R230" s="55">
        <f t="shared" si="374"/>
        <v>-0.191992</v>
      </c>
      <c r="S230" s="55">
        <f t="shared" si="375"/>
        <v>-0.57312300000000005</v>
      </c>
      <c r="T230" s="55">
        <f t="shared" si="376"/>
        <v>-0.59387599999999996</v>
      </c>
      <c r="U230" s="55">
        <f t="shared" si="377"/>
        <v>0.39508100000000002</v>
      </c>
      <c r="V230" s="55">
        <f t="shared" si="288"/>
        <v>-0.29557899999999998</v>
      </c>
      <c r="W230" s="55">
        <f t="shared" si="289"/>
        <v>-1.2123299999999999</v>
      </c>
      <c r="X230" s="55">
        <f t="shared" si="290"/>
        <v>0.53608199999999995</v>
      </c>
      <c r="Y230" s="55">
        <f t="shared" si="291"/>
        <v>0.43825799999999998</v>
      </c>
      <c r="Z230" s="55">
        <f t="shared" si="292"/>
        <v>-1.0462629999999999</v>
      </c>
      <c r="AA230" s="55">
        <f t="shared" si="293"/>
        <v>-0.92386999999999997</v>
      </c>
      <c r="AB230" s="55">
        <f t="shared" si="294"/>
        <v>-0.32855600000000001</v>
      </c>
      <c r="AC230" s="55">
        <f t="shared" si="295"/>
        <v>0.79715599999999998</v>
      </c>
      <c r="AD230" s="55">
        <f t="shared" si="296"/>
        <v>-0.18821499999999999</v>
      </c>
      <c r="AE230" s="55">
        <f t="shared" si="297"/>
        <v>-0.87919400000000003</v>
      </c>
      <c r="AF230" s="55">
        <f t="shared" si="298"/>
        <v>0.84435099999999996</v>
      </c>
      <c r="AG230" s="55">
        <f t="shared" si="299"/>
        <v>0.41101399999999999</v>
      </c>
      <c r="AH230" s="55">
        <f t="shared" si="300"/>
        <v>0.83720799999999995</v>
      </c>
      <c r="AI230" s="55">
        <f t="shared" si="301"/>
        <v>-0.17442299999999999</v>
      </c>
      <c r="AJ230" s="55">
        <f t="shared" si="302"/>
        <v>8.8509999999999995E-3</v>
      </c>
      <c r="AK230" s="55">
        <f t="shared" si="303"/>
        <v>0.275868</v>
      </c>
      <c r="AL230" s="55">
        <f t="shared" si="304"/>
        <v>1.348231</v>
      </c>
      <c r="AM230" s="55">
        <f t="shared" si="305"/>
        <v>0.35782199999999997</v>
      </c>
      <c r="AN230" s="55">
        <f t="shared" si="306"/>
        <v>-0.22400200000000001</v>
      </c>
      <c r="AO230" s="55">
        <f t="shared" si="307"/>
        <v>0.19275999999999999</v>
      </c>
      <c r="AP230" s="55">
        <f t="shared" si="308"/>
        <v>-0.74942500000000001</v>
      </c>
      <c r="AQ230" s="55">
        <f t="shared" si="309"/>
        <v>0.40764099999999998</v>
      </c>
      <c r="AR230" s="55">
        <f t="shared" si="310"/>
        <v>-0.98532500000000001</v>
      </c>
      <c r="AS230" s="55">
        <f t="shared" si="311"/>
        <v>-0.25914599999999999</v>
      </c>
      <c r="AT230" s="55">
        <f t="shared" si="312"/>
        <v>8.0591999999999997E-2</v>
      </c>
      <c r="AU230" s="55">
        <f t="shared" si="313"/>
        <v>0.10335999999999999</v>
      </c>
      <c r="AV230" s="55">
        <f t="shared" si="314"/>
        <v>-0.26106299999999999</v>
      </c>
      <c r="AW230" s="55">
        <f t="shared" si="315"/>
        <v>2.9864000000000002E-2</v>
      </c>
      <c r="AX230" s="55">
        <f t="shared" si="316"/>
        <v>-0.54261499999999996</v>
      </c>
      <c r="AY230" s="55">
        <f t="shared" si="317"/>
        <v>-0.50171699999999997</v>
      </c>
      <c r="AZ230" s="55">
        <f t="shared" si="318"/>
        <v>-1.11639</v>
      </c>
      <c r="BA230" s="55">
        <f t="shared" si="319"/>
        <v>-2.0365999999999999E-2</v>
      </c>
      <c r="BB230" s="55">
        <f t="shared" si="320"/>
        <v>-0.60032099999999999</v>
      </c>
      <c r="BC230" s="55">
        <f t="shared" si="321"/>
        <v>-7.0127999999999996E-2</v>
      </c>
      <c r="BD230" s="55">
        <f t="shared" si="322"/>
        <v>-0.63070599999999999</v>
      </c>
      <c r="BE230" s="55">
        <f t="shared" si="323"/>
        <v>8.1457000000000002E-2</v>
      </c>
      <c r="BF230" s="55">
        <f t="shared" si="324"/>
        <v>-0.582561</v>
      </c>
      <c r="BG230" s="55">
        <f t="shared" si="325"/>
        <v>-0.51460499999999998</v>
      </c>
      <c r="BH230" s="55">
        <f t="shared" si="326"/>
        <v>-1.1069009999999999</v>
      </c>
      <c r="BJ230" s="55">
        <f t="shared" si="392"/>
        <v>-0.66622000000000003</v>
      </c>
      <c r="BK230" s="55">
        <f t="shared" si="392"/>
        <v>-0.53908500000000004</v>
      </c>
      <c r="BL230" s="55">
        <f t="shared" si="392"/>
        <v>1.3139609999999999</v>
      </c>
      <c r="BM230" s="55">
        <f t="shared" si="392"/>
        <v>0.37419999999999998</v>
      </c>
      <c r="BN230" s="55">
        <f t="shared" si="392"/>
        <v>0.31695899999999999</v>
      </c>
      <c r="BO230" s="55">
        <f t="shared" si="392"/>
        <v>0.31533600000000001</v>
      </c>
      <c r="BP230" s="55">
        <f t="shared" si="392"/>
        <v>0.65815500000000005</v>
      </c>
      <c r="BQ230" s="55">
        <f t="shared" si="392"/>
        <v>0.12439</v>
      </c>
      <c r="BR230" s="55">
        <f t="shared" si="392"/>
        <v>-0.24601200000000001</v>
      </c>
      <c r="BS230" s="55">
        <f t="shared" si="392"/>
        <v>0.685338</v>
      </c>
      <c r="BT230" s="55">
        <f t="shared" si="392"/>
        <v>-1.6915340000000001</v>
      </c>
      <c r="BU230" s="55">
        <f t="shared" si="392"/>
        <v>1.7136009999999999</v>
      </c>
      <c r="BV230" s="55">
        <f t="shared" si="392"/>
        <v>-0.175285</v>
      </c>
      <c r="BW230" s="55">
        <f t="shared" si="392"/>
        <v>-0.88014700000000001</v>
      </c>
      <c r="BX230" s="55">
        <f t="shared" si="392"/>
        <v>0.24867</v>
      </c>
      <c r="BY230" s="55">
        <f t="shared" si="392"/>
        <v>-0.24318600000000001</v>
      </c>
      <c r="BZ230" s="55">
        <f t="shared" si="390"/>
        <v>1.020362</v>
      </c>
      <c r="CA230" s="55">
        <f t="shared" si="390"/>
        <v>-0.47453499999999998</v>
      </c>
      <c r="CB230" s="55">
        <f t="shared" si="390"/>
        <v>0.40415600000000002</v>
      </c>
      <c r="CC230" s="55">
        <f t="shared" si="390"/>
        <v>0.108114</v>
      </c>
      <c r="CD230" s="55">
        <f t="shared" si="390"/>
        <v>-0.73552499999999998</v>
      </c>
      <c r="CE230" s="55">
        <f t="shared" si="390"/>
        <v>0.56257599999999996</v>
      </c>
      <c r="CF230" s="55">
        <f t="shared" si="390"/>
        <v>0.539435</v>
      </c>
      <c r="CG230" s="55">
        <f t="shared" si="390"/>
        <v>0.74824500000000005</v>
      </c>
      <c r="CH230" s="55">
        <f t="shared" si="390"/>
        <v>-0.71911400000000003</v>
      </c>
      <c r="CI230" s="55">
        <f t="shared" si="390"/>
        <v>0.592117</v>
      </c>
      <c r="CJ230" s="55">
        <f t="shared" si="390"/>
        <v>-0.68152699999999999</v>
      </c>
      <c r="CK230" s="55">
        <f t="shared" si="390"/>
        <v>-3.1071999999999999E-2</v>
      </c>
      <c r="CL230" s="55">
        <f t="shared" si="390"/>
        <v>0.574847</v>
      </c>
      <c r="CM230" s="55">
        <f t="shared" si="390"/>
        <v>4.0721E-2</v>
      </c>
      <c r="CN230" s="55">
        <f t="shared" si="390"/>
        <v>-0.31113400000000002</v>
      </c>
      <c r="CO230" s="55">
        <f t="shared" si="391"/>
        <v>0.128106</v>
      </c>
      <c r="CP230" s="55">
        <f t="shared" si="391"/>
        <v>0.75648499999999996</v>
      </c>
      <c r="CQ230" s="55">
        <f t="shared" si="391"/>
        <v>0.64789099999999999</v>
      </c>
      <c r="CR230" s="55">
        <f t="shared" si="391"/>
        <v>0.62507000000000001</v>
      </c>
      <c r="CS230" s="55">
        <f t="shared" si="391"/>
        <v>0.26489299999999999</v>
      </c>
      <c r="CT230" s="55">
        <f t="shared" si="391"/>
        <v>-0.50260000000000005</v>
      </c>
      <c r="CU230" s="55">
        <f t="shared" si="391"/>
        <v>-0.37491999999999998</v>
      </c>
      <c r="CV230" s="55">
        <f t="shared" si="391"/>
        <v>0.42408800000000002</v>
      </c>
      <c r="CW230" s="55">
        <f t="shared" si="391"/>
        <v>0.13993700000000001</v>
      </c>
      <c r="CX230" s="55">
        <f t="shared" si="391"/>
        <v>-0.25101899999999999</v>
      </c>
      <c r="CY230" s="55">
        <f t="shared" si="391"/>
        <v>0.60972800000000005</v>
      </c>
      <c r="CZ230" s="55">
        <f t="shared" si="391"/>
        <v>-0.87458400000000003</v>
      </c>
      <c r="DA230" s="55">
        <f t="shared" si="391"/>
        <v>0.52196799999999999</v>
      </c>
      <c r="DB230" s="55">
        <f t="shared" si="391"/>
        <v>-0.47540500000000002</v>
      </c>
      <c r="DC230" s="55">
        <f t="shared" si="391"/>
        <v>0.41020699999999999</v>
      </c>
      <c r="DD230" s="55">
        <f t="shared" si="391"/>
        <v>0.496174</v>
      </c>
      <c r="DE230" s="55">
        <f t="shared" si="389"/>
        <v>0.10736800000000001</v>
      </c>
      <c r="DF230" s="55">
        <f t="shared" si="389"/>
        <v>0.55427300000000002</v>
      </c>
      <c r="DG230" s="55">
        <f t="shared" si="389"/>
        <v>-1.0216069999999999</v>
      </c>
      <c r="DI230" s="55">
        <f t="shared" ca="1" si="236"/>
        <v>-0.26093499999999997</v>
      </c>
      <c r="DJ230" s="55">
        <f t="shared" ca="1" si="237"/>
        <v>0.79002799999999995</v>
      </c>
      <c r="DK230" s="55">
        <f t="shared" ca="1" si="238"/>
        <v>-2.0379999999999999E-2</v>
      </c>
      <c r="DL230" s="55">
        <f t="shared" ca="1" si="239"/>
        <v>1.2761089999999999</v>
      </c>
      <c r="DM230" s="55">
        <f t="shared" ca="1" si="240"/>
        <v>-0.45896700000000001</v>
      </c>
      <c r="DN230" s="55">
        <f t="shared" ca="1" si="241"/>
        <v>0.61991799999999997</v>
      </c>
      <c r="DO230" s="55">
        <f t="shared" ca="1" si="242"/>
        <v>1.3424970000000001</v>
      </c>
      <c r="DP230" s="55">
        <f t="shared" ca="1" si="243"/>
        <v>-0.191992</v>
      </c>
      <c r="DQ230" s="55">
        <f t="shared" ca="1" si="244"/>
        <v>-0.57312300000000005</v>
      </c>
      <c r="DR230" s="55">
        <f t="shared" ca="1" si="245"/>
        <v>-0.59387599999999996</v>
      </c>
      <c r="DS230" s="55">
        <f t="shared" ca="1" si="246"/>
        <v>0.39508100000000002</v>
      </c>
      <c r="DT230" s="55">
        <f t="shared" ca="1" si="247"/>
        <v>-0.29557899999999998</v>
      </c>
      <c r="DU230" s="55">
        <f t="shared" ca="1" si="248"/>
        <v>-1.2123299999999999</v>
      </c>
      <c r="DV230" s="55">
        <f t="shared" ca="1" si="249"/>
        <v>0.53608199999999995</v>
      </c>
      <c r="DW230" s="55">
        <f t="shared" ca="1" si="250"/>
        <v>0.43825799999999998</v>
      </c>
      <c r="DX230" s="55">
        <f t="shared" ca="1" si="251"/>
        <v>-1.0462629999999999</v>
      </c>
      <c r="DY230" s="55">
        <f t="shared" ca="1" si="252"/>
        <v>-0.92386999999999997</v>
      </c>
      <c r="DZ230" s="55">
        <f t="shared" ca="1" si="253"/>
        <v>-0.32855600000000001</v>
      </c>
      <c r="EA230" s="55">
        <f t="shared" ca="1" si="254"/>
        <v>0.79715599999999998</v>
      </c>
      <c r="EB230" s="55">
        <f t="shared" ca="1" si="255"/>
        <v>-0.18821499999999999</v>
      </c>
      <c r="EC230" s="55">
        <f t="shared" ca="1" si="256"/>
        <v>-0.87919400000000003</v>
      </c>
      <c r="ED230" s="55">
        <f t="shared" ca="1" si="257"/>
        <v>0.84435099999999996</v>
      </c>
      <c r="EE230" s="55">
        <f t="shared" ca="1" si="258"/>
        <v>0.41101399999999999</v>
      </c>
      <c r="EF230" s="55">
        <f t="shared" ca="1" si="259"/>
        <v>0.83720799999999995</v>
      </c>
      <c r="EG230" s="55">
        <f t="shared" ca="1" si="260"/>
        <v>-0.17442299999999999</v>
      </c>
      <c r="EH230" s="55">
        <f t="shared" ca="1" si="261"/>
        <v>8.8509999999999995E-3</v>
      </c>
      <c r="EI230" s="55">
        <f t="shared" ca="1" si="262"/>
        <v>0.275868</v>
      </c>
      <c r="EJ230" s="55">
        <f t="shared" ca="1" si="263"/>
        <v>1.348231</v>
      </c>
      <c r="EK230" s="55">
        <f t="shared" ca="1" si="264"/>
        <v>0.35782199999999997</v>
      </c>
      <c r="EL230" s="55">
        <f t="shared" ca="1" si="265"/>
        <v>-0.22400200000000001</v>
      </c>
      <c r="EM230" s="55">
        <f t="shared" ca="1" si="266"/>
        <v>0.19275999999999999</v>
      </c>
      <c r="EN230" s="55">
        <f t="shared" ca="1" si="267"/>
        <v>-0.42736849040700003</v>
      </c>
      <c r="EO230" s="55">
        <f t="shared" ca="1" si="268"/>
        <v>0.53566779453199986</v>
      </c>
      <c r="EP230" s="55">
        <f t="shared" ca="1" si="269"/>
        <v>-0.38592982835200007</v>
      </c>
      <c r="EQ230" s="55">
        <f t="shared" ca="1" si="270"/>
        <v>6.5363924648000005E-2</v>
      </c>
      <c r="ER230" s="55">
        <f t="shared" ca="1" si="271"/>
        <v>0.148231019903</v>
      </c>
      <c r="ES230" s="55">
        <f t="shared" ca="1" si="272"/>
        <v>-0.11902913788000001</v>
      </c>
      <c r="ET230" s="55">
        <f t="shared" ca="1" si="273"/>
        <v>-0.30284886057100002</v>
      </c>
      <c r="EU230" s="55">
        <f t="shared" ca="1" si="274"/>
        <v>0.17454539067200001</v>
      </c>
      <c r="EV230" s="55">
        <f t="shared" ca="1" si="275"/>
        <v>-0.29211636834400001</v>
      </c>
      <c r="EW230" s="55">
        <f t="shared" ca="1" si="276"/>
        <v>-0.409710081906</v>
      </c>
      <c r="EX230" s="55">
        <f t="shared" ca="1" si="277"/>
        <v>-0.48289951564600009</v>
      </c>
      <c r="EY230" s="55">
        <f t="shared" ca="1" si="278"/>
        <v>-0.333866568654</v>
      </c>
      <c r="EZ230" s="55">
        <f t="shared" ca="1" si="279"/>
        <v>-0.18843757013300003</v>
      </c>
      <c r="FA230" s="55">
        <f t="shared" ca="1" si="280"/>
        <v>-0.21886587483100001</v>
      </c>
      <c r="FB230" s="55">
        <f t="shared" ca="1" si="281"/>
        <v>-0.24868780626100001</v>
      </c>
      <c r="FC230" s="55">
        <f t="shared" ca="1" si="282"/>
        <v>0.23365938315099999</v>
      </c>
      <c r="FD230" s="55">
        <f t="shared" ca="1" si="283"/>
        <v>-0.32935498721300005</v>
      </c>
      <c r="FE230" s="55">
        <f t="shared" ca="1" si="284"/>
        <v>-0.122323567366</v>
      </c>
      <c r="FF230" s="55">
        <f t="shared" ca="1" si="285"/>
        <v>-1.1069009999999999</v>
      </c>
      <c r="FH230" s="55">
        <f t="shared" ca="1" si="286"/>
        <v>0</v>
      </c>
      <c r="FI230" s="55">
        <f t="shared" ca="1" si="379"/>
        <v>0</v>
      </c>
      <c r="FJ230" s="55">
        <f t="shared" ca="1" si="380"/>
        <v>0</v>
      </c>
      <c r="FK230" s="55">
        <f t="shared" ca="1" si="381"/>
        <v>0</v>
      </c>
      <c r="FL230" s="55">
        <f t="shared" ca="1" si="382"/>
        <v>0</v>
      </c>
      <c r="FM230" s="55">
        <f t="shared" ca="1" si="383"/>
        <v>0</v>
      </c>
      <c r="FN230" s="55">
        <f t="shared" ca="1" si="384"/>
        <v>0</v>
      </c>
      <c r="FO230" s="55">
        <f t="shared" ca="1" si="385"/>
        <v>0</v>
      </c>
      <c r="FP230" s="55">
        <f t="shared" ca="1" si="386"/>
        <v>0</v>
      </c>
      <c r="FQ230" s="55">
        <f t="shared" ca="1" si="387"/>
        <v>0</v>
      </c>
      <c r="FR230" s="55">
        <f t="shared" ca="1" si="388"/>
        <v>0</v>
      </c>
      <c r="FS230" s="55">
        <f t="shared" ca="1" si="329"/>
        <v>0</v>
      </c>
      <c r="FT230" s="55">
        <f t="shared" ca="1" si="330"/>
        <v>0</v>
      </c>
      <c r="FU230" s="55">
        <f t="shared" ca="1" si="331"/>
        <v>0</v>
      </c>
      <c r="FV230" s="55">
        <f t="shared" ca="1" si="332"/>
        <v>0</v>
      </c>
      <c r="FW230" s="55">
        <f t="shared" ca="1" si="333"/>
        <v>0</v>
      </c>
      <c r="FX230" s="55">
        <f t="shared" ca="1" si="334"/>
        <v>0</v>
      </c>
      <c r="FY230" s="55">
        <f t="shared" ca="1" si="335"/>
        <v>0</v>
      </c>
      <c r="FZ230" s="55">
        <f t="shared" ca="1" si="336"/>
        <v>0</v>
      </c>
      <c r="GA230" s="55">
        <f t="shared" ca="1" si="337"/>
        <v>0</v>
      </c>
      <c r="GB230" s="55">
        <f t="shared" ca="1" si="338"/>
        <v>0</v>
      </c>
      <c r="GC230" s="55">
        <f t="shared" ca="1" si="339"/>
        <v>0</v>
      </c>
      <c r="GD230" s="55">
        <f t="shared" ca="1" si="340"/>
        <v>0</v>
      </c>
      <c r="GE230" s="55">
        <f t="shared" ca="1" si="341"/>
        <v>0</v>
      </c>
      <c r="GF230" s="55">
        <f t="shared" ca="1" si="342"/>
        <v>0</v>
      </c>
      <c r="GG230" s="55">
        <f t="shared" ca="1" si="343"/>
        <v>0</v>
      </c>
      <c r="GH230" s="55">
        <f t="shared" ca="1" si="344"/>
        <v>0</v>
      </c>
      <c r="GI230" s="55">
        <f t="shared" ca="1" si="345"/>
        <v>0</v>
      </c>
      <c r="GJ230" s="55">
        <f t="shared" ca="1" si="346"/>
        <v>0</v>
      </c>
      <c r="GK230" s="55">
        <f t="shared" ca="1" si="347"/>
        <v>0</v>
      </c>
      <c r="GL230" s="55">
        <f t="shared" ca="1" si="348"/>
        <v>0</v>
      </c>
      <c r="GM230" s="55">
        <f t="shared" ca="1" si="349"/>
        <v>0.32205650959299997</v>
      </c>
      <c r="GN230" s="55">
        <f t="shared" ca="1" si="350"/>
        <v>0.12802679453199989</v>
      </c>
      <c r="GO230" s="55">
        <f t="shared" ca="1" si="351"/>
        <v>0.59939517164799994</v>
      </c>
      <c r="GP230" s="55">
        <f t="shared" ca="1" si="352"/>
        <v>0.32450992464799999</v>
      </c>
      <c r="GQ230" s="55">
        <f t="shared" ca="1" si="353"/>
        <v>6.7639019903000003E-2</v>
      </c>
      <c r="GR230" s="55">
        <f t="shared" ca="1" si="354"/>
        <v>-0.22238913788</v>
      </c>
      <c r="GS230" s="55">
        <f t="shared" ca="1" si="355"/>
        <v>-4.1785860571000033E-2</v>
      </c>
      <c r="GT230" s="55">
        <f t="shared" ca="1" si="356"/>
        <v>0.144681390672</v>
      </c>
      <c r="GU230" s="55">
        <f t="shared" ca="1" si="357"/>
        <v>0.25049863165599995</v>
      </c>
      <c r="GV230" s="55">
        <f t="shared" ca="1" si="358"/>
        <v>9.2006918093999968E-2</v>
      </c>
      <c r="GW230" s="55">
        <f t="shared" ca="1" si="359"/>
        <v>0.63349048435399991</v>
      </c>
      <c r="GX230" s="55">
        <f t="shared" ca="1" si="360"/>
        <v>-0.313500568654</v>
      </c>
      <c r="GY230" s="55">
        <f t="shared" ca="1" si="361"/>
        <v>0.41188342986699999</v>
      </c>
      <c r="GZ230" s="55">
        <f t="shared" ca="1" si="362"/>
        <v>-0.14873787483100001</v>
      </c>
      <c r="HA230" s="55">
        <f t="shared" ca="1" si="363"/>
        <v>0.38201819373899998</v>
      </c>
      <c r="HB230" s="55">
        <f t="shared" ca="1" si="364"/>
        <v>0.15220238315099999</v>
      </c>
      <c r="HC230" s="55">
        <f t="shared" ca="1" si="365"/>
        <v>0.25320601278699995</v>
      </c>
      <c r="HD230" s="55">
        <f t="shared" ca="1" si="366"/>
        <v>0.39228143263399995</v>
      </c>
      <c r="HE230" s="55">
        <f t="shared" ca="1" si="367"/>
        <v>0</v>
      </c>
    </row>
    <row r="231" spans="1:213">
      <c r="A231" s="27">
        <v>94</v>
      </c>
      <c r="B231" s="27">
        <v>8</v>
      </c>
      <c r="C231" s="27">
        <v>0.94596899999999995</v>
      </c>
      <c r="D231" s="27">
        <v>0.948272</v>
      </c>
      <c r="E231" s="27">
        <v>39</v>
      </c>
      <c r="F231" s="27">
        <f t="shared" ca="1" si="231"/>
        <v>47</v>
      </c>
      <c r="G231" s="27">
        <f t="shared" si="230"/>
        <v>0</v>
      </c>
      <c r="H231" s="27" t="str">
        <f t="shared" si="232"/>
        <v>Não</v>
      </c>
      <c r="I231" s="27">
        <f t="shared" si="233"/>
        <v>0</v>
      </c>
      <c r="J231" s="37">
        <f t="shared" si="234"/>
        <v>0</v>
      </c>
      <c r="K231" s="55">
        <f t="shared" si="235"/>
        <v>1.6254040000000001</v>
      </c>
      <c r="L231" s="55">
        <f t="shared" si="368"/>
        <v>-0.32974100000000001</v>
      </c>
      <c r="M231" s="55">
        <f t="shared" si="369"/>
        <v>-0.96115799999999996</v>
      </c>
      <c r="N231" s="55">
        <f t="shared" si="370"/>
        <v>-0.70081599999999999</v>
      </c>
      <c r="O231" s="55">
        <f t="shared" si="371"/>
        <v>-1.4411430000000001</v>
      </c>
      <c r="P231" s="55">
        <f t="shared" si="372"/>
        <v>-0.68226600000000004</v>
      </c>
      <c r="Q231" s="55">
        <f t="shared" si="373"/>
        <v>-0.89169799999999999</v>
      </c>
      <c r="R231" s="55">
        <f t="shared" si="374"/>
        <v>0.85860499999999995</v>
      </c>
      <c r="S231" s="55">
        <f t="shared" si="375"/>
        <v>-0.48549900000000001</v>
      </c>
      <c r="T231" s="55">
        <f t="shared" si="376"/>
        <v>0.76777899999999999</v>
      </c>
      <c r="U231" s="55">
        <f t="shared" si="377"/>
        <v>0.54898499999999995</v>
      </c>
      <c r="V231" s="55">
        <f t="shared" si="288"/>
        <v>-0.81550199999999995</v>
      </c>
      <c r="W231" s="55">
        <f t="shared" si="289"/>
        <v>-0.86378900000000003</v>
      </c>
      <c r="X231" s="55">
        <f t="shared" si="290"/>
        <v>0.79839000000000004</v>
      </c>
      <c r="Y231" s="55">
        <f t="shared" si="291"/>
        <v>-0.55228100000000002</v>
      </c>
      <c r="Z231" s="55">
        <f t="shared" si="292"/>
        <v>0.314245</v>
      </c>
      <c r="AA231" s="55">
        <f t="shared" si="293"/>
        <v>-1.4318789999999999</v>
      </c>
      <c r="AB231" s="55">
        <f t="shared" si="294"/>
        <v>-0.92930100000000004</v>
      </c>
      <c r="AC231" s="55">
        <f t="shared" si="295"/>
        <v>0.57114299999999996</v>
      </c>
      <c r="AD231" s="55">
        <f t="shared" si="296"/>
        <v>-0.26586100000000001</v>
      </c>
      <c r="AE231" s="55">
        <f t="shared" si="297"/>
        <v>0.451239</v>
      </c>
      <c r="AF231" s="55">
        <f t="shared" si="298"/>
        <v>-0.236091</v>
      </c>
      <c r="AG231" s="55">
        <f t="shared" si="299"/>
        <v>1.634371</v>
      </c>
      <c r="AH231" s="55">
        <f t="shared" si="300"/>
        <v>8.8885000000000006E-2</v>
      </c>
      <c r="AI231" s="55">
        <f t="shared" si="301"/>
        <v>-1.4460789999999999</v>
      </c>
      <c r="AJ231" s="55">
        <f t="shared" si="302"/>
        <v>0.106548</v>
      </c>
      <c r="AK231" s="55">
        <f t="shared" si="303"/>
        <v>0.447882</v>
      </c>
      <c r="AL231" s="55">
        <f t="shared" si="304"/>
        <v>-0.80142199999999997</v>
      </c>
      <c r="AM231" s="55">
        <f t="shared" si="305"/>
        <v>-0.182949</v>
      </c>
      <c r="AN231" s="55">
        <f t="shared" si="306"/>
        <v>0.85319900000000004</v>
      </c>
      <c r="AO231" s="55">
        <f t="shared" si="307"/>
        <v>0.76485499999999995</v>
      </c>
      <c r="AP231" s="55">
        <f t="shared" si="308"/>
        <v>-1.4253290000000001</v>
      </c>
      <c r="AQ231" s="55">
        <f t="shared" si="309"/>
        <v>-0.37792199999999998</v>
      </c>
      <c r="AR231" s="55">
        <f t="shared" si="310"/>
        <v>-0.102326</v>
      </c>
      <c r="AS231" s="55">
        <f t="shared" si="311"/>
        <v>0.76357299999999995</v>
      </c>
      <c r="AT231" s="55">
        <f t="shared" si="312"/>
        <v>1.8122400000000001</v>
      </c>
      <c r="AU231" s="55">
        <f t="shared" si="313"/>
        <v>7.0805000000000007E-2</v>
      </c>
      <c r="AV231" s="55">
        <f t="shared" si="314"/>
        <v>-7.2219000000000005E-2</v>
      </c>
      <c r="AW231" s="55">
        <f t="shared" si="315"/>
        <v>0.31185000000000002</v>
      </c>
      <c r="AX231" s="55">
        <f t="shared" si="316"/>
        <v>-0.25651600000000002</v>
      </c>
      <c r="AY231" s="55">
        <f t="shared" si="317"/>
        <v>-0.31519399999999997</v>
      </c>
      <c r="AZ231" s="55">
        <f t="shared" si="318"/>
        <v>6.9620000000000003E-3</v>
      </c>
      <c r="BA231" s="55">
        <f t="shared" si="319"/>
        <v>0.72981499999999999</v>
      </c>
      <c r="BB231" s="55">
        <f t="shared" si="320"/>
        <v>0.65998199999999996</v>
      </c>
      <c r="BC231" s="55">
        <f t="shared" si="321"/>
        <v>0.22279599999999999</v>
      </c>
      <c r="BD231" s="55">
        <f t="shared" si="322"/>
        <v>8.8345000000000007E-2</v>
      </c>
      <c r="BE231" s="55">
        <f t="shared" si="323"/>
        <v>0.31037700000000001</v>
      </c>
      <c r="BF231" s="55">
        <f t="shared" si="324"/>
        <v>-0.64868899999999996</v>
      </c>
      <c r="BG231" s="55">
        <f t="shared" si="325"/>
        <v>-0.58344099999999999</v>
      </c>
      <c r="BH231" s="55">
        <f t="shared" si="326"/>
        <v>-0.49345800000000001</v>
      </c>
      <c r="BJ231" s="55">
        <f t="shared" si="392"/>
        <v>1.201147</v>
      </c>
      <c r="BK231" s="55">
        <f t="shared" si="392"/>
        <v>0.79544800000000004</v>
      </c>
      <c r="BL231" s="55">
        <f t="shared" si="392"/>
        <v>-0.347964</v>
      </c>
      <c r="BM231" s="55">
        <f t="shared" si="392"/>
        <v>0.64128600000000002</v>
      </c>
      <c r="BN231" s="55">
        <f t="shared" si="392"/>
        <v>-1.14191</v>
      </c>
      <c r="BO231" s="55">
        <f t="shared" si="392"/>
        <v>-0.75992899999999997</v>
      </c>
      <c r="BP231" s="55">
        <f t="shared" si="392"/>
        <v>-1.604358</v>
      </c>
      <c r="BQ231" s="55">
        <f t="shared" si="392"/>
        <v>0.857491</v>
      </c>
      <c r="BR231" s="55">
        <f t="shared" si="392"/>
        <v>-0.38516099999999998</v>
      </c>
      <c r="BS231" s="55">
        <f t="shared" si="392"/>
        <v>-0.71442099999999997</v>
      </c>
      <c r="BT231" s="55">
        <f t="shared" si="392"/>
        <v>0.24291399999999999</v>
      </c>
      <c r="BU231" s="55">
        <f t="shared" si="392"/>
        <v>0.67096800000000001</v>
      </c>
      <c r="BV231" s="55">
        <f t="shared" si="392"/>
        <v>-0.96941600000000006</v>
      </c>
      <c r="BW231" s="55">
        <f t="shared" si="392"/>
        <v>0.99116300000000002</v>
      </c>
      <c r="BX231" s="55">
        <f t="shared" si="392"/>
        <v>-0.74195800000000001</v>
      </c>
      <c r="BY231" s="55">
        <f t="shared" si="392"/>
        <v>-0.86413799999999996</v>
      </c>
      <c r="BZ231" s="55">
        <f t="shared" si="390"/>
        <v>0.40667399999999998</v>
      </c>
      <c r="CA231" s="55">
        <f t="shared" si="390"/>
        <v>-0.128631</v>
      </c>
      <c r="CB231" s="55">
        <f t="shared" si="390"/>
        <v>0.52541599999999999</v>
      </c>
      <c r="CC231" s="55">
        <f t="shared" si="390"/>
        <v>-0.70207799999999998</v>
      </c>
      <c r="CD231" s="55">
        <f t="shared" si="390"/>
        <v>0.44840099999999999</v>
      </c>
      <c r="CE231" s="55">
        <f t="shared" si="390"/>
        <v>0.16995399999999999</v>
      </c>
      <c r="CF231" s="55">
        <f t="shared" si="390"/>
        <v>-0.86248899999999995</v>
      </c>
      <c r="CG231" s="55">
        <f t="shared" si="390"/>
        <v>-0.22888700000000001</v>
      </c>
      <c r="CH231" s="55">
        <f t="shared" si="390"/>
        <v>0.45491999999999999</v>
      </c>
      <c r="CI231" s="55">
        <f t="shared" si="390"/>
        <v>-0.72645800000000005</v>
      </c>
      <c r="CJ231" s="55">
        <f t="shared" si="390"/>
        <v>1.391367</v>
      </c>
      <c r="CK231" s="55">
        <f t="shared" si="390"/>
        <v>9.3720000000000001E-3</v>
      </c>
      <c r="CL231" s="55">
        <f t="shared" si="390"/>
        <v>0.78249100000000005</v>
      </c>
      <c r="CM231" s="55">
        <f t="shared" si="390"/>
        <v>0.10928599999999999</v>
      </c>
      <c r="CN231" s="55">
        <f t="shared" si="390"/>
        <v>0.149314</v>
      </c>
      <c r="CO231" s="55">
        <f t="shared" si="391"/>
        <v>-0.14735699999999999</v>
      </c>
      <c r="CP231" s="55">
        <f t="shared" si="391"/>
        <v>-0.37022500000000003</v>
      </c>
      <c r="CQ231" s="55">
        <f t="shared" si="391"/>
        <v>0.68862100000000004</v>
      </c>
      <c r="CR231" s="55">
        <f t="shared" si="391"/>
        <v>0.116507</v>
      </c>
      <c r="CS231" s="55">
        <f t="shared" si="391"/>
        <v>0.70454499999999998</v>
      </c>
      <c r="CT231" s="55">
        <f t="shared" si="391"/>
        <v>0.25917099999999998</v>
      </c>
      <c r="CU231" s="55">
        <f t="shared" si="391"/>
        <v>0.58424699999999996</v>
      </c>
      <c r="CV231" s="55">
        <f t="shared" si="391"/>
        <v>0.43226199999999998</v>
      </c>
      <c r="CW231" s="55">
        <f t="shared" si="391"/>
        <v>0.38578699999999999</v>
      </c>
      <c r="CX231" s="55">
        <f t="shared" si="391"/>
        <v>1.4157839999999999</v>
      </c>
      <c r="CY231" s="55">
        <f t="shared" si="391"/>
        <v>0.87623600000000001</v>
      </c>
      <c r="CZ231" s="55">
        <f t="shared" si="391"/>
        <v>-3.2625000000000001E-2</v>
      </c>
      <c r="DA231" s="55">
        <f t="shared" si="391"/>
        <v>0.20579900000000001</v>
      </c>
      <c r="DB231" s="55">
        <f t="shared" si="391"/>
        <v>0.16142899999999999</v>
      </c>
      <c r="DC231" s="55">
        <f t="shared" si="391"/>
        <v>0.53557699999999997</v>
      </c>
      <c r="DD231" s="55">
        <f t="shared" si="391"/>
        <v>2.696E-3</v>
      </c>
      <c r="DE231" s="55">
        <f t="shared" si="389"/>
        <v>0.41212700000000002</v>
      </c>
      <c r="DF231" s="55">
        <f t="shared" si="389"/>
        <v>-9.1273000000000007E-2</v>
      </c>
      <c r="DG231" s="55">
        <f t="shared" si="389"/>
        <v>-9.8309999999999995E-2</v>
      </c>
      <c r="DI231" s="55">
        <f t="shared" ca="1" si="236"/>
        <v>1.6254040000000001</v>
      </c>
      <c r="DJ231" s="55">
        <f t="shared" ca="1" si="237"/>
        <v>-0.32974100000000001</v>
      </c>
      <c r="DK231" s="55">
        <f t="shared" ca="1" si="238"/>
        <v>-0.96115799999999996</v>
      </c>
      <c r="DL231" s="55">
        <f t="shared" ca="1" si="239"/>
        <v>-0.70081599999999999</v>
      </c>
      <c r="DM231" s="55">
        <f t="shared" ca="1" si="240"/>
        <v>-1.4411430000000001</v>
      </c>
      <c r="DN231" s="55">
        <f t="shared" ca="1" si="241"/>
        <v>-0.68226600000000004</v>
      </c>
      <c r="DO231" s="55">
        <f t="shared" ca="1" si="242"/>
        <v>-0.89169799999999999</v>
      </c>
      <c r="DP231" s="55">
        <f t="shared" ca="1" si="243"/>
        <v>0.85860499999999995</v>
      </c>
      <c r="DQ231" s="55">
        <f t="shared" ca="1" si="244"/>
        <v>-0.48549900000000001</v>
      </c>
      <c r="DR231" s="55">
        <f t="shared" ca="1" si="245"/>
        <v>0.76777899999999999</v>
      </c>
      <c r="DS231" s="55">
        <f t="shared" ca="1" si="246"/>
        <v>0.54898499999999995</v>
      </c>
      <c r="DT231" s="55">
        <f t="shared" ca="1" si="247"/>
        <v>-0.81550199999999995</v>
      </c>
      <c r="DU231" s="55">
        <f t="shared" ca="1" si="248"/>
        <v>-0.86378900000000003</v>
      </c>
      <c r="DV231" s="55">
        <f t="shared" ca="1" si="249"/>
        <v>0.79839000000000004</v>
      </c>
      <c r="DW231" s="55">
        <f t="shared" ca="1" si="250"/>
        <v>-0.55228100000000002</v>
      </c>
      <c r="DX231" s="55">
        <f t="shared" ca="1" si="251"/>
        <v>0.314245</v>
      </c>
      <c r="DY231" s="55">
        <f t="shared" ca="1" si="252"/>
        <v>-1.4318789999999999</v>
      </c>
      <c r="DZ231" s="55">
        <f t="shared" ca="1" si="253"/>
        <v>-0.92930100000000004</v>
      </c>
      <c r="EA231" s="55">
        <f t="shared" ca="1" si="254"/>
        <v>0.57114299999999996</v>
      </c>
      <c r="EB231" s="55">
        <f t="shared" ca="1" si="255"/>
        <v>-0.26586100000000001</v>
      </c>
      <c r="EC231" s="55">
        <f t="shared" ca="1" si="256"/>
        <v>0.451239</v>
      </c>
      <c r="ED231" s="55">
        <f t="shared" ca="1" si="257"/>
        <v>-0.236091</v>
      </c>
      <c r="EE231" s="55">
        <f t="shared" ca="1" si="258"/>
        <v>1.634371</v>
      </c>
      <c r="EF231" s="55">
        <f t="shared" ca="1" si="259"/>
        <v>8.8885000000000006E-2</v>
      </c>
      <c r="EG231" s="55">
        <f t="shared" ca="1" si="260"/>
        <v>-1.4460789999999999</v>
      </c>
      <c r="EH231" s="55">
        <f t="shared" ca="1" si="261"/>
        <v>0.106548</v>
      </c>
      <c r="EI231" s="55">
        <f t="shared" ca="1" si="262"/>
        <v>0.447882</v>
      </c>
      <c r="EJ231" s="55">
        <f t="shared" ca="1" si="263"/>
        <v>-0.80142199999999997</v>
      </c>
      <c r="EK231" s="55">
        <f t="shared" ca="1" si="264"/>
        <v>-0.182949</v>
      </c>
      <c r="EL231" s="55">
        <f t="shared" ca="1" si="265"/>
        <v>0.85319900000000004</v>
      </c>
      <c r="EM231" s="55">
        <f t="shared" ca="1" si="266"/>
        <v>0.76485499999999995</v>
      </c>
      <c r="EN231" s="55">
        <f t="shared" ca="1" si="267"/>
        <v>-1.4253290000000001</v>
      </c>
      <c r="EO231" s="55">
        <f t="shared" ca="1" si="268"/>
        <v>-0.37792199999999998</v>
      </c>
      <c r="EP231" s="55">
        <f t="shared" ca="1" si="269"/>
        <v>-0.102326</v>
      </c>
      <c r="EQ231" s="55">
        <f t="shared" ca="1" si="270"/>
        <v>0.76357299999999995</v>
      </c>
      <c r="ER231" s="55">
        <f t="shared" ca="1" si="271"/>
        <v>1.8122400000000001</v>
      </c>
      <c r="ES231" s="55">
        <f t="shared" ca="1" si="272"/>
        <v>7.0805000000000007E-2</v>
      </c>
      <c r="ET231" s="55">
        <f t="shared" ca="1" si="273"/>
        <v>-7.2219000000000005E-2</v>
      </c>
      <c r="EU231" s="55">
        <f t="shared" ca="1" si="274"/>
        <v>0.31185000000000002</v>
      </c>
      <c r="EV231" s="55">
        <f t="shared" ca="1" si="275"/>
        <v>-0.25651600000000002</v>
      </c>
      <c r="EW231" s="55">
        <f t="shared" ca="1" si="276"/>
        <v>-0.31519399999999997</v>
      </c>
      <c r="EX231" s="55">
        <f t="shared" ca="1" si="277"/>
        <v>6.9620000000000003E-3</v>
      </c>
      <c r="EY231" s="55">
        <f t="shared" ca="1" si="278"/>
        <v>0.72981499999999999</v>
      </c>
      <c r="EZ231" s="55">
        <f t="shared" ca="1" si="279"/>
        <v>0.65998199999999996</v>
      </c>
      <c r="FA231" s="55">
        <f t="shared" ca="1" si="280"/>
        <v>0.22279599999999999</v>
      </c>
      <c r="FB231" s="55">
        <f t="shared" ca="1" si="281"/>
        <v>8.8345000000000007E-2</v>
      </c>
      <c r="FC231" s="55">
        <f t="shared" ca="1" si="282"/>
        <v>0.31037700000000001</v>
      </c>
      <c r="FD231" s="55">
        <f t="shared" ca="1" si="283"/>
        <v>-0.64868899999999996</v>
      </c>
      <c r="FE231" s="55">
        <f t="shared" ca="1" si="284"/>
        <v>-0.58344099999999999</v>
      </c>
      <c r="FF231" s="55">
        <f t="shared" ca="1" si="285"/>
        <v>-0.49345800000000001</v>
      </c>
      <c r="FH231" s="55">
        <f t="shared" ca="1" si="286"/>
        <v>0</v>
      </c>
      <c r="FI231" s="55">
        <f t="shared" ca="1" si="379"/>
        <v>0</v>
      </c>
      <c r="FJ231" s="55">
        <f t="shared" ca="1" si="380"/>
        <v>0</v>
      </c>
      <c r="FK231" s="55">
        <f t="shared" ca="1" si="381"/>
        <v>0</v>
      </c>
      <c r="FL231" s="55">
        <f t="shared" ca="1" si="382"/>
        <v>0</v>
      </c>
      <c r="FM231" s="55">
        <f t="shared" ca="1" si="383"/>
        <v>0</v>
      </c>
      <c r="FN231" s="55">
        <f t="shared" ca="1" si="384"/>
        <v>0</v>
      </c>
      <c r="FO231" s="55">
        <f t="shared" ca="1" si="385"/>
        <v>0</v>
      </c>
      <c r="FP231" s="55">
        <f t="shared" ca="1" si="386"/>
        <v>0</v>
      </c>
      <c r="FQ231" s="55">
        <f t="shared" ca="1" si="387"/>
        <v>0</v>
      </c>
      <c r="FR231" s="55">
        <f t="shared" ca="1" si="388"/>
        <v>0</v>
      </c>
      <c r="FS231" s="55">
        <f t="shared" ca="1" si="329"/>
        <v>0</v>
      </c>
      <c r="FT231" s="55">
        <f t="shared" ca="1" si="330"/>
        <v>0</v>
      </c>
      <c r="FU231" s="55">
        <f t="shared" ca="1" si="331"/>
        <v>0</v>
      </c>
      <c r="FV231" s="55">
        <f t="shared" ca="1" si="332"/>
        <v>0</v>
      </c>
      <c r="FW231" s="55">
        <f t="shared" ca="1" si="333"/>
        <v>0</v>
      </c>
      <c r="FX231" s="55">
        <f t="shared" ca="1" si="334"/>
        <v>0</v>
      </c>
      <c r="FY231" s="55">
        <f t="shared" ca="1" si="335"/>
        <v>0</v>
      </c>
      <c r="FZ231" s="55">
        <f t="shared" ca="1" si="336"/>
        <v>0</v>
      </c>
      <c r="GA231" s="55">
        <f t="shared" ca="1" si="337"/>
        <v>0</v>
      </c>
      <c r="GB231" s="55">
        <f t="shared" ca="1" si="338"/>
        <v>0</v>
      </c>
      <c r="GC231" s="55">
        <f t="shared" ca="1" si="339"/>
        <v>0</v>
      </c>
      <c r="GD231" s="55">
        <f t="shared" ca="1" si="340"/>
        <v>0</v>
      </c>
      <c r="GE231" s="55">
        <f t="shared" ca="1" si="341"/>
        <v>0</v>
      </c>
      <c r="GF231" s="55">
        <f t="shared" ca="1" si="342"/>
        <v>0</v>
      </c>
      <c r="GG231" s="55">
        <f t="shared" ca="1" si="343"/>
        <v>0</v>
      </c>
      <c r="GH231" s="55">
        <f t="shared" ca="1" si="344"/>
        <v>0</v>
      </c>
      <c r="GI231" s="55">
        <f t="shared" ca="1" si="345"/>
        <v>0</v>
      </c>
      <c r="GJ231" s="55">
        <f t="shared" ca="1" si="346"/>
        <v>0</v>
      </c>
      <c r="GK231" s="55">
        <f t="shared" ca="1" si="347"/>
        <v>0</v>
      </c>
      <c r="GL231" s="55">
        <f t="shared" ca="1" si="348"/>
        <v>0</v>
      </c>
      <c r="GM231" s="55">
        <f t="shared" ca="1" si="349"/>
        <v>0</v>
      </c>
      <c r="GN231" s="55">
        <f t="shared" ca="1" si="350"/>
        <v>0</v>
      </c>
      <c r="GO231" s="55">
        <f t="shared" ca="1" si="351"/>
        <v>0</v>
      </c>
      <c r="GP231" s="55">
        <f t="shared" ca="1" si="352"/>
        <v>0</v>
      </c>
      <c r="GQ231" s="55">
        <f t="shared" ca="1" si="353"/>
        <v>0</v>
      </c>
      <c r="GR231" s="55">
        <f t="shared" ca="1" si="354"/>
        <v>0</v>
      </c>
      <c r="GS231" s="55">
        <f t="shared" ca="1" si="355"/>
        <v>0</v>
      </c>
      <c r="GT231" s="55">
        <f t="shared" ca="1" si="356"/>
        <v>0</v>
      </c>
      <c r="GU231" s="55">
        <f t="shared" ca="1" si="357"/>
        <v>0</v>
      </c>
      <c r="GV231" s="55">
        <f t="shared" ca="1" si="358"/>
        <v>0</v>
      </c>
      <c r="GW231" s="55">
        <f t="shared" ca="1" si="359"/>
        <v>0</v>
      </c>
      <c r="GX231" s="55">
        <f t="shared" ca="1" si="360"/>
        <v>0</v>
      </c>
      <c r="GY231" s="55">
        <f t="shared" ca="1" si="361"/>
        <v>0</v>
      </c>
      <c r="GZ231" s="55">
        <f t="shared" ca="1" si="362"/>
        <v>0</v>
      </c>
      <c r="HA231" s="55">
        <f t="shared" ca="1" si="363"/>
        <v>0</v>
      </c>
      <c r="HB231" s="55">
        <f t="shared" ca="1" si="364"/>
        <v>0</v>
      </c>
      <c r="HC231" s="55">
        <f t="shared" ca="1" si="365"/>
        <v>0</v>
      </c>
      <c r="HD231" s="55">
        <f t="shared" ca="1" si="366"/>
        <v>0</v>
      </c>
      <c r="HE231" s="55">
        <f t="shared" ca="1" si="367"/>
        <v>0</v>
      </c>
    </row>
    <row r="232" spans="1:213">
      <c r="A232" s="27">
        <v>95</v>
      </c>
      <c r="B232" s="27">
        <v>93</v>
      </c>
      <c r="C232" s="27">
        <v>8.4361000000000005E-2</v>
      </c>
      <c r="D232" s="27">
        <v>9.2229000000000005E-2</v>
      </c>
      <c r="E232" s="27">
        <v>5</v>
      </c>
      <c r="F232" s="27">
        <f t="shared" ca="1" si="231"/>
        <v>41</v>
      </c>
      <c r="G232" s="27">
        <f t="shared" si="230"/>
        <v>0</v>
      </c>
      <c r="H232" s="27" t="str">
        <f t="shared" si="232"/>
        <v>Sim</v>
      </c>
      <c r="I232" s="27">
        <f t="shared" si="233"/>
        <v>0</v>
      </c>
      <c r="J232" s="37">
        <f t="shared" si="234"/>
        <v>1</v>
      </c>
      <c r="K232" s="55">
        <f t="shared" si="235"/>
        <v>0.57696199999999997</v>
      </c>
      <c r="L232" s="55">
        <f t="shared" si="368"/>
        <v>-1.4874590000000001</v>
      </c>
      <c r="M232" s="55">
        <f t="shared" si="369"/>
        <v>0.952291</v>
      </c>
      <c r="N232" s="55">
        <f t="shared" si="370"/>
        <v>0.77326700000000004</v>
      </c>
      <c r="O232" s="55">
        <f t="shared" si="371"/>
        <v>0.68866700000000003</v>
      </c>
      <c r="P232" s="55">
        <f t="shared" si="372"/>
        <v>1.7243740000000001</v>
      </c>
      <c r="Q232" s="55">
        <f t="shared" si="373"/>
        <v>0.71753599999999995</v>
      </c>
      <c r="R232" s="55">
        <f t="shared" si="374"/>
        <v>-0.16437399999999999</v>
      </c>
      <c r="S232" s="55">
        <f t="shared" si="375"/>
        <v>-0.93447999999999998</v>
      </c>
      <c r="T232" s="55">
        <f t="shared" si="376"/>
        <v>0.85742600000000002</v>
      </c>
      <c r="U232" s="55">
        <f t="shared" si="377"/>
        <v>0.73014000000000001</v>
      </c>
      <c r="V232" s="55">
        <f t="shared" si="288"/>
        <v>-0.70085299999999995</v>
      </c>
      <c r="W232" s="55">
        <f t="shared" si="289"/>
        <v>-0.52315500000000004</v>
      </c>
      <c r="X232" s="55">
        <f t="shared" si="290"/>
        <v>0.13569300000000001</v>
      </c>
      <c r="Y232" s="55">
        <f t="shared" si="291"/>
        <v>0.29335800000000001</v>
      </c>
      <c r="Z232" s="55">
        <f t="shared" si="292"/>
        <v>0.14247599999999999</v>
      </c>
      <c r="AA232" s="55">
        <f t="shared" si="293"/>
        <v>-1.601702</v>
      </c>
      <c r="AB232" s="55">
        <f t="shared" si="294"/>
        <v>0.20288600000000001</v>
      </c>
      <c r="AC232" s="55">
        <f t="shared" si="295"/>
        <v>-7.2257000000000002E-2</v>
      </c>
      <c r="AD232" s="55">
        <f t="shared" si="296"/>
        <v>-0.57675200000000004</v>
      </c>
      <c r="AE232" s="55">
        <f t="shared" si="297"/>
        <v>-0.76120500000000002</v>
      </c>
      <c r="AF232" s="55">
        <f t="shared" si="298"/>
        <v>0.44364799999999999</v>
      </c>
      <c r="AG232" s="55">
        <f t="shared" si="299"/>
        <v>-0.96713899999999997</v>
      </c>
      <c r="AH232" s="55">
        <f t="shared" si="300"/>
        <v>-0.476827</v>
      </c>
      <c r="AI232" s="55">
        <f t="shared" si="301"/>
        <v>0.82053100000000001</v>
      </c>
      <c r="AJ232" s="55">
        <f t="shared" si="302"/>
        <v>0.50718799999999997</v>
      </c>
      <c r="AK232" s="55">
        <f t="shared" si="303"/>
        <v>0.67582600000000004</v>
      </c>
      <c r="AL232" s="55">
        <f t="shared" si="304"/>
        <v>-0.82073300000000005</v>
      </c>
      <c r="AM232" s="55">
        <f t="shared" si="305"/>
        <v>-0.12155100000000001</v>
      </c>
      <c r="AN232" s="55">
        <f t="shared" si="306"/>
        <v>-0.88685800000000004</v>
      </c>
      <c r="AO232" s="55">
        <f t="shared" si="307"/>
        <v>0.95257199999999997</v>
      </c>
      <c r="AP232" s="55">
        <f t="shared" si="308"/>
        <v>-0.26838699999999999</v>
      </c>
      <c r="AQ232" s="55">
        <f t="shared" si="309"/>
        <v>-0.74785000000000001</v>
      </c>
      <c r="AR232" s="55">
        <f t="shared" si="310"/>
        <v>-0.24892</v>
      </c>
      <c r="AS232" s="55">
        <f t="shared" si="311"/>
        <v>1.508637</v>
      </c>
      <c r="AT232" s="55">
        <f t="shared" si="312"/>
        <v>-0.489956</v>
      </c>
      <c r="AU232" s="55">
        <f t="shared" si="313"/>
        <v>-0.17260800000000001</v>
      </c>
      <c r="AV232" s="55">
        <f t="shared" si="314"/>
        <v>0.88971900000000004</v>
      </c>
      <c r="AW232" s="55">
        <f t="shared" si="315"/>
        <v>-0.54454499999999995</v>
      </c>
      <c r="AX232" s="55">
        <f t="shared" si="316"/>
        <v>-0.20375699999999999</v>
      </c>
      <c r="AY232" s="55">
        <f t="shared" si="317"/>
        <v>5.0379999999999999E-3</v>
      </c>
      <c r="AZ232" s="55">
        <f t="shared" si="318"/>
        <v>-0.27812399999999998</v>
      </c>
      <c r="BA232" s="55">
        <f t="shared" si="319"/>
        <v>0.50661299999999998</v>
      </c>
      <c r="BB232" s="55">
        <f t="shared" si="320"/>
        <v>-0.91919600000000001</v>
      </c>
      <c r="BC232" s="55">
        <f t="shared" si="321"/>
        <v>-0.54686199999999996</v>
      </c>
      <c r="BD232" s="55">
        <f t="shared" si="322"/>
        <v>-0.19409399999999999</v>
      </c>
      <c r="BE232" s="55">
        <f t="shared" si="323"/>
        <v>-0.57920000000000005</v>
      </c>
      <c r="BF232" s="55">
        <f t="shared" si="324"/>
        <v>0.247589</v>
      </c>
      <c r="BG232" s="55">
        <f t="shared" si="325"/>
        <v>1.1391500000000001</v>
      </c>
      <c r="BH232" s="55">
        <f t="shared" si="326"/>
        <v>0.30823800000000001</v>
      </c>
      <c r="BJ232" s="55">
        <f t="shared" si="392"/>
        <v>-0.26093499999999997</v>
      </c>
      <c r="BK232" s="55">
        <f t="shared" si="392"/>
        <v>0.79002799999999995</v>
      </c>
      <c r="BL232" s="55">
        <f t="shared" si="392"/>
        <v>-2.0379999999999999E-2</v>
      </c>
      <c r="BM232" s="55">
        <f t="shared" si="392"/>
        <v>1.2761089999999999</v>
      </c>
      <c r="BN232" s="55">
        <f t="shared" si="392"/>
        <v>-0.45896700000000001</v>
      </c>
      <c r="BO232" s="55">
        <f t="shared" si="392"/>
        <v>0.61991799999999997</v>
      </c>
      <c r="BP232" s="55">
        <f t="shared" si="392"/>
        <v>1.3424970000000001</v>
      </c>
      <c r="BQ232" s="55">
        <f t="shared" si="392"/>
        <v>-0.191992</v>
      </c>
      <c r="BR232" s="55">
        <f t="shared" si="392"/>
        <v>-0.57312300000000005</v>
      </c>
      <c r="BS232" s="55">
        <f t="shared" si="392"/>
        <v>-0.59387599999999996</v>
      </c>
      <c r="BT232" s="55">
        <f t="shared" si="392"/>
        <v>0.39508100000000002</v>
      </c>
      <c r="BU232" s="55">
        <f t="shared" si="392"/>
        <v>-0.29557899999999998</v>
      </c>
      <c r="BV232" s="55">
        <f t="shared" si="392"/>
        <v>-1.2123299999999999</v>
      </c>
      <c r="BW232" s="55">
        <f t="shared" si="392"/>
        <v>0.53608199999999995</v>
      </c>
      <c r="BX232" s="55">
        <f t="shared" si="392"/>
        <v>0.43825799999999998</v>
      </c>
      <c r="BY232" s="55">
        <f t="shared" si="392"/>
        <v>-1.0462629999999999</v>
      </c>
      <c r="BZ232" s="55">
        <f t="shared" si="390"/>
        <v>-0.92386999999999997</v>
      </c>
      <c r="CA232" s="55">
        <f t="shared" si="390"/>
        <v>-0.32855600000000001</v>
      </c>
      <c r="CB232" s="55">
        <f t="shared" si="390"/>
        <v>0.79715599999999998</v>
      </c>
      <c r="CC232" s="55">
        <f t="shared" si="390"/>
        <v>-0.18821499999999999</v>
      </c>
      <c r="CD232" s="55">
        <f t="shared" si="390"/>
        <v>-0.87919400000000003</v>
      </c>
      <c r="CE232" s="55">
        <f t="shared" si="390"/>
        <v>0.84435099999999996</v>
      </c>
      <c r="CF232" s="55">
        <f t="shared" si="390"/>
        <v>0.41101399999999999</v>
      </c>
      <c r="CG232" s="55">
        <f t="shared" si="390"/>
        <v>0.83720799999999995</v>
      </c>
      <c r="CH232" s="55">
        <f t="shared" si="390"/>
        <v>-0.17442299999999999</v>
      </c>
      <c r="CI232" s="55">
        <f t="shared" si="390"/>
        <v>8.8509999999999995E-3</v>
      </c>
      <c r="CJ232" s="55">
        <f t="shared" si="390"/>
        <v>0.275868</v>
      </c>
      <c r="CK232" s="55">
        <f t="shared" si="390"/>
        <v>1.348231</v>
      </c>
      <c r="CL232" s="55">
        <f t="shared" si="390"/>
        <v>0.35782199999999997</v>
      </c>
      <c r="CM232" s="55">
        <f t="shared" si="390"/>
        <v>-0.22400200000000001</v>
      </c>
      <c r="CN232" s="55">
        <f t="shared" si="390"/>
        <v>0.19275999999999999</v>
      </c>
      <c r="CO232" s="55">
        <f t="shared" si="391"/>
        <v>-0.74942500000000001</v>
      </c>
      <c r="CP232" s="55">
        <f t="shared" si="391"/>
        <v>0.40764099999999998</v>
      </c>
      <c r="CQ232" s="55">
        <f t="shared" si="391"/>
        <v>-0.98532500000000001</v>
      </c>
      <c r="CR232" s="55">
        <f t="shared" si="391"/>
        <v>-0.25914599999999999</v>
      </c>
      <c r="CS232" s="55">
        <f t="shared" si="391"/>
        <v>8.0591999999999997E-2</v>
      </c>
      <c r="CT232" s="55">
        <f t="shared" si="391"/>
        <v>0.10335999999999999</v>
      </c>
      <c r="CU232" s="55">
        <f t="shared" si="391"/>
        <v>-0.26106299999999999</v>
      </c>
      <c r="CV232" s="55">
        <f t="shared" si="391"/>
        <v>2.9864000000000002E-2</v>
      </c>
      <c r="CW232" s="55">
        <f t="shared" si="391"/>
        <v>-0.54261499999999996</v>
      </c>
      <c r="CX232" s="55">
        <f t="shared" si="391"/>
        <v>-0.50171699999999997</v>
      </c>
      <c r="CY232" s="55">
        <f t="shared" si="391"/>
        <v>-1.11639</v>
      </c>
      <c r="CZ232" s="55">
        <f t="shared" si="391"/>
        <v>-2.0365999999999999E-2</v>
      </c>
      <c r="DA232" s="55">
        <f t="shared" si="391"/>
        <v>-0.60032099999999999</v>
      </c>
      <c r="DB232" s="55">
        <f t="shared" si="391"/>
        <v>-7.0127999999999996E-2</v>
      </c>
      <c r="DC232" s="55">
        <f t="shared" si="391"/>
        <v>-0.63070599999999999</v>
      </c>
      <c r="DD232" s="55">
        <f t="shared" si="391"/>
        <v>8.1457000000000002E-2</v>
      </c>
      <c r="DE232" s="55">
        <f t="shared" si="389"/>
        <v>-0.582561</v>
      </c>
      <c r="DF232" s="55">
        <f t="shared" si="389"/>
        <v>-0.51460499999999998</v>
      </c>
      <c r="DG232" s="55">
        <f t="shared" si="389"/>
        <v>-1.1069009999999999</v>
      </c>
      <c r="DI232" s="55">
        <f t="shared" ca="1" si="236"/>
        <v>0.57696199999999997</v>
      </c>
      <c r="DJ232" s="55">
        <f t="shared" ca="1" si="237"/>
        <v>-1.4874590000000001</v>
      </c>
      <c r="DK232" s="55">
        <f t="shared" ca="1" si="238"/>
        <v>0.952291</v>
      </c>
      <c r="DL232" s="55">
        <f t="shared" ca="1" si="239"/>
        <v>0.77326700000000004</v>
      </c>
      <c r="DM232" s="55">
        <f t="shared" ca="1" si="240"/>
        <v>0.68866700000000003</v>
      </c>
      <c r="DN232" s="55">
        <f t="shared" ca="1" si="241"/>
        <v>0.72178087242400002</v>
      </c>
      <c r="DO232" s="55">
        <f t="shared" ca="1" si="242"/>
        <v>1.2848574719310002</v>
      </c>
      <c r="DP232" s="55">
        <f t="shared" ca="1" si="243"/>
        <v>-0.18944481947800001</v>
      </c>
      <c r="DQ232" s="55">
        <f t="shared" ca="1" si="244"/>
        <v>-0.60645059475300001</v>
      </c>
      <c r="DR232" s="55">
        <f t="shared" ca="1" si="245"/>
        <v>-0.46002386784199994</v>
      </c>
      <c r="DS232" s="55">
        <f t="shared" ca="1" si="246"/>
        <v>0.42598315651100005</v>
      </c>
      <c r="DT232" s="55">
        <f t="shared" ca="1" si="247"/>
        <v>-0.33295701574600001</v>
      </c>
      <c r="DU232" s="55">
        <f t="shared" ca="1" si="248"/>
        <v>-1.1487680789249999</v>
      </c>
      <c r="DV232" s="55">
        <f t="shared" ca="1" si="249"/>
        <v>0.49915452291899998</v>
      </c>
      <c r="DW232" s="55">
        <f t="shared" ca="1" si="250"/>
        <v>0.42489401789999998</v>
      </c>
      <c r="DX232" s="55">
        <f t="shared" ca="1" si="251"/>
        <v>-0.93662679076899991</v>
      </c>
      <c r="DY232" s="55">
        <f t="shared" ca="1" si="252"/>
        <v>-0.986385767528</v>
      </c>
      <c r="DZ232" s="55">
        <f t="shared" ca="1" si="253"/>
        <v>-0.27954163578200003</v>
      </c>
      <c r="EA232" s="55">
        <f t="shared" ca="1" si="254"/>
        <v>0.71697090842300004</v>
      </c>
      <c r="EB232" s="55">
        <f t="shared" ca="1" si="255"/>
        <v>-0.22404937897299998</v>
      </c>
      <c r="EC232" s="55">
        <f t="shared" ca="1" si="256"/>
        <v>-0.86831199251900004</v>
      </c>
      <c r="ED232" s="55">
        <f t="shared" ca="1" si="257"/>
        <v>0.80739456301299994</v>
      </c>
      <c r="EE232" s="55">
        <f t="shared" ca="1" si="258"/>
        <v>0.28390832696299995</v>
      </c>
      <c r="EF232" s="55">
        <f t="shared" ca="1" si="259"/>
        <v>0.716015865985</v>
      </c>
      <c r="EG232" s="55">
        <f t="shared" ca="1" si="260"/>
        <v>-8.2659387533999984E-2</v>
      </c>
      <c r="EH232" s="55">
        <f t="shared" ca="1" si="261"/>
        <v>5.4812123172999994E-2</v>
      </c>
      <c r="EI232" s="55">
        <f t="shared" ca="1" si="262"/>
        <v>0.312755726382</v>
      </c>
      <c r="EJ232" s="55">
        <f t="shared" ca="1" si="263"/>
        <v>1.148189619244</v>
      </c>
      <c r="EK232" s="55">
        <f t="shared" ca="1" si="264"/>
        <v>0.31360990758299995</v>
      </c>
      <c r="EL232" s="55">
        <f t="shared" ca="1" si="265"/>
        <v>-0.28513654602400001</v>
      </c>
      <c r="EM232" s="55">
        <f t="shared" ca="1" si="266"/>
        <v>0.26283670094799999</v>
      </c>
      <c r="EN232" s="55">
        <f t="shared" ca="1" si="267"/>
        <v>-0.70505934629799993</v>
      </c>
      <c r="EO232" s="55">
        <f t="shared" ca="1" si="268"/>
        <v>0.30107122056099994</v>
      </c>
      <c r="EP232" s="55">
        <f t="shared" ca="1" si="269"/>
        <v>-0.91740710325499997</v>
      </c>
      <c r="EQ232" s="55">
        <f t="shared" ca="1" si="270"/>
        <v>-9.6105141692999996E-2</v>
      </c>
      <c r="ER232" s="55">
        <f t="shared" ca="1" si="271"/>
        <v>2.7970928507999988E-2</v>
      </c>
      <c r="ES232" s="55">
        <f t="shared" ca="1" si="272"/>
        <v>7.7907747328000002E-2</v>
      </c>
      <c r="ET232" s="55">
        <f t="shared" ca="1" si="273"/>
        <v>-0.15492752692199996</v>
      </c>
      <c r="EU232" s="55">
        <f t="shared" ca="1" si="274"/>
        <v>-2.3113167660999995E-2</v>
      </c>
      <c r="EV232" s="55">
        <f t="shared" ca="1" si="275"/>
        <v>-0.51136246551800002</v>
      </c>
      <c r="EW232" s="55">
        <f t="shared" ca="1" si="276"/>
        <v>-0.45497949310499997</v>
      </c>
      <c r="EX232" s="55">
        <f t="shared" ca="1" si="277"/>
        <v>-0.27812399999999998</v>
      </c>
      <c r="EY232" s="55">
        <f t="shared" ca="1" si="278"/>
        <v>0.50661299999999998</v>
      </c>
      <c r="EZ232" s="55">
        <f t="shared" ca="1" si="279"/>
        <v>-0.91919600000000001</v>
      </c>
      <c r="FA232" s="55">
        <f t="shared" ca="1" si="280"/>
        <v>-0.54686199999999996</v>
      </c>
      <c r="FB232" s="55">
        <f t="shared" ca="1" si="281"/>
        <v>-0.19409399999999999</v>
      </c>
      <c r="FC232" s="55">
        <f t="shared" ca="1" si="282"/>
        <v>-0.57920000000000005</v>
      </c>
      <c r="FD232" s="55">
        <f t="shared" ca="1" si="283"/>
        <v>0.247589</v>
      </c>
      <c r="FE232" s="55">
        <f t="shared" ca="1" si="284"/>
        <v>1.1391500000000001</v>
      </c>
      <c r="FF232" s="55">
        <f t="shared" ca="1" si="285"/>
        <v>0.30823800000000001</v>
      </c>
      <c r="FH232" s="55">
        <f t="shared" ca="1" si="286"/>
        <v>0</v>
      </c>
      <c r="FI232" s="55">
        <f t="shared" ca="1" si="379"/>
        <v>0</v>
      </c>
      <c r="FJ232" s="55">
        <f t="shared" ca="1" si="380"/>
        <v>0</v>
      </c>
      <c r="FK232" s="55">
        <f t="shared" ca="1" si="381"/>
        <v>0</v>
      </c>
      <c r="FL232" s="55">
        <f t="shared" ca="1" si="382"/>
        <v>0</v>
      </c>
      <c r="FM232" s="55">
        <f t="shared" ca="1" si="383"/>
        <v>-1.0025931275760001</v>
      </c>
      <c r="FN232" s="55">
        <f t="shared" ca="1" si="384"/>
        <v>0.56732147193100024</v>
      </c>
      <c r="FO232" s="55">
        <f t="shared" ca="1" si="385"/>
        <v>-2.5070819478000023E-2</v>
      </c>
      <c r="FP232" s="55">
        <f t="shared" ca="1" si="386"/>
        <v>0.32802940524699997</v>
      </c>
      <c r="FQ232" s="55">
        <f t="shared" ca="1" si="387"/>
        <v>-1.3174498678419999</v>
      </c>
      <c r="FR232" s="55">
        <f t="shared" ca="1" si="388"/>
        <v>-0.30415684348899996</v>
      </c>
      <c r="FS232" s="55">
        <f t="shared" ca="1" si="329"/>
        <v>0.36789598425399994</v>
      </c>
      <c r="FT232" s="55">
        <f t="shared" ca="1" si="330"/>
        <v>-0.62561307892499984</v>
      </c>
      <c r="FU232" s="55">
        <f t="shared" ca="1" si="331"/>
        <v>0.36346152291899997</v>
      </c>
      <c r="FV232" s="55">
        <f t="shared" ca="1" si="332"/>
        <v>0.13153601789999997</v>
      </c>
      <c r="FW232" s="55">
        <f t="shared" ca="1" si="333"/>
        <v>-1.0791027907689998</v>
      </c>
      <c r="FX232" s="55">
        <f t="shared" ca="1" si="334"/>
        <v>0.61531623247199996</v>
      </c>
      <c r="FY232" s="55">
        <f t="shared" ca="1" si="335"/>
        <v>-0.48242763578200004</v>
      </c>
      <c r="FZ232" s="55">
        <f t="shared" ca="1" si="336"/>
        <v>0.78922790842300006</v>
      </c>
      <c r="GA232" s="55">
        <f t="shared" ca="1" si="337"/>
        <v>0.35270262102700006</v>
      </c>
      <c r="GB232" s="55">
        <f t="shared" ca="1" si="338"/>
        <v>-0.10710699251900002</v>
      </c>
      <c r="GC232" s="55">
        <f t="shared" ca="1" si="339"/>
        <v>0.36374656301299996</v>
      </c>
      <c r="GD232" s="55">
        <f t="shared" ca="1" si="340"/>
        <v>1.251047326963</v>
      </c>
      <c r="GE232" s="55">
        <f t="shared" ca="1" si="341"/>
        <v>1.1928428659849999</v>
      </c>
      <c r="GF232" s="55">
        <f t="shared" ca="1" si="342"/>
        <v>-0.90319038753399994</v>
      </c>
      <c r="GG232" s="55">
        <f t="shared" ca="1" si="343"/>
        <v>-0.45237587682699998</v>
      </c>
      <c r="GH232" s="55">
        <f t="shared" ca="1" si="344"/>
        <v>-0.36307027361800004</v>
      </c>
      <c r="GI232" s="55">
        <f t="shared" ca="1" si="345"/>
        <v>1.9689226192440001</v>
      </c>
      <c r="GJ232" s="55">
        <f t="shared" ca="1" si="346"/>
        <v>0.43516090758299997</v>
      </c>
      <c r="GK232" s="55">
        <f t="shared" ca="1" si="347"/>
        <v>0.60172145397600008</v>
      </c>
      <c r="GL232" s="55">
        <f t="shared" ca="1" si="348"/>
        <v>-0.68973529905200004</v>
      </c>
      <c r="GM232" s="55">
        <f t="shared" ca="1" si="349"/>
        <v>-0.43667234629799995</v>
      </c>
      <c r="GN232" s="55">
        <f t="shared" ca="1" si="350"/>
        <v>1.0489212205609999</v>
      </c>
      <c r="GO232" s="55">
        <f t="shared" ca="1" si="351"/>
        <v>-0.66848710325499994</v>
      </c>
      <c r="GP232" s="55">
        <f t="shared" ca="1" si="352"/>
        <v>-1.6047421416929999</v>
      </c>
      <c r="GQ232" s="55">
        <f t="shared" ca="1" si="353"/>
        <v>0.51792692850800004</v>
      </c>
      <c r="GR232" s="55">
        <f t="shared" ca="1" si="354"/>
        <v>0.25051574732800003</v>
      </c>
      <c r="GS232" s="55">
        <f t="shared" ca="1" si="355"/>
        <v>-1.044646526922</v>
      </c>
      <c r="GT232" s="55">
        <f t="shared" ca="1" si="356"/>
        <v>0.52143183233899992</v>
      </c>
      <c r="GU232" s="55">
        <f t="shared" ca="1" si="357"/>
        <v>-0.30760546551800005</v>
      </c>
      <c r="GV232" s="55">
        <f t="shared" ca="1" si="358"/>
        <v>-0.46001749310499995</v>
      </c>
      <c r="GW232" s="55">
        <f t="shared" ca="1" si="359"/>
        <v>0</v>
      </c>
      <c r="GX232" s="55">
        <f t="shared" ca="1" si="360"/>
        <v>0</v>
      </c>
      <c r="GY232" s="55">
        <f t="shared" ca="1" si="361"/>
        <v>0</v>
      </c>
      <c r="GZ232" s="55">
        <f t="shared" ca="1" si="362"/>
        <v>0</v>
      </c>
      <c r="HA232" s="55">
        <f t="shared" ca="1" si="363"/>
        <v>0</v>
      </c>
      <c r="HB232" s="55">
        <f t="shared" ca="1" si="364"/>
        <v>0</v>
      </c>
      <c r="HC232" s="55">
        <f t="shared" ca="1" si="365"/>
        <v>0</v>
      </c>
      <c r="HD232" s="55">
        <f t="shared" ca="1" si="366"/>
        <v>0</v>
      </c>
      <c r="HE232" s="55">
        <f t="shared" ca="1" si="367"/>
        <v>0</v>
      </c>
    </row>
    <row r="233" spans="1:213">
      <c r="A233" s="27">
        <v>96</v>
      </c>
      <c r="B233" s="27">
        <v>88</v>
      </c>
      <c r="C233" s="27">
        <v>0.330849</v>
      </c>
      <c r="D233" s="27">
        <v>0.99825299999999995</v>
      </c>
      <c r="E233" s="27">
        <v>21</v>
      </c>
      <c r="F233" s="27">
        <f t="shared" ca="1" si="231"/>
        <v>22</v>
      </c>
      <c r="G233" s="27">
        <f t="shared" si="230"/>
        <v>0</v>
      </c>
      <c r="H233" s="27" t="str">
        <f t="shared" si="232"/>
        <v>Sim</v>
      </c>
      <c r="I233" s="27">
        <f t="shared" si="233"/>
        <v>0</v>
      </c>
      <c r="J233" s="37">
        <f t="shared" si="234"/>
        <v>1</v>
      </c>
      <c r="K233" s="55">
        <f t="shared" si="235"/>
        <v>1.0107900000000001</v>
      </c>
      <c r="L233" s="55">
        <f t="shared" si="368"/>
        <v>-0.88376999999999994</v>
      </c>
      <c r="M233" s="55">
        <f t="shared" si="369"/>
        <v>-0.74157600000000001</v>
      </c>
      <c r="N233" s="55">
        <f t="shared" si="370"/>
        <v>-0.76297199999999998</v>
      </c>
      <c r="O233" s="55">
        <f t="shared" si="371"/>
        <v>-0.84866399999999997</v>
      </c>
      <c r="P233" s="55">
        <f t="shared" si="372"/>
        <v>0.29241699999999998</v>
      </c>
      <c r="Q233" s="55">
        <f t="shared" si="373"/>
        <v>-0.57423900000000005</v>
      </c>
      <c r="R233" s="55">
        <f t="shared" si="374"/>
        <v>0.78362399999999999</v>
      </c>
      <c r="S233" s="55">
        <f t="shared" si="375"/>
        <v>0.84691899999999998</v>
      </c>
      <c r="T233" s="55">
        <f t="shared" si="376"/>
        <v>0.54095300000000002</v>
      </c>
      <c r="U233" s="55">
        <f t="shared" si="377"/>
        <v>-1.2010559999999999</v>
      </c>
      <c r="V233" s="55">
        <f t="shared" si="288"/>
        <v>0.90051000000000003</v>
      </c>
      <c r="W233" s="55">
        <f t="shared" si="289"/>
        <v>0.25661400000000001</v>
      </c>
      <c r="X233" s="55">
        <f t="shared" si="290"/>
        <v>-7.8424999999999995E-2</v>
      </c>
      <c r="Y233" s="55">
        <f t="shared" si="291"/>
        <v>0.83231200000000005</v>
      </c>
      <c r="Z233" s="55">
        <f t="shared" si="292"/>
        <v>-0.28163100000000002</v>
      </c>
      <c r="AA233" s="55">
        <f t="shared" si="293"/>
        <v>-0.18229799999999999</v>
      </c>
      <c r="AB233" s="55">
        <f t="shared" si="294"/>
        <v>0.49211300000000002</v>
      </c>
      <c r="AC233" s="55">
        <f t="shared" si="295"/>
        <v>1.135105</v>
      </c>
      <c r="AD233" s="55">
        <f t="shared" si="296"/>
        <v>-0.13441500000000001</v>
      </c>
      <c r="AE233" s="55">
        <f t="shared" si="297"/>
        <v>0.28303899999999999</v>
      </c>
      <c r="AF233" s="55">
        <f t="shared" si="298"/>
        <v>4.4645999999999998E-2</v>
      </c>
      <c r="AG233" s="55">
        <f t="shared" si="299"/>
        <v>0.783196</v>
      </c>
      <c r="AH233" s="55">
        <f t="shared" si="300"/>
        <v>-0.25130000000000002</v>
      </c>
      <c r="AI233" s="55">
        <f t="shared" si="301"/>
        <v>1.254807</v>
      </c>
      <c r="AJ233" s="55">
        <f t="shared" si="302"/>
        <v>0.24223800000000001</v>
      </c>
      <c r="AK233" s="55">
        <f t="shared" si="303"/>
        <v>-0.66971400000000003</v>
      </c>
      <c r="AL233" s="55">
        <f t="shared" si="304"/>
        <v>-0.63559399999999999</v>
      </c>
      <c r="AM233" s="55">
        <f t="shared" si="305"/>
        <v>0.83333999999999997</v>
      </c>
      <c r="AN233" s="55">
        <f t="shared" si="306"/>
        <v>-0.51413600000000004</v>
      </c>
      <c r="AO233" s="55">
        <f t="shared" si="307"/>
        <v>0.59201899999999996</v>
      </c>
      <c r="AP233" s="55">
        <f t="shared" si="308"/>
        <v>-0.88652399999999998</v>
      </c>
      <c r="AQ233" s="55">
        <f t="shared" si="309"/>
        <v>0.37301200000000001</v>
      </c>
      <c r="AR233" s="55">
        <f t="shared" si="310"/>
        <v>-0.210336</v>
      </c>
      <c r="AS233" s="55">
        <f t="shared" si="311"/>
        <v>0.299093</v>
      </c>
      <c r="AT233" s="55">
        <f t="shared" si="312"/>
        <v>1.491269</v>
      </c>
      <c r="AU233" s="55">
        <f t="shared" si="313"/>
        <v>0.41825699999999999</v>
      </c>
      <c r="AV233" s="55">
        <f t="shared" si="314"/>
        <v>0.101591</v>
      </c>
      <c r="AW233" s="55">
        <f t="shared" si="315"/>
        <v>-0.26250099999999998</v>
      </c>
      <c r="AX233" s="55">
        <f t="shared" si="316"/>
        <v>0.44266100000000003</v>
      </c>
      <c r="AY233" s="55">
        <f t="shared" si="317"/>
        <v>0.94009100000000001</v>
      </c>
      <c r="AZ233" s="55">
        <f t="shared" si="318"/>
        <v>0.54240699999999997</v>
      </c>
      <c r="BA233" s="55">
        <f t="shared" si="319"/>
        <v>0.25891700000000001</v>
      </c>
      <c r="BB233" s="55">
        <f t="shared" si="320"/>
        <v>-0.27995100000000001</v>
      </c>
      <c r="BC233" s="55">
        <f t="shared" si="321"/>
        <v>-0.27900700000000001</v>
      </c>
      <c r="BD233" s="55">
        <f t="shared" si="322"/>
        <v>-0.518536</v>
      </c>
      <c r="BE233" s="55">
        <f t="shared" si="323"/>
        <v>-1.1963159999999999</v>
      </c>
      <c r="BF233" s="55">
        <f t="shared" si="324"/>
        <v>-0.195964</v>
      </c>
      <c r="BG233" s="55">
        <f t="shared" si="325"/>
        <v>1.0676159999999999</v>
      </c>
      <c r="BH233" s="55">
        <f t="shared" si="326"/>
        <v>-0.19059999999999999</v>
      </c>
      <c r="BJ233" s="55">
        <f t="shared" si="392"/>
        <v>0.427541</v>
      </c>
      <c r="BK233" s="55">
        <f t="shared" si="392"/>
        <v>0.88970300000000002</v>
      </c>
      <c r="BL233" s="55">
        <f t="shared" si="392"/>
        <v>1.0445359999999999</v>
      </c>
      <c r="BM233" s="55">
        <f t="shared" si="392"/>
        <v>0.94583399999999995</v>
      </c>
      <c r="BN233" s="55">
        <f t="shared" si="392"/>
        <v>0.93252000000000002</v>
      </c>
      <c r="BO233" s="55">
        <f t="shared" si="392"/>
        <v>-0.110526</v>
      </c>
      <c r="BP233" s="55">
        <f t="shared" si="392"/>
        <v>0.421041</v>
      </c>
      <c r="BQ233" s="55">
        <f t="shared" si="392"/>
        <v>0.74219599999999997</v>
      </c>
      <c r="BR233" s="55">
        <f t="shared" si="392"/>
        <v>0.85197999999999996</v>
      </c>
      <c r="BS233" s="55">
        <f t="shared" si="392"/>
        <v>-0.60107299999999997</v>
      </c>
      <c r="BT233" s="55">
        <f t="shared" si="392"/>
        <v>0.78763000000000005</v>
      </c>
      <c r="BU233" s="55">
        <f t="shared" si="392"/>
        <v>-0.54883300000000002</v>
      </c>
      <c r="BV233" s="55">
        <f t="shared" si="392"/>
        <v>-9.8946999999999993E-2</v>
      </c>
      <c r="BW233" s="55">
        <f t="shared" si="392"/>
        <v>0.63033099999999997</v>
      </c>
      <c r="BX233" s="55">
        <f t="shared" si="392"/>
        <v>0.296014</v>
      </c>
      <c r="BY233" s="55">
        <f t="shared" si="392"/>
        <v>0.86529599999999995</v>
      </c>
      <c r="BZ233" s="55">
        <f t="shared" si="390"/>
        <v>-0.46758699999999997</v>
      </c>
      <c r="CA233" s="55">
        <f t="shared" si="390"/>
        <v>-0.76345799999999997</v>
      </c>
      <c r="CB233" s="55">
        <f t="shared" si="390"/>
        <v>0.84248100000000004</v>
      </c>
      <c r="CC233" s="55">
        <f t="shared" si="390"/>
        <v>0.78327899999999995</v>
      </c>
      <c r="CD233" s="55">
        <f t="shared" si="390"/>
        <v>0.61870999999999998</v>
      </c>
      <c r="CE233" s="55">
        <f t="shared" si="390"/>
        <v>1.1808259999999999</v>
      </c>
      <c r="CF233" s="55">
        <f t="shared" si="390"/>
        <v>-0.899088</v>
      </c>
      <c r="CG233" s="55">
        <f t="shared" si="390"/>
        <v>-0.46016899999999999</v>
      </c>
      <c r="CH233" s="55">
        <f t="shared" si="390"/>
        <v>-0.48933199999999999</v>
      </c>
      <c r="CI233" s="55">
        <f t="shared" si="390"/>
        <v>-0.59450599999999998</v>
      </c>
      <c r="CJ233" s="55">
        <f t="shared" si="390"/>
        <v>-0.95906599999999997</v>
      </c>
      <c r="CK233" s="55">
        <f t="shared" si="390"/>
        <v>-0.187248</v>
      </c>
      <c r="CL233" s="55">
        <f t="shared" si="390"/>
        <v>-0.77245200000000003</v>
      </c>
      <c r="CM233" s="55">
        <f t="shared" si="390"/>
        <v>0.42386499999999999</v>
      </c>
      <c r="CN233" s="55">
        <f t="shared" si="390"/>
        <v>0.71424500000000002</v>
      </c>
      <c r="CO233" s="55">
        <f t="shared" si="391"/>
        <v>3.8719999999999997E-2</v>
      </c>
      <c r="CP233" s="55">
        <f t="shared" si="391"/>
        <v>-1.5256479999999999</v>
      </c>
      <c r="CQ233" s="55">
        <f t="shared" si="391"/>
        <v>0.554342</v>
      </c>
      <c r="CR233" s="55">
        <f t="shared" si="391"/>
        <v>-0.86659900000000001</v>
      </c>
      <c r="CS233" s="55">
        <f t="shared" si="391"/>
        <v>1.9007750000000001</v>
      </c>
      <c r="CT233" s="55">
        <f t="shared" si="391"/>
        <v>0.70712299999999995</v>
      </c>
      <c r="CU233" s="55">
        <f t="shared" si="391"/>
        <v>0.26419999999999999</v>
      </c>
      <c r="CV233" s="55">
        <f t="shared" si="391"/>
        <v>0.85240400000000005</v>
      </c>
      <c r="CW233" s="55">
        <f t="shared" si="391"/>
        <v>0.90576000000000001</v>
      </c>
      <c r="CX233" s="55">
        <f t="shared" si="391"/>
        <v>-0.61505100000000001</v>
      </c>
      <c r="CY233" s="55">
        <f t="shared" si="391"/>
        <v>0.29700199999999999</v>
      </c>
      <c r="CZ233" s="55">
        <f t="shared" si="391"/>
        <v>0.485425</v>
      </c>
      <c r="DA233" s="55">
        <f t="shared" si="391"/>
        <v>-0.17513000000000001</v>
      </c>
      <c r="DB233" s="55">
        <f t="shared" si="391"/>
        <v>0.58527099999999999</v>
      </c>
      <c r="DC233" s="55">
        <f t="shared" si="391"/>
        <v>-3.61E-2</v>
      </c>
      <c r="DD233" s="55">
        <f t="shared" si="391"/>
        <v>-0.11219899999999999</v>
      </c>
      <c r="DE233" s="55">
        <f t="shared" si="389"/>
        <v>-0.138653</v>
      </c>
      <c r="DF233" s="55">
        <f t="shared" si="389"/>
        <v>-0.65617999999999999</v>
      </c>
      <c r="DG233" s="55">
        <f t="shared" si="389"/>
        <v>-9.8567000000000002E-2</v>
      </c>
      <c r="DI233" s="55">
        <f t="shared" ca="1" si="236"/>
        <v>1.0107900000000001</v>
      </c>
      <c r="DJ233" s="55">
        <f t="shared" ca="1" si="237"/>
        <v>-0.88376999999999994</v>
      </c>
      <c r="DK233" s="55">
        <f t="shared" ca="1" si="238"/>
        <v>-0.74157600000000001</v>
      </c>
      <c r="DL233" s="55">
        <f t="shared" ca="1" si="239"/>
        <v>-0.76297199999999998</v>
      </c>
      <c r="DM233" s="55">
        <f t="shared" ca="1" si="240"/>
        <v>-0.84866399999999997</v>
      </c>
      <c r="DN233" s="55">
        <f t="shared" ca="1" si="241"/>
        <v>0.29241699999999998</v>
      </c>
      <c r="DO233" s="55">
        <f t="shared" ca="1" si="242"/>
        <v>-0.57423900000000005</v>
      </c>
      <c r="DP233" s="55">
        <f t="shared" ca="1" si="243"/>
        <v>0.78362399999999999</v>
      </c>
      <c r="DQ233" s="55">
        <f t="shared" ca="1" si="244"/>
        <v>0.84691899999999998</v>
      </c>
      <c r="DR233" s="55">
        <f t="shared" ca="1" si="245"/>
        <v>0.54095300000000002</v>
      </c>
      <c r="DS233" s="55">
        <f t="shared" ca="1" si="246"/>
        <v>-1.2010559999999999</v>
      </c>
      <c r="DT233" s="55">
        <f t="shared" ca="1" si="247"/>
        <v>0.90051000000000003</v>
      </c>
      <c r="DU233" s="55">
        <f t="shared" ca="1" si="248"/>
        <v>0.25661400000000001</v>
      </c>
      <c r="DV233" s="55">
        <f t="shared" ca="1" si="249"/>
        <v>-7.8424999999999995E-2</v>
      </c>
      <c r="DW233" s="55">
        <f t="shared" ca="1" si="250"/>
        <v>0.83231200000000005</v>
      </c>
      <c r="DX233" s="55">
        <f t="shared" ca="1" si="251"/>
        <v>-0.28163100000000002</v>
      </c>
      <c r="DY233" s="55">
        <f t="shared" ca="1" si="252"/>
        <v>-0.18229799999999999</v>
      </c>
      <c r="DZ233" s="55">
        <f t="shared" ca="1" si="253"/>
        <v>0.49211300000000002</v>
      </c>
      <c r="EA233" s="55">
        <f t="shared" ca="1" si="254"/>
        <v>1.135105</v>
      </c>
      <c r="EB233" s="55">
        <f t="shared" ca="1" si="255"/>
        <v>-0.13441500000000001</v>
      </c>
      <c r="EC233" s="55">
        <f t="shared" ca="1" si="256"/>
        <v>0.28303899999999999</v>
      </c>
      <c r="ED233" s="55">
        <f t="shared" ca="1" si="257"/>
        <v>4.6630906460000059E-2</v>
      </c>
      <c r="EE233" s="55">
        <f t="shared" ca="1" si="258"/>
        <v>0.783196</v>
      </c>
      <c r="EF233" s="55">
        <f t="shared" ca="1" si="259"/>
        <v>-0.25130000000000002</v>
      </c>
      <c r="EG233" s="55">
        <f t="shared" ca="1" si="260"/>
        <v>1.254807</v>
      </c>
      <c r="EH233" s="55">
        <f t="shared" ca="1" si="261"/>
        <v>0.24223800000000001</v>
      </c>
      <c r="EI233" s="55">
        <f t="shared" ca="1" si="262"/>
        <v>-0.66971400000000003</v>
      </c>
      <c r="EJ233" s="55">
        <f t="shared" ca="1" si="263"/>
        <v>-0.63559399999999999</v>
      </c>
      <c r="EK233" s="55">
        <f t="shared" ca="1" si="264"/>
        <v>0.83333999999999997</v>
      </c>
      <c r="EL233" s="55">
        <f t="shared" ca="1" si="265"/>
        <v>-0.51413600000000004</v>
      </c>
      <c r="EM233" s="55">
        <f t="shared" ca="1" si="266"/>
        <v>0.59201899999999996</v>
      </c>
      <c r="EN233" s="55">
        <f t="shared" ca="1" si="267"/>
        <v>-0.88652399999999998</v>
      </c>
      <c r="EO233" s="55">
        <f t="shared" ca="1" si="268"/>
        <v>0.37301200000000001</v>
      </c>
      <c r="EP233" s="55">
        <f t="shared" ca="1" si="269"/>
        <v>-0.210336</v>
      </c>
      <c r="EQ233" s="55">
        <f t="shared" ca="1" si="270"/>
        <v>0.299093</v>
      </c>
      <c r="ER233" s="55">
        <f t="shared" ca="1" si="271"/>
        <v>1.491269</v>
      </c>
      <c r="ES233" s="55">
        <f t="shared" ca="1" si="272"/>
        <v>0.41825699999999999</v>
      </c>
      <c r="ET233" s="55">
        <f t="shared" ca="1" si="273"/>
        <v>0.101591</v>
      </c>
      <c r="EU233" s="55">
        <f t="shared" ca="1" si="274"/>
        <v>-0.26250099999999998</v>
      </c>
      <c r="EV233" s="55">
        <f t="shared" ca="1" si="275"/>
        <v>0.44266100000000003</v>
      </c>
      <c r="EW233" s="55">
        <f t="shared" ca="1" si="276"/>
        <v>0.94009100000000001</v>
      </c>
      <c r="EX233" s="55">
        <f t="shared" ca="1" si="277"/>
        <v>0.54240699999999997</v>
      </c>
      <c r="EY233" s="55">
        <f t="shared" ca="1" si="278"/>
        <v>0.25891700000000001</v>
      </c>
      <c r="EZ233" s="55">
        <f t="shared" ca="1" si="279"/>
        <v>-0.27995100000000001</v>
      </c>
      <c r="FA233" s="55">
        <f t="shared" ca="1" si="280"/>
        <v>-0.27900700000000001</v>
      </c>
      <c r="FB233" s="55">
        <f t="shared" ca="1" si="281"/>
        <v>-0.518536</v>
      </c>
      <c r="FC233" s="55">
        <f t="shared" ca="1" si="282"/>
        <v>-1.1963159999999999</v>
      </c>
      <c r="FD233" s="55">
        <f t="shared" ca="1" si="283"/>
        <v>-0.195964</v>
      </c>
      <c r="FE233" s="55">
        <f t="shared" ca="1" si="284"/>
        <v>1.0676159999999999</v>
      </c>
      <c r="FF233" s="55">
        <f t="shared" ca="1" si="285"/>
        <v>-0.19059999999999999</v>
      </c>
      <c r="FH233" s="55">
        <f t="shared" ca="1" si="286"/>
        <v>0</v>
      </c>
      <c r="FI233" s="55">
        <f t="shared" ca="1" si="379"/>
        <v>0</v>
      </c>
      <c r="FJ233" s="55">
        <f t="shared" ca="1" si="380"/>
        <v>0</v>
      </c>
      <c r="FK233" s="55">
        <f t="shared" ca="1" si="381"/>
        <v>0</v>
      </c>
      <c r="FL233" s="55">
        <f t="shared" ca="1" si="382"/>
        <v>0</v>
      </c>
      <c r="FM233" s="55">
        <f t="shared" ca="1" si="383"/>
        <v>0</v>
      </c>
      <c r="FN233" s="55">
        <f t="shared" ca="1" si="384"/>
        <v>0</v>
      </c>
      <c r="FO233" s="55">
        <f t="shared" ca="1" si="385"/>
        <v>0</v>
      </c>
      <c r="FP233" s="55">
        <f t="shared" ca="1" si="386"/>
        <v>0</v>
      </c>
      <c r="FQ233" s="55">
        <f t="shared" ca="1" si="387"/>
        <v>0</v>
      </c>
      <c r="FR233" s="55">
        <f t="shared" ca="1" si="388"/>
        <v>0</v>
      </c>
      <c r="FS233" s="55">
        <f t="shared" ca="1" si="329"/>
        <v>0</v>
      </c>
      <c r="FT233" s="55">
        <f t="shared" ca="1" si="330"/>
        <v>0</v>
      </c>
      <c r="FU233" s="55">
        <f t="shared" ca="1" si="331"/>
        <v>0</v>
      </c>
      <c r="FV233" s="55">
        <f t="shared" ca="1" si="332"/>
        <v>0</v>
      </c>
      <c r="FW233" s="55">
        <f t="shared" ca="1" si="333"/>
        <v>0</v>
      </c>
      <c r="FX233" s="55">
        <f t="shared" ca="1" si="334"/>
        <v>0</v>
      </c>
      <c r="FY233" s="55">
        <f t="shared" ca="1" si="335"/>
        <v>0</v>
      </c>
      <c r="FZ233" s="55">
        <f t="shared" ca="1" si="336"/>
        <v>0</v>
      </c>
      <c r="GA233" s="55">
        <f t="shared" ca="1" si="337"/>
        <v>0</v>
      </c>
      <c r="GB233" s="55">
        <f t="shared" ca="1" si="338"/>
        <v>0</v>
      </c>
      <c r="GC233" s="55">
        <f t="shared" ca="1" si="339"/>
        <v>1.9849064600000604E-3</v>
      </c>
      <c r="GD233" s="55">
        <f t="shared" ca="1" si="340"/>
        <v>0</v>
      </c>
      <c r="GE233" s="55">
        <f t="shared" ca="1" si="341"/>
        <v>0</v>
      </c>
      <c r="GF233" s="55">
        <f t="shared" ca="1" si="342"/>
        <v>0</v>
      </c>
      <c r="GG233" s="55">
        <f t="shared" ca="1" si="343"/>
        <v>0</v>
      </c>
      <c r="GH233" s="55">
        <f t="shared" ca="1" si="344"/>
        <v>0</v>
      </c>
      <c r="GI233" s="55">
        <f t="shared" ca="1" si="345"/>
        <v>0</v>
      </c>
      <c r="GJ233" s="55">
        <f t="shared" ca="1" si="346"/>
        <v>0</v>
      </c>
      <c r="GK233" s="55">
        <f t="shared" ca="1" si="347"/>
        <v>0</v>
      </c>
      <c r="GL233" s="55">
        <f t="shared" ca="1" si="348"/>
        <v>0</v>
      </c>
      <c r="GM233" s="55">
        <f t="shared" ca="1" si="349"/>
        <v>0</v>
      </c>
      <c r="GN233" s="55">
        <f t="shared" ca="1" si="350"/>
        <v>0</v>
      </c>
      <c r="GO233" s="55">
        <f t="shared" ca="1" si="351"/>
        <v>0</v>
      </c>
      <c r="GP233" s="55">
        <f t="shared" ca="1" si="352"/>
        <v>0</v>
      </c>
      <c r="GQ233" s="55">
        <f t="shared" ca="1" si="353"/>
        <v>0</v>
      </c>
      <c r="GR233" s="55">
        <f t="shared" ca="1" si="354"/>
        <v>0</v>
      </c>
      <c r="GS233" s="55">
        <f t="shared" ca="1" si="355"/>
        <v>0</v>
      </c>
      <c r="GT233" s="55">
        <f t="shared" ca="1" si="356"/>
        <v>0</v>
      </c>
      <c r="GU233" s="55">
        <f t="shared" ca="1" si="357"/>
        <v>0</v>
      </c>
      <c r="GV233" s="55">
        <f t="shared" ca="1" si="358"/>
        <v>0</v>
      </c>
      <c r="GW233" s="55">
        <f t="shared" ca="1" si="359"/>
        <v>0</v>
      </c>
      <c r="GX233" s="55">
        <f t="shared" ca="1" si="360"/>
        <v>0</v>
      </c>
      <c r="GY233" s="55">
        <f t="shared" ca="1" si="361"/>
        <v>0</v>
      </c>
      <c r="GZ233" s="55">
        <f t="shared" ca="1" si="362"/>
        <v>0</v>
      </c>
      <c r="HA233" s="55">
        <f t="shared" ca="1" si="363"/>
        <v>0</v>
      </c>
      <c r="HB233" s="55">
        <f t="shared" ca="1" si="364"/>
        <v>0</v>
      </c>
      <c r="HC233" s="55">
        <f t="shared" ca="1" si="365"/>
        <v>0</v>
      </c>
      <c r="HD233" s="55">
        <f t="shared" ca="1" si="366"/>
        <v>0</v>
      </c>
      <c r="HE233" s="55">
        <f t="shared" ca="1" si="367"/>
        <v>0</v>
      </c>
    </row>
    <row r="234" spans="1:213">
      <c r="A234" s="27">
        <v>97</v>
      </c>
      <c r="B234" s="27">
        <v>34</v>
      </c>
      <c r="C234" s="27">
        <v>0.32750000000000001</v>
      </c>
      <c r="D234" s="27">
        <v>0.74293200000000004</v>
      </c>
      <c r="E234" s="27">
        <v>6</v>
      </c>
      <c r="F234" s="27">
        <f t="shared" ca="1" si="231"/>
        <v>42</v>
      </c>
      <c r="G234" s="27">
        <f t="shared" si="230"/>
        <v>0</v>
      </c>
      <c r="H234" s="27" t="str">
        <f t="shared" si="232"/>
        <v>Sim</v>
      </c>
      <c r="I234" s="27">
        <f t="shared" si="233"/>
        <v>0</v>
      </c>
      <c r="J234" s="37">
        <f t="shared" si="234"/>
        <v>1</v>
      </c>
      <c r="K234" s="55">
        <f t="shared" si="235"/>
        <v>1.614214</v>
      </c>
      <c r="L234" s="55">
        <f t="shared" si="368"/>
        <v>0.23215</v>
      </c>
      <c r="M234" s="55">
        <f t="shared" si="369"/>
        <v>0.25669599999999998</v>
      </c>
      <c r="N234" s="55">
        <f t="shared" si="370"/>
        <v>-0.116481</v>
      </c>
      <c r="O234" s="55">
        <f t="shared" si="371"/>
        <v>1.692396</v>
      </c>
      <c r="P234" s="55">
        <f t="shared" si="372"/>
        <v>2.0740000000000001E-2</v>
      </c>
      <c r="Q234" s="55">
        <f t="shared" si="373"/>
        <v>0.43417099999999997</v>
      </c>
      <c r="R234" s="55">
        <f t="shared" si="374"/>
        <v>0.15672700000000001</v>
      </c>
      <c r="S234" s="55">
        <f t="shared" si="375"/>
        <v>0.84644900000000001</v>
      </c>
      <c r="T234" s="55">
        <f t="shared" si="376"/>
        <v>-0.326988</v>
      </c>
      <c r="U234" s="55">
        <f t="shared" si="377"/>
        <v>0.35654599999999997</v>
      </c>
      <c r="V234" s="55">
        <f t="shared" si="288"/>
        <v>-0.69081700000000001</v>
      </c>
      <c r="W234" s="55">
        <f t="shared" si="289"/>
        <v>-1.5205679999999999</v>
      </c>
      <c r="X234" s="55">
        <f t="shared" si="290"/>
        <v>0.101855</v>
      </c>
      <c r="Y234" s="55">
        <f t="shared" si="291"/>
        <v>-5.0455E-2</v>
      </c>
      <c r="Z234" s="55">
        <f t="shared" si="292"/>
        <v>0.73058999999999996</v>
      </c>
      <c r="AA234" s="55">
        <f t="shared" si="293"/>
        <v>-1.4077809999999999</v>
      </c>
      <c r="AB234" s="55">
        <f t="shared" si="294"/>
        <v>0.94844899999999999</v>
      </c>
      <c r="AC234" s="55">
        <f t="shared" si="295"/>
        <v>0.60904899999999995</v>
      </c>
      <c r="AD234" s="55">
        <f t="shared" si="296"/>
        <v>-0.75822400000000001</v>
      </c>
      <c r="AE234" s="55">
        <f t="shared" si="297"/>
        <v>0.56430199999999997</v>
      </c>
      <c r="AF234" s="55">
        <f t="shared" si="298"/>
        <v>0.21484500000000001</v>
      </c>
      <c r="AG234" s="55">
        <f t="shared" si="299"/>
        <v>0.75581500000000001</v>
      </c>
      <c r="AH234" s="55">
        <f t="shared" si="300"/>
        <v>0.199127</v>
      </c>
      <c r="AI234" s="55">
        <f t="shared" si="301"/>
        <v>-0.65629000000000004</v>
      </c>
      <c r="AJ234" s="55">
        <f t="shared" si="302"/>
        <v>-0.14308100000000001</v>
      </c>
      <c r="AK234" s="55">
        <f t="shared" si="303"/>
        <v>3.3890000000000003E-2</v>
      </c>
      <c r="AL234" s="55">
        <f t="shared" si="304"/>
        <v>0.30363499999999999</v>
      </c>
      <c r="AM234" s="55">
        <f t="shared" si="305"/>
        <v>-0.53788599999999998</v>
      </c>
      <c r="AN234" s="55">
        <f t="shared" si="306"/>
        <v>-0.13880600000000001</v>
      </c>
      <c r="AO234" s="55">
        <f t="shared" si="307"/>
        <v>1.799318</v>
      </c>
      <c r="AP234" s="55">
        <f t="shared" si="308"/>
        <v>-0.298431</v>
      </c>
      <c r="AQ234" s="55">
        <f t="shared" si="309"/>
        <v>0.81237499999999996</v>
      </c>
      <c r="AR234" s="55">
        <f t="shared" si="310"/>
        <v>-0.84752400000000006</v>
      </c>
      <c r="AS234" s="55">
        <f t="shared" si="311"/>
        <v>-0.52254</v>
      </c>
      <c r="AT234" s="55">
        <f t="shared" si="312"/>
        <v>0.27977600000000002</v>
      </c>
      <c r="AU234" s="55">
        <f t="shared" si="313"/>
        <v>1.7250000000000001E-2</v>
      </c>
      <c r="AV234" s="55">
        <f t="shared" si="314"/>
        <v>8.5168999999999995E-2</v>
      </c>
      <c r="AW234" s="55">
        <f t="shared" si="315"/>
        <v>-0.88034800000000002</v>
      </c>
      <c r="AX234" s="55">
        <f t="shared" si="316"/>
        <v>-0.25476799999999999</v>
      </c>
      <c r="AY234" s="55">
        <f t="shared" si="317"/>
        <v>0.21149499999999999</v>
      </c>
      <c r="AZ234" s="55">
        <f t="shared" si="318"/>
        <v>-0.44474599999999997</v>
      </c>
      <c r="BA234" s="55">
        <f t="shared" si="319"/>
        <v>-1.1809909999999999</v>
      </c>
      <c r="BB234" s="55">
        <f t="shared" si="320"/>
        <v>0.28868300000000002</v>
      </c>
      <c r="BC234" s="55">
        <f t="shared" si="321"/>
        <v>0.70152700000000001</v>
      </c>
      <c r="BD234" s="55">
        <f t="shared" si="322"/>
        <v>-0.30702600000000002</v>
      </c>
      <c r="BE234" s="55">
        <f t="shared" si="323"/>
        <v>-0.76923600000000003</v>
      </c>
      <c r="BF234" s="55">
        <f t="shared" si="324"/>
        <v>0.71762300000000001</v>
      </c>
      <c r="BG234" s="55">
        <f t="shared" si="325"/>
        <v>-1.0298890000000001</v>
      </c>
      <c r="BH234" s="55">
        <f t="shared" si="326"/>
        <v>-0.94150599999999995</v>
      </c>
      <c r="BJ234" s="55">
        <f t="shared" si="392"/>
        <v>-0.66622000000000003</v>
      </c>
      <c r="BK234" s="55">
        <f t="shared" si="392"/>
        <v>-0.53908500000000004</v>
      </c>
      <c r="BL234" s="55">
        <f t="shared" si="392"/>
        <v>1.3139609999999999</v>
      </c>
      <c r="BM234" s="55">
        <f t="shared" si="392"/>
        <v>0.37419999999999998</v>
      </c>
      <c r="BN234" s="55">
        <f t="shared" si="392"/>
        <v>0.31695899999999999</v>
      </c>
      <c r="BO234" s="55">
        <f t="shared" si="392"/>
        <v>0.31533600000000001</v>
      </c>
      <c r="BP234" s="55">
        <f t="shared" si="392"/>
        <v>0.65815500000000005</v>
      </c>
      <c r="BQ234" s="55">
        <f t="shared" si="392"/>
        <v>0.12439</v>
      </c>
      <c r="BR234" s="55">
        <f t="shared" si="392"/>
        <v>-0.24601200000000001</v>
      </c>
      <c r="BS234" s="55">
        <f t="shared" si="392"/>
        <v>0.685338</v>
      </c>
      <c r="BT234" s="55">
        <f t="shared" si="392"/>
        <v>-1.6915340000000001</v>
      </c>
      <c r="BU234" s="55">
        <f t="shared" si="392"/>
        <v>1.7136009999999999</v>
      </c>
      <c r="BV234" s="55">
        <f t="shared" si="392"/>
        <v>-0.175285</v>
      </c>
      <c r="BW234" s="55">
        <f t="shared" si="392"/>
        <v>-0.88014700000000001</v>
      </c>
      <c r="BX234" s="55">
        <f t="shared" si="392"/>
        <v>0.24867</v>
      </c>
      <c r="BY234" s="55">
        <f t="shared" si="392"/>
        <v>-0.24318600000000001</v>
      </c>
      <c r="BZ234" s="55">
        <f t="shared" si="390"/>
        <v>1.020362</v>
      </c>
      <c r="CA234" s="55">
        <f t="shared" si="390"/>
        <v>-0.47453499999999998</v>
      </c>
      <c r="CB234" s="55">
        <f t="shared" si="390"/>
        <v>0.40415600000000002</v>
      </c>
      <c r="CC234" s="55">
        <f t="shared" si="390"/>
        <v>0.108114</v>
      </c>
      <c r="CD234" s="55">
        <f t="shared" si="390"/>
        <v>-0.73552499999999998</v>
      </c>
      <c r="CE234" s="55">
        <f t="shared" si="390"/>
        <v>0.56257599999999996</v>
      </c>
      <c r="CF234" s="55">
        <f t="shared" si="390"/>
        <v>0.539435</v>
      </c>
      <c r="CG234" s="55">
        <f t="shared" si="390"/>
        <v>0.74824500000000005</v>
      </c>
      <c r="CH234" s="55">
        <f t="shared" si="390"/>
        <v>-0.71911400000000003</v>
      </c>
      <c r="CI234" s="55">
        <f t="shared" si="390"/>
        <v>0.592117</v>
      </c>
      <c r="CJ234" s="55">
        <f t="shared" si="390"/>
        <v>-0.68152699999999999</v>
      </c>
      <c r="CK234" s="55">
        <f t="shared" si="390"/>
        <v>-3.1071999999999999E-2</v>
      </c>
      <c r="CL234" s="55">
        <f t="shared" si="390"/>
        <v>0.574847</v>
      </c>
      <c r="CM234" s="55">
        <f t="shared" si="390"/>
        <v>4.0721E-2</v>
      </c>
      <c r="CN234" s="55">
        <f t="shared" si="390"/>
        <v>-0.31113400000000002</v>
      </c>
      <c r="CO234" s="55">
        <f t="shared" si="391"/>
        <v>0.128106</v>
      </c>
      <c r="CP234" s="55">
        <f t="shared" si="391"/>
        <v>0.75648499999999996</v>
      </c>
      <c r="CQ234" s="55">
        <f t="shared" si="391"/>
        <v>0.64789099999999999</v>
      </c>
      <c r="CR234" s="55">
        <f t="shared" si="391"/>
        <v>0.62507000000000001</v>
      </c>
      <c r="CS234" s="55">
        <f t="shared" si="391"/>
        <v>0.26489299999999999</v>
      </c>
      <c r="CT234" s="55">
        <f t="shared" si="391"/>
        <v>-0.50260000000000005</v>
      </c>
      <c r="CU234" s="55">
        <f t="shared" si="391"/>
        <v>-0.37491999999999998</v>
      </c>
      <c r="CV234" s="55">
        <f t="shared" si="391"/>
        <v>0.42408800000000002</v>
      </c>
      <c r="CW234" s="55">
        <f t="shared" si="391"/>
        <v>0.13993700000000001</v>
      </c>
      <c r="CX234" s="55">
        <f t="shared" si="391"/>
        <v>-0.25101899999999999</v>
      </c>
      <c r="CY234" s="55">
        <f t="shared" si="391"/>
        <v>0.60972800000000005</v>
      </c>
      <c r="CZ234" s="55">
        <f t="shared" si="391"/>
        <v>-0.87458400000000003</v>
      </c>
      <c r="DA234" s="55">
        <f t="shared" si="391"/>
        <v>0.52196799999999999</v>
      </c>
      <c r="DB234" s="55">
        <f t="shared" si="391"/>
        <v>-0.47540500000000002</v>
      </c>
      <c r="DC234" s="55">
        <f t="shared" si="391"/>
        <v>0.41020699999999999</v>
      </c>
      <c r="DD234" s="55">
        <f t="shared" si="391"/>
        <v>0.496174</v>
      </c>
      <c r="DE234" s="55">
        <f t="shared" si="389"/>
        <v>0.10736800000000001</v>
      </c>
      <c r="DF234" s="55">
        <f t="shared" si="389"/>
        <v>0.55427300000000002</v>
      </c>
      <c r="DG234" s="55">
        <f t="shared" si="389"/>
        <v>-1.0216069999999999</v>
      </c>
      <c r="DI234" s="55">
        <f t="shared" ca="1" si="236"/>
        <v>1.614214</v>
      </c>
      <c r="DJ234" s="55">
        <f t="shared" ca="1" si="237"/>
        <v>0.23215</v>
      </c>
      <c r="DK234" s="55">
        <f t="shared" ca="1" si="238"/>
        <v>0.25669599999999998</v>
      </c>
      <c r="DL234" s="55">
        <f t="shared" ca="1" si="239"/>
        <v>-0.116481</v>
      </c>
      <c r="DM234" s="55">
        <f t="shared" ca="1" si="240"/>
        <v>1.692396</v>
      </c>
      <c r="DN234" s="55">
        <f t="shared" ca="1" si="241"/>
        <v>2.0740000000000001E-2</v>
      </c>
      <c r="DO234" s="55">
        <f t="shared" ca="1" si="242"/>
        <v>0.49175011891199999</v>
      </c>
      <c r="DP234" s="55">
        <f t="shared" ca="1" si="243"/>
        <v>0.148414192084</v>
      </c>
      <c r="DQ234" s="55">
        <f t="shared" ca="1" si="244"/>
        <v>0.56561223565200014</v>
      </c>
      <c r="DR234" s="55">
        <f t="shared" ca="1" si="245"/>
        <v>-6.6751379832000052E-2</v>
      </c>
      <c r="DS234" s="55">
        <f t="shared" ca="1" si="246"/>
        <v>-0.16994982943999998</v>
      </c>
      <c r="DT234" s="55">
        <f t="shared" ca="1" si="247"/>
        <v>-7.2718073576000075E-2</v>
      </c>
      <c r="DU234" s="55">
        <f t="shared" ca="1" si="248"/>
        <v>-1.174738789756</v>
      </c>
      <c r="DV234" s="55">
        <f t="shared" ca="1" si="249"/>
        <v>-0.15058629013599995</v>
      </c>
      <c r="DW234" s="55">
        <f t="shared" ca="1" si="250"/>
        <v>2.6440465499999989E-2</v>
      </c>
      <c r="DX234" s="55">
        <f t="shared" ca="1" si="251"/>
        <v>0.48026335123200004</v>
      </c>
      <c r="DY234" s="55">
        <f t="shared" ca="1" si="252"/>
        <v>-0.7835831352760001</v>
      </c>
      <c r="DZ234" s="55">
        <f t="shared" ca="1" si="253"/>
        <v>0.58264534908800003</v>
      </c>
      <c r="EA234" s="55">
        <f t="shared" ca="1" si="254"/>
        <v>0.55637756627599999</v>
      </c>
      <c r="EB234" s="55">
        <f t="shared" ca="1" si="255"/>
        <v>-0.53551622301599999</v>
      </c>
      <c r="EC234" s="55">
        <f t="shared" ca="1" si="256"/>
        <v>0.23015807276400005</v>
      </c>
      <c r="ED234" s="55">
        <f t="shared" ca="1" si="257"/>
        <v>0.30423551270799998</v>
      </c>
      <c r="EE234" s="55">
        <f t="shared" ca="1" si="258"/>
        <v>0.70019062616000005</v>
      </c>
      <c r="EF234" s="55">
        <f t="shared" ca="1" si="259"/>
        <v>0.34028766602399996</v>
      </c>
      <c r="EG234" s="55">
        <f t="shared" ca="1" si="260"/>
        <v>-0.67244004003200009</v>
      </c>
      <c r="EH234" s="55">
        <f t="shared" ca="1" si="261"/>
        <v>4.5914879463999969E-2</v>
      </c>
      <c r="EI234" s="55">
        <f t="shared" ca="1" si="262"/>
        <v>-0.15002081735599995</v>
      </c>
      <c r="EJ234" s="55">
        <f t="shared" ca="1" si="263"/>
        <v>0.21759254092400002</v>
      </c>
      <c r="EK234" s="55">
        <f t="shared" ca="1" si="264"/>
        <v>-0.25183795315600005</v>
      </c>
      <c r="EL234" s="55">
        <f t="shared" ca="1" si="265"/>
        <v>-9.2655353164000018E-2</v>
      </c>
      <c r="EM234" s="55">
        <f t="shared" ca="1" si="266"/>
        <v>1.2567883252640002</v>
      </c>
      <c r="EN234" s="55">
        <f t="shared" ca="1" si="267"/>
        <v>-0.18878198648400002</v>
      </c>
      <c r="EO234" s="55">
        <f t="shared" ca="1" si="268"/>
        <v>0.79800746948000001</v>
      </c>
      <c r="EP234" s="55">
        <f t="shared" ca="1" si="269"/>
        <v>-0.46310065678000006</v>
      </c>
      <c r="EQ234" s="55">
        <f t="shared" ca="1" si="270"/>
        <v>-0.22752619252</v>
      </c>
      <c r="ER234" s="55">
        <f t="shared" ca="1" si="271"/>
        <v>0.275950056956</v>
      </c>
      <c r="ES234" s="55">
        <f t="shared" ca="1" si="272"/>
        <v>-0.1163867998</v>
      </c>
      <c r="ET234" s="55">
        <f t="shared" ca="1" si="273"/>
        <v>-3.3105159051999983E-2</v>
      </c>
      <c r="EU234" s="55">
        <f t="shared" ca="1" si="274"/>
        <v>-0.54501924635200005</v>
      </c>
      <c r="EV234" s="55">
        <f t="shared" ca="1" si="275"/>
        <v>-0.15330197505999998</v>
      </c>
      <c r="EW234" s="55">
        <f t="shared" ca="1" si="276"/>
        <v>9.2597451048000004E-2</v>
      </c>
      <c r="EX234" s="55">
        <f t="shared" ca="1" si="277"/>
        <v>-0.17367447776799999</v>
      </c>
      <c r="EY234" s="55">
        <f t="shared" ca="1" si="278"/>
        <v>-1.1809909999999999</v>
      </c>
      <c r="EZ234" s="55">
        <f t="shared" ca="1" si="279"/>
        <v>0.28868300000000002</v>
      </c>
      <c r="FA234" s="55">
        <f t="shared" ca="1" si="280"/>
        <v>0.70152700000000001</v>
      </c>
      <c r="FB234" s="55">
        <f t="shared" ca="1" si="281"/>
        <v>-0.30702600000000002</v>
      </c>
      <c r="FC234" s="55">
        <f t="shared" ca="1" si="282"/>
        <v>-0.76923600000000003</v>
      </c>
      <c r="FD234" s="55">
        <f t="shared" ca="1" si="283"/>
        <v>0.71762300000000001</v>
      </c>
      <c r="FE234" s="55">
        <f t="shared" ca="1" si="284"/>
        <v>-1.0298890000000001</v>
      </c>
      <c r="FF234" s="55">
        <f t="shared" ca="1" si="285"/>
        <v>-0.94150599999999995</v>
      </c>
      <c r="FH234" s="55">
        <f t="shared" ca="1" si="286"/>
        <v>0</v>
      </c>
      <c r="FI234" s="55">
        <f t="shared" ca="1" si="379"/>
        <v>0</v>
      </c>
      <c r="FJ234" s="55">
        <f t="shared" ca="1" si="380"/>
        <v>0</v>
      </c>
      <c r="FK234" s="55">
        <f t="shared" ca="1" si="381"/>
        <v>0</v>
      </c>
      <c r="FL234" s="55">
        <f t="shared" ca="1" si="382"/>
        <v>0</v>
      </c>
      <c r="FM234" s="55">
        <f t="shared" ca="1" si="383"/>
        <v>0</v>
      </c>
      <c r="FN234" s="55">
        <f t="shared" ca="1" si="384"/>
        <v>5.7579118912000016E-2</v>
      </c>
      <c r="FO234" s="55">
        <f t="shared" ca="1" si="385"/>
        <v>-8.3128079160000035E-3</v>
      </c>
      <c r="FP234" s="55">
        <f t="shared" ca="1" si="386"/>
        <v>-0.28083676434799987</v>
      </c>
      <c r="FQ234" s="55">
        <f t="shared" ca="1" si="387"/>
        <v>0.26023662016799998</v>
      </c>
      <c r="FR234" s="55">
        <f t="shared" ca="1" si="388"/>
        <v>-0.52649582943999995</v>
      </c>
      <c r="FS234" s="55">
        <f t="shared" ca="1" si="329"/>
        <v>0.61809892642399999</v>
      </c>
      <c r="FT234" s="55">
        <f t="shared" ca="1" si="330"/>
        <v>0.34582921024399993</v>
      </c>
      <c r="FU234" s="55">
        <f t="shared" ca="1" si="331"/>
        <v>-0.25244129013599992</v>
      </c>
      <c r="FV234" s="55">
        <f t="shared" ca="1" si="332"/>
        <v>7.6895465499999982E-2</v>
      </c>
      <c r="FW234" s="55">
        <f t="shared" ca="1" si="333"/>
        <v>-0.25032664876799993</v>
      </c>
      <c r="FX234" s="55">
        <f t="shared" ca="1" si="334"/>
        <v>0.62419786472399985</v>
      </c>
      <c r="FY234" s="55">
        <f t="shared" ca="1" si="335"/>
        <v>-0.36580365091199996</v>
      </c>
      <c r="FZ234" s="55">
        <f t="shared" ca="1" si="336"/>
        <v>-5.2671433723999961E-2</v>
      </c>
      <c r="GA234" s="55">
        <f t="shared" ca="1" si="337"/>
        <v>0.22270777698400002</v>
      </c>
      <c r="GB234" s="55">
        <f t="shared" ca="1" si="338"/>
        <v>-0.33414392723599995</v>
      </c>
      <c r="GC234" s="55">
        <f t="shared" ca="1" si="339"/>
        <v>8.939051270799997E-2</v>
      </c>
      <c r="GD234" s="55">
        <f t="shared" ca="1" si="340"/>
        <v>-5.5624373839999963E-2</v>
      </c>
      <c r="GE234" s="55">
        <f t="shared" ca="1" si="341"/>
        <v>0.14116066602399996</v>
      </c>
      <c r="GF234" s="55">
        <f t="shared" ca="1" si="342"/>
        <v>-1.6150040032000046E-2</v>
      </c>
      <c r="GG234" s="55">
        <f t="shared" ca="1" si="343"/>
        <v>0.18899587946399998</v>
      </c>
      <c r="GH234" s="55">
        <f t="shared" ca="1" si="344"/>
        <v>-0.18391081735599996</v>
      </c>
      <c r="GI234" s="55">
        <f t="shared" ca="1" si="345"/>
        <v>-8.6042459075999972E-2</v>
      </c>
      <c r="GJ234" s="55">
        <f t="shared" ca="1" si="346"/>
        <v>0.28604804684399993</v>
      </c>
      <c r="GK234" s="55">
        <f t="shared" ca="1" si="347"/>
        <v>4.6150646835999995E-2</v>
      </c>
      <c r="GL234" s="55">
        <f t="shared" ca="1" si="348"/>
        <v>-0.54252967473599978</v>
      </c>
      <c r="GM234" s="55">
        <f t="shared" ca="1" si="349"/>
        <v>0.10964901351599998</v>
      </c>
      <c r="GN234" s="55">
        <f t="shared" ca="1" si="350"/>
        <v>-1.4367530519999949E-2</v>
      </c>
      <c r="GO234" s="55">
        <f t="shared" ca="1" si="351"/>
        <v>0.38442334321999999</v>
      </c>
      <c r="GP234" s="55">
        <f t="shared" ca="1" si="352"/>
        <v>0.29501380748</v>
      </c>
      <c r="GQ234" s="55">
        <f t="shared" ca="1" si="353"/>
        <v>-3.8259430440000242E-3</v>
      </c>
      <c r="GR234" s="55">
        <f t="shared" ca="1" si="354"/>
        <v>-0.13363679979999998</v>
      </c>
      <c r="GS234" s="55">
        <f t="shared" ca="1" si="355"/>
        <v>-0.11827415905199998</v>
      </c>
      <c r="GT234" s="55">
        <f t="shared" ca="1" si="356"/>
        <v>0.33532875364799997</v>
      </c>
      <c r="GU234" s="55">
        <f t="shared" ca="1" si="357"/>
        <v>0.10146602494000001</v>
      </c>
      <c r="GV234" s="55">
        <f t="shared" ca="1" si="358"/>
        <v>-0.11889754895199998</v>
      </c>
      <c r="GW234" s="55">
        <f t="shared" ca="1" si="359"/>
        <v>0.27107152223199998</v>
      </c>
      <c r="GX234" s="55">
        <f t="shared" ca="1" si="360"/>
        <v>0</v>
      </c>
      <c r="GY234" s="55">
        <f t="shared" ca="1" si="361"/>
        <v>0</v>
      </c>
      <c r="GZ234" s="55">
        <f t="shared" ca="1" si="362"/>
        <v>0</v>
      </c>
      <c r="HA234" s="55">
        <f t="shared" ca="1" si="363"/>
        <v>0</v>
      </c>
      <c r="HB234" s="55">
        <f t="shared" ca="1" si="364"/>
        <v>0</v>
      </c>
      <c r="HC234" s="55">
        <f t="shared" ca="1" si="365"/>
        <v>0</v>
      </c>
      <c r="HD234" s="55">
        <f t="shared" ca="1" si="366"/>
        <v>0</v>
      </c>
      <c r="HE234" s="55">
        <f t="shared" ca="1" si="367"/>
        <v>0</v>
      </c>
    </row>
    <row r="235" spans="1:213">
      <c r="A235" s="27">
        <v>98</v>
      </c>
      <c r="B235" s="27">
        <v>30</v>
      </c>
      <c r="C235" s="27">
        <v>0.28742299999999998</v>
      </c>
      <c r="D235" s="27">
        <v>0.97110200000000002</v>
      </c>
      <c r="E235" s="27">
        <v>1</v>
      </c>
      <c r="F235" s="27">
        <f t="shared" ca="1" si="231"/>
        <v>4</v>
      </c>
      <c r="G235" s="27">
        <f t="shared" si="230"/>
        <v>0</v>
      </c>
      <c r="H235" s="27" t="str">
        <f t="shared" si="232"/>
        <v>Sim</v>
      </c>
      <c r="I235" s="27">
        <f t="shared" si="233"/>
        <v>0</v>
      </c>
      <c r="J235" s="37">
        <f t="shared" si="234"/>
        <v>1</v>
      </c>
      <c r="K235" s="55">
        <f t="shared" si="235"/>
        <v>0.94180900000000001</v>
      </c>
      <c r="L235" s="55">
        <f t="shared" si="368"/>
        <v>-0.96661600000000003</v>
      </c>
      <c r="M235" s="55">
        <f t="shared" si="369"/>
        <v>-1.701E-3</v>
      </c>
      <c r="N235" s="55">
        <f t="shared" si="370"/>
        <v>-0.54540299999999997</v>
      </c>
      <c r="O235" s="55">
        <f t="shared" si="371"/>
        <v>-0.43832100000000002</v>
      </c>
      <c r="P235" s="55">
        <f t="shared" si="372"/>
        <v>-1.4298390000000001</v>
      </c>
      <c r="Q235" s="55">
        <f t="shared" si="373"/>
        <v>0.92647900000000005</v>
      </c>
      <c r="R235" s="55">
        <f t="shared" si="374"/>
        <v>-0.78257600000000005</v>
      </c>
      <c r="S235" s="55">
        <f t="shared" si="375"/>
        <v>0.45502300000000001</v>
      </c>
      <c r="T235" s="55">
        <f t="shared" si="376"/>
        <v>0.18059900000000001</v>
      </c>
      <c r="U235" s="55">
        <f t="shared" si="377"/>
        <v>-0.34862500000000002</v>
      </c>
      <c r="V235" s="55">
        <f t="shared" si="288"/>
        <v>-0.84838400000000003</v>
      </c>
      <c r="W235" s="55">
        <f t="shared" si="289"/>
        <v>0.65981699999999999</v>
      </c>
      <c r="X235" s="55">
        <f t="shared" si="290"/>
        <v>-1.4716579999999999</v>
      </c>
      <c r="Y235" s="55">
        <f t="shared" si="291"/>
        <v>1.3420000000000001E-3</v>
      </c>
      <c r="Z235" s="55">
        <f t="shared" si="292"/>
        <v>-3.8100000000000002E-2</v>
      </c>
      <c r="AA235" s="55">
        <f t="shared" si="293"/>
        <v>-0.96284999999999998</v>
      </c>
      <c r="AB235" s="55">
        <f t="shared" si="294"/>
        <v>0.84333599999999997</v>
      </c>
      <c r="AC235" s="55">
        <f t="shared" si="295"/>
        <v>0.60397100000000004</v>
      </c>
      <c r="AD235" s="55">
        <f t="shared" si="296"/>
        <v>-1.6871149999999999</v>
      </c>
      <c r="AE235" s="55">
        <f t="shared" si="297"/>
        <v>-0.68394600000000005</v>
      </c>
      <c r="AF235" s="55">
        <f t="shared" si="298"/>
        <v>0.61243499999999995</v>
      </c>
      <c r="AG235" s="55">
        <f t="shared" si="299"/>
        <v>0.67593400000000003</v>
      </c>
      <c r="AH235" s="55">
        <f t="shared" si="300"/>
        <v>0.32172499999999998</v>
      </c>
      <c r="AI235" s="55">
        <f t="shared" si="301"/>
        <v>-0.48714099999999999</v>
      </c>
      <c r="AJ235" s="55">
        <f t="shared" si="302"/>
        <v>-0.543597</v>
      </c>
      <c r="AK235" s="55">
        <f t="shared" si="303"/>
        <v>-0.49929000000000001</v>
      </c>
      <c r="AL235" s="55">
        <f t="shared" si="304"/>
        <v>0.19483600000000001</v>
      </c>
      <c r="AM235" s="55">
        <f t="shared" si="305"/>
        <v>-0.87549399999999999</v>
      </c>
      <c r="AN235" s="55">
        <f t="shared" si="306"/>
        <v>-0.78691800000000001</v>
      </c>
      <c r="AO235" s="55">
        <f t="shared" si="307"/>
        <v>0.32993400000000001</v>
      </c>
      <c r="AP235" s="55">
        <f t="shared" si="308"/>
        <v>-0.41718</v>
      </c>
      <c r="AQ235" s="55">
        <f t="shared" si="309"/>
        <v>-0.25569599999999998</v>
      </c>
      <c r="AR235" s="55">
        <f t="shared" si="310"/>
        <v>-0.97838499999999995</v>
      </c>
      <c r="AS235" s="55">
        <f t="shared" si="311"/>
        <v>-0.55299500000000001</v>
      </c>
      <c r="AT235" s="55">
        <f t="shared" si="312"/>
        <v>-1.1587E-2</v>
      </c>
      <c r="AU235" s="55">
        <f t="shared" si="313"/>
        <v>-0.10553800000000001</v>
      </c>
      <c r="AV235" s="55">
        <f t="shared" si="314"/>
        <v>0.33248499999999998</v>
      </c>
      <c r="AW235" s="55">
        <f t="shared" si="315"/>
        <v>0.36088500000000001</v>
      </c>
      <c r="AX235" s="55">
        <f t="shared" si="316"/>
        <v>0.129166</v>
      </c>
      <c r="AY235" s="55">
        <f t="shared" si="317"/>
        <v>0.195464</v>
      </c>
      <c r="AZ235" s="55">
        <f t="shared" si="318"/>
        <v>-0.39376699999999998</v>
      </c>
      <c r="BA235" s="55">
        <f t="shared" si="319"/>
        <v>0.58815799999999996</v>
      </c>
      <c r="BB235" s="55">
        <f t="shared" si="320"/>
        <v>-0.56207700000000005</v>
      </c>
      <c r="BC235" s="55">
        <f t="shared" si="321"/>
        <v>-0.127944</v>
      </c>
      <c r="BD235" s="55">
        <f t="shared" si="322"/>
        <v>5.8170000000000001E-3</v>
      </c>
      <c r="BE235" s="55">
        <f t="shared" si="323"/>
        <v>1.0401769999999999</v>
      </c>
      <c r="BF235" s="55">
        <f t="shared" si="324"/>
        <v>0.38863900000000001</v>
      </c>
      <c r="BG235" s="55">
        <f t="shared" si="325"/>
        <v>0.71790500000000002</v>
      </c>
      <c r="BH235" s="55">
        <f t="shared" si="326"/>
        <v>-1.2433989999999999</v>
      </c>
      <c r="BJ235" s="55">
        <f t="shared" si="392"/>
        <v>0.70118800000000003</v>
      </c>
      <c r="BK235" s="55">
        <f t="shared" si="392"/>
        <v>-0.77819899999999997</v>
      </c>
      <c r="BL235" s="55">
        <f t="shared" si="392"/>
        <v>3.1711999999999997E-2</v>
      </c>
      <c r="BM235" s="55">
        <f t="shared" si="392"/>
        <v>0.64301200000000003</v>
      </c>
      <c r="BN235" s="55">
        <f t="shared" si="392"/>
        <v>0.37828099999999998</v>
      </c>
      <c r="BO235" s="55">
        <f t="shared" si="392"/>
        <v>-0.91408699999999998</v>
      </c>
      <c r="BP235" s="55">
        <f t="shared" si="392"/>
        <v>0.68633999999999995</v>
      </c>
      <c r="BQ235" s="55">
        <f t="shared" si="392"/>
        <v>-1.1864509999999999</v>
      </c>
      <c r="BR235" s="55">
        <f t="shared" si="392"/>
        <v>-8.1648999999999999E-2</v>
      </c>
      <c r="BS235" s="55">
        <f t="shared" si="392"/>
        <v>0.24657599999999999</v>
      </c>
      <c r="BT235" s="55">
        <f t="shared" si="392"/>
        <v>0.78340399999999999</v>
      </c>
      <c r="BU235" s="55">
        <f t="shared" si="392"/>
        <v>-0.88504099999999997</v>
      </c>
      <c r="BV235" s="55">
        <f t="shared" si="392"/>
        <v>-0.51915699999999998</v>
      </c>
      <c r="BW235" s="55">
        <f t="shared" si="392"/>
        <v>1.035377</v>
      </c>
      <c r="BX235" s="55">
        <f t="shared" si="392"/>
        <v>-0.19822999999999999</v>
      </c>
      <c r="BY235" s="55">
        <f t="shared" si="392"/>
        <v>0.12973899999999999</v>
      </c>
      <c r="BZ235" s="55">
        <f t="shared" si="390"/>
        <v>-0.52273099999999995</v>
      </c>
      <c r="CA235" s="55">
        <f t="shared" si="390"/>
        <v>-0.40881899999999999</v>
      </c>
      <c r="CB235" s="55">
        <f t="shared" si="390"/>
        <v>-0.65687399999999996</v>
      </c>
      <c r="CC235" s="55">
        <f t="shared" si="390"/>
        <v>0.66090300000000002</v>
      </c>
      <c r="CD235" s="55">
        <f t="shared" si="390"/>
        <v>-1.2415909999999999</v>
      </c>
      <c r="CE235" s="55">
        <f t="shared" si="390"/>
        <v>-0.96428700000000001</v>
      </c>
      <c r="CF235" s="55">
        <f t="shared" si="390"/>
        <v>-0.34388299999999999</v>
      </c>
      <c r="CG235" s="55">
        <f t="shared" si="390"/>
        <v>0.71516500000000005</v>
      </c>
      <c r="CH235" s="55">
        <f t="shared" si="390"/>
        <v>-0.61223799999999995</v>
      </c>
      <c r="CI235" s="55">
        <f t="shared" si="390"/>
        <v>-0.310886</v>
      </c>
      <c r="CJ235" s="55">
        <f t="shared" si="390"/>
        <v>-0.98727699999999996</v>
      </c>
      <c r="CK235" s="55">
        <f t="shared" si="390"/>
        <v>0.66283499999999995</v>
      </c>
      <c r="CL235" s="55">
        <f t="shared" si="390"/>
        <v>4.3470000000000002E-2</v>
      </c>
      <c r="CM235" s="55">
        <f t="shared" si="390"/>
        <v>0.44044</v>
      </c>
      <c r="CN235" s="55">
        <f t="shared" si="390"/>
        <v>0.65242</v>
      </c>
      <c r="CO235" s="55">
        <f t="shared" si="391"/>
        <v>0.223997</v>
      </c>
      <c r="CP235" s="55">
        <f t="shared" si="391"/>
        <v>2.3810000000000001E-2</v>
      </c>
      <c r="CQ235" s="55">
        <f t="shared" si="391"/>
        <v>0.49069200000000002</v>
      </c>
      <c r="CR235" s="55">
        <f t="shared" si="391"/>
        <v>-0.248358</v>
      </c>
      <c r="CS235" s="55">
        <f t="shared" si="391"/>
        <v>0.80503199999999997</v>
      </c>
      <c r="CT235" s="55">
        <f t="shared" si="391"/>
        <v>0.60842399999999996</v>
      </c>
      <c r="CU235" s="55">
        <f t="shared" si="391"/>
        <v>5.6078000000000003E-2</v>
      </c>
      <c r="CV235" s="55">
        <f t="shared" si="391"/>
        <v>-0.54683099999999996</v>
      </c>
      <c r="CW235" s="55">
        <f t="shared" si="391"/>
        <v>0.37801899999999999</v>
      </c>
      <c r="CX235" s="55">
        <f t="shared" si="391"/>
        <v>-0.169601</v>
      </c>
      <c r="CY235" s="55">
        <f t="shared" si="391"/>
        <v>0.31381100000000001</v>
      </c>
      <c r="CZ235" s="55">
        <f t="shared" si="391"/>
        <v>0.39277400000000001</v>
      </c>
      <c r="DA235" s="55">
        <f t="shared" si="391"/>
        <v>-0.75850799999999996</v>
      </c>
      <c r="DB235" s="55">
        <f t="shared" si="391"/>
        <v>0.97770299999999999</v>
      </c>
      <c r="DC235" s="55">
        <f t="shared" si="391"/>
        <v>-0.82261600000000001</v>
      </c>
      <c r="DD235" s="55">
        <f t="shared" si="391"/>
        <v>0.20293700000000001</v>
      </c>
      <c r="DE235" s="55">
        <f t="shared" si="389"/>
        <v>0.64005800000000002</v>
      </c>
      <c r="DF235" s="55">
        <f t="shared" si="389"/>
        <v>-0.60011700000000001</v>
      </c>
      <c r="DG235" s="55">
        <f t="shared" si="389"/>
        <v>1.5343000000000001E-2</v>
      </c>
      <c r="DI235" s="55">
        <f t="shared" ca="1" si="236"/>
        <v>0.94180900000000001</v>
      </c>
      <c r="DJ235" s="55">
        <f t="shared" ca="1" si="237"/>
        <v>-0.96117112553400008</v>
      </c>
      <c r="DK235" s="55">
        <f t="shared" ca="1" si="238"/>
        <v>-7.3543112600000084E-4</v>
      </c>
      <c r="DL235" s="55">
        <f t="shared" ca="1" si="239"/>
        <v>-0.51106018333000003</v>
      </c>
      <c r="DM235" s="55">
        <f t="shared" ca="1" si="240"/>
        <v>-0.43832100000000002</v>
      </c>
      <c r="DN235" s="55">
        <f t="shared" ca="1" si="241"/>
        <v>-1.4298390000000001</v>
      </c>
      <c r="DO235" s="55">
        <f t="shared" ca="1" si="242"/>
        <v>0.92647900000000005</v>
      </c>
      <c r="DP235" s="55">
        <f t="shared" ca="1" si="243"/>
        <v>-0.78257600000000005</v>
      </c>
      <c r="DQ235" s="55">
        <f t="shared" ca="1" si="244"/>
        <v>0.45502300000000001</v>
      </c>
      <c r="DR235" s="55">
        <f t="shared" ca="1" si="245"/>
        <v>0.18059900000000001</v>
      </c>
      <c r="DS235" s="55">
        <f t="shared" ca="1" si="246"/>
        <v>-0.34862500000000002</v>
      </c>
      <c r="DT235" s="55">
        <f t="shared" ca="1" si="247"/>
        <v>-0.84838400000000003</v>
      </c>
      <c r="DU235" s="55">
        <f t="shared" ca="1" si="248"/>
        <v>0.65981699999999999</v>
      </c>
      <c r="DV235" s="55">
        <f t="shared" ca="1" si="249"/>
        <v>-1.4716579999999999</v>
      </c>
      <c r="DW235" s="55">
        <f t="shared" ca="1" si="250"/>
        <v>1.3420000000000001E-3</v>
      </c>
      <c r="DX235" s="55">
        <f t="shared" ca="1" si="251"/>
        <v>-3.8100000000000002E-2</v>
      </c>
      <c r="DY235" s="55">
        <f t="shared" ca="1" si="252"/>
        <v>-0.96284999999999998</v>
      </c>
      <c r="DZ235" s="55">
        <f t="shared" ca="1" si="253"/>
        <v>0.84333599999999997</v>
      </c>
      <c r="EA235" s="55">
        <f t="shared" ca="1" si="254"/>
        <v>0.60397100000000004</v>
      </c>
      <c r="EB235" s="55">
        <f t="shared" ca="1" si="255"/>
        <v>-1.6871149999999999</v>
      </c>
      <c r="EC235" s="55">
        <f t="shared" ca="1" si="256"/>
        <v>-0.68394600000000005</v>
      </c>
      <c r="ED235" s="55">
        <f t="shared" ca="1" si="257"/>
        <v>0.61243499999999995</v>
      </c>
      <c r="EE235" s="55">
        <f t="shared" ca="1" si="258"/>
        <v>0.67593400000000003</v>
      </c>
      <c r="EF235" s="55">
        <f t="shared" ca="1" si="259"/>
        <v>0.32172499999999998</v>
      </c>
      <c r="EG235" s="55">
        <f t="shared" ca="1" si="260"/>
        <v>-0.48714099999999999</v>
      </c>
      <c r="EH235" s="55">
        <f t="shared" ca="1" si="261"/>
        <v>-0.543597</v>
      </c>
      <c r="EI235" s="55">
        <f t="shared" ca="1" si="262"/>
        <v>-0.49929000000000001</v>
      </c>
      <c r="EJ235" s="55">
        <f t="shared" ca="1" si="263"/>
        <v>0.19483600000000001</v>
      </c>
      <c r="EK235" s="55">
        <f t="shared" ca="1" si="264"/>
        <v>-0.87549399999999999</v>
      </c>
      <c r="EL235" s="55">
        <f t="shared" ca="1" si="265"/>
        <v>-0.78691800000000001</v>
      </c>
      <c r="EM235" s="55">
        <f t="shared" ca="1" si="266"/>
        <v>0.32993400000000001</v>
      </c>
      <c r="EN235" s="55">
        <f t="shared" ca="1" si="267"/>
        <v>-0.41718</v>
      </c>
      <c r="EO235" s="55">
        <f t="shared" ca="1" si="268"/>
        <v>-0.25569599999999998</v>
      </c>
      <c r="EP235" s="55">
        <f t="shared" ca="1" si="269"/>
        <v>-0.97838499999999995</v>
      </c>
      <c r="EQ235" s="55">
        <f t="shared" ca="1" si="270"/>
        <v>-0.55299500000000001</v>
      </c>
      <c r="ER235" s="55">
        <f t="shared" ca="1" si="271"/>
        <v>-1.1587E-2</v>
      </c>
      <c r="ES235" s="55">
        <f t="shared" ca="1" si="272"/>
        <v>-0.10553800000000001</v>
      </c>
      <c r="ET235" s="55">
        <f t="shared" ca="1" si="273"/>
        <v>0.33248499999999998</v>
      </c>
      <c r="EU235" s="55">
        <f t="shared" ca="1" si="274"/>
        <v>0.36088500000000001</v>
      </c>
      <c r="EV235" s="55">
        <f t="shared" ca="1" si="275"/>
        <v>0.129166</v>
      </c>
      <c r="EW235" s="55">
        <f t="shared" ca="1" si="276"/>
        <v>0.195464</v>
      </c>
      <c r="EX235" s="55">
        <f t="shared" ca="1" si="277"/>
        <v>-0.39376699999999998</v>
      </c>
      <c r="EY235" s="55">
        <f t="shared" ca="1" si="278"/>
        <v>0.58815799999999996</v>
      </c>
      <c r="EZ235" s="55">
        <f t="shared" ca="1" si="279"/>
        <v>-0.56207700000000005</v>
      </c>
      <c r="FA235" s="55">
        <f t="shared" ca="1" si="280"/>
        <v>-0.127944</v>
      </c>
      <c r="FB235" s="55">
        <f t="shared" ca="1" si="281"/>
        <v>5.8170000000000001E-3</v>
      </c>
      <c r="FC235" s="55">
        <f t="shared" ca="1" si="282"/>
        <v>1.0401769999999999</v>
      </c>
      <c r="FD235" s="55">
        <f t="shared" ca="1" si="283"/>
        <v>0.38863900000000001</v>
      </c>
      <c r="FE235" s="55">
        <f t="shared" ca="1" si="284"/>
        <v>0.71790500000000002</v>
      </c>
      <c r="FF235" s="55">
        <f t="shared" ca="1" si="285"/>
        <v>-1.2433989999999999</v>
      </c>
      <c r="FH235" s="55">
        <f t="shared" ca="1" si="286"/>
        <v>0</v>
      </c>
      <c r="FI235" s="55">
        <f t="shared" ca="1" si="379"/>
        <v>5.4448744659999493E-3</v>
      </c>
      <c r="FJ235" s="55">
        <f t="shared" ca="1" si="380"/>
        <v>9.655688739999992E-4</v>
      </c>
      <c r="FK235" s="55">
        <f t="shared" ca="1" si="381"/>
        <v>3.4342816669999943E-2</v>
      </c>
      <c r="FL235" s="55">
        <f t="shared" ca="1" si="382"/>
        <v>0</v>
      </c>
      <c r="FM235" s="55">
        <f t="shared" ca="1" si="383"/>
        <v>0</v>
      </c>
      <c r="FN235" s="55">
        <f t="shared" ca="1" si="384"/>
        <v>0</v>
      </c>
      <c r="FO235" s="55">
        <f t="shared" ca="1" si="385"/>
        <v>0</v>
      </c>
      <c r="FP235" s="55">
        <f t="shared" ca="1" si="386"/>
        <v>0</v>
      </c>
      <c r="FQ235" s="55">
        <f t="shared" ca="1" si="387"/>
        <v>0</v>
      </c>
      <c r="FR235" s="55">
        <f t="shared" ca="1" si="388"/>
        <v>0</v>
      </c>
      <c r="FS235" s="55">
        <f t="shared" ca="1" si="329"/>
        <v>0</v>
      </c>
      <c r="FT235" s="55">
        <f t="shared" ca="1" si="330"/>
        <v>0</v>
      </c>
      <c r="FU235" s="55">
        <f t="shared" ca="1" si="331"/>
        <v>0</v>
      </c>
      <c r="FV235" s="55">
        <f t="shared" ca="1" si="332"/>
        <v>0</v>
      </c>
      <c r="FW235" s="55">
        <f t="shared" ca="1" si="333"/>
        <v>0</v>
      </c>
      <c r="FX235" s="55">
        <f t="shared" ca="1" si="334"/>
        <v>0</v>
      </c>
      <c r="FY235" s="55">
        <f t="shared" ca="1" si="335"/>
        <v>0</v>
      </c>
      <c r="FZ235" s="55">
        <f t="shared" ca="1" si="336"/>
        <v>0</v>
      </c>
      <c r="GA235" s="55">
        <f t="shared" ca="1" si="337"/>
        <v>0</v>
      </c>
      <c r="GB235" s="55">
        <f t="shared" ca="1" si="338"/>
        <v>0</v>
      </c>
      <c r="GC235" s="55">
        <f t="shared" ca="1" si="339"/>
        <v>0</v>
      </c>
      <c r="GD235" s="55">
        <f t="shared" ca="1" si="340"/>
        <v>0</v>
      </c>
      <c r="GE235" s="55">
        <f t="shared" ca="1" si="341"/>
        <v>0</v>
      </c>
      <c r="GF235" s="55">
        <f t="shared" ca="1" si="342"/>
        <v>0</v>
      </c>
      <c r="GG235" s="55">
        <f t="shared" ca="1" si="343"/>
        <v>0</v>
      </c>
      <c r="GH235" s="55">
        <f t="shared" ca="1" si="344"/>
        <v>0</v>
      </c>
      <c r="GI235" s="55">
        <f t="shared" ca="1" si="345"/>
        <v>0</v>
      </c>
      <c r="GJ235" s="55">
        <f t="shared" ca="1" si="346"/>
        <v>0</v>
      </c>
      <c r="GK235" s="55">
        <f t="shared" ca="1" si="347"/>
        <v>0</v>
      </c>
      <c r="GL235" s="55">
        <f t="shared" ca="1" si="348"/>
        <v>0</v>
      </c>
      <c r="GM235" s="55">
        <f t="shared" ca="1" si="349"/>
        <v>0</v>
      </c>
      <c r="GN235" s="55">
        <f t="shared" ca="1" si="350"/>
        <v>0</v>
      </c>
      <c r="GO235" s="55">
        <f t="shared" ca="1" si="351"/>
        <v>0</v>
      </c>
      <c r="GP235" s="55">
        <f t="shared" ca="1" si="352"/>
        <v>0</v>
      </c>
      <c r="GQ235" s="55">
        <f t="shared" ca="1" si="353"/>
        <v>0</v>
      </c>
      <c r="GR235" s="55">
        <f t="shared" ca="1" si="354"/>
        <v>0</v>
      </c>
      <c r="GS235" s="55">
        <f t="shared" ca="1" si="355"/>
        <v>0</v>
      </c>
      <c r="GT235" s="55">
        <f t="shared" ca="1" si="356"/>
        <v>0</v>
      </c>
      <c r="GU235" s="55">
        <f t="shared" ca="1" si="357"/>
        <v>0</v>
      </c>
      <c r="GV235" s="55">
        <f t="shared" ca="1" si="358"/>
        <v>0</v>
      </c>
      <c r="GW235" s="55">
        <f t="shared" ca="1" si="359"/>
        <v>0</v>
      </c>
      <c r="GX235" s="55">
        <f t="shared" ca="1" si="360"/>
        <v>0</v>
      </c>
      <c r="GY235" s="55">
        <f t="shared" ca="1" si="361"/>
        <v>0</v>
      </c>
      <c r="GZ235" s="55">
        <f t="shared" ca="1" si="362"/>
        <v>0</v>
      </c>
      <c r="HA235" s="55">
        <f t="shared" ca="1" si="363"/>
        <v>0</v>
      </c>
      <c r="HB235" s="55">
        <f t="shared" ca="1" si="364"/>
        <v>0</v>
      </c>
      <c r="HC235" s="55">
        <f t="shared" ca="1" si="365"/>
        <v>0</v>
      </c>
      <c r="HD235" s="55">
        <f t="shared" ca="1" si="366"/>
        <v>0</v>
      </c>
      <c r="HE235" s="55">
        <f t="shared" ca="1" si="367"/>
        <v>0</v>
      </c>
    </row>
    <row r="236" spans="1:213">
      <c r="A236" s="27">
        <v>99</v>
      </c>
      <c r="B236" s="27">
        <v>60</v>
      </c>
      <c r="C236" s="27">
        <v>0.945913</v>
      </c>
      <c r="D236" s="27">
        <v>0.90887899999999999</v>
      </c>
      <c r="E236" s="27">
        <v>24</v>
      </c>
      <c r="F236" s="27">
        <f t="shared" ca="1" si="231"/>
        <v>33</v>
      </c>
      <c r="G236" s="27">
        <f t="shared" si="230"/>
        <v>0</v>
      </c>
      <c r="H236" s="27" t="str">
        <f t="shared" si="232"/>
        <v>Não</v>
      </c>
      <c r="I236" s="27">
        <f t="shared" si="233"/>
        <v>0</v>
      </c>
      <c r="J236" s="37">
        <f t="shared" si="234"/>
        <v>0</v>
      </c>
      <c r="K236" s="55">
        <f t="shared" si="235"/>
        <v>0.14165700000000001</v>
      </c>
      <c r="L236" s="55">
        <f t="shared" si="368"/>
        <v>0.93150100000000002</v>
      </c>
      <c r="M236" s="55">
        <f t="shared" si="369"/>
        <v>0.21973599999999999</v>
      </c>
      <c r="N236" s="55">
        <f t="shared" si="370"/>
        <v>8.7349999999999997E-2</v>
      </c>
      <c r="O236" s="55">
        <f t="shared" si="371"/>
        <v>0.66057299999999997</v>
      </c>
      <c r="P236" s="55">
        <f t="shared" si="372"/>
        <v>0.32617000000000002</v>
      </c>
      <c r="Q236" s="55">
        <f t="shared" si="373"/>
        <v>0.486794</v>
      </c>
      <c r="R236" s="55">
        <f t="shared" si="374"/>
        <v>-0.60062700000000002</v>
      </c>
      <c r="S236" s="55">
        <f t="shared" si="375"/>
        <v>1.7281930000000001</v>
      </c>
      <c r="T236" s="55">
        <f t="shared" si="376"/>
        <v>1.279531</v>
      </c>
      <c r="U236" s="55">
        <f t="shared" si="377"/>
        <v>-0.37542500000000001</v>
      </c>
      <c r="V236" s="55">
        <f t="shared" si="288"/>
        <v>-0.86995599999999995</v>
      </c>
      <c r="W236" s="55">
        <f t="shared" si="289"/>
        <v>-0.88975000000000004</v>
      </c>
      <c r="X236" s="55">
        <f t="shared" si="290"/>
        <v>-1.1213439999999999</v>
      </c>
      <c r="Y236" s="55">
        <f t="shared" si="291"/>
        <v>1.2563500000000001</v>
      </c>
      <c r="Z236" s="55">
        <f t="shared" si="292"/>
        <v>0.63623399999999997</v>
      </c>
      <c r="AA236" s="55">
        <f t="shared" si="293"/>
        <v>0.55337499999999995</v>
      </c>
      <c r="AB236" s="55">
        <f t="shared" si="294"/>
        <v>-0.316774</v>
      </c>
      <c r="AC236" s="55">
        <f t="shared" si="295"/>
        <v>-0.57559000000000005</v>
      </c>
      <c r="AD236" s="55">
        <f t="shared" si="296"/>
        <v>-0.77202599999999999</v>
      </c>
      <c r="AE236" s="55">
        <f t="shared" si="297"/>
        <v>-0.78446899999999997</v>
      </c>
      <c r="AF236" s="55">
        <f t="shared" si="298"/>
        <v>0.47545100000000001</v>
      </c>
      <c r="AG236" s="55">
        <f t="shared" si="299"/>
        <v>0.97257099999999996</v>
      </c>
      <c r="AH236" s="55">
        <f t="shared" si="300"/>
        <v>0.81458900000000001</v>
      </c>
      <c r="AI236" s="55">
        <f t="shared" si="301"/>
        <v>0.34436099999999997</v>
      </c>
      <c r="AJ236" s="55">
        <f t="shared" si="302"/>
        <v>4.1963E-2</v>
      </c>
      <c r="AK236" s="55">
        <f t="shared" si="303"/>
        <v>0.81816999999999995</v>
      </c>
      <c r="AL236" s="55">
        <f t="shared" si="304"/>
        <v>0.49418299999999998</v>
      </c>
      <c r="AM236" s="55">
        <f t="shared" si="305"/>
        <v>-0.74974099999999999</v>
      </c>
      <c r="AN236" s="55">
        <f t="shared" si="306"/>
        <v>-1.1178939999999999</v>
      </c>
      <c r="AO236" s="55">
        <f t="shared" si="307"/>
        <v>1.0275810000000001</v>
      </c>
      <c r="AP236" s="55">
        <f t="shared" si="308"/>
        <v>0.18726499999999999</v>
      </c>
      <c r="AQ236" s="55">
        <f t="shared" si="309"/>
        <v>-0.46878799999999998</v>
      </c>
      <c r="AR236" s="55">
        <f t="shared" si="310"/>
        <v>0.21907799999999999</v>
      </c>
      <c r="AS236" s="55">
        <f t="shared" si="311"/>
        <v>0.65311699999999995</v>
      </c>
      <c r="AT236" s="55">
        <f t="shared" si="312"/>
        <v>-0.532003</v>
      </c>
      <c r="AU236" s="55">
        <f t="shared" si="313"/>
        <v>0.80649400000000004</v>
      </c>
      <c r="AV236" s="55">
        <f t="shared" si="314"/>
        <v>-0.388903</v>
      </c>
      <c r="AW236" s="55">
        <f t="shared" si="315"/>
        <v>-0.21298</v>
      </c>
      <c r="AX236" s="55">
        <f t="shared" si="316"/>
        <v>-0.33707300000000001</v>
      </c>
      <c r="AY236" s="55">
        <f t="shared" si="317"/>
        <v>-1.7750000000000001E-3</v>
      </c>
      <c r="AZ236" s="55">
        <f t="shared" si="318"/>
        <v>-0.43126399999999998</v>
      </c>
      <c r="BA236" s="55">
        <f t="shared" si="319"/>
        <v>0.65154900000000004</v>
      </c>
      <c r="BB236" s="55">
        <f t="shared" si="320"/>
        <v>-0.22847300000000001</v>
      </c>
      <c r="BC236" s="55">
        <f t="shared" si="321"/>
        <v>-0.868004</v>
      </c>
      <c r="BD236" s="55">
        <f t="shared" si="322"/>
        <v>-0.905532</v>
      </c>
      <c r="BE236" s="55">
        <f t="shared" si="323"/>
        <v>0.25758300000000001</v>
      </c>
      <c r="BF236" s="55">
        <f t="shared" si="324"/>
        <v>-5.6763000000000001E-2</v>
      </c>
      <c r="BG236" s="55">
        <f t="shared" si="325"/>
        <v>-0.61416400000000004</v>
      </c>
      <c r="BH236" s="55">
        <f t="shared" si="326"/>
        <v>9.1121999999999995E-2</v>
      </c>
      <c r="BJ236" s="55">
        <f t="shared" si="392"/>
        <v>-0.64072499999999999</v>
      </c>
      <c r="BK236" s="55">
        <f t="shared" si="392"/>
        <v>0.26803700000000003</v>
      </c>
      <c r="BL236" s="55">
        <f t="shared" si="392"/>
        <v>-0.239621</v>
      </c>
      <c r="BM236" s="55">
        <f t="shared" si="392"/>
        <v>0.25725999999999999</v>
      </c>
      <c r="BN236" s="55">
        <f t="shared" si="392"/>
        <v>-0.13240499999999999</v>
      </c>
      <c r="BO236" s="55">
        <f t="shared" si="392"/>
        <v>-0.69857199999999997</v>
      </c>
      <c r="BP236" s="55">
        <f t="shared" si="392"/>
        <v>-0.45666099999999998</v>
      </c>
      <c r="BQ236" s="55">
        <f t="shared" si="392"/>
        <v>-0.89855799999999997</v>
      </c>
      <c r="BR236" s="55">
        <f t="shared" si="392"/>
        <v>-0.68262</v>
      </c>
      <c r="BS236" s="55">
        <f t="shared" si="392"/>
        <v>0.90382099999999999</v>
      </c>
      <c r="BT236" s="55">
        <f t="shared" si="392"/>
        <v>-1.22786</v>
      </c>
      <c r="BU236" s="55">
        <f t="shared" si="392"/>
        <v>-0.10549</v>
      </c>
      <c r="BV236" s="55">
        <f t="shared" si="392"/>
        <v>0.36602600000000002</v>
      </c>
      <c r="BW236" s="55">
        <f t="shared" si="392"/>
        <v>-3.9303999999999999E-2</v>
      </c>
      <c r="BX236" s="55">
        <f t="shared" si="392"/>
        <v>-0.29153200000000001</v>
      </c>
      <c r="BY236" s="55">
        <f t="shared" si="392"/>
        <v>-0.24004600000000001</v>
      </c>
      <c r="BZ236" s="55">
        <f t="shared" si="390"/>
        <v>-0.365172</v>
      </c>
      <c r="CA236" s="55">
        <f t="shared" si="390"/>
        <v>-1.7680560000000001</v>
      </c>
      <c r="CB236" s="55">
        <f t="shared" si="390"/>
        <v>-0.48832300000000001</v>
      </c>
      <c r="CC236" s="55">
        <f t="shared" si="390"/>
        <v>0.158077</v>
      </c>
      <c r="CD236" s="55">
        <f t="shared" si="390"/>
        <v>-0.701048</v>
      </c>
      <c r="CE236" s="55">
        <f t="shared" si="390"/>
        <v>-0.14253199999999999</v>
      </c>
      <c r="CF236" s="55">
        <f t="shared" si="390"/>
        <v>3.8005999999999998E-2</v>
      </c>
      <c r="CG236" s="55">
        <f t="shared" si="390"/>
        <v>-0.114546</v>
      </c>
      <c r="CH236" s="55">
        <f t="shared" si="390"/>
        <v>0.33164199999999999</v>
      </c>
      <c r="CI236" s="55">
        <f t="shared" si="390"/>
        <v>0.84590500000000002</v>
      </c>
      <c r="CJ236" s="55">
        <f t="shared" si="390"/>
        <v>-1.754562</v>
      </c>
      <c r="CK236" s="55">
        <f t="shared" si="390"/>
        <v>1.178931</v>
      </c>
      <c r="CL236" s="55">
        <f t="shared" si="390"/>
        <v>0.928234</v>
      </c>
      <c r="CM236" s="55">
        <f t="shared" si="390"/>
        <v>-1.0962190000000001</v>
      </c>
      <c r="CN236" s="55">
        <f t="shared" si="390"/>
        <v>-0.82793399999999995</v>
      </c>
      <c r="CO236" s="55">
        <f t="shared" si="391"/>
        <v>0.74485400000000002</v>
      </c>
      <c r="CP236" s="55">
        <f t="shared" si="391"/>
        <v>-1.6927749999999999</v>
      </c>
      <c r="CQ236" s="55">
        <f t="shared" si="391"/>
        <v>0.249553</v>
      </c>
      <c r="CR236" s="55">
        <f t="shared" si="391"/>
        <v>-0.37673699999999999</v>
      </c>
      <c r="CS236" s="55">
        <f t="shared" si="391"/>
        <v>-0.35931999999999997</v>
      </c>
      <c r="CT236" s="55">
        <f t="shared" si="391"/>
        <v>0.83486400000000005</v>
      </c>
      <c r="CU236" s="55">
        <f t="shared" si="391"/>
        <v>0.14965300000000001</v>
      </c>
      <c r="CV236" s="55">
        <f t="shared" si="391"/>
        <v>0.442075</v>
      </c>
      <c r="CW236" s="55">
        <f t="shared" si="391"/>
        <v>0.174349</v>
      </c>
      <c r="CX236" s="55">
        <f t="shared" si="391"/>
        <v>-0.62146000000000001</v>
      </c>
      <c r="CY236" s="55">
        <f t="shared" si="391"/>
        <v>1.086551</v>
      </c>
      <c r="CZ236" s="55">
        <f t="shared" si="391"/>
        <v>1.34995</v>
      </c>
      <c r="DA236" s="55">
        <f t="shared" si="391"/>
        <v>0.109746</v>
      </c>
      <c r="DB236" s="55">
        <f t="shared" si="391"/>
        <v>-0.40096199999999999</v>
      </c>
      <c r="DC236" s="55">
        <f t="shared" si="391"/>
        <v>-0.50676600000000005</v>
      </c>
      <c r="DD236" s="55">
        <f t="shared" si="391"/>
        <v>0.16062199999999999</v>
      </c>
      <c r="DE236" s="55">
        <f t="shared" si="389"/>
        <v>-0.47307700000000003</v>
      </c>
      <c r="DF236" s="55">
        <f t="shared" si="389"/>
        <v>-0.945766</v>
      </c>
      <c r="DG236" s="55">
        <f t="shared" si="389"/>
        <v>-0.22873299999999999</v>
      </c>
      <c r="DI236" s="55">
        <f t="shared" ca="1" si="236"/>
        <v>0.14165700000000001</v>
      </c>
      <c r="DJ236" s="55">
        <f t="shared" ca="1" si="237"/>
        <v>0.93150100000000002</v>
      </c>
      <c r="DK236" s="55">
        <f t="shared" ca="1" si="238"/>
        <v>0.21973599999999999</v>
      </c>
      <c r="DL236" s="55">
        <f t="shared" ca="1" si="239"/>
        <v>8.7349999999999997E-2</v>
      </c>
      <c r="DM236" s="55">
        <f t="shared" ca="1" si="240"/>
        <v>0.66057299999999997</v>
      </c>
      <c r="DN236" s="55">
        <f t="shared" ca="1" si="241"/>
        <v>0.32617000000000002</v>
      </c>
      <c r="DO236" s="55">
        <f t="shared" ca="1" si="242"/>
        <v>0.486794</v>
      </c>
      <c r="DP236" s="55">
        <f t="shared" ca="1" si="243"/>
        <v>-0.60062700000000002</v>
      </c>
      <c r="DQ236" s="55">
        <f t="shared" ca="1" si="244"/>
        <v>1.7281930000000001</v>
      </c>
      <c r="DR236" s="55">
        <f t="shared" ca="1" si="245"/>
        <v>1.279531</v>
      </c>
      <c r="DS236" s="55">
        <f t="shared" ca="1" si="246"/>
        <v>-0.37542500000000001</v>
      </c>
      <c r="DT236" s="55">
        <f t="shared" ca="1" si="247"/>
        <v>-0.86995599999999995</v>
      </c>
      <c r="DU236" s="55">
        <f t="shared" ca="1" si="248"/>
        <v>-0.88975000000000004</v>
      </c>
      <c r="DV236" s="55">
        <f t="shared" ca="1" si="249"/>
        <v>-1.1213439999999999</v>
      </c>
      <c r="DW236" s="55">
        <f t="shared" ca="1" si="250"/>
        <v>1.2563500000000001</v>
      </c>
      <c r="DX236" s="55">
        <f t="shared" ca="1" si="251"/>
        <v>0.63623399999999997</v>
      </c>
      <c r="DY236" s="55">
        <f t="shared" ca="1" si="252"/>
        <v>0.55337499999999995</v>
      </c>
      <c r="DZ236" s="55">
        <f t="shared" ca="1" si="253"/>
        <v>-0.316774</v>
      </c>
      <c r="EA236" s="55">
        <f t="shared" ca="1" si="254"/>
        <v>-0.57559000000000005</v>
      </c>
      <c r="EB236" s="55">
        <f t="shared" ca="1" si="255"/>
        <v>-0.77202599999999999</v>
      </c>
      <c r="EC236" s="55">
        <f t="shared" ca="1" si="256"/>
        <v>-0.78446899999999997</v>
      </c>
      <c r="ED236" s="55">
        <f t="shared" ca="1" si="257"/>
        <v>0.47545100000000001</v>
      </c>
      <c r="EE236" s="55">
        <f t="shared" ca="1" si="258"/>
        <v>0.97257099999999996</v>
      </c>
      <c r="EF236" s="55">
        <f t="shared" ca="1" si="259"/>
        <v>0.81458900000000001</v>
      </c>
      <c r="EG236" s="55">
        <f t="shared" ca="1" si="260"/>
        <v>0.34436099999999997</v>
      </c>
      <c r="EH236" s="55">
        <f t="shared" ca="1" si="261"/>
        <v>4.1963E-2</v>
      </c>
      <c r="EI236" s="55">
        <f t="shared" ca="1" si="262"/>
        <v>0.81816999999999995</v>
      </c>
      <c r="EJ236" s="55">
        <f t="shared" ca="1" si="263"/>
        <v>0.49418299999999998</v>
      </c>
      <c r="EK236" s="55">
        <f t="shared" ca="1" si="264"/>
        <v>-0.74974099999999999</v>
      </c>
      <c r="EL236" s="55">
        <f t="shared" ca="1" si="265"/>
        <v>-1.1178939999999999</v>
      </c>
      <c r="EM236" s="55">
        <f t="shared" ca="1" si="266"/>
        <v>1.0275810000000001</v>
      </c>
      <c r="EN236" s="55">
        <f t="shared" ca="1" si="267"/>
        <v>0.18726499999999999</v>
      </c>
      <c r="EO236" s="55">
        <f t="shared" ca="1" si="268"/>
        <v>-0.46878799999999998</v>
      </c>
      <c r="EP236" s="55">
        <f t="shared" ca="1" si="269"/>
        <v>0.21907799999999999</v>
      </c>
      <c r="EQ236" s="55">
        <f t="shared" ca="1" si="270"/>
        <v>0.65311699999999995</v>
      </c>
      <c r="ER236" s="55">
        <f t="shared" ca="1" si="271"/>
        <v>-0.532003</v>
      </c>
      <c r="ES236" s="55">
        <f t="shared" ca="1" si="272"/>
        <v>0.80649400000000004</v>
      </c>
      <c r="ET236" s="55">
        <f t="shared" ca="1" si="273"/>
        <v>-0.388903</v>
      </c>
      <c r="EU236" s="55">
        <f t="shared" ca="1" si="274"/>
        <v>-0.21298</v>
      </c>
      <c r="EV236" s="55">
        <f t="shared" ca="1" si="275"/>
        <v>-0.33707300000000001</v>
      </c>
      <c r="EW236" s="55">
        <f t="shared" ca="1" si="276"/>
        <v>-1.7750000000000001E-3</v>
      </c>
      <c r="EX236" s="55">
        <f t="shared" ca="1" si="277"/>
        <v>-0.43126399999999998</v>
      </c>
      <c r="EY236" s="55">
        <f t="shared" ca="1" si="278"/>
        <v>0.65154900000000004</v>
      </c>
      <c r="EZ236" s="55">
        <f t="shared" ca="1" si="279"/>
        <v>-0.22847300000000001</v>
      </c>
      <c r="FA236" s="55">
        <f t="shared" ca="1" si="280"/>
        <v>-0.868004</v>
      </c>
      <c r="FB236" s="55">
        <f t="shared" ca="1" si="281"/>
        <v>-0.905532</v>
      </c>
      <c r="FC236" s="55">
        <f t="shared" ca="1" si="282"/>
        <v>0.25758300000000001</v>
      </c>
      <c r="FD236" s="55">
        <f t="shared" ca="1" si="283"/>
        <v>-5.6763000000000001E-2</v>
      </c>
      <c r="FE236" s="55">
        <f t="shared" ca="1" si="284"/>
        <v>-0.61416400000000004</v>
      </c>
      <c r="FF236" s="55">
        <f t="shared" ca="1" si="285"/>
        <v>9.1121999999999995E-2</v>
      </c>
      <c r="FH236" s="55">
        <f t="shared" ca="1" si="286"/>
        <v>0</v>
      </c>
      <c r="FI236" s="55">
        <f t="shared" ca="1" si="379"/>
        <v>0</v>
      </c>
      <c r="FJ236" s="55">
        <f t="shared" ca="1" si="380"/>
        <v>0</v>
      </c>
      <c r="FK236" s="55">
        <f t="shared" ca="1" si="381"/>
        <v>0</v>
      </c>
      <c r="FL236" s="55">
        <f t="shared" ca="1" si="382"/>
        <v>0</v>
      </c>
      <c r="FM236" s="55">
        <f t="shared" ca="1" si="383"/>
        <v>0</v>
      </c>
      <c r="FN236" s="55">
        <f t="shared" ca="1" si="384"/>
        <v>0</v>
      </c>
      <c r="FO236" s="55">
        <f t="shared" ca="1" si="385"/>
        <v>0</v>
      </c>
      <c r="FP236" s="55">
        <f t="shared" ca="1" si="386"/>
        <v>0</v>
      </c>
      <c r="FQ236" s="55">
        <f t="shared" ca="1" si="387"/>
        <v>0</v>
      </c>
      <c r="FR236" s="55">
        <f t="shared" ca="1" si="388"/>
        <v>0</v>
      </c>
      <c r="FS236" s="55">
        <f t="shared" ca="1" si="329"/>
        <v>0</v>
      </c>
      <c r="FT236" s="55">
        <f t="shared" ca="1" si="330"/>
        <v>0</v>
      </c>
      <c r="FU236" s="55">
        <f t="shared" ca="1" si="331"/>
        <v>0</v>
      </c>
      <c r="FV236" s="55">
        <f t="shared" ca="1" si="332"/>
        <v>0</v>
      </c>
      <c r="FW236" s="55">
        <f t="shared" ca="1" si="333"/>
        <v>0</v>
      </c>
      <c r="FX236" s="55">
        <f t="shared" ca="1" si="334"/>
        <v>0</v>
      </c>
      <c r="FY236" s="55">
        <f t="shared" ca="1" si="335"/>
        <v>0</v>
      </c>
      <c r="FZ236" s="55">
        <f t="shared" ca="1" si="336"/>
        <v>0</v>
      </c>
      <c r="GA236" s="55">
        <f t="shared" ca="1" si="337"/>
        <v>0</v>
      </c>
      <c r="GB236" s="55">
        <f t="shared" ca="1" si="338"/>
        <v>0</v>
      </c>
      <c r="GC236" s="55">
        <f t="shared" ca="1" si="339"/>
        <v>0</v>
      </c>
      <c r="GD236" s="55">
        <f t="shared" ca="1" si="340"/>
        <v>0</v>
      </c>
      <c r="GE236" s="55">
        <f t="shared" ca="1" si="341"/>
        <v>0</v>
      </c>
      <c r="GF236" s="55">
        <f t="shared" ca="1" si="342"/>
        <v>0</v>
      </c>
      <c r="GG236" s="55">
        <f t="shared" ca="1" si="343"/>
        <v>0</v>
      </c>
      <c r="GH236" s="55">
        <f t="shared" ca="1" si="344"/>
        <v>0</v>
      </c>
      <c r="GI236" s="55">
        <f t="shared" ca="1" si="345"/>
        <v>0</v>
      </c>
      <c r="GJ236" s="55">
        <f t="shared" ca="1" si="346"/>
        <v>0</v>
      </c>
      <c r="GK236" s="55">
        <f t="shared" ca="1" si="347"/>
        <v>0</v>
      </c>
      <c r="GL236" s="55">
        <f t="shared" ca="1" si="348"/>
        <v>0</v>
      </c>
      <c r="GM236" s="55">
        <f t="shared" ca="1" si="349"/>
        <v>0</v>
      </c>
      <c r="GN236" s="55">
        <f t="shared" ca="1" si="350"/>
        <v>0</v>
      </c>
      <c r="GO236" s="55">
        <f t="shared" ca="1" si="351"/>
        <v>0</v>
      </c>
      <c r="GP236" s="55">
        <f t="shared" ca="1" si="352"/>
        <v>0</v>
      </c>
      <c r="GQ236" s="55">
        <f t="shared" ca="1" si="353"/>
        <v>0</v>
      </c>
      <c r="GR236" s="55">
        <f t="shared" ca="1" si="354"/>
        <v>0</v>
      </c>
      <c r="GS236" s="55">
        <f t="shared" ca="1" si="355"/>
        <v>0</v>
      </c>
      <c r="GT236" s="55">
        <f t="shared" ca="1" si="356"/>
        <v>0</v>
      </c>
      <c r="GU236" s="55">
        <f t="shared" ca="1" si="357"/>
        <v>0</v>
      </c>
      <c r="GV236" s="55">
        <f t="shared" ca="1" si="358"/>
        <v>0</v>
      </c>
      <c r="GW236" s="55">
        <f t="shared" ca="1" si="359"/>
        <v>0</v>
      </c>
      <c r="GX236" s="55">
        <f t="shared" ca="1" si="360"/>
        <v>0</v>
      </c>
      <c r="GY236" s="55">
        <f t="shared" ca="1" si="361"/>
        <v>0</v>
      </c>
      <c r="GZ236" s="55">
        <f t="shared" ca="1" si="362"/>
        <v>0</v>
      </c>
      <c r="HA236" s="55">
        <f t="shared" ca="1" si="363"/>
        <v>0</v>
      </c>
      <c r="HB236" s="55">
        <f t="shared" ca="1" si="364"/>
        <v>0</v>
      </c>
      <c r="HC236" s="55">
        <f t="shared" ca="1" si="365"/>
        <v>0</v>
      </c>
      <c r="HD236" s="55">
        <f t="shared" ca="1" si="366"/>
        <v>0</v>
      </c>
      <c r="HE236" s="55">
        <f t="shared" ca="1" si="367"/>
        <v>0</v>
      </c>
    </row>
    <row r="237" spans="1:213"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9"/>
      <c r="EP237" s="9"/>
      <c r="EQ237" s="9"/>
      <c r="ER237" s="9"/>
      <c r="ES237" s="9"/>
      <c r="ET237" s="9"/>
      <c r="EU237" s="9"/>
      <c r="EV237" s="9"/>
      <c r="EW237" s="9"/>
      <c r="EX237" s="9"/>
      <c r="EY237" s="9"/>
      <c r="EZ237" s="9"/>
      <c r="FA237" s="9"/>
      <c r="FB237" s="9"/>
      <c r="FC237" s="9"/>
      <c r="FD237" s="9"/>
      <c r="FE237" s="9"/>
      <c r="FF237" s="9"/>
      <c r="FG237" s="9"/>
      <c r="FH237" s="9"/>
      <c r="FI237" s="9"/>
    </row>
    <row r="238" spans="1:213">
      <c r="A238" t="s">
        <v>66</v>
      </c>
    </row>
    <row r="239" spans="1:213">
      <c r="A239" t="s">
        <v>57</v>
      </c>
      <c r="BJ239" s="36" t="s">
        <v>140</v>
      </c>
      <c r="BK239" s="36"/>
      <c r="BL239" s="36"/>
      <c r="BM239" s="36"/>
      <c r="BN239" s="36"/>
      <c r="BO239" s="36"/>
      <c r="BP239" s="36"/>
    </row>
    <row r="240" spans="1:213">
      <c r="A240" s="27" t="s">
        <v>60</v>
      </c>
      <c r="B240" s="27" t="s">
        <v>0</v>
      </c>
      <c r="C240" s="27" t="s">
        <v>1</v>
      </c>
      <c r="D240" s="27" t="s">
        <v>2</v>
      </c>
      <c r="E240" s="27" t="s">
        <v>3</v>
      </c>
      <c r="F240" s="27" t="s">
        <v>4</v>
      </c>
      <c r="G240" s="27" t="s">
        <v>5</v>
      </c>
      <c r="H240" s="27" t="s">
        <v>6</v>
      </c>
      <c r="I240" s="27" t="s">
        <v>7</v>
      </c>
      <c r="J240" s="27" t="s">
        <v>8</v>
      </c>
      <c r="K240" s="27" t="s">
        <v>9</v>
      </c>
      <c r="L240" s="27" t="s">
        <v>10</v>
      </c>
      <c r="M240" s="27" t="s">
        <v>11</v>
      </c>
      <c r="N240" s="27" t="s">
        <v>12</v>
      </c>
      <c r="O240" s="27" t="s">
        <v>13</v>
      </c>
      <c r="P240" s="27" t="s">
        <v>14</v>
      </c>
      <c r="Q240" s="27" t="s">
        <v>15</v>
      </c>
      <c r="R240" s="27" t="s">
        <v>16</v>
      </c>
      <c r="S240" s="27" t="s">
        <v>17</v>
      </c>
      <c r="T240" s="27" t="s">
        <v>18</v>
      </c>
      <c r="U240" s="27" t="s">
        <v>19</v>
      </c>
      <c r="V240" s="27" t="s">
        <v>20</v>
      </c>
      <c r="W240" s="27" t="s">
        <v>21</v>
      </c>
      <c r="X240" s="27" t="s">
        <v>22</v>
      </c>
      <c r="Y240" s="27" t="s">
        <v>27</v>
      </c>
      <c r="Z240" s="27" t="s">
        <v>28</v>
      </c>
      <c r="AA240" s="27" t="s">
        <v>29</v>
      </c>
      <c r="AB240" s="27" t="s">
        <v>30</v>
      </c>
      <c r="AC240" s="27" t="s">
        <v>31</v>
      </c>
      <c r="AD240" s="27" t="s">
        <v>32</v>
      </c>
      <c r="AE240" s="27" t="s">
        <v>33</v>
      </c>
      <c r="AF240" s="27" t="s">
        <v>34</v>
      </c>
      <c r="AG240" s="27" t="s">
        <v>35</v>
      </c>
      <c r="AH240" s="27" t="s">
        <v>36</v>
      </c>
      <c r="AI240" s="27" t="s">
        <v>37</v>
      </c>
      <c r="AJ240" s="27" t="s">
        <v>38</v>
      </c>
      <c r="AK240" s="27" t="s">
        <v>39</v>
      </c>
      <c r="AL240" s="27" t="s">
        <v>40</v>
      </c>
      <c r="AM240" s="27" t="s">
        <v>41</v>
      </c>
      <c r="AN240" s="27" t="s">
        <v>42</v>
      </c>
      <c r="AO240" s="27" t="s">
        <v>43</v>
      </c>
      <c r="AP240" s="27" t="s">
        <v>44</v>
      </c>
      <c r="AQ240" s="27" t="s">
        <v>45</v>
      </c>
      <c r="AR240" s="27" t="s">
        <v>46</v>
      </c>
      <c r="AS240" s="27" t="s">
        <v>47</v>
      </c>
      <c r="AT240" s="27" t="s">
        <v>48</v>
      </c>
      <c r="AU240" s="27" t="s">
        <v>49</v>
      </c>
      <c r="AV240" s="27" t="s">
        <v>50</v>
      </c>
      <c r="AW240" s="27" t="s">
        <v>51</v>
      </c>
      <c r="AX240" s="27" t="s">
        <v>52</v>
      </c>
      <c r="AY240" s="27" t="s">
        <v>53</v>
      </c>
      <c r="AZ240" s="27" t="s">
        <v>54</v>
      </c>
      <c r="BA240" s="27" t="s">
        <v>55</v>
      </c>
      <c r="BB240" s="27" t="s">
        <v>56</v>
      </c>
      <c r="BC240" s="27" t="s">
        <v>23</v>
      </c>
      <c r="BD240" s="27" t="s">
        <v>143</v>
      </c>
      <c r="BE240" s="27" t="s">
        <v>24</v>
      </c>
      <c r="BF240" s="27" t="s">
        <v>25</v>
      </c>
      <c r="BG240" s="27" t="s">
        <v>26</v>
      </c>
    </row>
    <row r="241" spans="1:59">
      <c r="A241" s="27">
        <v>0</v>
      </c>
      <c r="B241" s="27">
        <v>50.326991999999997</v>
      </c>
      <c r="C241" s="27">
        <v>-3</v>
      </c>
      <c r="D241" s="27">
        <v>0</v>
      </c>
      <c r="E241" s="28">
        <v>-0.70089999999999997</v>
      </c>
      <c r="F241" s="28">
        <v>0.303508</v>
      </c>
      <c r="G241" s="28">
        <v>-0.69006000000000001</v>
      </c>
      <c r="H241" s="28">
        <v>-0.67655200000000004</v>
      </c>
      <c r="I241" s="28">
        <v>1.534826</v>
      </c>
      <c r="J241" s="28">
        <v>0.40433400000000003</v>
      </c>
      <c r="K241" s="28">
        <v>-6.9475999999999996E-2</v>
      </c>
      <c r="L241" s="28">
        <v>0.61652399999999996</v>
      </c>
      <c r="M241" s="28">
        <v>1.040888</v>
      </c>
      <c r="N241" s="28">
        <v>1.6124039999999999</v>
      </c>
      <c r="O241" s="28">
        <v>-1.017269</v>
      </c>
      <c r="P241" s="28">
        <v>-1.8738999999999999E-2</v>
      </c>
      <c r="Q241" s="28">
        <v>1.0668500000000001</v>
      </c>
      <c r="R241" s="28">
        <v>-0.71404100000000004</v>
      </c>
      <c r="S241" s="28">
        <v>-0.94616100000000003</v>
      </c>
      <c r="T241" s="28">
        <v>-0.99968599999999996</v>
      </c>
      <c r="U241" s="28">
        <v>0.31866100000000003</v>
      </c>
      <c r="V241" s="28">
        <v>0.41539799999999999</v>
      </c>
      <c r="W241" s="28">
        <v>0.74578199999999994</v>
      </c>
      <c r="X241" s="28">
        <v>-1.0294509999999999</v>
      </c>
      <c r="Y241" s="28">
        <v>-1.689397</v>
      </c>
      <c r="Z241" s="28">
        <v>-0.30818699999999999</v>
      </c>
      <c r="AA241" s="28">
        <v>0.26141500000000001</v>
      </c>
      <c r="AB241" s="28">
        <v>0.80872999999999995</v>
      </c>
      <c r="AC241" s="28">
        <v>-0.64111099999999999</v>
      </c>
      <c r="AD241" s="28">
        <v>-7.5176000000000007E-2</v>
      </c>
      <c r="AE241" s="28">
        <v>-0.66634099999999996</v>
      </c>
      <c r="AF241" s="28">
        <v>-1.5662959999999999</v>
      </c>
      <c r="AG241" s="28">
        <v>0.57636600000000004</v>
      </c>
      <c r="AH241" s="28">
        <v>0.88014099999999995</v>
      </c>
      <c r="AI241" s="28">
        <v>-0.23005100000000001</v>
      </c>
      <c r="AJ241" s="28">
        <v>-0.186805</v>
      </c>
      <c r="AK241" s="28">
        <v>9.8069000000000003E-2</v>
      </c>
      <c r="AL241" s="28">
        <v>0.25537300000000002</v>
      </c>
      <c r="AM241" s="28">
        <v>-7.3677999999999993E-2</v>
      </c>
      <c r="AN241" s="28">
        <v>-0.18715999999999999</v>
      </c>
      <c r="AO241" s="28">
        <v>0.66104200000000002</v>
      </c>
      <c r="AP241" s="28">
        <v>0.64547200000000005</v>
      </c>
      <c r="AQ241" s="28">
        <v>-0.19440199999999999</v>
      </c>
      <c r="AR241" s="28">
        <v>0.23189499999999999</v>
      </c>
      <c r="AS241" s="28">
        <v>0.38777699999999998</v>
      </c>
      <c r="AT241" s="28">
        <v>0.36163299999999998</v>
      </c>
      <c r="AU241" s="28">
        <v>-0.69426299999999996</v>
      </c>
      <c r="AV241" s="28">
        <v>-0.72806300000000002</v>
      </c>
      <c r="AW241" s="28">
        <v>0.17427500000000001</v>
      </c>
      <c r="AX241" s="28">
        <v>-0.50339999999999996</v>
      </c>
      <c r="AY241" s="28">
        <v>-0.768868</v>
      </c>
      <c r="AZ241" s="28">
        <v>5.0992000000000003E-2</v>
      </c>
      <c r="BA241" s="28">
        <v>0.29746800000000001</v>
      </c>
      <c r="BB241" s="28">
        <v>0.21370600000000001</v>
      </c>
      <c r="BC241" s="27">
        <v>186.340881</v>
      </c>
      <c r="BD241" s="27">
        <v>2433.1520999999998</v>
      </c>
      <c r="BE241" s="27">
        <v>1124.421509</v>
      </c>
      <c r="BF241" s="27">
        <v>22.342316</v>
      </c>
      <c r="BG241" s="27">
        <v>4.4757999999999999E-2</v>
      </c>
    </row>
    <row r="242" spans="1:59">
      <c r="A242" s="27">
        <v>1</v>
      </c>
      <c r="B242" s="27">
        <v>44.372821999999999</v>
      </c>
      <c r="C242" s="27">
        <v>-3</v>
      </c>
      <c r="D242" s="27">
        <v>0</v>
      </c>
      <c r="E242" s="28">
        <v>0.340036</v>
      </c>
      <c r="F242" s="28">
        <v>-0.919381</v>
      </c>
      <c r="G242" s="28">
        <v>1.035949</v>
      </c>
      <c r="H242" s="28">
        <v>0.83472599999999997</v>
      </c>
      <c r="I242" s="28">
        <v>-0.105861</v>
      </c>
      <c r="J242" s="28">
        <v>0.205286</v>
      </c>
      <c r="K242" s="28">
        <v>-0.553485</v>
      </c>
      <c r="L242" s="28">
        <v>-9.3056E-2</v>
      </c>
      <c r="M242" s="28">
        <v>0.41924600000000001</v>
      </c>
      <c r="N242" s="28">
        <v>-0.28417599999999998</v>
      </c>
      <c r="O242" s="28">
        <v>0.65124899999999997</v>
      </c>
      <c r="P242" s="28">
        <v>-0.144622</v>
      </c>
      <c r="Q242" s="28">
        <v>-1.1834560000000001</v>
      </c>
      <c r="R242" s="28">
        <v>1.1468970000000001</v>
      </c>
      <c r="S242" s="28">
        <v>0.75548300000000002</v>
      </c>
      <c r="T242" s="28">
        <v>-0.16583000000000001</v>
      </c>
      <c r="U242" s="28">
        <v>0.115551</v>
      </c>
      <c r="V242" s="28">
        <v>0.74684099999999998</v>
      </c>
      <c r="W242" s="28">
        <v>-0.79056599999999999</v>
      </c>
      <c r="X242" s="28">
        <v>-7.5273999999999994E-2</v>
      </c>
      <c r="Y242" s="28">
        <v>-1.438585</v>
      </c>
      <c r="Z242" s="28">
        <v>1.247803</v>
      </c>
      <c r="AA242" s="28">
        <v>-0.29399700000000001</v>
      </c>
      <c r="AB242" s="28">
        <v>-0.11365500000000001</v>
      </c>
      <c r="AC242" s="28">
        <v>1.8274859999999999</v>
      </c>
      <c r="AD242" s="28">
        <v>-0.13300000000000001</v>
      </c>
      <c r="AE242" s="28">
        <v>-0.34422599999999998</v>
      </c>
      <c r="AF242" s="28">
        <v>1.339558</v>
      </c>
      <c r="AG242" s="28">
        <v>-0.63728499999999999</v>
      </c>
      <c r="AH242" s="28">
        <v>2.4899000000000001E-2</v>
      </c>
      <c r="AI242" s="28">
        <v>0.27143499999999998</v>
      </c>
      <c r="AJ242" s="28">
        <v>-0.72181099999999998</v>
      </c>
      <c r="AK242" s="28">
        <v>0.37207099999999999</v>
      </c>
      <c r="AL242" s="28">
        <v>0.67421200000000003</v>
      </c>
      <c r="AM242" s="28">
        <v>-0.53745699999999996</v>
      </c>
      <c r="AN242" s="28">
        <v>-7.4824000000000002E-2</v>
      </c>
      <c r="AO242" s="28">
        <v>-0.31019099999999999</v>
      </c>
      <c r="AP242" s="28">
        <v>0.79289399999999999</v>
      </c>
      <c r="AQ242" s="28">
        <v>0.99339100000000002</v>
      </c>
      <c r="AR242" s="28">
        <v>0.40002900000000002</v>
      </c>
      <c r="AS242" s="28">
        <v>0.235263</v>
      </c>
      <c r="AT242" s="28">
        <v>-0.141931</v>
      </c>
      <c r="AU242" s="28">
        <v>-0.53856499999999996</v>
      </c>
      <c r="AV242" s="28">
        <v>-0.38315100000000002</v>
      </c>
      <c r="AW242" s="28">
        <v>0.66637500000000005</v>
      </c>
      <c r="AX242" s="28">
        <v>-0.39713399999999999</v>
      </c>
      <c r="AY242" s="28">
        <v>-0.695156</v>
      </c>
      <c r="AZ242" s="28">
        <v>-0.14422499999999999</v>
      </c>
      <c r="BA242" s="28">
        <v>-0.14144300000000001</v>
      </c>
      <c r="BB242" s="28">
        <v>-0.41914400000000002</v>
      </c>
      <c r="BC242" s="27">
        <v>193.70124799999999</v>
      </c>
      <c r="BD242" s="27">
        <v>1881.2016599999999</v>
      </c>
      <c r="BE242" s="27">
        <v>936.07195999999999</v>
      </c>
      <c r="BF242" s="27">
        <v>21.095614999999999</v>
      </c>
      <c r="BG242" s="27">
        <v>4.7403000000000001E-2</v>
      </c>
    </row>
    <row r="243" spans="1:59">
      <c r="A243" s="27">
        <v>2</v>
      </c>
      <c r="B243" s="27">
        <v>41.778416</v>
      </c>
      <c r="C243" s="27">
        <v>-3</v>
      </c>
      <c r="D243" s="27">
        <v>0</v>
      </c>
      <c r="E243" s="28">
        <v>-0.699237</v>
      </c>
      <c r="F243" s="28">
        <v>1.7912999999999998E-2</v>
      </c>
      <c r="G243" s="28">
        <v>0.40328399999999998</v>
      </c>
      <c r="H243" s="28">
        <v>1.1192930000000001</v>
      </c>
      <c r="I243" s="28">
        <v>-0.15697700000000001</v>
      </c>
      <c r="J243" s="28">
        <v>0.19411</v>
      </c>
      <c r="K243" s="28">
        <v>1.295347</v>
      </c>
      <c r="L243" s="28">
        <v>-0.65157799999999999</v>
      </c>
      <c r="M243" s="28">
        <v>-0.76042299999999996</v>
      </c>
      <c r="N243" s="28">
        <v>-0.44301200000000002</v>
      </c>
      <c r="O243" s="28">
        <v>-0.36884600000000001</v>
      </c>
      <c r="P243" s="28">
        <v>-0.30153600000000003</v>
      </c>
      <c r="Q243" s="28">
        <v>-0.22511200000000001</v>
      </c>
      <c r="R243" s="28">
        <v>0.49783100000000002</v>
      </c>
      <c r="S243" s="28">
        <v>0.31132199999999999</v>
      </c>
      <c r="T243" s="28">
        <v>0.71334399999999998</v>
      </c>
      <c r="U243" s="28">
        <v>0.21576799999999999</v>
      </c>
      <c r="V243" s="28">
        <v>0.29508400000000001</v>
      </c>
      <c r="W243" s="28">
        <v>-0.231432</v>
      </c>
      <c r="X243" s="28">
        <v>0.35051199999999999</v>
      </c>
      <c r="Y243" s="28">
        <v>0.61338599999999999</v>
      </c>
      <c r="Z243" s="28">
        <v>-0.62480800000000003</v>
      </c>
      <c r="AA243" s="28">
        <v>1.0772E-2</v>
      </c>
      <c r="AB243" s="28">
        <v>0.46966400000000003</v>
      </c>
      <c r="AC243" s="28">
        <v>-0.55268799999999996</v>
      </c>
      <c r="AD243" s="28">
        <v>-0.358541</v>
      </c>
      <c r="AE243" s="28">
        <v>-1.3883840000000001</v>
      </c>
      <c r="AF243" s="28">
        <v>-0.17657300000000001</v>
      </c>
      <c r="AG243" s="28">
        <v>0.24352099999999999</v>
      </c>
      <c r="AH243" s="28">
        <v>-0.77649800000000002</v>
      </c>
      <c r="AI243" s="28">
        <v>-0.80759499999999995</v>
      </c>
      <c r="AJ243" s="28">
        <v>-0.27812100000000001</v>
      </c>
      <c r="AK243" s="28">
        <v>-0.116576</v>
      </c>
      <c r="AL243" s="28">
        <v>0.31808399999999998</v>
      </c>
      <c r="AM243" s="28">
        <v>0.10699400000000001</v>
      </c>
      <c r="AN243" s="28">
        <v>-0.75590900000000005</v>
      </c>
      <c r="AO243" s="28">
        <v>9.5469999999999999E-3</v>
      </c>
      <c r="AP243" s="28">
        <v>0.54901999999999995</v>
      </c>
      <c r="AQ243" s="28">
        <v>0.50034699999999999</v>
      </c>
      <c r="AR243" s="28">
        <v>2.5683000000000001E-2</v>
      </c>
      <c r="AS243" s="28">
        <v>0.38595400000000002</v>
      </c>
      <c r="AT243" s="28">
        <v>0.42127399999999998</v>
      </c>
      <c r="AU243" s="28">
        <v>-0.20510100000000001</v>
      </c>
      <c r="AV243" s="28">
        <v>-0.60255499999999995</v>
      </c>
      <c r="AW243" s="28">
        <v>-0.53892499999999999</v>
      </c>
      <c r="AX243" s="28">
        <v>0.59336500000000003</v>
      </c>
      <c r="AY243" s="28">
        <v>0.54414300000000004</v>
      </c>
      <c r="AZ243" s="28">
        <v>-0.180252</v>
      </c>
      <c r="BA243" s="28">
        <v>0.27877299999999999</v>
      </c>
      <c r="BB243" s="28">
        <v>-0.32828600000000002</v>
      </c>
      <c r="BC243" s="27">
        <v>154.25958299999999</v>
      </c>
      <c r="BD243" s="27">
        <v>1662.87915</v>
      </c>
      <c r="BE243" s="27">
        <v>869.86492899999996</v>
      </c>
      <c r="BF243" s="27">
        <v>20.820917000000001</v>
      </c>
      <c r="BG243" s="27">
        <v>4.8029000000000002E-2</v>
      </c>
    </row>
    <row r="244" spans="1:59">
      <c r="A244" s="27">
        <v>3</v>
      </c>
      <c r="B244" s="27">
        <v>52.459193999999997</v>
      </c>
      <c r="C244" s="27">
        <v>-3</v>
      </c>
      <c r="D244" s="27">
        <v>0</v>
      </c>
      <c r="E244" s="28">
        <v>0.86573100000000003</v>
      </c>
      <c r="F244" s="28">
        <v>0.26011600000000001</v>
      </c>
      <c r="G244" s="28">
        <v>-0.19200700000000001</v>
      </c>
      <c r="H244" s="28">
        <v>-0.44339400000000001</v>
      </c>
      <c r="I244" s="28">
        <v>0.431925</v>
      </c>
      <c r="J244" s="28">
        <v>7.9322000000000004E-2</v>
      </c>
      <c r="K244" s="28">
        <v>0.51962200000000003</v>
      </c>
      <c r="L244" s="28">
        <v>-0.51019000000000003</v>
      </c>
      <c r="M244" s="28">
        <v>-0.20116000000000001</v>
      </c>
      <c r="N244" s="28">
        <v>-0.21779200000000001</v>
      </c>
      <c r="O244" s="28">
        <v>0.87763599999999997</v>
      </c>
      <c r="P244" s="28">
        <v>1.3365689999999999</v>
      </c>
      <c r="Q244" s="28">
        <v>0.80072900000000002</v>
      </c>
      <c r="R244" s="28">
        <v>-0.15603400000000001</v>
      </c>
      <c r="S244" s="28">
        <v>-0.19306799999999999</v>
      </c>
      <c r="T244" s="28">
        <v>-1.3053049999999999</v>
      </c>
      <c r="U244" s="28">
        <v>-0.85171399999999997</v>
      </c>
      <c r="V244" s="28">
        <v>-0.50067700000000004</v>
      </c>
      <c r="W244" s="28">
        <v>-0.79435599999999995</v>
      </c>
      <c r="X244" s="28">
        <v>-1.2058519999999999</v>
      </c>
      <c r="Y244" s="28">
        <v>-1.1045689999999999</v>
      </c>
      <c r="Z244" s="28">
        <v>-0.39733400000000002</v>
      </c>
      <c r="AA244" s="28">
        <v>-0.728078</v>
      </c>
      <c r="AB244" s="28">
        <v>0.93000499999999997</v>
      </c>
      <c r="AC244" s="28">
        <v>-1.10981</v>
      </c>
      <c r="AD244" s="28">
        <v>0.49109999999999998</v>
      </c>
      <c r="AE244" s="28">
        <v>0.45009300000000002</v>
      </c>
      <c r="AF244" s="28">
        <v>-0.49880099999999999</v>
      </c>
      <c r="AG244" s="28">
        <v>-1.379103</v>
      </c>
      <c r="AH244" s="28">
        <v>8.8372999999999993E-2</v>
      </c>
      <c r="AI244" s="28">
        <v>-0.87578100000000003</v>
      </c>
      <c r="AJ244" s="28">
        <v>-1.5870000000000001E-3</v>
      </c>
      <c r="AK244" s="28">
        <v>0.24960499999999999</v>
      </c>
      <c r="AL244" s="28">
        <v>0.51665499999999998</v>
      </c>
      <c r="AM244" s="28">
        <v>0.89010100000000003</v>
      </c>
      <c r="AN244" s="28">
        <v>0.14461299999999999</v>
      </c>
      <c r="AO244" s="28">
        <v>-0.121977</v>
      </c>
      <c r="AP244" s="28">
        <v>-1.275976</v>
      </c>
      <c r="AQ244" s="28">
        <v>0.71731</v>
      </c>
      <c r="AR244" s="28">
        <v>0.48627700000000001</v>
      </c>
      <c r="AS244" s="28">
        <v>0.94775399999999999</v>
      </c>
      <c r="AT244" s="28">
        <v>4.79E-3</v>
      </c>
      <c r="AU244" s="28">
        <v>0.25861400000000001</v>
      </c>
      <c r="AV244" s="28">
        <v>-0.23169100000000001</v>
      </c>
      <c r="AW244" s="28">
        <v>0.206623</v>
      </c>
      <c r="AX244" s="28">
        <v>-0.23494999999999999</v>
      </c>
      <c r="AY244" s="28">
        <v>0.54559400000000002</v>
      </c>
      <c r="AZ244" s="28">
        <v>0.57105899999999998</v>
      </c>
      <c r="BA244" s="28">
        <v>0.56967400000000001</v>
      </c>
      <c r="BB244" s="28">
        <v>-1.0132829999999999</v>
      </c>
      <c r="BC244" s="27">
        <v>185.88214099999999</v>
      </c>
      <c r="BD244" s="27">
        <v>2648.0485840000001</v>
      </c>
      <c r="BE244" s="27">
        <v>1081.696289</v>
      </c>
      <c r="BF244" s="27">
        <v>20.619765999999998</v>
      </c>
      <c r="BG244" s="27">
        <v>4.8496999999999998E-2</v>
      </c>
    </row>
    <row r="245" spans="1:59">
      <c r="A245" s="27">
        <v>4</v>
      </c>
      <c r="B245" s="27">
        <v>49.284118999999997</v>
      </c>
      <c r="C245" s="27">
        <v>-3</v>
      </c>
      <c r="D245" s="27">
        <v>0</v>
      </c>
      <c r="E245" s="28">
        <v>0.101844</v>
      </c>
      <c r="F245" s="28">
        <v>-0.93176599999999998</v>
      </c>
      <c r="G245" s="28">
        <v>-0.38437100000000002</v>
      </c>
      <c r="H245" s="28">
        <v>-1.5538350000000001</v>
      </c>
      <c r="I245" s="28">
        <v>-0.73569700000000005</v>
      </c>
      <c r="J245" s="28">
        <v>0.52304499999999998</v>
      </c>
      <c r="K245" s="28">
        <v>-2.8447E-2</v>
      </c>
      <c r="L245" s="28">
        <v>0.28006399999999998</v>
      </c>
      <c r="M245" s="28">
        <v>-0.76220299999999996</v>
      </c>
      <c r="N245" s="28">
        <v>0.44737199999999999</v>
      </c>
      <c r="O245" s="28">
        <v>-6.7625000000000005E-2</v>
      </c>
      <c r="P245" s="28">
        <v>0.86144699999999996</v>
      </c>
      <c r="Q245" s="28">
        <v>-0.157302</v>
      </c>
      <c r="R245" s="28">
        <v>-0.732626</v>
      </c>
      <c r="S245" s="28">
        <v>0.96474400000000005</v>
      </c>
      <c r="T245" s="28">
        <v>0.197606</v>
      </c>
      <c r="U245" s="28">
        <v>1.3932469999999999</v>
      </c>
      <c r="V245" s="28">
        <v>-0.14077300000000001</v>
      </c>
      <c r="W245" s="28">
        <v>0.709592</v>
      </c>
      <c r="X245" s="28">
        <v>0.93244099999999996</v>
      </c>
      <c r="Y245" s="28">
        <v>8.5971000000000006E-2</v>
      </c>
      <c r="Z245" s="28">
        <v>0.90919099999999997</v>
      </c>
      <c r="AA245" s="28">
        <v>-0.95799599999999996</v>
      </c>
      <c r="AB245" s="28">
        <v>-0.71162499999999995</v>
      </c>
      <c r="AC245" s="28">
        <v>-0.80664899999999995</v>
      </c>
      <c r="AD245" s="28">
        <v>-0.388681</v>
      </c>
      <c r="AE245" s="28">
        <v>1.100587</v>
      </c>
      <c r="AF245" s="28">
        <v>0.90513100000000002</v>
      </c>
      <c r="AG245" s="28">
        <v>0.40033600000000003</v>
      </c>
      <c r="AH245" s="28">
        <v>-2.6057E-2</v>
      </c>
      <c r="AI245" s="28">
        <v>-0.66838799999999998</v>
      </c>
      <c r="AJ245" s="28">
        <v>-0.61999499999999996</v>
      </c>
      <c r="AK245" s="28">
        <v>-0.47625600000000001</v>
      </c>
      <c r="AL245" s="28">
        <v>0.60118099999999997</v>
      </c>
      <c r="AM245" s="28">
        <v>-0.56541600000000003</v>
      </c>
      <c r="AN245" s="28">
        <v>0.35481200000000002</v>
      </c>
      <c r="AO245" s="28">
        <v>7.5923000000000004E-2</v>
      </c>
      <c r="AP245" s="28">
        <v>0.110385</v>
      </c>
      <c r="AQ245" s="28">
        <v>0.66152200000000005</v>
      </c>
      <c r="AR245" s="28">
        <v>-0.57309299999999996</v>
      </c>
      <c r="AS245" s="28">
        <v>0.67266899999999996</v>
      </c>
      <c r="AT245" s="28">
        <v>0.28047499999999997</v>
      </c>
      <c r="AU245" s="28">
        <v>-0.85598099999999999</v>
      </c>
      <c r="AV245" s="28">
        <v>-0.291238</v>
      </c>
      <c r="AW245" s="28">
        <v>-1.6941079999999999</v>
      </c>
      <c r="AX245" s="28">
        <v>-0.17477300000000001</v>
      </c>
      <c r="AY245" s="28">
        <v>0.590804</v>
      </c>
      <c r="AZ245" s="28">
        <v>0.44248199999999999</v>
      </c>
      <c r="BA245" s="28">
        <v>-0.55532800000000004</v>
      </c>
      <c r="BB245" s="28">
        <v>-3.5145000000000003E-2</v>
      </c>
      <c r="BC245" s="27">
        <v>117.67115800000001</v>
      </c>
      <c r="BD245" s="27">
        <v>2331.3562010000001</v>
      </c>
      <c r="BE245" s="27">
        <v>1344.1217039999999</v>
      </c>
      <c r="BF245" s="27">
        <v>27.272917</v>
      </c>
      <c r="BG245" s="27">
        <v>3.6665999999999997E-2</v>
      </c>
    </row>
    <row r="246" spans="1:59">
      <c r="A246" s="27">
        <v>5</v>
      </c>
      <c r="B246" s="27">
        <v>46.307709000000003</v>
      </c>
      <c r="C246" s="27">
        <v>-3</v>
      </c>
      <c r="D246" s="27">
        <v>0</v>
      </c>
      <c r="E246" s="28">
        <v>0.57696199999999997</v>
      </c>
      <c r="F246" s="28">
        <v>-1.4874590000000001</v>
      </c>
      <c r="G246" s="28">
        <v>0.952291</v>
      </c>
      <c r="H246" s="28">
        <v>0.77326700000000004</v>
      </c>
      <c r="I246" s="28">
        <v>0.68866700000000003</v>
      </c>
      <c r="J246" s="28">
        <v>1.7243740000000001</v>
      </c>
      <c r="K246" s="28">
        <v>0.71753599999999995</v>
      </c>
      <c r="L246" s="28">
        <v>-0.16437399999999999</v>
      </c>
      <c r="M246" s="28">
        <v>-0.93447999999999998</v>
      </c>
      <c r="N246" s="28">
        <v>0.85742600000000002</v>
      </c>
      <c r="O246" s="28">
        <v>0.73014000000000001</v>
      </c>
      <c r="P246" s="28">
        <v>-0.70085299999999995</v>
      </c>
      <c r="Q246" s="28">
        <v>-0.52315500000000004</v>
      </c>
      <c r="R246" s="28">
        <v>0.13569300000000001</v>
      </c>
      <c r="S246" s="28">
        <v>0.29335800000000001</v>
      </c>
      <c r="T246" s="28">
        <v>0.14247599999999999</v>
      </c>
      <c r="U246" s="28">
        <v>-1.601702</v>
      </c>
      <c r="V246" s="28">
        <v>0.20288600000000001</v>
      </c>
      <c r="W246" s="28">
        <v>-7.2257000000000002E-2</v>
      </c>
      <c r="X246" s="28">
        <v>-0.57675200000000004</v>
      </c>
      <c r="Y246" s="28">
        <v>-0.76120500000000002</v>
      </c>
      <c r="Z246" s="28">
        <v>0.44364799999999999</v>
      </c>
      <c r="AA246" s="28">
        <v>-0.96713899999999997</v>
      </c>
      <c r="AB246" s="28">
        <v>-0.476827</v>
      </c>
      <c r="AC246" s="28">
        <v>0.82053100000000001</v>
      </c>
      <c r="AD246" s="28">
        <v>0.50718799999999997</v>
      </c>
      <c r="AE246" s="28">
        <v>0.67582600000000004</v>
      </c>
      <c r="AF246" s="28">
        <v>-0.82073300000000005</v>
      </c>
      <c r="AG246" s="28">
        <v>-0.12155100000000001</v>
      </c>
      <c r="AH246" s="28">
        <v>-0.88685800000000004</v>
      </c>
      <c r="AI246" s="28">
        <v>0.95257199999999997</v>
      </c>
      <c r="AJ246" s="28">
        <v>-0.26838699999999999</v>
      </c>
      <c r="AK246" s="28">
        <v>-0.74785000000000001</v>
      </c>
      <c r="AL246" s="28">
        <v>-0.24892</v>
      </c>
      <c r="AM246" s="28">
        <v>1.508637</v>
      </c>
      <c r="AN246" s="28">
        <v>-0.489956</v>
      </c>
      <c r="AO246" s="28">
        <v>-0.17260800000000001</v>
      </c>
      <c r="AP246" s="28">
        <v>0.88971900000000004</v>
      </c>
      <c r="AQ246" s="28">
        <v>-0.54454499999999995</v>
      </c>
      <c r="AR246" s="28">
        <v>-0.20375699999999999</v>
      </c>
      <c r="AS246" s="28">
        <v>5.0379999999999999E-3</v>
      </c>
      <c r="AT246" s="28">
        <v>-0.27812399999999998</v>
      </c>
      <c r="AU246" s="28">
        <v>0.50661299999999998</v>
      </c>
      <c r="AV246" s="28">
        <v>-0.91919600000000001</v>
      </c>
      <c r="AW246" s="28">
        <v>-0.54686199999999996</v>
      </c>
      <c r="AX246" s="28">
        <v>-0.19409399999999999</v>
      </c>
      <c r="AY246" s="28">
        <v>-0.57920000000000005</v>
      </c>
      <c r="AZ246" s="28">
        <v>0.247589</v>
      </c>
      <c r="BA246" s="28">
        <v>1.1391500000000001</v>
      </c>
      <c r="BB246" s="28">
        <v>0.30823800000000001</v>
      </c>
      <c r="BC246" s="27">
        <v>279.13214099999999</v>
      </c>
      <c r="BD246" s="27">
        <v>2052.7885740000002</v>
      </c>
      <c r="BE246" s="27">
        <v>779.45391800000004</v>
      </c>
      <c r="BF246" s="27">
        <v>16.832056000000001</v>
      </c>
      <c r="BG246" s="27">
        <v>5.9409999999999998E-2</v>
      </c>
    </row>
    <row r="247" spans="1:59">
      <c r="A247" s="27">
        <v>6</v>
      </c>
      <c r="B247" s="27">
        <v>36.462578000000001</v>
      </c>
      <c r="C247" s="27">
        <v>-3</v>
      </c>
      <c r="D247" s="27">
        <v>0</v>
      </c>
      <c r="E247" s="28">
        <v>1.220248</v>
      </c>
      <c r="F247" s="28">
        <v>-0.84979700000000002</v>
      </c>
      <c r="G247" s="28">
        <v>0.52901100000000001</v>
      </c>
      <c r="H247" s="28">
        <v>-0.44570799999999999</v>
      </c>
      <c r="I247" s="28">
        <v>0.58260699999999999</v>
      </c>
      <c r="J247" s="28">
        <v>1.0987579999999999</v>
      </c>
      <c r="K247" s="28">
        <v>-0.40750900000000001</v>
      </c>
      <c r="L247" s="28">
        <v>-0.48164699999999999</v>
      </c>
      <c r="M247" s="28">
        <v>0.64495800000000003</v>
      </c>
      <c r="N247" s="28">
        <v>0.69749799999999995</v>
      </c>
      <c r="O247" s="28">
        <v>-1.7539340000000001</v>
      </c>
      <c r="P247" s="28">
        <v>0.200211</v>
      </c>
      <c r="Q247" s="28">
        <v>-0.65269900000000003</v>
      </c>
      <c r="R247" s="28">
        <v>0.95049399999999995</v>
      </c>
      <c r="S247" s="28">
        <v>0.93861499999999998</v>
      </c>
      <c r="T247" s="28">
        <v>-1.813814</v>
      </c>
      <c r="U247" s="28">
        <v>-0.92457199999999995</v>
      </c>
      <c r="V247" s="28">
        <v>-0.44912299999999999</v>
      </c>
      <c r="W247" s="28">
        <v>7.5886999999999996E-2</v>
      </c>
      <c r="X247" s="28">
        <v>1.51451</v>
      </c>
      <c r="Y247" s="28">
        <v>0.28528999999999999</v>
      </c>
      <c r="Z247" s="28">
        <v>-0.47020000000000001</v>
      </c>
      <c r="AA247" s="28">
        <v>0.14186699999999999</v>
      </c>
      <c r="AB247" s="28">
        <v>-1.2525729999999999</v>
      </c>
      <c r="AC247" s="28">
        <v>0.35832999999999998</v>
      </c>
      <c r="AD247" s="28">
        <v>6.2779000000000001E-2</v>
      </c>
      <c r="AE247" s="28">
        <v>-0.24352299999999999</v>
      </c>
      <c r="AF247" s="28">
        <v>0.74968000000000001</v>
      </c>
      <c r="AG247" s="28">
        <v>-5.151E-2</v>
      </c>
      <c r="AH247" s="28">
        <v>-0.48818</v>
      </c>
      <c r="AI247" s="28">
        <v>0.22815199999999999</v>
      </c>
      <c r="AJ247" s="28">
        <v>0.77343899999999999</v>
      </c>
      <c r="AK247" s="28">
        <v>-1.3948130000000001</v>
      </c>
      <c r="AL247" s="28">
        <v>-2.0788000000000001E-2</v>
      </c>
      <c r="AM247" s="28">
        <v>2.0740999999999999E-2</v>
      </c>
      <c r="AN247" s="28">
        <v>-1.097108</v>
      </c>
      <c r="AO247" s="28">
        <v>-0.131464</v>
      </c>
      <c r="AP247" s="28">
        <v>-1.2767850000000001</v>
      </c>
      <c r="AQ247" s="28">
        <v>-0.19317300000000001</v>
      </c>
      <c r="AR247" s="28">
        <v>-6.6600999999999994E-2</v>
      </c>
      <c r="AS247" s="28">
        <v>-0.24581500000000001</v>
      </c>
      <c r="AT247" s="28">
        <v>-0.139569</v>
      </c>
      <c r="AU247" s="28">
        <v>0.39235700000000001</v>
      </c>
      <c r="AV247" s="28">
        <v>-0.46349099999999999</v>
      </c>
      <c r="AW247" s="28">
        <v>-1.0285200000000001</v>
      </c>
      <c r="AX247" s="28">
        <v>0.19811200000000001</v>
      </c>
      <c r="AY247" s="28">
        <v>0.56956200000000001</v>
      </c>
      <c r="AZ247" s="28">
        <v>0.28863</v>
      </c>
      <c r="BA247" s="28">
        <v>-0.10012500000000001</v>
      </c>
      <c r="BB247" s="28">
        <v>0.21780099999999999</v>
      </c>
      <c r="BC247" s="27">
        <v>107.330742</v>
      </c>
      <c r="BD247" s="27">
        <v>1257.594482</v>
      </c>
      <c r="BE247" s="27">
        <v>945.10790999999995</v>
      </c>
      <c r="BF247" s="27">
        <v>25.919943</v>
      </c>
      <c r="BG247" s="27">
        <v>3.8580000000000003E-2</v>
      </c>
    </row>
    <row r="248" spans="1:59">
      <c r="A248" s="27">
        <v>7</v>
      </c>
      <c r="B248" s="27">
        <v>43.606934000000003</v>
      </c>
      <c r="C248" s="27">
        <v>-3</v>
      </c>
      <c r="D248" s="27">
        <v>0</v>
      </c>
      <c r="E248" s="28">
        <v>-1.140779</v>
      </c>
      <c r="F248" s="28">
        <v>-0.17543700000000001</v>
      </c>
      <c r="G248" s="28">
        <v>0.63314199999999998</v>
      </c>
      <c r="H248" s="28">
        <v>0.43933899999999998</v>
      </c>
      <c r="I248" s="28">
        <v>7.0818999999999993E-2</v>
      </c>
      <c r="J248" s="28">
        <v>-1.14184</v>
      </c>
      <c r="K248" s="28">
        <v>0.77761599999999997</v>
      </c>
      <c r="L248" s="28">
        <v>2.2936000000000002E-2</v>
      </c>
      <c r="M248" s="28">
        <v>0.29359299999999999</v>
      </c>
      <c r="N248" s="28">
        <v>-0.51260099999999997</v>
      </c>
      <c r="O248" s="28">
        <v>-0.56944700000000004</v>
      </c>
      <c r="P248" s="28">
        <v>-0.346966</v>
      </c>
      <c r="Q248" s="28">
        <v>0.74107800000000001</v>
      </c>
      <c r="R248" s="28">
        <v>-6.5758999999999998E-2</v>
      </c>
      <c r="S248" s="28">
        <v>-0.26516200000000001</v>
      </c>
      <c r="T248" s="28">
        <v>-0.157057</v>
      </c>
      <c r="U248" s="28">
        <v>0.321496</v>
      </c>
      <c r="V248" s="28">
        <v>0.14579600000000001</v>
      </c>
      <c r="W248" s="28">
        <v>0.43004100000000001</v>
      </c>
      <c r="X248" s="28">
        <v>-0.86920699999999995</v>
      </c>
      <c r="Y248" s="28">
        <v>-0.30239100000000002</v>
      </c>
      <c r="Z248" s="28">
        <v>0.54898899999999995</v>
      </c>
      <c r="AA248" s="28">
        <v>0.69488799999999995</v>
      </c>
      <c r="AB248" s="28">
        <v>6.6487000000000004E-2</v>
      </c>
      <c r="AC248" s="28">
        <v>-1.265827</v>
      </c>
      <c r="AD248" s="28">
        <v>-5.1050000000000002E-3</v>
      </c>
      <c r="AE248" s="28">
        <v>-0.56503499999999995</v>
      </c>
      <c r="AF248" s="28">
        <v>0.34457300000000002</v>
      </c>
      <c r="AG248" s="28">
        <v>-0.23064200000000001</v>
      </c>
      <c r="AH248" s="28">
        <v>-0.22837499999999999</v>
      </c>
      <c r="AI248" s="28">
        <v>1.163062</v>
      </c>
      <c r="AJ248" s="28">
        <v>-0.23102</v>
      </c>
      <c r="AK248" s="28">
        <v>-0.100144</v>
      </c>
      <c r="AL248" s="28">
        <v>-0.23627200000000001</v>
      </c>
      <c r="AM248" s="28">
        <v>-0.221807</v>
      </c>
      <c r="AN248" s="28">
        <v>-0.55691100000000004</v>
      </c>
      <c r="AO248" s="28">
        <v>0.108143</v>
      </c>
      <c r="AP248" s="28">
        <v>0.30917600000000001</v>
      </c>
      <c r="AQ248" s="28">
        <v>0.33272200000000002</v>
      </c>
      <c r="AR248" s="28">
        <v>0.46008300000000002</v>
      </c>
      <c r="AS248" s="28">
        <v>-0.126662</v>
      </c>
      <c r="AT248" s="28">
        <v>0.263631</v>
      </c>
      <c r="AU248" s="28">
        <v>0.42922500000000002</v>
      </c>
      <c r="AV248" s="28">
        <v>-0.64240299999999995</v>
      </c>
      <c r="AW248" s="28">
        <v>-5.2960000000000004E-3</v>
      </c>
      <c r="AX248" s="28">
        <v>-0.186726</v>
      </c>
      <c r="AY248" s="28">
        <v>0.854908</v>
      </c>
      <c r="AZ248" s="28">
        <v>0.108692</v>
      </c>
      <c r="BA248" s="28">
        <v>-0.28114400000000001</v>
      </c>
      <c r="BB248" s="28">
        <v>-0.22620699999999999</v>
      </c>
      <c r="BC248" s="27">
        <v>164.347229</v>
      </c>
      <c r="BD248" s="27">
        <v>1815.3508300000001</v>
      </c>
      <c r="BE248" s="27">
        <v>840.10095200000001</v>
      </c>
      <c r="BF248" s="27">
        <v>19.265305999999999</v>
      </c>
      <c r="BG248" s="27">
        <v>5.1907000000000002E-2</v>
      </c>
    </row>
    <row r="249" spans="1:59">
      <c r="A249" s="27">
        <v>8</v>
      </c>
      <c r="B249" s="27">
        <v>44.625304999999997</v>
      </c>
      <c r="C249" s="27">
        <v>-3</v>
      </c>
      <c r="D249" s="27">
        <v>0</v>
      </c>
      <c r="E249" s="28">
        <v>1.201147</v>
      </c>
      <c r="F249" s="28">
        <v>0.79544800000000004</v>
      </c>
      <c r="G249" s="28">
        <v>-0.347964</v>
      </c>
      <c r="H249" s="28">
        <v>0.64128600000000002</v>
      </c>
      <c r="I249" s="28">
        <v>-1.14191</v>
      </c>
      <c r="J249" s="28">
        <v>-0.75992899999999997</v>
      </c>
      <c r="K249" s="28">
        <v>-1.604358</v>
      </c>
      <c r="L249" s="28">
        <v>0.857491</v>
      </c>
      <c r="M249" s="28">
        <v>-0.38516099999999998</v>
      </c>
      <c r="N249" s="28">
        <v>-0.71442099999999997</v>
      </c>
      <c r="O249" s="28">
        <v>0.24291399999999999</v>
      </c>
      <c r="P249" s="28">
        <v>0.67096800000000001</v>
      </c>
      <c r="Q249" s="28">
        <v>-0.96941600000000006</v>
      </c>
      <c r="R249" s="28">
        <v>0.99116300000000002</v>
      </c>
      <c r="S249" s="28">
        <v>-0.74195800000000001</v>
      </c>
      <c r="T249" s="28">
        <v>-0.86413799999999996</v>
      </c>
      <c r="U249" s="28">
        <v>0.40667399999999998</v>
      </c>
      <c r="V249" s="28">
        <v>-0.128631</v>
      </c>
      <c r="W249" s="28">
        <v>0.52541599999999999</v>
      </c>
      <c r="X249" s="28">
        <v>-0.70207799999999998</v>
      </c>
      <c r="Y249" s="28">
        <v>0.44840099999999999</v>
      </c>
      <c r="Z249" s="28">
        <v>0.16995399999999999</v>
      </c>
      <c r="AA249" s="28">
        <v>-0.86248899999999995</v>
      </c>
      <c r="AB249" s="28">
        <v>-0.22888700000000001</v>
      </c>
      <c r="AC249" s="28">
        <v>0.45491999999999999</v>
      </c>
      <c r="AD249" s="28">
        <v>-0.72645800000000005</v>
      </c>
      <c r="AE249" s="28">
        <v>1.391367</v>
      </c>
      <c r="AF249" s="28">
        <v>0.54678800000000005</v>
      </c>
      <c r="AG249" s="28">
        <v>0.19120300000000001</v>
      </c>
      <c r="AH249" s="28">
        <v>-1.2486000000000001E-2</v>
      </c>
      <c r="AI249" s="28">
        <v>-0.250608</v>
      </c>
      <c r="AJ249" s="28">
        <v>0.20160700000000001</v>
      </c>
      <c r="AK249" s="28">
        <v>-0.165598</v>
      </c>
      <c r="AL249" s="28">
        <v>-0.252301</v>
      </c>
      <c r="AM249" s="28">
        <v>0.462171</v>
      </c>
      <c r="AN249" s="28">
        <v>1.4694E-2</v>
      </c>
      <c r="AO249" s="28">
        <v>0.29298999999999997</v>
      </c>
      <c r="AP249" s="28">
        <v>0.132101</v>
      </c>
      <c r="AQ249" s="28">
        <v>-0.21371299999999999</v>
      </c>
      <c r="AR249" s="28">
        <v>0.29067500000000002</v>
      </c>
      <c r="AS249" s="28">
        <v>1.054038</v>
      </c>
      <c r="AT249" s="28">
        <v>0.41327700000000001</v>
      </c>
      <c r="AU249" s="28">
        <v>-0.175763</v>
      </c>
      <c r="AV249" s="28">
        <v>-0.114758</v>
      </c>
      <c r="AW249" s="28">
        <v>-0.29008800000000001</v>
      </c>
      <c r="AX249" s="28">
        <v>0.21742500000000001</v>
      </c>
      <c r="AY249" s="28">
        <v>0.25717000000000001</v>
      </c>
      <c r="AZ249" s="28">
        <v>-1.2903E-2</v>
      </c>
      <c r="BA249" s="28">
        <v>0.37250299999999997</v>
      </c>
      <c r="BB249" s="28">
        <v>-0.139101</v>
      </c>
      <c r="BC249" s="27">
        <v>139.77810700000001</v>
      </c>
      <c r="BD249" s="27">
        <v>1903.167236</v>
      </c>
      <c r="BE249" s="27">
        <v>1205.9381100000001</v>
      </c>
      <c r="BF249" s="27">
        <v>27.02364</v>
      </c>
      <c r="BG249" s="27">
        <v>3.7005000000000003E-2</v>
      </c>
    </row>
    <row r="250" spans="1:59">
      <c r="A250" s="27">
        <v>9</v>
      </c>
      <c r="B250" s="27">
        <v>47.473990999999998</v>
      </c>
      <c r="C250" s="27">
        <v>-3</v>
      </c>
      <c r="D250" s="27">
        <v>0</v>
      </c>
      <c r="E250" s="28">
        <v>-0.33737299999999998</v>
      </c>
      <c r="F250" s="28">
        <v>-3.2556000000000002E-2</v>
      </c>
      <c r="G250" s="28">
        <v>0.49451899999999999</v>
      </c>
      <c r="H250" s="28">
        <v>0.80033900000000002</v>
      </c>
      <c r="I250" s="28">
        <v>-0.41122799999999998</v>
      </c>
      <c r="J250" s="28">
        <v>0.103978</v>
      </c>
      <c r="K250" s="28">
        <v>-0.45666099999999998</v>
      </c>
      <c r="L250" s="28">
        <v>-0.89855799999999997</v>
      </c>
      <c r="M250" s="28">
        <v>2.3390000000000001E-2</v>
      </c>
      <c r="N250" s="28">
        <v>0.76636599999999999</v>
      </c>
      <c r="O250" s="28">
        <v>-0.52148700000000003</v>
      </c>
      <c r="P250" s="28">
        <v>-0.48751299999999997</v>
      </c>
      <c r="Q250" s="28">
        <v>-0.45302399999999998</v>
      </c>
      <c r="R250" s="28">
        <v>-3.8660000000000001E-3</v>
      </c>
      <c r="S250" s="28">
        <v>-0.29153200000000001</v>
      </c>
      <c r="T250" s="28">
        <v>-4.9637000000000001E-2</v>
      </c>
      <c r="U250" s="28">
        <v>-0.82672299999999999</v>
      </c>
      <c r="V250" s="28">
        <v>-1.569612</v>
      </c>
      <c r="W250" s="28">
        <v>-1.192097</v>
      </c>
      <c r="X250" s="28">
        <v>0.68378499999999998</v>
      </c>
      <c r="Y250" s="28">
        <v>-0.39924100000000001</v>
      </c>
      <c r="Z250" s="28">
        <v>-0.43151</v>
      </c>
      <c r="AA250" s="28">
        <v>-0.41017799999999999</v>
      </c>
      <c r="AB250" s="28">
        <v>0.304643</v>
      </c>
      <c r="AC250" s="28">
        <v>-0.24080199999999999</v>
      </c>
      <c r="AD250" s="28">
        <v>0.70867400000000003</v>
      </c>
      <c r="AE250" s="28">
        <v>-0.61898600000000004</v>
      </c>
      <c r="AF250" s="28">
        <v>1.5591729999999999</v>
      </c>
      <c r="AG250" s="28">
        <v>0.53772399999999998</v>
      </c>
      <c r="AH250" s="28">
        <v>2.5140000000000002E-3</v>
      </c>
      <c r="AI250" s="28">
        <v>-0.184424</v>
      </c>
      <c r="AJ250" s="28">
        <v>0.42896499999999999</v>
      </c>
      <c r="AK250" s="28">
        <v>-0.33809499999999998</v>
      </c>
      <c r="AL250" s="28">
        <v>0.139071</v>
      </c>
      <c r="AM250" s="28">
        <v>0.21063899999999999</v>
      </c>
      <c r="AN250" s="28">
        <v>-0.16170699999999999</v>
      </c>
      <c r="AO250" s="28">
        <v>0.37043399999999999</v>
      </c>
      <c r="AP250" s="28">
        <v>0.120472</v>
      </c>
      <c r="AQ250" s="28">
        <v>-0.24499699999999999</v>
      </c>
      <c r="AR250" s="28">
        <v>-0.50331199999999998</v>
      </c>
      <c r="AS250" s="28">
        <v>0.159106</v>
      </c>
      <c r="AT250" s="28">
        <v>0.24166499999999999</v>
      </c>
      <c r="AU250" s="28">
        <v>1.4123540000000001</v>
      </c>
      <c r="AV250" s="28">
        <v>0.39681</v>
      </c>
      <c r="AW250" s="28">
        <v>0.56566499999999997</v>
      </c>
      <c r="AX250" s="28">
        <v>-0.61748700000000001</v>
      </c>
      <c r="AY250" s="28">
        <v>0.48023900000000003</v>
      </c>
      <c r="AZ250" s="28">
        <v>-0.406275</v>
      </c>
      <c r="BA250" s="28">
        <v>0.79858200000000001</v>
      </c>
      <c r="BB250" s="28">
        <v>-0.17834800000000001</v>
      </c>
      <c r="BC250" s="27">
        <v>117.757034</v>
      </c>
      <c r="BD250" s="27">
        <v>2159.8317870000001</v>
      </c>
      <c r="BE250" s="27">
        <v>1214.9833980000001</v>
      </c>
      <c r="BF250" s="27">
        <v>25.592611000000002</v>
      </c>
      <c r="BG250" s="27">
        <v>3.9073999999999998E-2</v>
      </c>
    </row>
    <row r="251" spans="1:59">
      <c r="A251" s="27">
        <v>10</v>
      </c>
      <c r="B251" s="27">
        <v>40.131003999999997</v>
      </c>
      <c r="C251" s="27">
        <v>-3</v>
      </c>
      <c r="D251" s="27">
        <v>0</v>
      </c>
      <c r="E251" s="28">
        <v>-0.86982300000000001</v>
      </c>
      <c r="F251" s="28">
        <v>1.889802</v>
      </c>
      <c r="G251" s="28">
        <v>-1.1225270000000001</v>
      </c>
      <c r="H251" s="28">
        <v>-0.34977599999999998</v>
      </c>
      <c r="I251" s="28">
        <v>-0.80473399999999995</v>
      </c>
      <c r="J251" s="28">
        <v>0.29142800000000002</v>
      </c>
      <c r="K251" s="28">
        <v>0.75990800000000003</v>
      </c>
      <c r="L251" s="28">
        <v>1.163189</v>
      </c>
      <c r="M251" s="28">
        <v>-0.66398000000000001</v>
      </c>
      <c r="N251" s="28">
        <v>0.487176</v>
      </c>
      <c r="O251" s="28">
        <v>-9.3188999999999994E-2</v>
      </c>
      <c r="P251" s="28">
        <v>0.394451</v>
      </c>
      <c r="Q251" s="28">
        <v>0.277198</v>
      </c>
      <c r="R251" s="28">
        <v>-1.1103289999999999</v>
      </c>
      <c r="S251" s="28">
        <v>0.97642499999999999</v>
      </c>
      <c r="T251" s="28">
        <v>0.26657199999999998</v>
      </c>
      <c r="U251" s="28">
        <v>3.0010000000000002E-3</v>
      </c>
      <c r="V251" s="28">
        <v>0.21848999999999999</v>
      </c>
      <c r="W251" s="28">
        <v>0.498637</v>
      </c>
      <c r="X251" s="28">
        <v>0.27388200000000001</v>
      </c>
      <c r="Y251" s="28">
        <v>0.16118399999999999</v>
      </c>
      <c r="Z251" s="28">
        <v>0.17991499999999999</v>
      </c>
      <c r="AA251" s="28">
        <v>0.34251500000000001</v>
      </c>
      <c r="AB251" s="28">
        <v>0.97009900000000004</v>
      </c>
      <c r="AC251" s="28">
        <v>2.4183E-2</v>
      </c>
      <c r="AD251" s="28">
        <v>-0.123721</v>
      </c>
      <c r="AE251" s="28">
        <v>-0.29488799999999998</v>
      </c>
      <c r="AF251" s="28">
        <v>-0.47139500000000001</v>
      </c>
      <c r="AG251" s="28">
        <v>0.81895899999999999</v>
      </c>
      <c r="AH251" s="28">
        <v>-0.278447</v>
      </c>
      <c r="AI251" s="28">
        <v>0.108877</v>
      </c>
      <c r="AJ251" s="28">
        <v>-0.37279499999999999</v>
      </c>
      <c r="AK251" s="28">
        <v>-0.53154500000000005</v>
      </c>
      <c r="AL251" s="28">
        <v>0.61948599999999998</v>
      </c>
      <c r="AM251" s="28">
        <v>0.225796</v>
      </c>
      <c r="AN251" s="28">
        <v>-5.8999000000000003E-2</v>
      </c>
      <c r="AO251" s="28">
        <v>-0.57832899999999998</v>
      </c>
      <c r="AP251" s="28">
        <v>4.9121999999999999E-2</v>
      </c>
      <c r="AQ251" s="28">
        <v>-0.32334499999999999</v>
      </c>
      <c r="AR251" s="28">
        <v>0.58577900000000005</v>
      </c>
      <c r="AS251" s="28">
        <v>0.37560199999999999</v>
      </c>
      <c r="AT251" s="28">
        <v>-2.8146000000000001E-2</v>
      </c>
      <c r="AU251" s="28">
        <v>0.25195299999999998</v>
      </c>
      <c r="AV251" s="28">
        <v>-6.8654000000000007E-2</v>
      </c>
      <c r="AW251" s="28">
        <v>-0.16930000000000001</v>
      </c>
      <c r="AX251" s="28">
        <v>-1.3029949999999999</v>
      </c>
      <c r="AY251" s="28">
        <v>-0.34571800000000003</v>
      </c>
      <c r="AZ251" s="28">
        <v>-0.42252699999999999</v>
      </c>
      <c r="BA251" s="28">
        <v>0.40828100000000001</v>
      </c>
      <c r="BB251" s="28">
        <v>0.31816899999999998</v>
      </c>
      <c r="BC251" s="27">
        <v>127.624306</v>
      </c>
      <c r="BD251" s="27">
        <v>1531.2354740000001</v>
      </c>
      <c r="BE251" s="27">
        <v>1099.505249</v>
      </c>
      <c r="BF251" s="27">
        <v>27.397901999999998</v>
      </c>
      <c r="BG251" s="27">
        <v>3.6498999999999997E-2</v>
      </c>
    </row>
    <row r="252" spans="1:59">
      <c r="A252" s="27">
        <v>11</v>
      </c>
      <c r="B252" s="27">
        <v>51.800345999999998</v>
      </c>
      <c r="C252" s="27">
        <v>-3</v>
      </c>
      <c r="D252" s="27">
        <v>0</v>
      </c>
      <c r="E252" s="28">
        <v>0.92113900000000004</v>
      </c>
      <c r="F252" s="28">
        <v>-0.29337000000000002</v>
      </c>
      <c r="G252" s="28">
        <v>0.44889099999999998</v>
      </c>
      <c r="H252" s="28">
        <v>0.75926700000000003</v>
      </c>
      <c r="I252" s="28">
        <v>1.6478440000000001</v>
      </c>
      <c r="J252" s="28">
        <v>0.93362199999999995</v>
      </c>
      <c r="K252" s="28">
        <v>9.1627E-2</v>
      </c>
      <c r="L252" s="28">
        <v>1.265493</v>
      </c>
      <c r="M252" s="28">
        <v>0.362122</v>
      </c>
      <c r="N252" s="28">
        <v>-0.76836599999999999</v>
      </c>
      <c r="O252" s="28">
        <v>0.82767000000000002</v>
      </c>
      <c r="P252" s="28">
        <v>-0.72798499999999999</v>
      </c>
      <c r="Q252" s="28">
        <v>1.5399149999999999</v>
      </c>
      <c r="R252" s="28">
        <v>-0.30518699999999999</v>
      </c>
      <c r="S252" s="28">
        <v>3.1119000000000001E-2</v>
      </c>
      <c r="T252" s="28">
        <v>-0.131274</v>
      </c>
      <c r="U252" s="28">
        <v>1.3548659999999999</v>
      </c>
      <c r="V252" s="28">
        <v>-0.74107400000000001</v>
      </c>
      <c r="W252" s="28">
        <v>0.79805599999999999</v>
      </c>
      <c r="X252" s="28">
        <v>0.89022599999999996</v>
      </c>
      <c r="Y252" s="28">
        <v>0.75653499999999996</v>
      </c>
      <c r="Z252" s="28">
        <v>-0.685971</v>
      </c>
      <c r="AA252" s="28">
        <v>0.32599099999999998</v>
      </c>
      <c r="AB252" s="28">
        <v>0.219356</v>
      </c>
      <c r="AC252" s="28">
        <v>0.46563100000000002</v>
      </c>
      <c r="AD252" s="28">
        <v>-0.63073400000000002</v>
      </c>
      <c r="AE252" s="28">
        <v>0.266816</v>
      </c>
      <c r="AF252" s="28">
        <v>-1.4286749999999999</v>
      </c>
      <c r="AG252" s="28">
        <v>0.41342099999999998</v>
      </c>
      <c r="AH252" s="28">
        <v>0.70214500000000002</v>
      </c>
      <c r="AI252" s="28">
        <v>0.14101900000000001</v>
      </c>
      <c r="AJ252" s="28">
        <v>0.94988799999999995</v>
      </c>
      <c r="AK252" s="28">
        <v>-0.89719599999999999</v>
      </c>
      <c r="AL252" s="28">
        <v>-0.86690699999999998</v>
      </c>
      <c r="AM252" s="28">
        <v>-0.37951800000000002</v>
      </c>
      <c r="AN252" s="28">
        <v>0.86481699999999995</v>
      </c>
      <c r="AO252" s="28">
        <v>0.65626399999999996</v>
      </c>
      <c r="AP252" s="28">
        <v>1.672366</v>
      </c>
      <c r="AQ252" s="28">
        <v>4.7937E-2</v>
      </c>
      <c r="AR252" s="28">
        <v>-0.17741899999999999</v>
      </c>
      <c r="AS252" s="28">
        <v>-0.31617400000000001</v>
      </c>
      <c r="AT252" s="28">
        <v>0.34600999999999998</v>
      </c>
      <c r="AU252" s="28">
        <v>-0.22524</v>
      </c>
      <c r="AV252" s="28">
        <v>-0.70358299999999996</v>
      </c>
      <c r="AW252" s="28">
        <v>-0.62018399999999996</v>
      </c>
      <c r="AX252" s="28">
        <v>-0.45013500000000001</v>
      </c>
      <c r="AY252" s="28">
        <v>-0.26267400000000002</v>
      </c>
      <c r="AZ252" s="28">
        <v>1.0598620000000001</v>
      </c>
      <c r="BA252" s="28">
        <v>-0.440193</v>
      </c>
      <c r="BB252" s="28">
        <v>0.70074099999999995</v>
      </c>
      <c r="BC252" s="27">
        <v>129.51959199999999</v>
      </c>
      <c r="BD252" s="27">
        <v>2580.6752929999998</v>
      </c>
      <c r="BE252" s="27">
        <v>1174.4951169999999</v>
      </c>
      <c r="BF252" s="27">
        <v>22.673500000000001</v>
      </c>
      <c r="BG252" s="27">
        <v>4.4103999999999997E-2</v>
      </c>
    </row>
    <row r="253" spans="1:59">
      <c r="A253" s="27">
        <v>12</v>
      </c>
      <c r="B253" s="27">
        <v>50.852936</v>
      </c>
      <c r="C253" s="27">
        <v>-3</v>
      </c>
      <c r="D253" s="27">
        <v>0</v>
      </c>
      <c r="E253" s="28">
        <v>0.101844</v>
      </c>
      <c r="F253" s="28">
        <v>-0.93176599999999998</v>
      </c>
      <c r="G253" s="28">
        <v>-0.38437100000000002</v>
      </c>
      <c r="H253" s="28">
        <v>-1.5538350000000001</v>
      </c>
      <c r="I253" s="28">
        <v>-0.73569700000000005</v>
      </c>
      <c r="J253" s="28">
        <v>0.52304499999999998</v>
      </c>
      <c r="K253" s="28">
        <v>-2.8447E-2</v>
      </c>
      <c r="L253" s="28">
        <v>0.28006399999999998</v>
      </c>
      <c r="M253" s="28">
        <v>-0.76220299999999996</v>
      </c>
      <c r="N253" s="28">
        <v>0.44737199999999999</v>
      </c>
      <c r="O253" s="28">
        <v>-6.7625000000000005E-2</v>
      </c>
      <c r="P253" s="28">
        <v>0.86144699999999996</v>
      </c>
      <c r="Q253" s="28">
        <v>-0.157302</v>
      </c>
      <c r="R253" s="28">
        <v>-0.732626</v>
      </c>
      <c r="S253" s="28">
        <v>0.96474400000000005</v>
      </c>
      <c r="T253" s="28">
        <v>0.197606</v>
      </c>
      <c r="U253" s="28">
        <v>1.3932469999999999</v>
      </c>
      <c r="V253" s="28">
        <v>-0.14077300000000001</v>
      </c>
      <c r="W253" s="28">
        <v>0.709592</v>
      </c>
      <c r="X253" s="28">
        <v>0.93244099999999996</v>
      </c>
      <c r="Y253" s="28">
        <v>8.5971000000000006E-2</v>
      </c>
      <c r="Z253" s="28">
        <v>0.90919099999999997</v>
      </c>
      <c r="AA253" s="28">
        <v>-0.95799599999999996</v>
      </c>
      <c r="AB253" s="28">
        <v>-0.71162499999999995</v>
      </c>
      <c r="AC253" s="28">
        <v>-0.80664899999999995</v>
      </c>
      <c r="AD253" s="28">
        <v>-0.388681</v>
      </c>
      <c r="AE253" s="28">
        <v>1.100587</v>
      </c>
      <c r="AF253" s="28">
        <v>0.90513100000000002</v>
      </c>
      <c r="AG253" s="28">
        <v>0.40033600000000003</v>
      </c>
      <c r="AH253" s="28">
        <v>-2.6057E-2</v>
      </c>
      <c r="AI253" s="28">
        <v>-0.66838799999999998</v>
      </c>
      <c r="AJ253" s="28">
        <v>-0.61999499999999996</v>
      </c>
      <c r="AK253" s="28">
        <v>-0.47625600000000001</v>
      </c>
      <c r="AL253" s="28">
        <v>0.60118099999999997</v>
      </c>
      <c r="AM253" s="28">
        <v>-0.56541600000000003</v>
      </c>
      <c r="AN253" s="28">
        <v>0.35481200000000002</v>
      </c>
      <c r="AO253" s="28">
        <v>7.5923000000000004E-2</v>
      </c>
      <c r="AP253" s="28">
        <v>0.110385</v>
      </c>
      <c r="AQ253" s="28">
        <v>0.66152200000000005</v>
      </c>
      <c r="AR253" s="28">
        <v>-0.57309299999999996</v>
      </c>
      <c r="AS253" s="28">
        <v>0.67266899999999996</v>
      </c>
      <c r="AT253" s="28">
        <v>0.28047499999999997</v>
      </c>
      <c r="AU253" s="28">
        <v>-0.85598099999999999</v>
      </c>
      <c r="AV253" s="28">
        <v>-0.291238</v>
      </c>
      <c r="AW253" s="28">
        <v>-1.6941079999999999</v>
      </c>
      <c r="AX253" s="28">
        <v>-0.17477300000000001</v>
      </c>
      <c r="AY253" s="28">
        <v>0.590804</v>
      </c>
      <c r="AZ253" s="28">
        <v>0.44248199999999999</v>
      </c>
      <c r="BA253" s="28">
        <v>-0.55532800000000004</v>
      </c>
      <c r="BB253" s="28">
        <v>-3.5145000000000003E-2</v>
      </c>
      <c r="BC253" s="27">
        <v>126.99329400000001</v>
      </c>
      <c r="BD253" s="27">
        <v>2485.3151859999998</v>
      </c>
      <c r="BE253" s="27">
        <v>1565.2851559999999</v>
      </c>
      <c r="BF253" s="27">
        <v>30.780626000000002</v>
      </c>
      <c r="BG253" s="27">
        <v>3.2488000000000003E-2</v>
      </c>
    </row>
    <row r="254" spans="1:59">
      <c r="A254" s="27">
        <v>13</v>
      </c>
      <c r="B254" s="27">
        <v>41.332656999999998</v>
      </c>
      <c r="C254" s="27">
        <v>-3</v>
      </c>
      <c r="D254" s="27">
        <v>0</v>
      </c>
      <c r="E254" s="28">
        <v>1.614214</v>
      </c>
      <c r="F254" s="28">
        <v>0.23215</v>
      </c>
      <c r="G254" s="28">
        <v>0.25669599999999998</v>
      </c>
      <c r="H254" s="28">
        <v>-0.116481</v>
      </c>
      <c r="I254" s="28">
        <v>1.692396</v>
      </c>
      <c r="J254" s="28">
        <v>2.0740000000000001E-2</v>
      </c>
      <c r="K254" s="28">
        <v>0.43417099999999997</v>
      </c>
      <c r="L254" s="28">
        <v>0.15672700000000001</v>
      </c>
      <c r="M254" s="28">
        <v>0.84644900000000001</v>
      </c>
      <c r="N254" s="28">
        <v>-0.326988</v>
      </c>
      <c r="O254" s="28">
        <v>0.35654599999999997</v>
      </c>
      <c r="P254" s="28">
        <v>-0.69081700000000001</v>
      </c>
      <c r="Q254" s="28">
        <v>-1.5205679999999999</v>
      </c>
      <c r="R254" s="28">
        <v>0.101855</v>
      </c>
      <c r="S254" s="28">
        <v>-5.0455E-2</v>
      </c>
      <c r="T254" s="28">
        <v>0.73058999999999996</v>
      </c>
      <c r="U254" s="28">
        <v>-1.4077809999999999</v>
      </c>
      <c r="V254" s="28">
        <v>0.94844899999999999</v>
      </c>
      <c r="W254" s="28">
        <v>0.60904899999999995</v>
      </c>
      <c r="X254" s="28">
        <v>-0.75822400000000001</v>
      </c>
      <c r="Y254" s="28">
        <v>0.56430199999999997</v>
      </c>
      <c r="Z254" s="28">
        <v>0.21484500000000001</v>
      </c>
      <c r="AA254" s="28">
        <v>0.75581500000000001</v>
      </c>
      <c r="AB254" s="28">
        <v>0.199127</v>
      </c>
      <c r="AC254" s="28">
        <v>-0.65629000000000004</v>
      </c>
      <c r="AD254" s="28">
        <v>-0.14308100000000001</v>
      </c>
      <c r="AE254" s="28">
        <v>3.3890000000000003E-2</v>
      </c>
      <c r="AF254" s="28">
        <v>0.30363499999999999</v>
      </c>
      <c r="AG254" s="28">
        <v>-0.53788599999999998</v>
      </c>
      <c r="AH254" s="28">
        <v>-0.13880600000000001</v>
      </c>
      <c r="AI254" s="28">
        <v>1.799318</v>
      </c>
      <c r="AJ254" s="28">
        <v>-0.298431</v>
      </c>
      <c r="AK254" s="28">
        <v>0.81237499999999996</v>
      </c>
      <c r="AL254" s="28">
        <v>-0.84752400000000006</v>
      </c>
      <c r="AM254" s="28">
        <v>-0.52254</v>
      </c>
      <c r="AN254" s="28">
        <v>0.27977600000000002</v>
      </c>
      <c r="AO254" s="28">
        <v>1.7250000000000001E-2</v>
      </c>
      <c r="AP254" s="28">
        <v>8.5168999999999995E-2</v>
      </c>
      <c r="AQ254" s="28">
        <v>-0.88034800000000002</v>
      </c>
      <c r="AR254" s="28">
        <v>-0.25476799999999999</v>
      </c>
      <c r="AS254" s="28">
        <v>0.21149499999999999</v>
      </c>
      <c r="AT254" s="28">
        <v>-0.44474599999999997</v>
      </c>
      <c r="AU254" s="28">
        <v>-1.1809909999999999</v>
      </c>
      <c r="AV254" s="28">
        <v>0.28868300000000002</v>
      </c>
      <c r="AW254" s="28">
        <v>0.70152700000000001</v>
      </c>
      <c r="AX254" s="28">
        <v>-0.30702600000000002</v>
      </c>
      <c r="AY254" s="28">
        <v>-0.76923600000000003</v>
      </c>
      <c r="AZ254" s="28">
        <v>0.71762300000000001</v>
      </c>
      <c r="BA254" s="28">
        <v>-1.0298890000000001</v>
      </c>
      <c r="BB254" s="28">
        <v>-0.94150599999999995</v>
      </c>
      <c r="BC254" s="27">
        <v>168.97543300000001</v>
      </c>
      <c r="BD254" s="27">
        <v>1626.7232670000001</v>
      </c>
      <c r="BE254" s="27">
        <v>839.39624000000003</v>
      </c>
      <c r="BF254" s="27">
        <v>20.308306000000002</v>
      </c>
      <c r="BG254" s="27">
        <v>4.9241E-2</v>
      </c>
    </row>
    <row r="255" spans="1:59">
      <c r="A255" s="27">
        <v>14</v>
      </c>
      <c r="B255" s="27">
        <v>50.436802</v>
      </c>
      <c r="C255" s="27">
        <v>-3</v>
      </c>
      <c r="D255" s="27">
        <v>0</v>
      </c>
      <c r="E255" s="28">
        <v>1.220248</v>
      </c>
      <c r="F255" s="28">
        <v>-0.84979700000000002</v>
      </c>
      <c r="G255" s="28">
        <v>0.52901100000000001</v>
      </c>
      <c r="H255" s="28">
        <v>-0.44570799999999999</v>
      </c>
      <c r="I255" s="28">
        <v>0.58260699999999999</v>
      </c>
      <c r="J255" s="28">
        <v>1.0987579999999999</v>
      </c>
      <c r="K255" s="28">
        <v>-0.40750900000000001</v>
      </c>
      <c r="L255" s="28">
        <v>-0.48164699999999999</v>
      </c>
      <c r="M255" s="28">
        <v>0.64495800000000003</v>
      </c>
      <c r="N255" s="28">
        <v>0.69749799999999995</v>
      </c>
      <c r="O255" s="28">
        <v>-1.7539340000000001</v>
      </c>
      <c r="P255" s="28">
        <v>0.200211</v>
      </c>
      <c r="Q255" s="28">
        <v>-0.65269900000000003</v>
      </c>
      <c r="R255" s="28">
        <v>0.95049399999999995</v>
      </c>
      <c r="S255" s="28">
        <v>0.93861499999999998</v>
      </c>
      <c r="T255" s="28">
        <v>-1.813814</v>
      </c>
      <c r="U255" s="28">
        <v>-0.92457199999999995</v>
      </c>
      <c r="V255" s="28">
        <v>-0.44912299999999999</v>
      </c>
      <c r="W255" s="28">
        <v>7.5886999999999996E-2</v>
      </c>
      <c r="X255" s="28">
        <v>1.51451</v>
      </c>
      <c r="Y255" s="28">
        <v>0.28528999999999999</v>
      </c>
      <c r="Z255" s="28">
        <v>-0.47020000000000001</v>
      </c>
      <c r="AA255" s="28">
        <v>0.14186699999999999</v>
      </c>
      <c r="AB255" s="28">
        <v>-1.2525729999999999</v>
      </c>
      <c r="AC255" s="28">
        <v>0.35832999999999998</v>
      </c>
      <c r="AD255" s="28">
        <v>6.2779000000000001E-2</v>
      </c>
      <c r="AE255" s="28">
        <v>-0.24352299999999999</v>
      </c>
      <c r="AF255" s="28">
        <v>0.74968000000000001</v>
      </c>
      <c r="AG255" s="28">
        <v>-5.151E-2</v>
      </c>
      <c r="AH255" s="28">
        <v>-0.48818</v>
      </c>
      <c r="AI255" s="28">
        <v>0.22815199999999999</v>
      </c>
      <c r="AJ255" s="28">
        <v>0.77343899999999999</v>
      </c>
      <c r="AK255" s="28">
        <v>-1.3948130000000001</v>
      </c>
      <c r="AL255" s="28">
        <v>-2.0788000000000001E-2</v>
      </c>
      <c r="AM255" s="28">
        <v>2.0740999999999999E-2</v>
      </c>
      <c r="AN255" s="28">
        <v>-1.097108</v>
      </c>
      <c r="AO255" s="28">
        <v>-0.131464</v>
      </c>
      <c r="AP255" s="28">
        <v>-1.2767850000000001</v>
      </c>
      <c r="AQ255" s="28">
        <v>-0.19317300000000001</v>
      </c>
      <c r="AR255" s="28">
        <v>-6.6600999999999994E-2</v>
      </c>
      <c r="AS255" s="28">
        <v>-0.24581500000000001</v>
      </c>
      <c r="AT255" s="28">
        <v>-0.139569</v>
      </c>
      <c r="AU255" s="28">
        <v>0.39235700000000001</v>
      </c>
      <c r="AV255" s="28">
        <v>-0.46349099999999999</v>
      </c>
      <c r="AW255" s="28">
        <v>-1.0285200000000001</v>
      </c>
      <c r="AX255" s="28">
        <v>0.19811200000000001</v>
      </c>
      <c r="AY255" s="28">
        <v>0.50113399999999997</v>
      </c>
      <c r="AZ255" s="28">
        <v>0.122825</v>
      </c>
      <c r="BA255" s="28">
        <v>0.53196299999999996</v>
      </c>
      <c r="BB255" s="28">
        <v>-0.91807099999999997</v>
      </c>
      <c r="BC255" s="27">
        <v>208.28362999999999</v>
      </c>
      <c r="BD255" s="27">
        <v>2443.9973140000002</v>
      </c>
      <c r="BE255" s="27">
        <v>874.96227999999996</v>
      </c>
      <c r="BF255" s="27">
        <v>17.347695999999999</v>
      </c>
      <c r="BG255" s="27">
        <v>5.7645000000000002E-2</v>
      </c>
    </row>
    <row r="256" spans="1:59">
      <c r="A256" s="27">
        <v>15</v>
      </c>
      <c r="B256" s="27">
        <v>55.584290000000003</v>
      </c>
      <c r="C256" s="27">
        <v>-3</v>
      </c>
      <c r="D256" s="27">
        <v>0</v>
      </c>
      <c r="E256" s="28">
        <v>0.74165199999999998</v>
      </c>
      <c r="F256" s="28">
        <v>0.26011600000000001</v>
      </c>
      <c r="G256" s="28">
        <v>-0.19200700000000001</v>
      </c>
      <c r="H256" s="28">
        <v>0.39093</v>
      </c>
      <c r="I256" s="28">
        <v>0.431419</v>
      </c>
      <c r="J256" s="28">
        <v>-0.22012899999999999</v>
      </c>
      <c r="K256" s="28">
        <v>1.2590239999999999</v>
      </c>
      <c r="L256" s="28">
        <v>0.14258000000000001</v>
      </c>
      <c r="M256" s="28">
        <v>0.77181</v>
      </c>
      <c r="N256" s="28">
        <v>-0.21779200000000001</v>
      </c>
      <c r="O256" s="28">
        <v>0.87763599999999997</v>
      </c>
      <c r="P256" s="28">
        <v>0.84106300000000001</v>
      </c>
      <c r="Q256" s="28">
        <v>1.0041530000000001</v>
      </c>
      <c r="R256" s="28">
        <v>-0.97346200000000005</v>
      </c>
      <c r="S256" s="28">
        <v>0.962086</v>
      </c>
      <c r="T256" s="28">
        <v>-0.36222100000000002</v>
      </c>
      <c r="U256" s="28">
        <v>-0.85171399999999997</v>
      </c>
      <c r="V256" s="28">
        <v>-1.2297830000000001</v>
      </c>
      <c r="W256" s="28">
        <v>-1.113645</v>
      </c>
      <c r="X256" s="28">
        <v>-0.57122700000000004</v>
      </c>
      <c r="Y256" s="28">
        <v>-1.261752</v>
      </c>
      <c r="Z256" s="28">
        <v>-0.39733400000000002</v>
      </c>
      <c r="AA256" s="28">
        <v>-1.5360799999999999</v>
      </c>
      <c r="AB256" s="28">
        <v>0.38037500000000002</v>
      </c>
      <c r="AC256" s="28">
        <v>-1.6188039999999999</v>
      </c>
      <c r="AD256" s="28">
        <v>-7.8633999999999996E-2</v>
      </c>
      <c r="AE256" s="28">
        <v>-3.1660000000000001E-2</v>
      </c>
      <c r="AF256" s="28">
        <v>-0.88983500000000004</v>
      </c>
      <c r="AG256" s="28">
        <v>0.41203499999999998</v>
      </c>
      <c r="AH256" s="28">
        <v>0.777084</v>
      </c>
      <c r="AI256" s="28">
        <v>-0.33110000000000001</v>
      </c>
      <c r="AJ256" s="28">
        <v>-0.287018</v>
      </c>
      <c r="AK256" s="28">
        <v>1.363599</v>
      </c>
      <c r="AL256" s="28">
        <v>1.2083809999999999</v>
      </c>
      <c r="AM256" s="28">
        <v>0.41487400000000002</v>
      </c>
      <c r="AN256" s="28">
        <v>0.25899</v>
      </c>
      <c r="AO256" s="28">
        <v>0.58913000000000004</v>
      </c>
      <c r="AP256" s="28">
        <v>-0.20588100000000001</v>
      </c>
      <c r="AQ256" s="28">
        <v>-5.2186000000000003E-2</v>
      </c>
      <c r="AR256" s="28">
        <v>0.15509400000000001</v>
      </c>
      <c r="AS256" s="28">
        <v>0.41556300000000002</v>
      </c>
      <c r="AT256" s="28">
        <v>0.458899</v>
      </c>
      <c r="AU256" s="28">
        <v>0.20200000000000001</v>
      </c>
      <c r="AV256" s="28">
        <v>-0.41248099999999999</v>
      </c>
      <c r="AW256" s="28">
        <v>-1.231236</v>
      </c>
      <c r="AX256" s="28">
        <v>0.31484200000000001</v>
      </c>
      <c r="AY256" s="28">
        <v>0.376859</v>
      </c>
      <c r="AZ256" s="28">
        <v>-0.29426000000000002</v>
      </c>
      <c r="BA256" s="28">
        <v>0.62272400000000006</v>
      </c>
      <c r="BB256" s="28">
        <v>-3.891E-2</v>
      </c>
      <c r="BC256" s="27">
        <v>174.234238</v>
      </c>
      <c r="BD256" s="27">
        <v>2979.4445799999999</v>
      </c>
      <c r="BE256" s="27">
        <v>1186.8594969999999</v>
      </c>
      <c r="BF256" s="27">
        <v>21.352426999999999</v>
      </c>
      <c r="BG256" s="27">
        <v>4.6833E-2</v>
      </c>
    </row>
    <row r="257" spans="1:59">
      <c r="A257" s="27">
        <v>16</v>
      </c>
      <c r="B257" s="27">
        <v>38.859901000000001</v>
      </c>
      <c r="C257" s="27">
        <v>-3</v>
      </c>
      <c r="D257" s="27">
        <v>0</v>
      </c>
      <c r="E257" s="28">
        <v>-0.83938599999999997</v>
      </c>
      <c r="F257" s="28">
        <v>-7.3762999999999995E-2</v>
      </c>
      <c r="G257" s="28">
        <v>0.222966</v>
      </c>
      <c r="H257" s="28">
        <v>0.30225400000000002</v>
      </c>
      <c r="I257" s="28">
        <v>0.68256499999999998</v>
      </c>
      <c r="J257" s="28">
        <v>-0.35476799999999997</v>
      </c>
      <c r="K257" s="28">
        <v>-0.264739</v>
      </c>
      <c r="L257" s="28">
        <v>-0.81806999999999996</v>
      </c>
      <c r="M257" s="28">
        <v>0.25250699999999998</v>
      </c>
      <c r="N257" s="28">
        <v>-0.689828</v>
      </c>
      <c r="O257" s="28">
        <v>5.0720000000000001E-3</v>
      </c>
      <c r="P257" s="28">
        <v>-0.25135200000000002</v>
      </c>
      <c r="Q257" s="28">
        <v>3.3418999999999997E-2</v>
      </c>
      <c r="R257" s="28">
        <v>-0.80864000000000003</v>
      </c>
      <c r="S257" s="28">
        <v>0.35101399999999999</v>
      </c>
      <c r="T257" s="28">
        <v>1.280697</v>
      </c>
      <c r="U257" s="28">
        <v>-1.7562999999999999E-2</v>
      </c>
      <c r="V257" s="28">
        <v>-1.189017</v>
      </c>
      <c r="W257" s="28">
        <v>-0.61908399999999997</v>
      </c>
      <c r="X257" s="28">
        <v>-4.4188999999999999E-2</v>
      </c>
      <c r="Y257" s="28">
        <v>0.584592</v>
      </c>
      <c r="Z257" s="28">
        <v>1.049345</v>
      </c>
      <c r="AA257" s="28">
        <v>0.62535700000000005</v>
      </c>
      <c r="AB257" s="28">
        <v>0.58512900000000001</v>
      </c>
      <c r="AC257" s="28">
        <v>-1.4290860000000001</v>
      </c>
      <c r="AD257" s="28">
        <v>7.5738E-2</v>
      </c>
      <c r="AE257" s="28">
        <v>-0.53014099999999997</v>
      </c>
      <c r="AF257" s="28">
        <v>0.73582999999999998</v>
      </c>
      <c r="AG257" s="28">
        <v>-0.82043699999999997</v>
      </c>
      <c r="AH257" s="28">
        <v>-0.92069299999999998</v>
      </c>
      <c r="AI257" s="28">
        <v>-2.0251000000000002E-2</v>
      </c>
      <c r="AJ257" s="28">
        <v>-0.95974599999999999</v>
      </c>
      <c r="AK257" s="28">
        <v>0.49084</v>
      </c>
      <c r="AL257" s="28">
        <v>0.16636699999999999</v>
      </c>
      <c r="AM257" s="28">
        <v>-1.423308</v>
      </c>
      <c r="AN257" s="28">
        <v>-0.426983</v>
      </c>
      <c r="AO257" s="28">
        <v>0.70173099999999999</v>
      </c>
      <c r="AP257" s="28">
        <v>0.28100799999999998</v>
      </c>
      <c r="AQ257" s="28">
        <v>-0.125828</v>
      </c>
      <c r="AR257" s="28">
        <v>-0.39920099999999997</v>
      </c>
      <c r="AS257" s="28">
        <v>0.17724200000000001</v>
      </c>
      <c r="AT257" s="28">
        <v>-0.61853800000000003</v>
      </c>
      <c r="AU257" s="28">
        <v>-0.90148200000000001</v>
      </c>
      <c r="AV257" s="28">
        <v>-0.65776100000000004</v>
      </c>
      <c r="AW257" s="28">
        <v>-0.14538499999999999</v>
      </c>
      <c r="AX257" s="28">
        <v>-0.63981299999999997</v>
      </c>
      <c r="AY257" s="28">
        <v>0.203068</v>
      </c>
      <c r="AZ257" s="28">
        <v>0.72957000000000005</v>
      </c>
      <c r="BA257" s="28">
        <v>0.97402999999999995</v>
      </c>
      <c r="BB257" s="28">
        <v>-0.264011</v>
      </c>
      <c r="BC257" s="27">
        <v>120.641037</v>
      </c>
      <c r="BD257" s="27">
        <v>1433.372192</v>
      </c>
      <c r="BE257" s="27">
        <v>897.16406300000006</v>
      </c>
      <c r="BF257" s="27">
        <v>23.087143000000001</v>
      </c>
      <c r="BG257" s="27">
        <v>4.3313999999999998E-2</v>
      </c>
    </row>
    <row r="258" spans="1:59">
      <c r="A258" s="27">
        <v>17</v>
      </c>
      <c r="B258" s="27">
        <v>52.487437999999997</v>
      </c>
      <c r="C258" s="27">
        <v>-3</v>
      </c>
      <c r="D258" s="27">
        <v>0</v>
      </c>
      <c r="E258" s="28">
        <v>-1.4143520000000001</v>
      </c>
      <c r="F258" s="28">
        <v>1.4850350000000001</v>
      </c>
      <c r="G258" s="28">
        <v>1.864975</v>
      </c>
      <c r="H258" s="28">
        <v>-9.8659999999999998E-3</v>
      </c>
      <c r="I258" s="28">
        <v>0.437025</v>
      </c>
      <c r="J258" s="28">
        <v>2.8424999999999999E-2</v>
      </c>
      <c r="K258" s="28">
        <v>0.55350200000000005</v>
      </c>
      <c r="L258" s="28">
        <v>-0.56803800000000004</v>
      </c>
      <c r="M258" s="28">
        <v>0.14879800000000001</v>
      </c>
      <c r="N258" s="28">
        <v>0.33643699999999999</v>
      </c>
      <c r="O258" s="28">
        <v>0.92656400000000005</v>
      </c>
      <c r="P258" s="28">
        <v>0.245313</v>
      </c>
      <c r="Q258" s="28">
        <v>-0.29562300000000002</v>
      </c>
      <c r="R258" s="28">
        <v>0.51491600000000004</v>
      </c>
      <c r="S258" s="28">
        <v>0.81218100000000004</v>
      </c>
      <c r="T258" s="28">
        <v>0.80408900000000005</v>
      </c>
      <c r="U258" s="28">
        <v>0.119377</v>
      </c>
      <c r="V258" s="28">
        <v>-0.25527100000000003</v>
      </c>
      <c r="W258" s="28">
        <v>0.45116600000000001</v>
      </c>
      <c r="X258" s="28">
        <v>-0.22115799999999999</v>
      </c>
      <c r="Y258" s="28">
        <v>-0.198461</v>
      </c>
      <c r="Z258" s="28">
        <v>-0.83983200000000002</v>
      </c>
      <c r="AA258" s="28">
        <v>-0.26358700000000002</v>
      </c>
      <c r="AB258" s="28">
        <v>1.152701</v>
      </c>
      <c r="AC258" s="28">
        <v>0.67613800000000002</v>
      </c>
      <c r="AD258" s="28">
        <v>0.385245</v>
      </c>
      <c r="AE258" s="28">
        <v>0.309529</v>
      </c>
      <c r="AF258" s="28">
        <v>-0.31473400000000001</v>
      </c>
      <c r="AG258" s="28">
        <v>6.6188999999999998E-2</v>
      </c>
      <c r="AH258" s="28">
        <v>-0.38019999999999998</v>
      </c>
      <c r="AI258" s="28">
        <v>-0.136792</v>
      </c>
      <c r="AJ258" s="28">
        <v>-0.94594100000000003</v>
      </c>
      <c r="AK258" s="28">
        <v>0.76394499999999999</v>
      </c>
      <c r="AL258" s="28">
        <v>0.17771200000000001</v>
      </c>
      <c r="AM258" s="28">
        <v>-0.60980400000000001</v>
      </c>
      <c r="AN258" s="28">
        <v>0.92602200000000001</v>
      </c>
      <c r="AO258" s="28">
        <v>-0.47570200000000001</v>
      </c>
      <c r="AP258" s="28">
        <v>-0.249861</v>
      </c>
      <c r="AQ258" s="28">
        <v>-0.32104700000000003</v>
      </c>
      <c r="AR258" s="28">
        <v>-9.8815E-2</v>
      </c>
      <c r="AS258" s="28">
        <v>-0.18464900000000001</v>
      </c>
      <c r="AT258" s="28">
        <v>0.437639</v>
      </c>
      <c r="AU258" s="28">
        <v>0.52409899999999998</v>
      </c>
      <c r="AV258" s="28">
        <v>-0.50070800000000004</v>
      </c>
      <c r="AW258" s="28">
        <v>-0.35497600000000001</v>
      </c>
      <c r="AX258" s="28">
        <v>1.149502</v>
      </c>
      <c r="AY258" s="28">
        <v>-3.4083000000000002E-2</v>
      </c>
      <c r="AZ258" s="28">
        <v>0.40973100000000001</v>
      </c>
      <c r="BA258" s="28">
        <v>-6.6908999999999996E-2</v>
      </c>
      <c r="BB258" s="28">
        <v>-0.15698500000000001</v>
      </c>
      <c r="BC258" s="27">
        <v>132.522324</v>
      </c>
      <c r="BD258" s="27">
        <v>2650.9562989999999</v>
      </c>
      <c r="BE258" s="27">
        <v>1123.06897</v>
      </c>
      <c r="BF258" s="27">
        <v>21.396909999999998</v>
      </c>
      <c r="BG258" s="27">
        <v>4.6736E-2</v>
      </c>
    </row>
    <row r="259" spans="1:59">
      <c r="A259" s="27">
        <v>18</v>
      </c>
      <c r="B259" s="27">
        <v>42.165897000000001</v>
      </c>
      <c r="C259" s="27">
        <v>-3</v>
      </c>
      <c r="D259" s="27">
        <v>0</v>
      </c>
      <c r="E259" s="28">
        <v>-8.9701000000000003E-2</v>
      </c>
      <c r="F259" s="28">
        <v>-1.062033</v>
      </c>
      <c r="G259" s="28">
        <v>0.99671799999999999</v>
      </c>
      <c r="H259" s="28">
        <v>-0.50319899999999995</v>
      </c>
      <c r="I259" s="28">
        <v>-1.3004290000000001</v>
      </c>
      <c r="J259" s="28">
        <v>-3.0889E-2</v>
      </c>
      <c r="K259" s="28">
        <v>0.88186699999999996</v>
      </c>
      <c r="L259" s="28">
        <v>0.71436999999999995</v>
      </c>
      <c r="M259" s="28">
        <v>-0.26535799999999998</v>
      </c>
      <c r="N259" s="28">
        <v>-0.51729899999999995</v>
      </c>
      <c r="O259" s="28">
        <v>-1.3392459999999999</v>
      </c>
      <c r="P259" s="28">
        <v>7.4237999999999998E-2</v>
      </c>
      <c r="Q259" s="28">
        <v>0.51790199999999997</v>
      </c>
      <c r="R259" s="28">
        <v>-0.42674699999999999</v>
      </c>
      <c r="S259" s="28">
        <v>0.20774899999999999</v>
      </c>
      <c r="T259" s="28">
        <v>-0.73572700000000002</v>
      </c>
      <c r="U259" s="28">
        <v>0.70632300000000003</v>
      </c>
      <c r="V259" s="28">
        <v>0.33780100000000002</v>
      </c>
      <c r="W259" s="28">
        <v>0.563886</v>
      </c>
      <c r="X259" s="28">
        <v>-0.70856399999999997</v>
      </c>
      <c r="Y259" s="28">
        <v>0.72263100000000002</v>
      </c>
      <c r="Z259" s="28">
        <v>-0.23342099999999999</v>
      </c>
      <c r="AA259" s="28">
        <v>-7.2009000000000004E-2</v>
      </c>
      <c r="AB259" s="28">
        <v>-1.2075830000000001</v>
      </c>
      <c r="AC259" s="28">
        <v>-0.440944</v>
      </c>
      <c r="AD259" s="28">
        <v>1.379237</v>
      </c>
      <c r="AE259" s="28">
        <v>1.701673</v>
      </c>
      <c r="AF259" s="28">
        <v>-0.17763499999999999</v>
      </c>
      <c r="AG259" s="28">
        <v>-0.97233800000000004</v>
      </c>
      <c r="AH259" s="28">
        <v>-0.75466800000000001</v>
      </c>
      <c r="AI259" s="28">
        <v>0.47717900000000002</v>
      </c>
      <c r="AJ259" s="28">
        <v>-1.487E-2</v>
      </c>
      <c r="AK259" s="28">
        <v>0.19036</v>
      </c>
      <c r="AL259" s="28">
        <v>-5.2224E-2</v>
      </c>
      <c r="AM259" s="28">
        <v>-0.67636700000000005</v>
      </c>
      <c r="AN259" s="28">
        <v>-0.44637100000000002</v>
      </c>
      <c r="AO259" s="28">
        <v>0.46221600000000002</v>
      </c>
      <c r="AP259" s="28">
        <v>0.33387099999999997</v>
      </c>
      <c r="AQ259" s="28">
        <v>1.359496</v>
      </c>
      <c r="AR259" s="28">
        <v>0.58911400000000003</v>
      </c>
      <c r="AS259" s="28">
        <v>-0.38329999999999997</v>
      </c>
      <c r="AT259" s="28">
        <v>0.37964500000000001</v>
      </c>
      <c r="AU259" s="28">
        <v>-0.30181799999999998</v>
      </c>
      <c r="AV259" s="28">
        <v>7.979E-2</v>
      </c>
      <c r="AW259" s="28">
        <v>-0.33604899999999999</v>
      </c>
      <c r="AX259" s="28">
        <v>0.165774</v>
      </c>
      <c r="AY259" s="28">
        <v>0.53484799999999999</v>
      </c>
      <c r="AZ259" s="28">
        <v>0.34875499999999998</v>
      </c>
      <c r="BA259" s="28">
        <v>-3.4063999999999997E-2</v>
      </c>
      <c r="BB259" s="28">
        <v>0.59342600000000001</v>
      </c>
      <c r="BC259" s="27">
        <v>162.973434</v>
      </c>
      <c r="BD259" s="27">
        <v>1694.6311040000001</v>
      </c>
      <c r="BE259" s="27">
        <v>875.84106399999996</v>
      </c>
      <c r="BF259" s="27">
        <v>20.771315000000001</v>
      </c>
      <c r="BG259" s="27">
        <v>4.8142999999999998E-2</v>
      </c>
    </row>
    <row r="260" spans="1:59">
      <c r="A260" s="27">
        <v>19</v>
      </c>
      <c r="B260" s="27">
        <v>49.376567999999999</v>
      </c>
      <c r="C260" s="27">
        <v>-3</v>
      </c>
      <c r="D260" s="27">
        <v>0</v>
      </c>
      <c r="E260" s="28">
        <v>-0.95977299999999999</v>
      </c>
      <c r="F260" s="28">
        <v>1.3521590000000001</v>
      </c>
      <c r="G260" s="28">
        <v>-0.97222600000000003</v>
      </c>
      <c r="H260" s="28">
        <v>-0.63371699999999997</v>
      </c>
      <c r="I260" s="28">
        <v>-0.20852200000000001</v>
      </c>
      <c r="J260" s="28">
        <v>-0.52859100000000003</v>
      </c>
      <c r="K260" s="28">
        <v>0.77335600000000004</v>
      </c>
      <c r="L260" s="28">
        <v>-0.38056000000000001</v>
      </c>
      <c r="M260" s="28">
        <v>0.26928099999999999</v>
      </c>
      <c r="N260" s="28">
        <v>-0.345333</v>
      </c>
      <c r="O260" s="28">
        <v>0.298543</v>
      </c>
      <c r="P260" s="28">
        <v>-0.37693100000000002</v>
      </c>
      <c r="Q260" s="28">
        <v>0.91954400000000003</v>
      </c>
      <c r="R260" s="28">
        <v>1.5420609999999999</v>
      </c>
      <c r="S260" s="28">
        <v>-0.81930700000000001</v>
      </c>
      <c r="T260" s="28">
        <v>-1.2955650000000001</v>
      </c>
      <c r="U260" s="28">
        <v>0.37706600000000001</v>
      </c>
      <c r="V260" s="28">
        <v>0.276175</v>
      </c>
      <c r="W260" s="28">
        <v>0.97481499999999999</v>
      </c>
      <c r="X260" s="28">
        <v>0.74573299999999998</v>
      </c>
      <c r="Y260" s="28">
        <v>0.83898399999999995</v>
      </c>
      <c r="Z260" s="28">
        <v>-0.50897000000000003</v>
      </c>
      <c r="AA260" s="28">
        <v>-0.48234100000000002</v>
      </c>
      <c r="AB260" s="28">
        <v>0.26180900000000001</v>
      </c>
      <c r="AC260" s="28">
        <v>-9.3143000000000004E-2</v>
      </c>
      <c r="AD260" s="28">
        <v>-0.600989</v>
      </c>
      <c r="AE260" s="28">
        <v>-0.89146300000000001</v>
      </c>
      <c r="AF260" s="28">
        <v>0.85844299999999996</v>
      </c>
      <c r="AG260" s="28">
        <v>-0.68049000000000004</v>
      </c>
      <c r="AH260" s="28">
        <v>-0.27229100000000001</v>
      </c>
      <c r="AI260" s="28">
        <v>0.79840900000000004</v>
      </c>
      <c r="AJ260" s="28">
        <v>1.1267119999999999</v>
      </c>
      <c r="AK260" s="28">
        <v>-0.429809</v>
      </c>
      <c r="AL260" s="28">
        <v>0.81516500000000003</v>
      </c>
      <c r="AM260" s="28">
        <v>0.48643799999999998</v>
      </c>
      <c r="AN260" s="28">
        <v>-0.21199499999999999</v>
      </c>
      <c r="AO260" s="28">
        <v>0.30119800000000002</v>
      </c>
      <c r="AP260" s="28">
        <v>-0.56020300000000001</v>
      </c>
      <c r="AQ260" s="28">
        <v>-0.54662299999999997</v>
      </c>
      <c r="AR260" s="28">
        <v>0.69498499999999996</v>
      </c>
      <c r="AS260" s="28">
        <v>-0.49882599999999999</v>
      </c>
      <c r="AT260" s="28">
        <v>-0.106595</v>
      </c>
      <c r="AU260" s="28">
        <v>-0.41658299999999998</v>
      </c>
      <c r="AV260" s="28">
        <v>-0.32564100000000001</v>
      </c>
      <c r="AW260" s="28">
        <v>0.32367600000000002</v>
      </c>
      <c r="AX260" s="28">
        <v>-0.54885499999999998</v>
      </c>
      <c r="AY260" s="28">
        <v>-0.24851599999999999</v>
      </c>
      <c r="AZ260" s="28">
        <v>-0.13658400000000001</v>
      </c>
      <c r="BA260" s="28">
        <v>-0.115883</v>
      </c>
      <c r="BB260" s="28">
        <v>0.70140000000000002</v>
      </c>
      <c r="BC260" s="27">
        <v>103.026314</v>
      </c>
      <c r="BD260" s="27">
        <v>2340.2922359999998</v>
      </c>
      <c r="BE260" s="27">
        <v>1295.857544</v>
      </c>
      <c r="BF260" s="27">
        <v>26.244382999999999</v>
      </c>
      <c r="BG260" s="27">
        <v>3.8102999999999998E-2</v>
      </c>
    </row>
    <row r="261" spans="1:59">
      <c r="A261" s="27">
        <v>20</v>
      </c>
      <c r="B261" s="27">
        <v>40.871796000000003</v>
      </c>
      <c r="C261" s="27">
        <v>-3</v>
      </c>
      <c r="D261" s="27">
        <v>0</v>
      </c>
      <c r="E261" s="28">
        <v>-8.9701000000000003E-2</v>
      </c>
      <c r="F261" s="28">
        <v>-1.062033</v>
      </c>
      <c r="G261" s="28">
        <v>0.99671799999999999</v>
      </c>
      <c r="H261" s="28">
        <v>-0.50319899999999995</v>
      </c>
      <c r="I261" s="28">
        <v>-1.3004290000000001</v>
      </c>
      <c r="J261" s="28">
        <v>-3.0889E-2</v>
      </c>
      <c r="K261" s="28">
        <v>0.88186699999999996</v>
      </c>
      <c r="L261" s="28">
        <v>0.71436999999999995</v>
      </c>
      <c r="M261" s="28">
        <v>-0.26535799999999998</v>
      </c>
      <c r="N261" s="28">
        <v>-0.51729899999999995</v>
      </c>
      <c r="O261" s="28">
        <v>-1.3392459999999999</v>
      </c>
      <c r="P261" s="28">
        <v>7.4237999999999998E-2</v>
      </c>
      <c r="Q261" s="28">
        <v>0.51790199999999997</v>
      </c>
      <c r="R261" s="28">
        <v>-0.42674699999999999</v>
      </c>
      <c r="S261" s="28">
        <v>0.20774899999999999</v>
      </c>
      <c r="T261" s="28">
        <v>-0.73572700000000002</v>
      </c>
      <c r="U261" s="28">
        <v>0.70632300000000003</v>
      </c>
      <c r="V261" s="28">
        <v>0.33780100000000002</v>
      </c>
      <c r="W261" s="28">
        <v>0.563886</v>
      </c>
      <c r="X261" s="28">
        <v>-0.70856399999999997</v>
      </c>
      <c r="Y261" s="28">
        <v>0.72263100000000002</v>
      </c>
      <c r="Z261" s="28">
        <v>-0.23342099999999999</v>
      </c>
      <c r="AA261" s="28">
        <v>-7.2009000000000004E-2</v>
      </c>
      <c r="AB261" s="28">
        <v>-1.2075830000000001</v>
      </c>
      <c r="AC261" s="28">
        <v>-0.440944</v>
      </c>
      <c r="AD261" s="28">
        <v>1.379237</v>
      </c>
      <c r="AE261" s="28">
        <v>1.701673</v>
      </c>
      <c r="AF261" s="28">
        <v>-0.17763499999999999</v>
      </c>
      <c r="AG261" s="28">
        <v>-0.97233800000000004</v>
      </c>
      <c r="AH261" s="28">
        <v>-0.75466800000000001</v>
      </c>
      <c r="AI261" s="28">
        <v>0.47717900000000002</v>
      </c>
      <c r="AJ261" s="28">
        <v>-1.487E-2</v>
      </c>
      <c r="AK261" s="28">
        <v>0.19036</v>
      </c>
      <c r="AL261" s="28">
        <v>-5.2224E-2</v>
      </c>
      <c r="AM261" s="28">
        <v>-0.67636700000000005</v>
      </c>
      <c r="AN261" s="28">
        <v>-0.44637100000000002</v>
      </c>
      <c r="AO261" s="28">
        <v>0.46221600000000002</v>
      </c>
      <c r="AP261" s="28">
        <v>0.33387099999999997</v>
      </c>
      <c r="AQ261" s="28">
        <v>1.359496</v>
      </c>
      <c r="AR261" s="28">
        <v>0.58911400000000003</v>
      </c>
      <c r="AS261" s="28">
        <v>-0.38329999999999997</v>
      </c>
      <c r="AT261" s="28">
        <v>0.37964500000000001</v>
      </c>
      <c r="AU261" s="28">
        <v>-0.30181799999999998</v>
      </c>
      <c r="AV261" s="28">
        <v>7.979E-2</v>
      </c>
      <c r="AW261" s="28">
        <v>-0.33604899999999999</v>
      </c>
      <c r="AX261" s="28">
        <v>0.165774</v>
      </c>
      <c r="AY261" s="28">
        <v>0.53484799999999999</v>
      </c>
      <c r="AZ261" s="28">
        <v>0.34875499999999998</v>
      </c>
      <c r="BA261" s="28">
        <v>-3.4063999999999997E-2</v>
      </c>
      <c r="BB261" s="28">
        <v>0.59342600000000001</v>
      </c>
      <c r="BC261" s="27">
        <v>100.750473</v>
      </c>
      <c r="BD261" s="27">
        <v>1589.7601320000001</v>
      </c>
      <c r="BE261" s="27">
        <v>980.46466099999998</v>
      </c>
      <c r="BF261" s="27">
        <v>23.988785</v>
      </c>
      <c r="BG261" s="27">
        <v>4.1686000000000001E-2</v>
      </c>
    </row>
    <row r="262" spans="1:59">
      <c r="A262" s="27">
        <v>21</v>
      </c>
      <c r="B262" s="27">
        <v>46.674900000000001</v>
      </c>
      <c r="C262" s="27">
        <v>-3</v>
      </c>
      <c r="D262" s="27">
        <v>0</v>
      </c>
      <c r="E262" s="28">
        <v>-0.71946399999999999</v>
      </c>
      <c r="F262" s="28">
        <v>-0.73594499999999996</v>
      </c>
      <c r="G262" s="28">
        <v>-0.69006000000000001</v>
      </c>
      <c r="H262" s="28">
        <v>-0.34209299999999998</v>
      </c>
      <c r="I262" s="28">
        <v>-0.31892100000000001</v>
      </c>
      <c r="J262" s="28">
        <v>-0.58953699999999998</v>
      </c>
      <c r="K262" s="28">
        <v>-0.32579599999999997</v>
      </c>
      <c r="L262" s="28">
        <v>0.71869700000000003</v>
      </c>
      <c r="M262" s="28">
        <v>0.80860500000000002</v>
      </c>
      <c r="N262" s="28">
        <v>0.61799599999999999</v>
      </c>
      <c r="O262" s="28">
        <v>-1.7843000000000001E-2</v>
      </c>
      <c r="P262" s="28">
        <v>-1.8738999999999999E-2</v>
      </c>
      <c r="Q262" s="28">
        <v>0.14765900000000001</v>
      </c>
      <c r="R262" s="28">
        <v>-0.71404100000000004</v>
      </c>
      <c r="S262" s="28">
        <v>-3.7748999999999998E-2</v>
      </c>
      <c r="T262" s="28">
        <v>-0.99968599999999996</v>
      </c>
      <c r="U262" s="28">
        <v>0.86208799999999997</v>
      </c>
      <c r="V262" s="28">
        <v>0.41539799999999999</v>
      </c>
      <c r="W262" s="28">
        <v>-0.65564999999999996</v>
      </c>
      <c r="X262" s="28">
        <v>-0.66113699999999997</v>
      </c>
      <c r="Y262" s="28">
        <v>-1.3733299999999999</v>
      </c>
      <c r="Z262" s="28">
        <v>-0.30818699999999999</v>
      </c>
      <c r="AA262" s="28">
        <v>0.58544499999999999</v>
      </c>
      <c r="AB262" s="28">
        <v>0.91493500000000005</v>
      </c>
      <c r="AC262" s="28">
        <v>-0.61669799999999997</v>
      </c>
      <c r="AD262" s="28">
        <v>-9.2242000000000005E-2</v>
      </c>
      <c r="AE262" s="28">
        <v>7.2071999999999997E-2</v>
      </c>
      <c r="AF262" s="28">
        <v>0.91459999999999997</v>
      </c>
      <c r="AG262" s="28">
        <v>0.90785300000000002</v>
      </c>
      <c r="AH262" s="28">
        <v>-5.4323000000000003E-2</v>
      </c>
      <c r="AI262" s="28">
        <v>0.30336600000000002</v>
      </c>
      <c r="AJ262" s="28">
        <v>-0.66437800000000002</v>
      </c>
      <c r="AK262" s="28">
        <v>0.78425900000000004</v>
      </c>
      <c r="AL262" s="28">
        <v>0.66065799999999997</v>
      </c>
      <c r="AM262" s="28">
        <v>-0.98239500000000002</v>
      </c>
      <c r="AN262" s="28">
        <v>-0.65353600000000001</v>
      </c>
      <c r="AO262" s="28">
        <v>0.52390199999999998</v>
      </c>
      <c r="AP262" s="28">
        <v>0.183453</v>
      </c>
      <c r="AQ262" s="28">
        <v>0.79829300000000003</v>
      </c>
      <c r="AR262" s="28">
        <v>4.8001000000000002E-2</v>
      </c>
      <c r="AS262" s="28">
        <v>7.0960999999999996E-2</v>
      </c>
      <c r="AT262" s="28">
        <v>-1.3057909999999999</v>
      </c>
      <c r="AU262" s="28">
        <v>0.43083900000000003</v>
      </c>
      <c r="AV262" s="28">
        <v>-0.66070499999999999</v>
      </c>
      <c r="AW262" s="28">
        <v>-0.492728</v>
      </c>
      <c r="AX262" s="28">
        <v>-0.35829100000000003</v>
      </c>
      <c r="AY262" s="28">
        <v>-0.52164900000000003</v>
      </c>
      <c r="AZ262" s="28">
        <v>0.17402999999999999</v>
      </c>
      <c r="BA262" s="28">
        <v>-0.77358400000000005</v>
      </c>
      <c r="BB262" s="28">
        <v>0.85535300000000003</v>
      </c>
      <c r="BC262" s="27">
        <v>174.684448</v>
      </c>
      <c r="BD262" s="27">
        <v>2086.1965329999998</v>
      </c>
      <c r="BE262" s="27">
        <v>1072.400024</v>
      </c>
      <c r="BF262" s="27">
        <v>22.975946</v>
      </c>
      <c r="BG262" s="27">
        <v>4.3524E-2</v>
      </c>
    </row>
    <row r="263" spans="1:59">
      <c r="A263" s="27">
        <v>22</v>
      </c>
      <c r="B263" s="27">
        <v>44.084747</v>
      </c>
      <c r="C263" s="27">
        <v>-3</v>
      </c>
      <c r="D263" s="27">
        <v>0</v>
      </c>
      <c r="E263" s="28">
        <v>0.89290999999999998</v>
      </c>
      <c r="F263" s="28">
        <v>-0.92225699999999999</v>
      </c>
      <c r="G263" s="28">
        <v>0.44889099999999998</v>
      </c>
      <c r="H263" s="28">
        <v>-0.339088</v>
      </c>
      <c r="I263" s="28">
        <v>0.77873899999999996</v>
      </c>
      <c r="J263" s="28">
        <v>0.178679</v>
      </c>
      <c r="K263" s="28">
        <v>-0.550404</v>
      </c>
      <c r="L263" s="28">
        <v>0.31940400000000002</v>
      </c>
      <c r="M263" s="28">
        <v>0.55406200000000005</v>
      </c>
      <c r="N263" s="28">
        <v>-1.5974600000000001</v>
      </c>
      <c r="O263" s="28">
        <v>0.62670999999999999</v>
      </c>
      <c r="P263" s="28">
        <v>-1.58036</v>
      </c>
      <c r="Q263" s="28">
        <v>0.43925500000000001</v>
      </c>
      <c r="R263" s="28">
        <v>-0.21241599999999999</v>
      </c>
      <c r="S263" s="28">
        <v>-0.137293</v>
      </c>
      <c r="T263" s="28">
        <v>0.94842599999999999</v>
      </c>
      <c r="U263" s="28">
        <v>-0.116146</v>
      </c>
      <c r="V263" s="28">
        <v>-0.47578100000000001</v>
      </c>
      <c r="W263" s="28">
        <v>0.605846</v>
      </c>
      <c r="X263" s="28">
        <v>0.57053500000000001</v>
      </c>
      <c r="Y263" s="28">
        <v>0.84854099999999999</v>
      </c>
      <c r="Z263" s="28">
        <v>-1.3692470000000001</v>
      </c>
      <c r="AA263" s="28">
        <v>0.29556399999999999</v>
      </c>
      <c r="AB263" s="28">
        <v>-0.79325199999999996</v>
      </c>
      <c r="AC263" s="28">
        <v>0.54601999999999995</v>
      </c>
      <c r="AD263" s="28">
        <v>-0.60622100000000001</v>
      </c>
      <c r="AE263" s="28">
        <v>0.76331599999999999</v>
      </c>
      <c r="AF263" s="28">
        <v>-0.77407999999999999</v>
      </c>
      <c r="AG263" s="28">
        <v>0.21528900000000001</v>
      </c>
      <c r="AH263" s="28">
        <v>0.47770699999999999</v>
      </c>
      <c r="AI263" s="28">
        <v>0.28191300000000002</v>
      </c>
      <c r="AJ263" s="28">
        <v>-0.33427200000000001</v>
      </c>
      <c r="AK263" s="28">
        <v>-0.28843400000000002</v>
      </c>
      <c r="AL263" s="28">
        <v>-0.61893299999999996</v>
      </c>
      <c r="AM263" s="28">
        <v>-0.99542699999999995</v>
      </c>
      <c r="AN263" s="28">
        <v>1.50929</v>
      </c>
      <c r="AO263" s="28">
        <v>0.49689899999999998</v>
      </c>
      <c r="AP263" s="28">
        <v>0.94131100000000001</v>
      </c>
      <c r="AQ263" s="28">
        <v>-0.60974300000000003</v>
      </c>
      <c r="AR263" s="28">
        <v>-0.35215099999999999</v>
      </c>
      <c r="AS263" s="28">
        <v>-0.33057599999999998</v>
      </c>
      <c r="AT263" s="28">
        <v>0.14055300000000001</v>
      </c>
      <c r="AU263" s="28">
        <v>0.67197700000000005</v>
      </c>
      <c r="AV263" s="28">
        <v>-0.86238000000000004</v>
      </c>
      <c r="AW263" s="28">
        <v>0.110762</v>
      </c>
      <c r="AX263" s="28">
        <v>-0.67048799999999997</v>
      </c>
      <c r="AY263" s="28">
        <v>-0.52946300000000002</v>
      </c>
      <c r="AZ263" s="28">
        <v>0.462177</v>
      </c>
      <c r="BA263" s="28">
        <v>-0.91682699999999995</v>
      </c>
      <c r="BB263" s="28">
        <v>-9.7822999999999993E-2</v>
      </c>
      <c r="BC263" s="27">
        <v>156.79804999999999</v>
      </c>
      <c r="BD263" s="27">
        <v>1856.2954099999999</v>
      </c>
      <c r="BE263" s="27">
        <v>1058.660034</v>
      </c>
      <c r="BF263" s="27">
        <v>24.014202000000001</v>
      </c>
      <c r="BG263" s="27">
        <v>4.1641999999999998E-2</v>
      </c>
    </row>
    <row r="264" spans="1:59">
      <c r="A264" s="27">
        <v>23</v>
      </c>
      <c r="B264" s="27">
        <v>45.316307000000002</v>
      </c>
      <c r="C264" s="27">
        <v>-3</v>
      </c>
      <c r="D264" s="27">
        <v>0</v>
      </c>
      <c r="E264" s="28">
        <v>0.62340799999999996</v>
      </c>
      <c r="F264" s="28">
        <v>-0.388465</v>
      </c>
      <c r="G264" s="28">
        <v>5.6070000000000002E-2</v>
      </c>
      <c r="H264" s="28">
        <v>7.9558000000000004E-2</v>
      </c>
      <c r="I264" s="28">
        <v>0.96263500000000002</v>
      </c>
      <c r="J264" s="28">
        <v>0.15728300000000001</v>
      </c>
      <c r="K264" s="28">
        <v>-0.16175100000000001</v>
      </c>
      <c r="L264" s="28">
        <v>0.80041499999999999</v>
      </c>
      <c r="M264" s="28">
        <v>-0.85971399999999998</v>
      </c>
      <c r="N264" s="28">
        <v>0.67834000000000005</v>
      </c>
      <c r="O264" s="28">
        <v>5.4384000000000002E-2</v>
      </c>
      <c r="P264" s="28">
        <v>-0.63309899999999997</v>
      </c>
      <c r="Q264" s="28">
        <v>-1.530619</v>
      </c>
      <c r="R264" s="28">
        <v>-1.4579279999999999</v>
      </c>
      <c r="S264" s="28">
        <v>0.20503399999999999</v>
      </c>
      <c r="T264" s="28">
        <v>0.92105700000000001</v>
      </c>
      <c r="U264" s="28">
        <v>0.62899000000000005</v>
      </c>
      <c r="V264" s="28">
        <v>-4.3908000000000003E-2</v>
      </c>
      <c r="W264" s="28">
        <v>0.28092299999999998</v>
      </c>
      <c r="X264" s="28">
        <v>-0.456926</v>
      </c>
      <c r="Y264" s="28">
        <v>0.85801099999999997</v>
      </c>
      <c r="Z264" s="28">
        <v>-0.24601700000000001</v>
      </c>
      <c r="AA264" s="28">
        <v>-0.61331400000000003</v>
      </c>
      <c r="AB264" s="28">
        <v>-0.403613</v>
      </c>
      <c r="AC264" s="28">
        <v>-0.86787400000000003</v>
      </c>
      <c r="AD264" s="28">
        <v>-8.0771999999999997E-2</v>
      </c>
      <c r="AE264" s="28">
        <v>-0.50662700000000005</v>
      </c>
      <c r="AF264" s="28">
        <v>-5.1968E-2</v>
      </c>
      <c r="AG264" s="28">
        <v>1.2316450000000001</v>
      </c>
      <c r="AH264" s="28">
        <v>-0.17550399999999999</v>
      </c>
      <c r="AI264" s="28">
        <v>0.39920099999999997</v>
      </c>
      <c r="AJ264" s="28">
        <v>-0.81987600000000005</v>
      </c>
      <c r="AK264" s="28">
        <v>0.87561999999999995</v>
      </c>
      <c r="AL264" s="28">
        <v>0.68350100000000003</v>
      </c>
      <c r="AM264" s="28">
        <v>-1.003925</v>
      </c>
      <c r="AN264" s="28">
        <v>-0.71970599999999996</v>
      </c>
      <c r="AO264" s="28">
        <v>0.49610500000000002</v>
      </c>
      <c r="AP264" s="28">
        <v>0.11883100000000001</v>
      </c>
      <c r="AQ264" s="28">
        <v>0.90245799999999998</v>
      </c>
      <c r="AR264" s="28">
        <v>0.146954</v>
      </c>
      <c r="AS264" s="28">
        <v>3.9683000000000003E-2</v>
      </c>
      <c r="AT264" s="28">
        <v>-1.390312</v>
      </c>
      <c r="AU264" s="28">
        <v>0.51397999999999999</v>
      </c>
      <c r="AV264" s="28">
        <v>-0.69938699999999998</v>
      </c>
      <c r="AW264" s="28">
        <v>-0.61740399999999995</v>
      </c>
      <c r="AX264" s="28">
        <v>-0.36171999999999999</v>
      </c>
      <c r="AY264" s="28">
        <v>-0.52335600000000004</v>
      </c>
      <c r="AZ264" s="28">
        <v>0.221025</v>
      </c>
      <c r="BA264" s="28">
        <v>-0.73297599999999996</v>
      </c>
      <c r="BB264" s="28">
        <v>0.97917299999999996</v>
      </c>
      <c r="BC264" s="27">
        <v>140.20214799999999</v>
      </c>
      <c r="BD264" s="27">
        <v>1963.9350589999999</v>
      </c>
      <c r="BE264" s="27">
        <v>1163.8616939999999</v>
      </c>
      <c r="BF264" s="27">
        <v>25.683064999999999</v>
      </c>
      <c r="BG264" s="27">
        <v>3.8935999999999998E-2</v>
      </c>
    </row>
    <row r="265" spans="1:59">
      <c r="A265" s="27">
        <v>24</v>
      </c>
      <c r="B265" s="27">
        <v>43.807845999999998</v>
      </c>
      <c r="C265" s="27">
        <v>-3</v>
      </c>
      <c r="D265" s="27">
        <v>0</v>
      </c>
      <c r="E265" s="28">
        <v>-0.699237</v>
      </c>
      <c r="F265" s="28">
        <v>0.77654800000000002</v>
      </c>
      <c r="G265" s="28">
        <v>-0.55426699999999995</v>
      </c>
      <c r="H265" s="28">
        <v>-0.338505</v>
      </c>
      <c r="I265" s="28">
        <v>1.5558449999999999</v>
      </c>
      <c r="J265" s="28">
        <v>0.435251</v>
      </c>
      <c r="K265" s="28">
        <v>0.44120799999999999</v>
      </c>
      <c r="L265" s="28">
        <v>-1.6388510000000001</v>
      </c>
      <c r="M265" s="28">
        <v>-0.106992</v>
      </c>
      <c r="N265" s="28">
        <v>2.0667999999999999E-2</v>
      </c>
      <c r="O265" s="28">
        <v>-0.542238</v>
      </c>
      <c r="P265" s="28">
        <v>-0.30153600000000003</v>
      </c>
      <c r="Q265" s="28">
        <v>-0.22511200000000001</v>
      </c>
      <c r="R265" s="28">
        <v>0.49783100000000002</v>
      </c>
      <c r="S265" s="28">
        <v>0.81537099999999996</v>
      </c>
      <c r="T265" s="28">
        <v>0.71334399999999998</v>
      </c>
      <c r="U265" s="28">
        <v>-0.192411</v>
      </c>
      <c r="V265" s="28">
        <v>0.178346</v>
      </c>
      <c r="W265" s="28">
        <v>0.76347699999999996</v>
      </c>
      <c r="X265" s="28">
        <v>0.35051199999999999</v>
      </c>
      <c r="Y265" s="28">
        <v>0.61338599999999999</v>
      </c>
      <c r="Z265" s="28">
        <v>-0.40745300000000001</v>
      </c>
      <c r="AA265" s="28">
        <v>0.86730300000000005</v>
      </c>
      <c r="AB265" s="28">
        <v>-1.021844</v>
      </c>
      <c r="AC265" s="28">
        <v>-0.55268799999999996</v>
      </c>
      <c r="AD265" s="28">
        <v>-0.19992099999999999</v>
      </c>
      <c r="AE265" s="28">
        <v>-0.64130600000000004</v>
      </c>
      <c r="AF265" s="28">
        <v>0.82286499999999996</v>
      </c>
      <c r="AG265" s="28">
        <v>1.1199330000000001</v>
      </c>
      <c r="AH265" s="28">
        <v>-0.224494</v>
      </c>
      <c r="AI265" s="28">
        <v>0.47010000000000002</v>
      </c>
      <c r="AJ265" s="28">
        <v>0.29121399999999997</v>
      </c>
      <c r="AK265" s="28">
        <v>-3.7795000000000002E-2</v>
      </c>
      <c r="AL265" s="28">
        <v>0.36605500000000002</v>
      </c>
      <c r="AM265" s="28">
        <v>-0.57834300000000005</v>
      </c>
      <c r="AN265" s="28">
        <v>-1.0184390000000001</v>
      </c>
      <c r="AO265" s="28">
        <v>-0.445689</v>
      </c>
      <c r="AP265" s="28">
        <v>-9.1711000000000001E-2</v>
      </c>
      <c r="AQ265" s="28">
        <v>0.26874500000000001</v>
      </c>
      <c r="AR265" s="28">
        <v>-4.7309999999999998E-2</v>
      </c>
      <c r="AS265" s="28">
        <v>-0.664856</v>
      </c>
      <c r="AT265" s="28">
        <v>-0.91440100000000002</v>
      </c>
      <c r="AU265" s="28">
        <v>0.17460500000000001</v>
      </c>
      <c r="AV265" s="28">
        <v>0.81068200000000001</v>
      </c>
      <c r="AW265" s="28">
        <v>-0.51033099999999998</v>
      </c>
      <c r="AX265" s="28">
        <v>-0.39283400000000002</v>
      </c>
      <c r="AY265" s="28">
        <v>0.42333100000000001</v>
      </c>
      <c r="AZ265" s="28">
        <v>-0.660242</v>
      </c>
      <c r="BA265" s="28">
        <v>-0.40412700000000001</v>
      </c>
      <c r="BB265" s="28">
        <v>-0.20052</v>
      </c>
      <c r="BC265" s="27">
        <v>120.138161</v>
      </c>
      <c r="BD265" s="27">
        <v>1832.5117190000001</v>
      </c>
      <c r="BE265" s="27">
        <v>1180.578857</v>
      </c>
      <c r="BF265" s="27">
        <v>26.949027999999998</v>
      </c>
      <c r="BG265" s="27">
        <v>3.7107000000000001E-2</v>
      </c>
    </row>
    <row r="266" spans="1:59">
      <c r="A266" s="27">
        <v>25</v>
      </c>
      <c r="B266" s="27">
        <v>40.972938999999997</v>
      </c>
      <c r="C266" s="27">
        <v>-3</v>
      </c>
      <c r="D266" s="27">
        <v>0</v>
      </c>
      <c r="E266" s="28">
        <v>0.74165199999999998</v>
      </c>
      <c r="F266" s="28">
        <v>0.26011600000000001</v>
      </c>
      <c r="G266" s="28">
        <v>-0.19200700000000001</v>
      </c>
      <c r="H266" s="28">
        <v>0.39093</v>
      </c>
      <c r="I266" s="28">
        <v>0.431419</v>
      </c>
      <c r="J266" s="28">
        <v>-0.22012899999999999</v>
      </c>
      <c r="K266" s="28">
        <v>1.2590239999999999</v>
      </c>
      <c r="L266" s="28">
        <v>0.14258000000000001</v>
      </c>
      <c r="M266" s="28">
        <v>0.39021600000000001</v>
      </c>
      <c r="N266" s="28">
        <v>-0.21779200000000001</v>
      </c>
      <c r="O266" s="28">
        <v>0.87763500000000005</v>
      </c>
      <c r="P266" s="28">
        <v>1.035398</v>
      </c>
      <c r="Q266" s="28">
        <v>0.92437100000000005</v>
      </c>
      <c r="R266" s="28">
        <v>-0.65287099999999998</v>
      </c>
      <c r="S266" s="28">
        <v>0.50904099999999997</v>
      </c>
      <c r="T266" s="28">
        <v>-0.73209299999999999</v>
      </c>
      <c r="U266" s="28">
        <v>-0.85171399999999997</v>
      </c>
      <c r="V266" s="28">
        <v>-0.943832</v>
      </c>
      <c r="W266" s="28">
        <v>-0.98842200000000002</v>
      </c>
      <c r="X266" s="28">
        <v>-0.82012300000000005</v>
      </c>
      <c r="Y266" s="28">
        <v>-1.2001059999999999</v>
      </c>
      <c r="Z266" s="28">
        <v>-0.39733400000000002</v>
      </c>
      <c r="AA266" s="28">
        <v>-1.2191860000000001</v>
      </c>
      <c r="AB266" s="28">
        <v>0.59593600000000002</v>
      </c>
      <c r="AC266" s="28">
        <v>-1.419179</v>
      </c>
      <c r="AD266" s="28">
        <v>0.144813</v>
      </c>
      <c r="AE266" s="28">
        <v>0.157281</v>
      </c>
      <c r="AF266" s="28">
        <v>-0.73647399999999996</v>
      </c>
      <c r="AG266" s="28">
        <v>-0.290439</v>
      </c>
      <c r="AH266" s="28">
        <v>0.50697599999999998</v>
      </c>
      <c r="AI266" s="28">
        <v>-0.54472100000000001</v>
      </c>
      <c r="AJ266" s="28">
        <v>-0.17507300000000001</v>
      </c>
      <c r="AK266" s="28">
        <v>0.92669699999999999</v>
      </c>
      <c r="AL266" s="28">
        <v>0.93708999999999998</v>
      </c>
      <c r="AM266" s="28">
        <v>0.60125499999999998</v>
      </c>
      <c r="AN266" s="28">
        <v>0.21413199999999999</v>
      </c>
      <c r="AO266" s="28">
        <v>0.31023800000000001</v>
      </c>
      <c r="AP266" s="28">
        <v>-0.62556599999999996</v>
      </c>
      <c r="AQ266" s="28">
        <v>0.24960599999999999</v>
      </c>
      <c r="AR266" s="28">
        <v>0.28498200000000001</v>
      </c>
      <c r="AS266" s="28">
        <v>0.62428499999999998</v>
      </c>
      <c r="AT266" s="28">
        <v>0.64092800000000005</v>
      </c>
      <c r="AU266" s="28">
        <v>-7.3566000000000006E-2</v>
      </c>
      <c r="AV266" s="28">
        <v>-4.3046000000000001E-2</v>
      </c>
      <c r="AW266" s="28">
        <v>-0.365008</v>
      </c>
      <c r="AX266" s="28">
        <v>-0.118336</v>
      </c>
      <c r="AY266" s="28">
        <v>-3.859E-3</v>
      </c>
      <c r="AZ266" s="28">
        <v>0.20994399999999999</v>
      </c>
      <c r="BA266" s="28">
        <v>0.46798000000000001</v>
      </c>
      <c r="BB266" s="28">
        <v>-0.21312600000000001</v>
      </c>
      <c r="BC266" s="27">
        <v>119.32989499999999</v>
      </c>
      <c r="BD266" s="27">
        <v>1597.8358149999999</v>
      </c>
      <c r="BE266" s="27">
        <v>1027.7810059999999</v>
      </c>
      <c r="BF266" s="27">
        <v>25.084385000000001</v>
      </c>
      <c r="BG266" s="27">
        <v>3.9864999999999998E-2</v>
      </c>
    </row>
    <row r="267" spans="1:59">
      <c r="A267" s="27">
        <v>26</v>
      </c>
      <c r="B267" s="27">
        <v>39.330627</v>
      </c>
      <c r="C267" s="27">
        <v>-3</v>
      </c>
      <c r="D267" s="27">
        <v>0</v>
      </c>
      <c r="E267" s="28">
        <v>0.977024</v>
      </c>
      <c r="F267" s="28">
        <v>-0.77819899999999997</v>
      </c>
      <c r="G267" s="28">
        <v>0.28137000000000001</v>
      </c>
      <c r="H267" s="28">
        <v>0.210147</v>
      </c>
      <c r="I267" s="28">
        <v>0.75479200000000002</v>
      </c>
      <c r="J267" s="28">
        <v>-1.792562</v>
      </c>
      <c r="K267" s="28">
        <v>0.68064400000000003</v>
      </c>
      <c r="L267" s="28">
        <v>-0.60679400000000006</v>
      </c>
      <c r="M267" s="28">
        <v>-0.13663500000000001</v>
      </c>
      <c r="N267" s="28">
        <v>-0.14381099999999999</v>
      </c>
      <c r="O267" s="28">
        <v>8.1417000000000003E-2</v>
      </c>
      <c r="P267" s="28">
        <v>-0.60702800000000001</v>
      </c>
      <c r="Q267" s="28">
        <v>-1.055939</v>
      </c>
      <c r="R267" s="28">
        <v>0.796566</v>
      </c>
      <c r="S267" s="28">
        <v>0.17512900000000001</v>
      </c>
      <c r="T267" s="28">
        <v>7.3132000000000003E-2</v>
      </c>
      <c r="U267" s="28">
        <v>-0.61866500000000002</v>
      </c>
      <c r="V267" s="28">
        <v>0.29610300000000001</v>
      </c>
      <c r="W267" s="28">
        <v>-0.96041399999999999</v>
      </c>
      <c r="X267" s="28">
        <v>0.24862899999999999</v>
      </c>
      <c r="Y267" s="28">
        <v>-0.40536299999999997</v>
      </c>
      <c r="Z267" s="28">
        <v>-0.79615400000000003</v>
      </c>
      <c r="AA267" s="28">
        <v>-0.60921400000000003</v>
      </c>
      <c r="AB267" s="28">
        <v>0.13522700000000001</v>
      </c>
      <c r="AC267" s="28">
        <v>-0.18394099999999999</v>
      </c>
      <c r="AD267" s="28">
        <v>1.0865E-2</v>
      </c>
      <c r="AE267" s="28">
        <v>-0.35984300000000002</v>
      </c>
      <c r="AF267" s="28">
        <v>1.45852</v>
      </c>
      <c r="AG267" s="28">
        <v>0.39353399999999999</v>
      </c>
      <c r="AH267" s="28">
        <v>0.28833900000000001</v>
      </c>
      <c r="AI267" s="28">
        <v>0.385822</v>
      </c>
      <c r="AJ267" s="28">
        <v>0.73187000000000002</v>
      </c>
      <c r="AK267" s="28">
        <v>7.4484999999999996E-2</v>
      </c>
      <c r="AL267" s="28">
        <v>6.6035999999999997E-2</v>
      </c>
      <c r="AM267" s="28">
        <v>9.5485E-2</v>
      </c>
      <c r="AN267" s="28">
        <v>0.30227100000000001</v>
      </c>
      <c r="AO267" s="28">
        <v>0.16337699999999999</v>
      </c>
      <c r="AP267" s="28">
        <v>-6.8453E-2</v>
      </c>
      <c r="AQ267" s="28">
        <v>-0.33021</v>
      </c>
      <c r="AR267" s="28">
        <v>8.2893999999999995E-2</v>
      </c>
      <c r="AS267" s="28">
        <v>-7.5023999999999993E-2</v>
      </c>
      <c r="AT267" s="28">
        <v>0.92971999999999999</v>
      </c>
      <c r="AU267" s="28">
        <v>0.82922600000000002</v>
      </c>
      <c r="AV267" s="28">
        <v>0.118519</v>
      </c>
      <c r="AW267" s="28">
        <v>0.398947</v>
      </c>
      <c r="AX267" s="28">
        <v>-1.0221929999999999</v>
      </c>
      <c r="AY267" s="28">
        <v>-0.13700799999999999</v>
      </c>
      <c r="AZ267" s="28">
        <v>0.34404299999999999</v>
      </c>
      <c r="BA267" s="28">
        <v>-0.42115200000000003</v>
      </c>
      <c r="BB267" s="28">
        <v>0.38289099999999998</v>
      </c>
      <c r="BC267" s="27">
        <v>211.83122299999999</v>
      </c>
      <c r="BD267" s="27">
        <v>1469.237061</v>
      </c>
      <c r="BE267" s="27">
        <v>855.05950900000005</v>
      </c>
      <c r="BF267" s="27">
        <v>21.740297000000002</v>
      </c>
      <c r="BG267" s="27">
        <v>4.5997999999999997E-2</v>
      </c>
    </row>
    <row r="268" spans="1:59">
      <c r="A268" s="27">
        <v>27</v>
      </c>
      <c r="B268" s="27">
        <v>47.164833000000002</v>
      </c>
      <c r="C268" s="27">
        <v>-3</v>
      </c>
      <c r="D268" s="27">
        <v>0</v>
      </c>
      <c r="E268" s="28">
        <v>0.80271800000000004</v>
      </c>
      <c r="F268" s="28">
        <v>0.41569299999999998</v>
      </c>
      <c r="G268" s="28">
        <v>-0.65010199999999996</v>
      </c>
      <c r="H268" s="28">
        <v>1.421875</v>
      </c>
      <c r="I268" s="28">
        <v>-1.3561369999999999</v>
      </c>
      <c r="J268" s="28">
        <v>-0.280613</v>
      </c>
      <c r="K268" s="28">
        <v>-0.77776800000000001</v>
      </c>
      <c r="L268" s="28">
        <v>0.216886</v>
      </c>
      <c r="M268" s="28">
        <v>-9.5966999999999997E-2</v>
      </c>
      <c r="N268" s="28">
        <v>-1.415297</v>
      </c>
      <c r="O268" s="28">
        <v>0.40227499999999999</v>
      </c>
      <c r="P268" s="28">
        <v>5.2469999999999999E-3</v>
      </c>
      <c r="Q268" s="28">
        <v>-0.25848399999999999</v>
      </c>
      <c r="R268" s="28">
        <v>-0.59054499999999999</v>
      </c>
      <c r="S268" s="28">
        <v>-0.66590099999999997</v>
      </c>
      <c r="T268" s="28">
        <v>-1.029955</v>
      </c>
      <c r="U268" s="28">
        <v>0.46449499999999999</v>
      </c>
      <c r="V268" s="28">
        <v>1.274626</v>
      </c>
      <c r="W268" s="28">
        <v>-0.88309400000000005</v>
      </c>
      <c r="X268" s="28">
        <v>0.18010200000000001</v>
      </c>
      <c r="Y268" s="28">
        <v>-2.7584000000000001E-2</v>
      </c>
      <c r="Z268" s="28">
        <v>0.92403800000000003</v>
      </c>
      <c r="AA268" s="28">
        <v>0.16814299999999999</v>
      </c>
      <c r="AB268" s="28">
        <v>1.1293550000000001</v>
      </c>
      <c r="AC268" s="28">
        <v>0.58959700000000004</v>
      </c>
      <c r="AD268" s="28">
        <v>0.31646800000000003</v>
      </c>
      <c r="AE268" s="28">
        <v>0.24080499999999999</v>
      </c>
      <c r="AF268" s="28">
        <v>-0.35783900000000002</v>
      </c>
      <c r="AG268" s="28">
        <v>0.10861999999999999</v>
      </c>
      <c r="AH268" s="28">
        <v>-0.29375499999999999</v>
      </c>
      <c r="AI268" s="28">
        <v>-0.145896</v>
      </c>
      <c r="AJ268" s="28">
        <v>-0.90464699999999998</v>
      </c>
      <c r="AK268" s="28">
        <v>0.79708800000000002</v>
      </c>
      <c r="AL268" s="28">
        <v>0.184979</v>
      </c>
      <c r="AM268" s="28">
        <v>-0.569519</v>
      </c>
      <c r="AN268" s="28">
        <v>0.86422699999999997</v>
      </c>
      <c r="AO268" s="28">
        <v>-0.40230500000000002</v>
      </c>
      <c r="AP268" s="28">
        <v>-0.20932999999999999</v>
      </c>
      <c r="AQ268" s="28">
        <v>-0.25478400000000001</v>
      </c>
      <c r="AR268" s="28">
        <v>-8.4377999999999995E-2</v>
      </c>
      <c r="AS268" s="28">
        <v>-0.14885000000000001</v>
      </c>
      <c r="AT268" s="28">
        <v>0.47957699999999998</v>
      </c>
      <c r="AU268" s="28">
        <v>0.37145600000000001</v>
      </c>
      <c r="AV268" s="28">
        <v>-0.51958000000000004</v>
      </c>
      <c r="AW268" s="28">
        <v>-0.44439600000000001</v>
      </c>
      <c r="AX268" s="28">
        <v>1.1021529999999999</v>
      </c>
      <c r="AY268" s="28">
        <v>-0.53390499999999996</v>
      </c>
      <c r="AZ268" s="28">
        <v>0.37015999999999999</v>
      </c>
      <c r="BA268" s="28">
        <v>0.33621600000000001</v>
      </c>
      <c r="BB268" s="28">
        <v>-1.059984</v>
      </c>
      <c r="BC268" s="27">
        <v>178.82939099999999</v>
      </c>
      <c r="BD268" s="27">
        <v>2131.1918949999999</v>
      </c>
      <c r="BE268" s="27">
        <v>931.71661400000005</v>
      </c>
      <c r="BF268" s="27">
        <v>19.754477999999999</v>
      </c>
      <c r="BG268" s="27">
        <v>5.0620999999999999E-2</v>
      </c>
    </row>
    <row r="269" spans="1:59">
      <c r="A269" s="27">
        <v>28</v>
      </c>
      <c r="B269" s="27">
        <v>52.620010000000001</v>
      </c>
      <c r="C269" s="27">
        <v>-3</v>
      </c>
      <c r="D269" s="27">
        <v>0</v>
      </c>
      <c r="E269" s="28">
        <v>-0.70089999999999997</v>
      </c>
      <c r="F269" s="28">
        <v>0.303508</v>
      </c>
      <c r="G269" s="28">
        <v>-0.69006000000000001</v>
      </c>
      <c r="H269" s="28">
        <v>-0.67655200000000004</v>
      </c>
      <c r="I269" s="28">
        <v>1.534826</v>
      </c>
      <c r="J269" s="28">
        <v>0.40433400000000003</v>
      </c>
      <c r="K269" s="28">
        <v>-6.9475999999999996E-2</v>
      </c>
      <c r="L269" s="28">
        <v>0.61652399999999996</v>
      </c>
      <c r="M269" s="28">
        <v>1.040888</v>
      </c>
      <c r="N269" s="28">
        <v>1.6124039999999999</v>
      </c>
      <c r="O269" s="28">
        <v>-1.017269</v>
      </c>
      <c r="P269" s="28">
        <v>-1.8738999999999999E-2</v>
      </c>
      <c r="Q269" s="28">
        <v>1.0668500000000001</v>
      </c>
      <c r="R269" s="28">
        <v>-0.71404100000000004</v>
      </c>
      <c r="S269" s="28">
        <v>-0.94616100000000003</v>
      </c>
      <c r="T269" s="28">
        <v>-0.99968599999999996</v>
      </c>
      <c r="U269" s="28">
        <v>0.31866100000000003</v>
      </c>
      <c r="V269" s="28">
        <v>0.41539799999999999</v>
      </c>
      <c r="W269" s="28">
        <v>0.74578199999999994</v>
      </c>
      <c r="X269" s="28">
        <v>-1.0294509999999999</v>
      </c>
      <c r="Y269" s="28">
        <v>-1.689397</v>
      </c>
      <c r="Z269" s="28">
        <v>-0.30818699999999999</v>
      </c>
      <c r="AA269" s="28">
        <v>0.26141500000000001</v>
      </c>
      <c r="AB269" s="28">
        <v>0.80872999999999995</v>
      </c>
      <c r="AC269" s="28">
        <v>-0.64111099999999999</v>
      </c>
      <c r="AD269" s="28">
        <v>-7.5176000000000007E-2</v>
      </c>
      <c r="AE269" s="28">
        <v>-0.66634099999999996</v>
      </c>
      <c r="AF269" s="28">
        <v>-1.5662959999999999</v>
      </c>
      <c r="AG269" s="28">
        <v>0.57636600000000004</v>
      </c>
      <c r="AH269" s="28">
        <v>0.88014099999999995</v>
      </c>
      <c r="AI269" s="28">
        <v>-0.23005100000000001</v>
      </c>
      <c r="AJ269" s="28">
        <v>-0.186805</v>
      </c>
      <c r="AK269" s="28">
        <v>9.8069000000000003E-2</v>
      </c>
      <c r="AL269" s="28">
        <v>0.25537300000000002</v>
      </c>
      <c r="AM269" s="28">
        <v>-7.3677999999999993E-2</v>
      </c>
      <c r="AN269" s="28">
        <v>-0.18715999999999999</v>
      </c>
      <c r="AO269" s="28">
        <v>0.66104200000000002</v>
      </c>
      <c r="AP269" s="28">
        <v>0.64547200000000005</v>
      </c>
      <c r="AQ269" s="28">
        <v>-0.19440199999999999</v>
      </c>
      <c r="AR269" s="28">
        <v>0.23189499999999999</v>
      </c>
      <c r="AS269" s="28">
        <v>0.38777699999999998</v>
      </c>
      <c r="AT269" s="28">
        <v>0.36163299999999998</v>
      </c>
      <c r="AU269" s="28">
        <v>-0.69426299999999996</v>
      </c>
      <c r="AV269" s="28">
        <v>-0.72806300000000002</v>
      </c>
      <c r="AW269" s="28">
        <v>0.46266000000000002</v>
      </c>
      <c r="AX269" s="28">
        <v>-0.14865900000000001</v>
      </c>
      <c r="AY269" s="28">
        <v>-0.48655500000000002</v>
      </c>
      <c r="AZ269" s="28">
        <v>-0.48602600000000001</v>
      </c>
      <c r="BA269" s="28">
        <v>-1.4430000000000001E-3</v>
      </c>
      <c r="BB269" s="28">
        <v>-0.50736800000000004</v>
      </c>
      <c r="BC269" s="27">
        <v>164.645218</v>
      </c>
      <c r="BD269" s="27">
        <v>2664.6254880000001</v>
      </c>
      <c r="BE269" s="27">
        <v>1129.7578129999999</v>
      </c>
      <c r="BF269" s="27">
        <v>21.470117999999999</v>
      </c>
      <c r="BG269" s="27">
        <v>4.6575999999999999E-2</v>
      </c>
    </row>
    <row r="270" spans="1:59">
      <c r="A270" s="27">
        <v>29</v>
      </c>
      <c r="B270" s="27">
        <v>39.498055000000001</v>
      </c>
      <c r="C270" s="27">
        <v>-3</v>
      </c>
      <c r="D270" s="27">
        <v>0</v>
      </c>
      <c r="E270" s="28">
        <v>0.89759299999999997</v>
      </c>
      <c r="F270" s="28">
        <v>0.96843999999999997</v>
      </c>
      <c r="G270" s="28">
        <v>-0.50884700000000005</v>
      </c>
      <c r="H270" s="28">
        <v>1.4576480000000001</v>
      </c>
      <c r="I270" s="28">
        <v>-0.255548</v>
      </c>
      <c r="J270" s="28">
        <v>0.63201200000000002</v>
      </c>
      <c r="K270" s="28">
        <v>0.926983</v>
      </c>
      <c r="L270" s="28">
        <v>0.31923400000000002</v>
      </c>
      <c r="M270" s="28">
        <v>-0.38211400000000001</v>
      </c>
      <c r="N270" s="28">
        <v>-1.9292640000000001</v>
      </c>
      <c r="O270" s="28">
        <v>1.6588039999999999</v>
      </c>
      <c r="P270" s="28">
        <v>8.1928000000000001E-2</v>
      </c>
      <c r="Q270" s="28">
        <v>-1.0484039999999999</v>
      </c>
      <c r="R270" s="28">
        <v>-0.30727500000000002</v>
      </c>
      <c r="S270" s="28">
        <v>0.153085</v>
      </c>
      <c r="T270" s="28">
        <v>0.51020200000000004</v>
      </c>
      <c r="U270" s="28">
        <v>0.76829099999999995</v>
      </c>
      <c r="V270" s="28">
        <v>-0.22103200000000001</v>
      </c>
      <c r="W270" s="28">
        <v>-0.25769999999999998</v>
      </c>
      <c r="X270" s="28">
        <v>-0.234018</v>
      </c>
      <c r="Y270" s="28">
        <v>0.33637299999999998</v>
      </c>
      <c r="Z270" s="28">
        <v>0.118788</v>
      </c>
      <c r="AA270" s="28">
        <v>-0.47643600000000003</v>
      </c>
      <c r="AB270" s="28">
        <v>-1.26305</v>
      </c>
      <c r="AC270" s="28">
        <v>0.135412</v>
      </c>
      <c r="AD270" s="28">
        <v>-0.24951200000000001</v>
      </c>
      <c r="AE270" s="28">
        <v>0.31201800000000002</v>
      </c>
      <c r="AF270" s="28">
        <v>0.68668200000000001</v>
      </c>
      <c r="AG270" s="28">
        <v>0.90946099999999996</v>
      </c>
      <c r="AH270" s="28">
        <v>0.17530699999999999</v>
      </c>
      <c r="AI270" s="28">
        <v>0.56340400000000002</v>
      </c>
      <c r="AJ270" s="28">
        <v>7.9396999999999995E-2</v>
      </c>
      <c r="AK270" s="28">
        <v>-7.2695999999999997E-2</v>
      </c>
      <c r="AL270" s="28">
        <v>0.117226</v>
      </c>
      <c r="AM270" s="28">
        <v>-0.50555799999999995</v>
      </c>
      <c r="AN270" s="28">
        <v>-0.21088499999999999</v>
      </c>
      <c r="AO270" s="28">
        <v>0.28325600000000001</v>
      </c>
      <c r="AP270" s="28">
        <v>-0.67861899999999997</v>
      </c>
      <c r="AQ270" s="28">
        <v>4.4350000000000001E-2</v>
      </c>
      <c r="AR270" s="28">
        <v>-1.1903189999999999</v>
      </c>
      <c r="AS270" s="28">
        <v>7.6357999999999995E-2</v>
      </c>
      <c r="AT270" s="28">
        <v>0.29184100000000002</v>
      </c>
      <c r="AU270" s="28">
        <v>-4.9057999999999997E-2</v>
      </c>
      <c r="AV270" s="28">
        <v>-0.133046</v>
      </c>
      <c r="AW270" s="28">
        <v>0.37909100000000001</v>
      </c>
      <c r="AX270" s="28">
        <v>-0.48980699999999999</v>
      </c>
      <c r="AY270" s="28">
        <v>0.24143000000000001</v>
      </c>
      <c r="AZ270" s="28">
        <v>0.14271300000000001</v>
      </c>
      <c r="BA270" s="28">
        <v>0.11851399999999999</v>
      </c>
      <c r="BB270" s="28">
        <v>0.35706599999999999</v>
      </c>
      <c r="BC270" s="27">
        <v>92.293503000000001</v>
      </c>
      <c r="BD270" s="27">
        <v>1482.10022</v>
      </c>
      <c r="BE270" s="27">
        <v>1217.0039059999999</v>
      </c>
      <c r="BF270" s="27">
        <v>30.811743</v>
      </c>
      <c r="BG270" s="27">
        <v>3.2454999999999998E-2</v>
      </c>
    </row>
    <row r="271" spans="1:59">
      <c r="A271" s="27">
        <v>30</v>
      </c>
      <c r="B271" s="27">
        <v>42.633628999999999</v>
      </c>
      <c r="C271" s="27">
        <v>-3</v>
      </c>
      <c r="D271" s="27">
        <v>0</v>
      </c>
      <c r="E271" s="28">
        <v>0.70118800000000003</v>
      </c>
      <c r="F271" s="28">
        <v>-0.77819899999999997</v>
      </c>
      <c r="G271" s="28">
        <v>3.1711999999999997E-2</v>
      </c>
      <c r="H271" s="28">
        <v>0.64301200000000003</v>
      </c>
      <c r="I271" s="28">
        <v>0.37828099999999998</v>
      </c>
      <c r="J271" s="28">
        <v>-0.91408699999999998</v>
      </c>
      <c r="K271" s="28">
        <v>0.68633999999999995</v>
      </c>
      <c r="L271" s="28">
        <v>-1.1864509999999999</v>
      </c>
      <c r="M271" s="28">
        <v>-8.1648999999999999E-2</v>
      </c>
      <c r="N271" s="28">
        <v>0.24657599999999999</v>
      </c>
      <c r="O271" s="28">
        <v>0.78340399999999999</v>
      </c>
      <c r="P271" s="28">
        <v>-0.88504099999999997</v>
      </c>
      <c r="Q271" s="28">
        <v>-0.51915699999999998</v>
      </c>
      <c r="R271" s="28">
        <v>1.035377</v>
      </c>
      <c r="S271" s="28">
        <v>-0.19822999999999999</v>
      </c>
      <c r="T271" s="28">
        <v>0.12973899999999999</v>
      </c>
      <c r="U271" s="28">
        <v>-0.83795799999999998</v>
      </c>
      <c r="V271" s="28">
        <v>-0.44043500000000002</v>
      </c>
      <c r="W271" s="28">
        <v>-8.2054000000000002E-2</v>
      </c>
      <c r="X271" s="28">
        <v>1.330522</v>
      </c>
      <c r="Y271" s="28">
        <v>-4.3817000000000002E-2</v>
      </c>
      <c r="Z271" s="28">
        <v>-0.57669700000000002</v>
      </c>
      <c r="AA271" s="28">
        <v>3.7166999999999999E-2</v>
      </c>
      <c r="AB271" s="28">
        <v>-0.82844200000000001</v>
      </c>
      <c r="AC271" s="28">
        <v>0.14913199999999999</v>
      </c>
      <c r="AD271" s="28">
        <v>-1.7760999999999999E-2</v>
      </c>
      <c r="AE271" s="28">
        <v>-0.403833</v>
      </c>
      <c r="AF271" s="28">
        <v>0.730962</v>
      </c>
      <c r="AG271" s="28">
        <v>-3.1038E-2</v>
      </c>
      <c r="AH271" s="28">
        <v>-0.28802299999999997</v>
      </c>
      <c r="AI271" s="28">
        <v>0.3196</v>
      </c>
      <c r="AJ271" s="28">
        <v>0.65501100000000001</v>
      </c>
      <c r="AK271" s="28">
        <v>-1.08904</v>
      </c>
      <c r="AL271" s="28">
        <v>8.9457999999999996E-2</v>
      </c>
      <c r="AM271" s="28">
        <v>-3.7261000000000002E-2</v>
      </c>
      <c r="AN271" s="28">
        <v>-0.68711699999999998</v>
      </c>
      <c r="AO271" s="28">
        <v>2.8013E-2</v>
      </c>
      <c r="AP271" s="28">
        <v>-0.98949600000000004</v>
      </c>
      <c r="AQ271" s="28">
        <v>-0.269401</v>
      </c>
      <c r="AR271" s="28">
        <v>2.9232999999999999E-2</v>
      </c>
      <c r="AS271" s="28">
        <v>-0.22938700000000001</v>
      </c>
      <c r="AT271" s="28">
        <v>-4.1846000000000001E-2</v>
      </c>
      <c r="AU271" s="28">
        <v>0.39244699999999999</v>
      </c>
      <c r="AV271" s="28">
        <v>-0.52707999999999999</v>
      </c>
      <c r="AW271" s="28">
        <v>-0.59609400000000001</v>
      </c>
      <c r="AX271" s="28">
        <v>-2.1898000000000001E-2</v>
      </c>
      <c r="AY271" s="28">
        <v>0.490539</v>
      </c>
      <c r="AZ271" s="28">
        <v>0.401586</v>
      </c>
      <c r="BA271" s="28">
        <v>4.6514E-2</v>
      </c>
      <c r="BB271" s="28">
        <v>0.40360099999999999</v>
      </c>
      <c r="BC271" s="27">
        <v>222.771851</v>
      </c>
      <c r="BD271" s="27">
        <v>1733.359009</v>
      </c>
      <c r="BE271" s="27">
        <v>649.19616699999995</v>
      </c>
      <c r="BF271" s="27">
        <v>15.227325</v>
      </c>
      <c r="BG271" s="27">
        <v>6.5670999999999993E-2</v>
      </c>
    </row>
    <row r="272" spans="1:59">
      <c r="A272" s="27">
        <v>31</v>
      </c>
      <c r="B272" s="27">
        <v>42.401336999999998</v>
      </c>
      <c r="C272" s="27">
        <v>-3</v>
      </c>
      <c r="D272" s="27">
        <v>0</v>
      </c>
      <c r="E272" s="28">
        <v>1.440941</v>
      </c>
      <c r="F272" s="28">
        <v>1.299329</v>
      </c>
      <c r="G272" s="28">
        <v>0.281916</v>
      </c>
      <c r="H272" s="28">
        <v>-0.62502599999999997</v>
      </c>
      <c r="I272" s="28">
        <v>0.87468100000000004</v>
      </c>
      <c r="J272" s="28">
        <v>0.97413799999999995</v>
      </c>
      <c r="K272" s="28">
        <v>0.825268</v>
      </c>
      <c r="L272" s="28">
        <v>0.43290200000000001</v>
      </c>
      <c r="M272" s="28">
        <v>0.28018700000000002</v>
      </c>
      <c r="N272" s="28">
        <v>0.259573</v>
      </c>
      <c r="O272" s="28">
        <v>1.138341</v>
      </c>
      <c r="P272" s="28">
        <v>-9.8521999999999998E-2</v>
      </c>
      <c r="Q272" s="28">
        <v>0.94133299999999998</v>
      </c>
      <c r="R272" s="28">
        <v>-0.896123</v>
      </c>
      <c r="S272" s="28">
        <v>1.4025479999999999</v>
      </c>
      <c r="T272" s="28">
        <v>9.1826000000000005E-2</v>
      </c>
      <c r="U272" s="28">
        <v>-0.96459700000000004</v>
      </c>
      <c r="V272" s="28">
        <v>0.80421100000000001</v>
      </c>
      <c r="W272" s="28">
        <v>-0.27010099999999998</v>
      </c>
      <c r="X272" s="28">
        <v>-1.158E-3</v>
      </c>
      <c r="Y272" s="28">
        <v>0.47173500000000002</v>
      </c>
      <c r="Z272" s="28">
        <v>-0.29669899999999999</v>
      </c>
      <c r="AA272" s="28">
        <v>0.60849299999999995</v>
      </c>
      <c r="AB272" s="28">
        <v>-0.51061100000000004</v>
      </c>
      <c r="AC272" s="28">
        <v>-0.51800999999999997</v>
      </c>
      <c r="AD272" s="28">
        <v>0.63932100000000003</v>
      </c>
      <c r="AE272" s="28">
        <v>-0.765316</v>
      </c>
      <c r="AF272" s="28">
        <v>1.525946</v>
      </c>
      <c r="AG272" s="28">
        <v>0.114985</v>
      </c>
      <c r="AH272" s="28">
        <v>0.21382999999999999</v>
      </c>
      <c r="AI272" s="28">
        <v>-0.56545999999999996</v>
      </c>
      <c r="AJ272" s="28">
        <v>0.28137600000000001</v>
      </c>
      <c r="AK272" s="28">
        <v>2.3525999999999998E-2</v>
      </c>
      <c r="AL272" s="28">
        <v>0.57613899999999996</v>
      </c>
      <c r="AM272" s="28">
        <v>-0.42730099999999999</v>
      </c>
      <c r="AN272" s="28">
        <v>0.56584699999999999</v>
      </c>
      <c r="AO272" s="28">
        <v>-0.81371499999999997</v>
      </c>
      <c r="AP272" s="28">
        <v>-1.2441610000000001</v>
      </c>
      <c r="AQ272" s="28">
        <v>-0.113193</v>
      </c>
      <c r="AR272" s="28">
        <v>0.82181999999999999</v>
      </c>
      <c r="AS272" s="28">
        <v>-0.496417</v>
      </c>
      <c r="AT272" s="28">
        <v>-0.201207</v>
      </c>
      <c r="AU272" s="28">
        <v>0.66452800000000001</v>
      </c>
      <c r="AV272" s="28">
        <v>-0.550512</v>
      </c>
      <c r="AW272" s="28">
        <v>0.50165000000000004</v>
      </c>
      <c r="AX272" s="28">
        <v>0.77871999999999997</v>
      </c>
      <c r="AY272" s="28">
        <v>-0.21851999999999999</v>
      </c>
      <c r="AZ272" s="28">
        <v>-0.40321400000000002</v>
      </c>
      <c r="BA272" s="28">
        <v>-0.619618</v>
      </c>
      <c r="BB272" s="28">
        <v>0.24392900000000001</v>
      </c>
      <c r="BC272" s="27">
        <v>233.613495</v>
      </c>
      <c r="BD272" s="27">
        <v>1714.0706789999999</v>
      </c>
      <c r="BE272" s="27">
        <v>607.43725600000005</v>
      </c>
      <c r="BF272" s="27">
        <v>14.325899</v>
      </c>
      <c r="BG272" s="27">
        <v>6.9804000000000005E-2</v>
      </c>
    </row>
    <row r="273" spans="1:59">
      <c r="A273" s="27">
        <v>32</v>
      </c>
      <c r="B273" s="27">
        <v>45.173915999999998</v>
      </c>
      <c r="C273" s="27">
        <v>-3</v>
      </c>
      <c r="D273" s="27">
        <v>0</v>
      </c>
      <c r="E273" s="28">
        <v>-1.0969869999999999</v>
      </c>
      <c r="F273" s="28">
        <v>0.38115300000000002</v>
      </c>
      <c r="G273" s="28">
        <v>0.52356899999999995</v>
      </c>
      <c r="H273" s="28">
        <v>-1.714448</v>
      </c>
      <c r="I273" s="28">
        <v>0.639714</v>
      </c>
      <c r="J273" s="28">
        <v>-0.27751399999999998</v>
      </c>
      <c r="K273" s="28">
        <v>0.22517899999999999</v>
      </c>
      <c r="L273" s="28">
        <v>-6.7871000000000001E-2</v>
      </c>
      <c r="M273" s="28">
        <v>-0.26596500000000001</v>
      </c>
      <c r="N273" s="28">
        <v>-3.7038000000000001E-2</v>
      </c>
      <c r="O273" s="28">
        <v>0.96115200000000001</v>
      </c>
      <c r="P273" s="28">
        <v>0.51594700000000004</v>
      </c>
      <c r="Q273" s="28">
        <v>0.59214999999999995</v>
      </c>
      <c r="R273" s="28">
        <v>-0.90259299999999998</v>
      </c>
      <c r="S273" s="28">
        <v>0.98840300000000003</v>
      </c>
      <c r="T273" s="28">
        <v>-0.674983</v>
      </c>
      <c r="U273" s="28">
        <v>0.97841800000000001</v>
      </c>
      <c r="V273" s="28">
        <v>0.82400099999999998</v>
      </c>
      <c r="W273" s="28">
        <v>1.396997</v>
      </c>
      <c r="X273" s="28">
        <v>-0.45306800000000003</v>
      </c>
      <c r="Y273" s="28">
        <v>0.68356899999999998</v>
      </c>
      <c r="Z273" s="28">
        <v>0.73449600000000004</v>
      </c>
      <c r="AA273" s="28">
        <v>0.567998</v>
      </c>
      <c r="AB273" s="28">
        <v>-0.45733400000000002</v>
      </c>
      <c r="AC273" s="28">
        <v>-1.048338</v>
      </c>
      <c r="AD273" s="28">
        <v>-1.1257E-2</v>
      </c>
      <c r="AE273" s="28">
        <v>0.294599</v>
      </c>
      <c r="AF273" s="28">
        <v>1.0457559999999999</v>
      </c>
      <c r="AG273" s="28">
        <v>-0.35778199999999999</v>
      </c>
      <c r="AH273" s="28">
        <v>-0.12554699999999999</v>
      </c>
      <c r="AI273" s="28">
        <v>-0.62191700000000005</v>
      </c>
      <c r="AJ273" s="28">
        <v>0.52560499999999999</v>
      </c>
      <c r="AK273" s="28">
        <v>2.4389000000000001E-2</v>
      </c>
      <c r="AL273" s="28">
        <v>-1.1259049999999999</v>
      </c>
      <c r="AM273" s="28">
        <v>0.78310400000000002</v>
      </c>
      <c r="AN273" s="28">
        <v>-0.625803</v>
      </c>
      <c r="AO273" s="28">
        <v>0.32439000000000001</v>
      </c>
      <c r="AP273" s="28">
        <v>-0.28769800000000001</v>
      </c>
      <c r="AQ273" s="28">
        <v>-0.81347199999999997</v>
      </c>
      <c r="AR273" s="28">
        <v>0.20236699999999999</v>
      </c>
      <c r="AS273" s="28">
        <v>0.71817299999999995</v>
      </c>
      <c r="AT273" s="28">
        <v>-1.6559000000000001E-2</v>
      </c>
      <c r="AU273" s="28">
        <v>-0.30865999999999999</v>
      </c>
      <c r="AV273" s="28">
        <v>-0.412381</v>
      </c>
      <c r="AW273" s="28">
        <v>-0.70930300000000002</v>
      </c>
      <c r="AX273" s="28">
        <v>-7.7965000000000007E-2</v>
      </c>
      <c r="AY273" s="28">
        <v>0.49343900000000002</v>
      </c>
      <c r="AZ273" s="28">
        <v>-0.40752500000000003</v>
      </c>
      <c r="BA273" s="28">
        <v>0.80309900000000001</v>
      </c>
      <c r="BB273" s="28">
        <v>-0.17697399999999999</v>
      </c>
      <c r="BC273" s="27">
        <v>169.55943300000001</v>
      </c>
      <c r="BD273" s="27">
        <v>1951.3348390000001</v>
      </c>
      <c r="BE273" s="27">
        <v>916.53131099999996</v>
      </c>
      <c r="BF273" s="27">
        <v>20.28895</v>
      </c>
      <c r="BG273" s="27">
        <v>4.9287999999999998E-2</v>
      </c>
    </row>
    <row r="274" spans="1:59">
      <c r="A274" s="27">
        <v>33</v>
      </c>
      <c r="B274" s="27">
        <v>41.717033000000001</v>
      </c>
      <c r="C274" s="27">
        <v>-3</v>
      </c>
      <c r="D274" s="27">
        <v>0</v>
      </c>
      <c r="E274" s="28">
        <v>-0.39273999999999998</v>
      </c>
      <c r="F274" s="28">
        <v>0.69454800000000005</v>
      </c>
      <c r="G274" s="28">
        <v>4.0208000000000001E-2</v>
      </c>
      <c r="H274" s="28">
        <v>0.54447299999999998</v>
      </c>
      <c r="I274" s="28">
        <v>-0.45896700000000001</v>
      </c>
      <c r="J274" s="28">
        <v>0.48727199999999998</v>
      </c>
      <c r="K274" s="28">
        <v>0.351439</v>
      </c>
      <c r="L274" s="28">
        <v>-0.191992</v>
      </c>
      <c r="M274" s="28">
        <v>-0.91768499999999997</v>
      </c>
      <c r="N274" s="28">
        <v>-1.2897940000000001</v>
      </c>
      <c r="O274" s="28">
        <v>8.7781999999999999E-2</v>
      </c>
      <c r="P274" s="28">
        <v>-0.10591399999999999</v>
      </c>
      <c r="Q274" s="28">
        <v>-0.44226599999999999</v>
      </c>
      <c r="R274" s="28">
        <v>0.35954999999999998</v>
      </c>
      <c r="S274" s="28">
        <v>0.43825799999999998</v>
      </c>
      <c r="T274" s="28">
        <v>-0.80034700000000003</v>
      </c>
      <c r="U274" s="28">
        <v>-0.71488600000000002</v>
      </c>
      <c r="V274" s="28">
        <v>-0.82446299999999995</v>
      </c>
      <c r="W274" s="28">
        <v>8.8903999999999997E-2</v>
      </c>
      <c r="X274" s="28">
        <v>-0.44960899999999998</v>
      </c>
      <c r="Y274" s="28">
        <v>-1.3498399999999999</v>
      </c>
      <c r="Z274" s="28">
        <v>0.161105</v>
      </c>
      <c r="AA274" s="28">
        <v>-0.81681999999999999</v>
      </c>
      <c r="AB274" s="28">
        <v>0.58583200000000002</v>
      </c>
      <c r="AC274" s="28">
        <v>-0.83790699999999996</v>
      </c>
      <c r="AD274" s="28">
        <v>-9.8239999999999994E-2</v>
      </c>
      <c r="AE274" s="28">
        <v>0.10664899999999999</v>
      </c>
      <c r="AF274" s="28">
        <v>-6.3410999999999995E-2</v>
      </c>
      <c r="AG274" s="28">
        <v>0.40457399999999999</v>
      </c>
      <c r="AH274" s="28">
        <v>0.64470700000000003</v>
      </c>
      <c r="AI274" s="28">
        <v>6.4426999999999998E-2</v>
      </c>
      <c r="AJ274" s="28">
        <v>-0.86652899999999999</v>
      </c>
      <c r="AK274" s="28">
        <v>0.89454299999999998</v>
      </c>
      <c r="AL274" s="28">
        <v>6.9716E-2</v>
      </c>
      <c r="AM274" s="28">
        <v>-0.32259199999999999</v>
      </c>
      <c r="AN274" s="28">
        <v>5.8597000000000003E-2</v>
      </c>
      <c r="AO274" s="28">
        <v>0.47661700000000001</v>
      </c>
      <c r="AP274" s="28">
        <v>-7.1509000000000003E-2</v>
      </c>
      <c r="AQ274" s="28">
        <v>0.41796100000000003</v>
      </c>
      <c r="AR274" s="28">
        <v>0.31334699999999999</v>
      </c>
      <c r="AS274" s="28">
        <v>0.33686899999999997</v>
      </c>
      <c r="AT274" s="28">
        <v>0.32501200000000002</v>
      </c>
      <c r="AU274" s="28">
        <v>-0.163577</v>
      </c>
      <c r="AV274" s="28">
        <v>-0.28662700000000002</v>
      </c>
      <c r="AW274" s="28">
        <v>-0.79887600000000003</v>
      </c>
      <c r="AX274" s="28">
        <v>0.25417000000000001</v>
      </c>
      <c r="AY274" s="28">
        <v>0.36575200000000002</v>
      </c>
      <c r="AZ274" s="28">
        <v>-0.46715099999999998</v>
      </c>
      <c r="BA274" s="28">
        <v>0.31737399999999999</v>
      </c>
      <c r="BB274" s="28">
        <v>-0.597167</v>
      </c>
      <c r="BC274" s="27">
        <v>157.729874</v>
      </c>
      <c r="BD274" s="27">
        <v>1657.876831</v>
      </c>
      <c r="BE274" s="27">
        <v>975.42541500000004</v>
      </c>
      <c r="BF274" s="27">
        <v>23.381947</v>
      </c>
      <c r="BG274" s="27">
        <v>4.2768E-2</v>
      </c>
    </row>
    <row r="275" spans="1:59">
      <c r="A275" s="27">
        <v>34</v>
      </c>
      <c r="B275" s="27">
        <v>52.781494000000002</v>
      </c>
      <c r="C275" s="27">
        <v>-3</v>
      </c>
      <c r="D275" s="27">
        <v>0</v>
      </c>
      <c r="E275" s="28">
        <v>-0.66622000000000003</v>
      </c>
      <c r="F275" s="28">
        <v>-0.53908500000000004</v>
      </c>
      <c r="G275" s="28">
        <v>1.3139609999999999</v>
      </c>
      <c r="H275" s="28">
        <v>0.37419999999999998</v>
      </c>
      <c r="I275" s="28">
        <v>0.31695899999999999</v>
      </c>
      <c r="J275" s="28">
        <v>0.31533600000000001</v>
      </c>
      <c r="K275" s="28">
        <v>0.65815500000000005</v>
      </c>
      <c r="L275" s="28">
        <v>0.12439</v>
      </c>
      <c r="M275" s="28">
        <v>-0.24601200000000001</v>
      </c>
      <c r="N275" s="28">
        <v>0.685338</v>
      </c>
      <c r="O275" s="28">
        <v>-1.6915340000000001</v>
      </c>
      <c r="P275" s="28">
        <v>1.7136009999999999</v>
      </c>
      <c r="Q275" s="28">
        <v>-0.175285</v>
      </c>
      <c r="R275" s="28">
        <v>-0.88014700000000001</v>
      </c>
      <c r="S275" s="28">
        <v>0.24867</v>
      </c>
      <c r="T275" s="28">
        <v>-0.24318600000000001</v>
      </c>
      <c r="U275" s="28">
        <v>1.020362</v>
      </c>
      <c r="V275" s="28">
        <v>-0.47453499999999998</v>
      </c>
      <c r="W275" s="28">
        <v>0.40415600000000002</v>
      </c>
      <c r="X275" s="28">
        <v>0.108114</v>
      </c>
      <c r="Y275" s="28">
        <v>-0.73552499999999998</v>
      </c>
      <c r="Z275" s="28">
        <v>0.56257599999999996</v>
      </c>
      <c r="AA275" s="28">
        <v>0.539435</v>
      </c>
      <c r="AB275" s="28">
        <v>-0.12970400000000001</v>
      </c>
      <c r="AC275" s="28">
        <v>1.0146759999999999</v>
      </c>
      <c r="AD275" s="28">
        <v>0.28480100000000003</v>
      </c>
      <c r="AE275" s="28">
        <v>-0.67115100000000005</v>
      </c>
      <c r="AF275" s="28">
        <v>-0.56205300000000002</v>
      </c>
      <c r="AG275" s="28">
        <v>0.801894</v>
      </c>
      <c r="AH275" s="28">
        <v>-0.44663700000000001</v>
      </c>
      <c r="AI275" s="28">
        <v>0.48214899999999999</v>
      </c>
      <c r="AJ275" s="28">
        <v>-0.76309300000000002</v>
      </c>
      <c r="AK275" s="28">
        <v>0.41966199999999998</v>
      </c>
      <c r="AL275" s="28">
        <v>-0.105931</v>
      </c>
      <c r="AM275" s="28">
        <v>0.33874900000000002</v>
      </c>
      <c r="AN275" s="28">
        <v>1.3420780000000001</v>
      </c>
      <c r="AO275" s="28">
        <v>0.30623400000000001</v>
      </c>
      <c r="AP275" s="28">
        <v>4.3623000000000002E-2</v>
      </c>
      <c r="AQ275" s="28">
        <v>-0.178976</v>
      </c>
      <c r="AR275" s="28">
        <v>0.40583399999999997</v>
      </c>
      <c r="AS275" s="28">
        <v>0.79518999999999995</v>
      </c>
      <c r="AT275" s="28">
        <v>0.55059599999999997</v>
      </c>
      <c r="AU275" s="28">
        <v>0.12102499999999999</v>
      </c>
      <c r="AV275" s="28">
        <v>-0.182396</v>
      </c>
      <c r="AW275" s="28">
        <v>-0.30289899999999997</v>
      </c>
      <c r="AX275" s="28">
        <v>-0.405553</v>
      </c>
      <c r="AY275" s="28">
        <v>-0.99042200000000002</v>
      </c>
      <c r="AZ275" s="28">
        <v>-0.15906300000000001</v>
      </c>
      <c r="BA275" s="28">
        <v>1.0051669999999999</v>
      </c>
      <c r="BB275" s="28">
        <v>-0.29169400000000001</v>
      </c>
      <c r="BC275" s="27">
        <v>164.76959199999999</v>
      </c>
      <c r="BD275" s="27">
        <v>2681.3232419999999</v>
      </c>
      <c r="BE275" s="27">
        <v>1219.9372559999999</v>
      </c>
      <c r="BF275" s="27">
        <v>23.112971999999999</v>
      </c>
      <c r="BG275" s="27">
        <v>4.3265999999999999E-2</v>
      </c>
    </row>
    <row r="276" spans="1:59">
      <c r="A276" s="27">
        <v>35</v>
      </c>
      <c r="B276" s="27">
        <v>46.023623999999998</v>
      </c>
      <c r="C276" s="27">
        <v>-3</v>
      </c>
      <c r="D276" s="27">
        <v>0</v>
      </c>
      <c r="E276" s="28">
        <v>0.70118800000000003</v>
      </c>
      <c r="F276" s="28">
        <v>-0.77819899999999997</v>
      </c>
      <c r="G276" s="28">
        <v>3.1711999999999997E-2</v>
      </c>
      <c r="H276" s="28">
        <v>0.64301200000000003</v>
      </c>
      <c r="I276" s="28">
        <v>0.37828099999999998</v>
      </c>
      <c r="J276" s="28">
        <v>-0.91408699999999998</v>
      </c>
      <c r="K276" s="28">
        <v>0.68633999999999995</v>
      </c>
      <c r="L276" s="28">
        <v>-1.1864509999999999</v>
      </c>
      <c r="M276" s="28">
        <v>-8.1648999999999999E-2</v>
      </c>
      <c r="N276" s="28">
        <v>0.24657599999999999</v>
      </c>
      <c r="O276" s="28">
        <v>0.78340399999999999</v>
      </c>
      <c r="P276" s="28">
        <v>-0.88504099999999997</v>
      </c>
      <c r="Q276" s="28">
        <v>-0.51915699999999998</v>
      </c>
      <c r="R276" s="28">
        <v>1.035377</v>
      </c>
      <c r="S276" s="28">
        <v>-0.19822999999999999</v>
      </c>
      <c r="T276" s="28">
        <v>0.12973899999999999</v>
      </c>
      <c r="U276" s="28">
        <v>-0.52273099999999995</v>
      </c>
      <c r="V276" s="28">
        <v>-0.40881899999999999</v>
      </c>
      <c r="W276" s="28">
        <v>-0.65687399999999996</v>
      </c>
      <c r="X276" s="28">
        <v>0.66090300000000002</v>
      </c>
      <c r="Y276" s="28">
        <v>-1.2415909999999999</v>
      </c>
      <c r="Z276" s="28">
        <v>-0.96428700000000001</v>
      </c>
      <c r="AA276" s="28">
        <v>-0.34388299999999999</v>
      </c>
      <c r="AB276" s="28">
        <v>0.71516500000000005</v>
      </c>
      <c r="AC276" s="28">
        <v>-0.61223799999999995</v>
      </c>
      <c r="AD276" s="28">
        <v>-0.310886</v>
      </c>
      <c r="AE276" s="28">
        <v>-0.98727699999999996</v>
      </c>
      <c r="AF276" s="28">
        <v>0.66283499999999995</v>
      </c>
      <c r="AG276" s="28">
        <v>4.3470000000000002E-2</v>
      </c>
      <c r="AH276" s="28">
        <v>0.44044</v>
      </c>
      <c r="AI276" s="28">
        <v>0.65242</v>
      </c>
      <c r="AJ276" s="28">
        <v>0.223997</v>
      </c>
      <c r="AK276" s="28">
        <v>2.3810000000000001E-2</v>
      </c>
      <c r="AL276" s="28">
        <v>0.49069200000000002</v>
      </c>
      <c r="AM276" s="28">
        <v>-0.248358</v>
      </c>
      <c r="AN276" s="28">
        <v>0.80503199999999997</v>
      </c>
      <c r="AO276" s="28">
        <v>0.60842399999999996</v>
      </c>
      <c r="AP276" s="28">
        <v>5.6078000000000003E-2</v>
      </c>
      <c r="AQ276" s="28">
        <v>-0.54683099999999996</v>
      </c>
      <c r="AR276" s="28">
        <v>0.37801899999999999</v>
      </c>
      <c r="AS276" s="28">
        <v>-0.169601</v>
      </c>
      <c r="AT276" s="28">
        <v>0.31381100000000001</v>
      </c>
      <c r="AU276" s="28">
        <v>0.39277400000000001</v>
      </c>
      <c r="AV276" s="28">
        <v>-0.75850799999999996</v>
      </c>
      <c r="AW276" s="28">
        <v>0.97770299999999999</v>
      </c>
      <c r="AX276" s="28">
        <v>-0.82261600000000001</v>
      </c>
      <c r="AY276" s="28">
        <v>0.20293700000000001</v>
      </c>
      <c r="AZ276" s="28">
        <v>0.64005800000000002</v>
      </c>
      <c r="BA276" s="28">
        <v>-0.264071</v>
      </c>
      <c r="BB276" s="28">
        <v>-5.9714999999999997E-2</v>
      </c>
      <c r="BC276" s="27">
        <v>139.763901</v>
      </c>
      <c r="BD276" s="27">
        <v>2027.1267089999999</v>
      </c>
      <c r="BE276" s="27">
        <v>1092.223389</v>
      </c>
      <c r="BF276" s="27">
        <v>23.731798000000001</v>
      </c>
      <c r="BG276" s="27">
        <v>4.2138000000000002E-2</v>
      </c>
    </row>
    <row r="277" spans="1:59">
      <c r="A277" s="27">
        <v>36</v>
      </c>
      <c r="B277" s="27">
        <v>49.320414999999997</v>
      </c>
      <c r="C277" s="27">
        <v>-3</v>
      </c>
      <c r="D277" s="27">
        <v>0</v>
      </c>
      <c r="E277" s="28">
        <v>0.14194000000000001</v>
      </c>
      <c r="F277" s="28">
        <v>1.2506390000000001</v>
      </c>
      <c r="G277" s="28">
        <v>-0.81791199999999997</v>
      </c>
      <c r="H277" s="28">
        <v>0.54447299999999998</v>
      </c>
      <c r="I277" s="28">
        <v>-0.45896700000000001</v>
      </c>
      <c r="J277" s="28">
        <v>0.69933100000000004</v>
      </c>
      <c r="K277" s="28">
        <v>0.81448100000000001</v>
      </c>
      <c r="L277" s="28">
        <v>-0.191992</v>
      </c>
      <c r="M277" s="28">
        <v>-0.18806999999999999</v>
      </c>
      <c r="N277" s="28">
        <v>0.104064</v>
      </c>
      <c r="O277" s="28">
        <v>-0.58274999999999999</v>
      </c>
      <c r="P277" s="28">
        <v>0.21702199999999999</v>
      </c>
      <c r="Q277" s="28">
        <v>-0.42371900000000001</v>
      </c>
      <c r="R277" s="28">
        <v>0.85927600000000004</v>
      </c>
      <c r="S277" s="28">
        <v>0.43825799999999998</v>
      </c>
      <c r="T277" s="28">
        <v>-0.80034700000000003</v>
      </c>
      <c r="U277" s="28">
        <v>-0.74512299999999998</v>
      </c>
      <c r="V277" s="28">
        <v>-0.32855600000000001</v>
      </c>
      <c r="W277" s="28">
        <v>1.5563480000000001</v>
      </c>
      <c r="X277" s="28">
        <v>-1.0259309999999999</v>
      </c>
      <c r="Y277" s="28">
        <v>-0.40920400000000001</v>
      </c>
      <c r="Z277" s="28">
        <v>9.3523999999999996E-2</v>
      </c>
      <c r="AA277" s="28">
        <v>6.3188999999999995E-2</v>
      </c>
      <c r="AB277" s="28">
        <v>0.15293499999999999</v>
      </c>
      <c r="AC277" s="28">
        <v>-0.72272800000000004</v>
      </c>
      <c r="AD277" s="28">
        <v>-0.51946199999999998</v>
      </c>
      <c r="AE277" s="28">
        <v>0.13444999999999999</v>
      </c>
      <c r="AF277" s="28">
        <v>0.94771300000000003</v>
      </c>
      <c r="AG277" s="28">
        <v>0.21096799999999999</v>
      </c>
      <c r="AH277" s="28">
        <v>0.60152000000000005</v>
      </c>
      <c r="AI277" s="28">
        <v>0.15823899999999999</v>
      </c>
      <c r="AJ277" s="28">
        <v>-0.80809200000000003</v>
      </c>
      <c r="AK277" s="28">
        <v>0.320656</v>
      </c>
      <c r="AL277" s="28">
        <v>-0.56914699999999996</v>
      </c>
      <c r="AM277" s="28">
        <v>0.104336</v>
      </c>
      <c r="AN277" s="28">
        <v>-0.14121300000000001</v>
      </c>
      <c r="AO277" s="28">
        <v>3.6859000000000003E-2</v>
      </c>
      <c r="AP277" s="28">
        <v>-0.66616200000000003</v>
      </c>
      <c r="AQ277" s="28">
        <v>0.64614499999999997</v>
      </c>
      <c r="AR277" s="28">
        <v>0.16065399999999999</v>
      </c>
      <c r="AS277" s="28">
        <v>1.140854</v>
      </c>
      <c r="AT277" s="28">
        <v>0.75732500000000003</v>
      </c>
      <c r="AU277" s="28">
        <v>0.56845500000000004</v>
      </c>
      <c r="AV277" s="28">
        <v>-1.2027939999999999</v>
      </c>
      <c r="AW277" s="28">
        <v>-6.7622000000000002E-2</v>
      </c>
      <c r="AX277" s="28">
        <v>-0.34335500000000002</v>
      </c>
      <c r="AY277" s="28">
        <v>0.84750599999999998</v>
      </c>
      <c r="AZ277" s="28">
        <v>-0.29188599999999998</v>
      </c>
      <c r="BA277" s="28">
        <v>-0.28097</v>
      </c>
      <c r="BB277" s="28">
        <v>-0.70093300000000003</v>
      </c>
      <c r="BC277" s="27">
        <v>156.52098100000001</v>
      </c>
      <c r="BD277" s="27">
        <v>2334.8625489999999</v>
      </c>
      <c r="BE277" s="27">
        <v>1091.477173</v>
      </c>
      <c r="BF277" s="27">
        <v>22.130331000000002</v>
      </c>
      <c r="BG277" s="27">
        <v>4.5186999999999998E-2</v>
      </c>
    </row>
    <row r="278" spans="1:59">
      <c r="A278" s="27">
        <v>37</v>
      </c>
      <c r="B278" s="27">
        <v>48.671658000000001</v>
      </c>
      <c r="C278" s="27">
        <v>-3</v>
      </c>
      <c r="D278" s="27">
        <v>0</v>
      </c>
      <c r="E278" s="28">
        <v>0.977024</v>
      </c>
      <c r="F278" s="28">
        <v>-0.77819899999999997</v>
      </c>
      <c r="G278" s="28">
        <v>0.28137000000000001</v>
      </c>
      <c r="H278" s="28">
        <v>0.210147</v>
      </c>
      <c r="I278" s="28">
        <v>0.75479200000000002</v>
      </c>
      <c r="J278" s="28">
        <v>-1.792562</v>
      </c>
      <c r="K278" s="28">
        <v>0.68064400000000003</v>
      </c>
      <c r="L278" s="28">
        <v>-0.47226499999999999</v>
      </c>
      <c r="M278" s="28">
        <v>-0.21042</v>
      </c>
      <c r="N278" s="28">
        <v>-0.56348200000000004</v>
      </c>
      <c r="O278" s="28">
        <v>0.35940800000000001</v>
      </c>
      <c r="P278" s="28">
        <v>-0.662134</v>
      </c>
      <c r="Q278" s="28">
        <v>-1.333936</v>
      </c>
      <c r="R278" s="28">
        <v>1.1656359999999999</v>
      </c>
      <c r="S278" s="28">
        <v>0.39030100000000001</v>
      </c>
      <c r="T278" s="28">
        <v>0.12973899999999999</v>
      </c>
      <c r="U278" s="28">
        <v>-0.52273099999999995</v>
      </c>
      <c r="V278" s="28">
        <v>1.156361</v>
      </c>
      <c r="W278" s="28">
        <v>-0.85358699999999998</v>
      </c>
      <c r="X278" s="28">
        <v>4.7983999999999999E-2</v>
      </c>
      <c r="Y278" s="28">
        <v>-0.40818500000000002</v>
      </c>
      <c r="Z278" s="28">
        <v>-0.96428700000000001</v>
      </c>
      <c r="AA278" s="28">
        <v>-0.70098700000000003</v>
      </c>
      <c r="AB278" s="28">
        <v>5.7111000000000002E-2</v>
      </c>
      <c r="AC278" s="28">
        <v>-0.157724</v>
      </c>
      <c r="AD278" s="28">
        <v>-0.310886</v>
      </c>
      <c r="AE278" s="28">
        <v>-0.24035500000000001</v>
      </c>
      <c r="AF278" s="28">
        <v>1.41211</v>
      </c>
      <c r="AG278" s="28">
        <v>0.32704899999999998</v>
      </c>
      <c r="AH278" s="28">
        <v>0.42012899999999997</v>
      </c>
      <c r="AI278" s="28">
        <v>0.648756</v>
      </c>
      <c r="AJ278" s="28">
        <v>0.87153599999999998</v>
      </c>
      <c r="AK278" s="28">
        <v>0.26472000000000001</v>
      </c>
      <c r="AL278" s="28">
        <v>3.2361000000000001E-2</v>
      </c>
      <c r="AM278" s="28">
        <v>4.2389000000000003E-2</v>
      </c>
      <c r="AN278" s="28">
        <v>0.51620500000000002</v>
      </c>
      <c r="AO278" s="28">
        <v>6.7905999999999994E-2</v>
      </c>
      <c r="AP278" s="28">
        <v>-0.15556400000000001</v>
      </c>
      <c r="AQ278" s="28">
        <v>-0.36950100000000002</v>
      </c>
      <c r="AR278" s="28">
        <v>0.35318699999999997</v>
      </c>
      <c r="AS278" s="28">
        <v>-0.182979</v>
      </c>
      <c r="AT278" s="28">
        <v>1.2469730000000001</v>
      </c>
      <c r="AU278" s="28">
        <v>0.56035299999999999</v>
      </c>
      <c r="AV278" s="28">
        <v>-9.7970000000000002E-3</v>
      </c>
      <c r="AW278" s="28">
        <v>0.322075</v>
      </c>
      <c r="AX278" s="28">
        <v>-1.2087969999999999</v>
      </c>
      <c r="AY278" s="28">
        <v>-0.42161300000000002</v>
      </c>
      <c r="AZ278" s="28">
        <v>0.54421399999999998</v>
      </c>
      <c r="BA278" s="28">
        <v>-0.45694699999999999</v>
      </c>
      <c r="BB278" s="28">
        <v>0.80196400000000001</v>
      </c>
      <c r="BC278" s="27">
        <v>122.85163900000001</v>
      </c>
      <c r="BD278" s="27">
        <v>2272.586914</v>
      </c>
      <c r="BE278" s="27">
        <v>1361.4864500000001</v>
      </c>
      <c r="BF278" s="27">
        <v>27.972881000000001</v>
      </c>
      <c r="BG278" s="27">
        <v>3.5749000000000003E-2</v>
      </c>
    </row>
    <row r="279" spans="1:59">
      <c r="A279" s="27">
        <v>38</v>
      </c>
      <c r="B279" s="27">
        <v>44.225814999999997</v>
      </c>
      <c r="C279" s="27">
        <v>-3</v>
      </c>
      <c r="D279" s="27">
        <v>0</v>
      </c>
      <c r="E279" s="28">
        <v>-0.48004000000000002</v>
      </c>
      <c r="F279" s="28">
        <v>-0.29918</v>
      </c>
      <c r="G279" s="28">
        <v>-8.6808999999999997E-2</v>
      </c>
      <c r="H279" s="28">
        <v>-0.69194999999999995</v>
      </c>
      <c r="I279" s="28">
        <v>-0.40525699999999998</v>
      </c>
      <c r="J279" s="28">
        <v>-0.51694200000000001</v>
      </c>
      <c r="K279" s="28">
        <v>-0.72670100000000004</v>
      </c>
      <c r="L279" s="28">
        <v>-3.5962000000000001E-2</v>
      </c>
      <c r="M279" s="28">
        <v>1.1259E-2</v>
      </c>
      <c r="N279" s="28">
        <v>-1.295855</v>
      </c>
      <c r="O279" s="28">
        <v>0.30219099999999999</v>
      </c>
      <c r="P279" s="28">
        <v>0.20626800000000001</v>
      </c>
      <c r="Q279" s="28">
        <v>-0.99504499999999996</v>
      </c>
      <c r="R279" s="28">
        <v>-0.74937399999999998</v>
      </c>
      <c r="S279" s="28">
        <v>0.92351799999999995</v>
      </c>
      <c r="T279" s="28">
        <v>-1.7750000000000001E-3</v>
      </c>
      <c r="U279" s="28">
        <v>0.22767699999999999</v>
      </c>
      <c r="V279" s="28">
        <v>1.220369</v>
      </c>
      <c r="W279" s="28">
        <v>-1.7805999999999999E-2</v>
      </c>
      <c r="X279" s="28">
        <v>0.156726</v>
      </c>
      <c r="Y279" s="28">
        <v>0.29119299999999998</v>
      </c>
      <c r="Z279" s="28">
        <v>-7.0399999999999998E-4</v>
      </c>
      <c r="AA279" s="28">
        <v>1.1243050000000001</v>
      </c>
      <c r="AB279" s="28">
        <v>1.16414</v>
      </c>
      <c r="AC279" s="28">
        <v>-0.66853499999999999</v>
      </c>
      <c r="AD279" s="28">
        <v>-0.58297600000000005</v>
      </c>
      <c r="AE279" s="28">
        <v>-0.49433300000000002</v>
      </c>
      <c r="AF279" s="28">
        <v>-0.29913600000000001</v>
      </c>
      <c r="AG279" s="28">
        <v>0.11497400000000001</v>
      </c>
      <c r="AH279" s="28">
        <v>-0.58873399999999998</v>
      </c>
      <c r="AI279" s="28">
        <v>0.15962999999999999</v>
      </c>
      <c r="AJ279" s="28">
        <v>-1.332638</v>
      </c>
      <c r="AK279" s="28">
        <v>-0.57228599999999996</v>
      </c>
      <c r="AL279" s="28">
        <v>0.42866799999999999</v>
      </c>
      <c r="AM279" s="28">
        <v>-0.416159</v>
      </c>
      <c r="AN279" s="28">
        <v>-0.18428600000000001</v>
      </c>
      <c r="AO279" s="28">
        <v>-0.119572</v>
      </c>
      <c r="AP279" s="28">
        <v>0.54732899999999995</v>
      </c>
      <c r="AQ279" s="28">
        <v>1.4184840000000001</v>
      </c>
      <c r="AR279" s="28">
        <v>0.75049500000000002</v>
      </c>
      <c r="AS279" s="28">
        <v>-3.1882000000000001E-2</v>
      </c>
      <c r="AT279" s="28">
        <v>-0.35848099999999999</v>
      </c>
      <c r="AU279" s="28">
        <v>-0.38985799999999998</v>
      </c>
      <c r="AV279" s="28">
        <v>0.44205</v>
      </c>
      <c r="AW279" s="28">
        <v>-8.0337000000000006E-2</v>
      </c>
      <c r="AX279" s="28">
        <v>-0.148808</v>
      </c>
      <c r="AY279" s="28">
        <v>-0.64418399999999998</v>
      </c>
      <c r="AZ279" s="28">
        <v>-0.26361800000000002</v>
      </c>
      <c r="BA279" s="28">
        <v>-0.81189100000000003</v>
      </c>
      <c r="BB279" s="28">
        <v>-0.15987699999999999</v>
      </c>
      <c r="BC279" s="27">
        <v>142.25225800000001</v>
      </c>
      <c r="BD279" s="27">
        <v>1868.4710689999999</v>
      </c>
      <c r="BE279" s="27">
        <v>990.07055700000001</v>
      </c>
      <c r="BF279" s="27">
        <v>22.386713</v>
      </c>
      <c r="BG279" s="27">
        <v>4.4669E-2</v>
      </c>
    </row>
    <row r="280" spans="1:59">
      <c r="A280" s="27">
        <v>39</v>
      </c>
      <c r="B280" s="27">
        <v>49.948279999999997</v>
      </c>
      <c r="C280" s="27">
        <v>-3</v>
      </c>
      <c r="D280" s="27">
        <v>0</v>
      </c>
      <c r="E280" s="28">
        <v>-0.133548</v>
      </c>
      <c r="F280" s="28">
        <v>-0.29202899999999998</v>
      </c>
      <c r="G280" s="28">
        <v>0.33238299999999998</v>
      </c>
      <c r="H280" s="28">
        <v>0.565195</v>
      </c>
      <c r="I280" s="28">
        <v>6.4107999999999998E-2</v>
      </c>
      <c r="J280" s="28">
        <v>0.75477300000000003</v>
      </c>
      <c r="K280" s="28">
        <v>-0.57425400000000004</v>
      </c>
      <c r="L280" s="28">
        <v>-0.91447599999999996</v>
      </c>
      <c r="M280" s="28">
        <v>-0.63048499999999996</v>
      </c>
      <c r="N280" s="28">
        <v>-0.54204799999999997</v>
      </c>
      <c r="O280" s="28">
        <v>-1.757128</v>
      </c>
      <c r="P280" s="28">
        <v>-0.26580500000000001</v>
      </c>
      <c r="Q280" s="28">
        <v>-8.7710999999999997E-2</v>
      </c>
      <c r="R280" s="28">
        <v>0.31640699999999999</v>
      </c>
      <c r="S280" s="28">
        <v>0.87713600000000003</v>
      </c>
      <c r="T280" s="28">
        <v>-0.48749700000000001</v>
      </c>
      <c r="U280" s="28">
        <v>-0.67758099999999999</v>
      </c>
      <c r="V280" s="28">
        <v>0.84513199999999999</v>
      </c>
      <c r="W280" s="28">
        <v>0.84059499999999998</v>
      </c>
      <c r="X280" s="28">
        <v>1.5749770000000001</v>
      </c>
      <c r="Y280" s="28">
        <v>-8.1018999999999994E-2</v>
      </c>
      <c r="Z280" s="28">
        <v>0.78932500000000005</v>
      </c>
      <c r="AA280" s="28">
        <v>-0.72892100000000004</v>
      </c>
      <c r="AB280" s="28">
        <v>-6.9540000000000005E-2</v>
      </c>
      <c r="AC280" s="28">
        <v>1.542127</v>
      </c>
      <c r="AD280" s="28">
        <v>-0.104186</v>
      </c>
      <c r="AE280" s="28">
        <v>1.1705099999999999</v>
      </c>
      <c r="AF280" s="28">
        <v>-0.59820099999999998</v>
      </c>
      <c r="AG280" s="28">
        <v>0.72314199999999995</v>
      </c>
      <c r="AH280" s="28">
        <v>-0.55503800000000003</v>
      </c>
      <c r="AI280" s="28">
        <v>0.67330599999999996</v>
      </c>
      <c r="AJ280" s="28">
        <v>-0.31218000000000001</v>
      </c>
      <c r="AK280" s="28">
        <v>-1.195076</v>
      </c>
      <c r="AL280" s="28">
        <v>0.67847800000000003</v>
      </c>
      <c r="AM280" s="28">
        <v>0.93983700000000003</v>
      </c>
      <c r="AN280" s="28">
        <v>-0.58504</v>
      </c>
      <c r="AO280" s="28">
        <v>-3.9455999999999998E-2</v>
      </c>
      <c r="AP280" s="28">
        <v>0.44789699999999999</v>
      </c>
      <c r="AQ280" s="28">
        <v>0.10921500000000001</v>
      </c>
      <c r="AR280" s="28">
        <v>-0.67585600000000001</v>
      </c>
      <c r="AS280" s="28">
        <v>0.79964299999999999</v>
      </c>
      <c r="AT280" s="28">
        <v>0.36714400000000003</v>
      </c>
      <c r="AU280" s="28">
        <v>0.180843</v>
      </c>
      <c r="AV280" s="28">
        <v>-1.4511320000000001</v>
      </c>
      <c r="AW280" s="28">
        <v>0.46155400000000002</v>
      </c>
      <c r="AX280" s="28">
        <v>0.17590700000000001</v>
      </c>
      <c r="AY280" s="28">
        <v>-0.123789</v>
      </c>
      <c r="AZ280" s="28">
        <v>0.19367799999999999</v>
      </c>
      <c r="BA280" s="28">
        <v>0.15989600000000001</v>
      </c>
      <c r="BB280" s="28">
        <v>-0.100059</v>
      </c>
      <c r="BC280" s="27">
        <v>149.770386</v>
      </c>
      <c r="BD280" s="27">
        <v>2395.9340820000002</v>
      </c>
      <c r="BE280" s="27">
        <v>1136.415405</v>
      </c>
      <c r="BF280" s="27">
        <v>22.751842</v>
      </c>
      <c r="BG280" s="27">
        <v>4.3951999999999998E-2</v>
      </c>
    </row>
    <row r="281" spans="1:59">
      <c r="A281" s="27">
        <v>40</v>
      </c>
      <c r="B281" s="27">
        <v>46.124786</v>
      </c>
      <c r="C281" s="27">
        <v>-3</v>
      </c>
      <c r="D281" s="27">
        <v>0</v>
      </c>
      <c r="E281" s="28">
        <v>0.86573100000000003</v>
      </c>
      <c r="F281" s="28">
        <v>0.26011600000000001</v>
      </c>
      <c r="G281" s="28">
        <v>-0.19200700000000001</v>
      </c>
      <c r="H281" s="28">
        <v>-0.44339400000000001</v>
      </c>
      <c r="I281" s="28">
        <v>0.431925</v>
      </c>
      <c r="J281" s="28">
        <v>7.9322000000000004E-2</v>
      </c>
      <c r="K281" s="28">
        <v>0.56649499999999997</v>
      </c>
      <c r="L281" s="28">
        <v>-0.70032099999999997</v>
      </c>
      <c r="M281" s="28">
        <v>-0.16755999999999999</v>
      </c>
      <c r="N281" s="28">
        <v>-8.7234999999999993E-2</v>
      </c>
      <c r="O281" s="28">
        <v>0.85114199999999995</v>
      </c>
      <c r="P281" s="28">
        <v>0.71196300000000001</v>
      </c>
      <c r="Q281" s="28">
        <v>0.429643</v>
      </c>
      <c r="R281" s="28">
        <v>0.17893100000000001</v>
      </c>
      <c r="S281" s="28">
        <v>-0.194519</v>
      </c>
      <c r="T281" s="28">
        <v>-0.90184200000000003</v>
      </c>
      <c r="U281" s="28">
        <v>-0.75922000000000001</v>
      </c>
      <c r="V281" s="28">
        <v>-0.47485100000000002</v>
      </c>
      <c r="W281" s="28">
        <v>-0.75570300000000001</v>
      </c>
      <c r="X281" s="28">
        <v>-0.68101299999999998</v>
      </c>
      <c r="Y281" s="28">
        <v>-1.1430929999999999</v>
      </c>
      <c r="Z281" s="28">
        <v>-0.55673300000000003</v>
      </c>
      <c r="AA281" s="28">
        <v>-0.62006099999999997</v>
      </c>
      <c r="AB281" s="28">
        <v>0.86960199999999999</v>
      </c>
      <c r="AC281" s="28">
        <v>-0.96991700000000003</v>
      </c>
      <c r="AD281" s="28">
        <v>0.26562200000000002</v>
      </c>
      <c r="AE281" s="28">
        <v>4.5976000000000003E-2</v>
      </c>
      <c r="AF281" s="28">
        <v>-0.172207</v>
      </c>
      <c r="AG281" s="28">
        <v>-0.97914599999999996</v>
      </c>
      <c r="AH281" s="28">
        <v>0.187357</v>
      </c>
      <c r="AI281" s="28">
        <v>-0.446127</v>
      </c>
      <c r="AJ281" s="28">
        <v>6.1836000000000002E-2</v>
      </c>
      <c r="AK281" s="28">
        <v>0.18612300000000001</v>
      </c>
      <c r="AL281" s="28">
        <v>0.509355</v>
      </c>
      <c r="AM281" s="28">
        <v>0.57002299999999995</v>
      </c>
      <c r="AN281" s="28">
        <v>0.33028999999999997</v>
      </c>
      <c r="AO281" s="28">
        <v>8.3375000000000005E-2</v>
      </c>
      <c r="AP281" s="28">
        <v>-0.90146899999999996</v>
      </c>
      <c r="AQ281" s="28">
        <v>0.361896</v>
      </c>
      <c r="AR281" s="28">
        <v>0.45584000000000002</v>
      </c>
      <c r="AS281" s="28">
        <v>0.63361000000000001</v>
      </c>
      <c r="AT281" s="28">
        <v>0.75174700000000005</v>
      </c>
      <c r="AU281" s="28">
        <v>-0.249447</v>
      </c>
      <c r="AV281" s="28">
        <v>0.16736699999999999</v>
      </c>
      <c r="AW281" s="28">
        <v>0.97750999999999999</v>
      </c>
      <c r="AX281" s="28">
        <v>-0.79892300000000005</v>
      </c>
      <c r="AY281" s="28">
        <v>-0.36985499999999999</v>
      </c>
      <c r="AZ281" s="28">
        <v>0.89257600000000004</v>
      </c>
      <c r="BA281" s="28">
        <v>-4.7070000000000002E-3</v>
      </c>
      <c r="BB281" s="28">
        <v>-0.342976</v>
      </c>
      <c r="BC281" s="27">
        <v>165.78627</v>
      </c>
      <c r="BD281" s="27">
        <v>2036.2463379999999</v>
      </c>
      <c r="BE281" s="27">
        <v>987.65838599999995</v>
      </c>
      <c r="BF281" s="27">
        <v>21.412745999999999</v>
      </c>
      <c r="BG281" s="27">
        <v>4.6700999999999999E-2</v>
      </c>
    </row>
    <row r="282" spans="1:59">
      <c r="A282" s="27">
        <v>41</v>
      </c>
      <c r="B282" s="27">
        <v>45.192711000000003</v>
      </c>
      <c r="C282" s="27">
        <v>-3</v>
      </c>
      <c r="D282" s="27">
        <v>0</v>
      </c>
      <c r="E282" s="28">
        <v>0.94180900000000001</v>
      </c>
      <c r="F282" s="28">
        <v>-0.25933600000000001</v>
      </c>
      <c r="G282" s="28">
        <v>-0.44878699999999999</v>
      </c>
      <c r="H282" s="28">
        <v>-0.86688799999999999</v>
      </c>
      <c r="I282" s="28">
        <v>0.522733</v>
      </c>
      <c r="J282" s="28">
        <v>-0.182257</v>
      </c>
      <c r="K282" s="28">
        <v>0.25729200000000002</v>
      </c>
      <c r="L282" s="28">
        <v>-3.4749999999999998E-3</v>
      </c>
      <c r="M282" s="28">
        <v>0.78126700000000004</v>
      </c>
      <c r="N282" s="28">
        <v>0.97791300000000003</v>
      </c>
      <c r="O282" s="28">
        <v>-0.70455299999999998</v>
      </c>
      <c r="P282" s="28">
        <v>-0.60655000000000003</v>
      </c>
      <c r="Q282" s="28">
        <v>0.88220399999999999</v>
      </c>
      <c r="R282" s="28">
        <v>-0.69245900000000005</v>
      </c>
      <c r="S282" s="28">
        <v>-0.48085899999999998</v>
      </c>
      <c r="T282" s="28">
        <v>-0.55316399999999999</v>
      </c>
      <c r="U282" s="28">
        <v>-0.24922900000000001</v>
      </c>
      <c r="V282" s="28">
        <v>0.66183599999999998</v>
      </c>
      <c r="W282" s="28">
        <v>0.58128299999999999</v>
      </c>
      <c r="X282" s="28">
        <v>-0.91936300000000004</v>
      </c>
      <c r="Y282" s="28">
        <v>-0.65387499999999998</v>
      </c>
      <c r="Z282" s="28">
        <v>9.9779000000000007E-2</v>
      </c>
      <c r="AA282" s="28">
        <v>0.445106</v>
      </c>
      <c r="AB282" s="28">
        <v>0.59291799999999995</v>
      </c>
      <c r="AC282" s="28">
        <v>-0.57288099999999997</v>
      </c>
      <c r="AD282" s="28">
        <v>-0.28275299999999998</v>
      </c>
      <c r="AE282" s="28">
        <v>-0.58548699999999998</v>
      </c>
      <c r="AF282" s="28">
        <v>-0.78586599999999995</v>
      </c>
      <c r="AG282" s="28">
        <v>0.177202</v>
      </c>
      <c r="AH282" s="28">
        <v>0.11938699999999999</v>
      </c>
      <c r="AI282" s="28">
        <v>0.120004</v>
      </c>
      <c r="AJ282" s="28">
        <v>-0.41172799999999998</v>
      </c>
      <c r="AK282" s="28">
        <v>-9.5216999999999996E-2</v>
      </c>
      <c r="AL282" s="28">
        <v>1.3665E-2</v>
      </c>
      <c r="AM282" s="28">
        <v>1.3584000000000001E-2</v>
      </c>
      <c r="AN282" s="28">
        <v>-0.35089799999999999</v>
      </c>
      <c r="AO282" s="28">
        <v>0.14058000000000001</v>
      </c>
      <c r="AP282" s="28">
        <v>0.757772</v>
      </c>
      <c r="AQ282" s="28">
        <v>-2.7481999999999999E-2</v>
      </c>
      <c r="AR282" s="28">
        <v>0.18088299999999999</v>
      </c>
      <c r="AS282" s="28">
        <v>-0.22453999999999999</v>
      </c>
      <c r="AT282" s="28">
        <v>0.45174399999999998</v>
      </c>
      <c r="AU282" s="28">
        <v>-0.37165799999999999</v>
      </c>
      <c r="AV282" s="28">
        <v>-0.70274899999999996</v>
      </c>
      <c r="AW282" s="28">
        <v>2.9087999999999999E-2</v>
      </c>
      <c r="AX282" s="28">
        <v>0.30992199999999998</v>
      </c>
      <c r="AY282" s="28">
        <v>0.42386699999999999</v>
      </c>
      <c r="AZ282" s="28">
        <v>0.493925</v>
      </c>
      <c r="BA282" s="28">
        <v>0.65986699999999998</v>
      </c>
      <c r="BB282" s="28">
        <v>-0.80701599999999996</v>
      </c>
      <c r="BC282" s="27">
        <v>102.82916299999999</v>
      </c>
      <c r="BD282" s="27">
        <v>1952.9957280000001</v>
      </c>
      <c r="BE282" s="27">
        <v>1069.478149</v>
      </c>
      <c r="BF282" s="27">
        <v>23.664836999999999</v>
      </c>
      <c r="BG282" s="27">
        <v>4.2257000000000003E-2</v>
      </c>
    </row>
    <row r="283" spans="1:59">
      <c r="A283" s="27">
        <v>42</v>
      </c>
      <c r="B283" s="27">
        <v>49.917290000000001</v>
      </c>
      <c r="C283" s="27">
        <v>-3</v>
      </c>
      <c r="D283" s="27">
        <v>0</v>
      </c>
      <c r="E283" s="28">
        <v>-0.86982300000000001</v>
      </c>
      <c r="F283" s="28">
        <v>1.889802</v>
      </c>
      <c r="G283" s="28">
        <v>-1.1225270000000001</v>
      </c>
      <c r="H283" s="28">
        <v>-0.34977599999999998</v>
      </c>
      <c r="I283" s="28">
        <v>-0.80473399999999995</v>
      </c>
      <c r="J283" s="28">
        <v>0.29142800000000002</v>
      </c>
      <c r="K283" s="28">
        <v>0.75990800000000003</v>
      </c>
      <c r="L283" s="28">
        <v>1.163189</v>
      </c>
      <c r="M283" s="28">
        <v>-0.66398000000000001</v>
      </c>
      <c r="N283" s="28">
        <v>0.487176</v>
      </c>
      <c r="O283" s="28">
        <v>-0.19075700000000001</v>
      </c>
      <c r="P283" s="28">
        <v>0.50197999999999998</v>
      </c>
      <c r="Q283" s="28">
        <v>0.157609</v>
      </c>
      <c r="R283" s="28">
        <v>-1.1838409999999999</v>
      </c>
      <c r="S283" s="28">
        <v>1.0614680000000001</v>
      </c>
      <c r="T283" s="28">
        <v>0.30559799999999998</v>
      </c>
      <c r="U283" s="28">
        <v>-0.13653499999999999</v>
      </c>
      <c r="V283" s="28">
        <v>0.31205899999999998</v>
      </c>
      <c r="W283" s="28">
        <v>0.46628199999999997</v>
      </c>
      <c r="X283" s="28">
        <v>0.21223500000000001</v>
      </c>
      <c r="Y283" s="28">
        <v>9.8764000000000005E-2</v>
      </c>
      <c r="Z283" s="28">
        <v>0.25675900000000001</v>
      </c>
      <c r="AA283" s="28">
        <v>0.34425899999999998</v>
      </c>
      <c r="AB283" s="28">
        <v>1.039768</v>
      </c>
      <c r="AC283" s="28">
        <v>-1.5011E-2</v>
      </c>
      <c r="AD283" s="28">
        <v>-7.1163000000000004E-2</v>
      </c>
      <c r="AE283" s="28">
        <v>-0.35044500000000001</v>
      </c>
      <c r="AF283" s="28">
        <v>-0.37630000000000002</v>
      </c>
      <c r="AG283" s="28">
        <v>0.85758000000000001</v>
      </c>
      <c r="AH283" s="28">
        <v>-0.37266700000000003</v>
      </c>
      <c r="AI283" s="28">
        <v>9.6590999999999996E-2</v>
      </c>
      <c r="AJ283" s="28">
        <v>-0.49626199999999998</v>
      </c>
      <c r="AK283" s="28">
        <v>-0.49263200000000001</v>
      </c>
      <c r="AL283" s="28">
        <v>0.76931700000000003</v>
      </c>
      <c r="AM283" s="28">
        <v>0.28421000000000002</v>
      </c>
      <c r="AN283" s="28">
        <v>1.0153650000000001</v>
      </c>
      <c r="AO283" s="28">
        <v>0.101521</v>
      </c>
      <c r="AP283" s="28">
        <v>9.9808999999999995E-2</v>
      </c>
      <c r="AQ283" s="28">
        <v>0.33010099999999998</v>
      </c>
      <c r="AR283" s="28">
        <v>0.79901500000000003</v>
      </c>
      <c r="AS283" s="28">
        <v>-0.16047900000000001</v>
      </c>
      <c r="AT283" s="28">
        <v>0.14109099999999999</v>
      </c>
      <c r="AU283" s="28">
        <v>0.40535500000000002</v>
      </c>
      <c r="AV283" s="28">
        <v>-0.10159700000000001</v>
      </c>
      <c r="AW283" s="28">
        <v>0.278835</v>
      </c>
      <c r="AX283" s="28">
        <v>-0.61789499999999997</v>
      </c>
      <c r="AY283" s="28">
        <v>-0.21754499999999999</v>
      </c>
      <c r="AZ283" s="28">
        <v>-0.32353900000000002</v>
      </c>
      <c r="BA283" s="28">
        <v>-0.16064500000000001</v>
      </c>
      <c r="BB283" s="28">
        <v>6.4846000000000001E-2</v>
      </c>
      <c r="BC283" s="27">
        <v>137.95581100000001</v>
      </c>
      <c r="BD283" s="27">
        <v>2392.9011230000001</v>
      </c>
      <c r="BE283" s="27">
        <v>1170.0936280000001</v>
      </c>
      <c r="BF283" s="27">
        <v>23.440646999999998</v>
      </c>
      <c r="BG283" s="27">
        <v>4.2660999999999998E-2</v>
      </c>
    </row>
    <row r="284" spans="1:59">
      <c r="A284" s="27">
        <v>43</v>
      </c>
      <c r="B284" s="27">
        <v>41.683124999999997</v>
      </c>
      <c r="C284" s="27">
        <v>-3</v>
      </c>
      <c r="D284" s="27">
        <v>0</v>
      </c>
      <c r="E284" s="28">
        <v>1.440941</v>
      </c>
      <c r="F284" s="28">
        <v>1.299329</v>
      </c>
      <c r="G284" s="28">
        <v>0.281916</v>
      </c>
      <c r="H284" s="28">
        <v>-0.62502599999999997</v>
      </c>
      <c r="I284" s="28">
        <v>0.87468100000000004</v>
      </c>
      <c r="J284" s="28">
        <v>0.97413799999999995</v>
      </c>
      <c r="K284" s="28">
        <v>0.825268</v>
      </c>
      <c r="L284" s="28">
        <v>0.43290200000000001</v>
      </c>
      <c r="M284" s="28">
        <v>0.28018700000000002</v>
      </c>
      <c r="N284" s="28">
        <v>0.259573</v>
      </c>
      <c r="O284" s="28">
        <v>1.138341</v>
      </c>
      <c r="P284" s="28">
        <v>-9.8521999999999998E-2</v>
      </c>
      <c r="Q284" s="28">
        <v>0.94133299999999998</v>
      </c>
      <c r="R284" s="28">
        <v>-0.896123</v>
      </c>
      <c r="S284" s="28">
        <v>1.4025479999999999</v>
      </c>
      <c r="T284" s="28">
        <v>8.7759000000000004E-2</v>
      </c>
      <c r="U284" s="28">
        <v>-1.012005</v>
      </c>
      <c r="V284" s="28">
        <v>0.766428</v>
      </c>
      <c r="W284" s="28">
        <v>-0.20749899999999999</v>
      </c>
      <c r="X284" s="28">
        <v>-6.4310000000000001E-3</v>
      </c>
      <c r="Y284" s="28">
        <v>0.56614100000000001</v>
      </c>
      <c r="Z284" s="28">
        <v>-0.225073</v>
      </c>
      <c r="AA284" s="28">
        <v>0.88950600000000002</v>
      </c>
      <c r="AB284" s="28">
        <v>0.29963000000000001</v>
      </c>
      <c r="AC284" s="28">
        <v>9.6170000000000005E-3</v>
      </c>
      <c r="AD284" s="28">
        <v>0.30176500000000001</v>
      </c>
      <c r="AE284" s="28">
        <v>0.208958</v>
      </c>
      <c r="AF284" s="28">
        <v>0.88203500000000001</v>
      </c>
      <c r="AG284" s="28">
        <v>-0.43693599999999999</v>
      </c>
      <c r="AH284" s="28">
        <v>-0.63136300000000001</v>
      </c>
      <c r="AI284" s="28">
        <v>0.38734600000000002</v>
      </c>
      <c r="AJ284" s="28">
        <v>0.19870499999999999</v>
      </c>
      <c r="AK284" s="28">
        <v>-0.29549999999999998</v>
      </c>
      <c r="AL284" s="28">
        <v>0.37340600000000002</v>
      </c>
      <c r="AM284" s="28">
        <v>0.23300499999999999</v>
      </c>
      <c r="AN284" s="28">
        <v>-0.122158</v>
      </c>
      <c r="AO284" s="28">
        <v>0.16942199999999999</v>
      </c>
      <c r="AP284" s="28">
        <v>-0.75003500000000001</v>
      </c>
      <c r="AQ284" s="28">
        <v>-0.165691</v>
      </c>
      <c r="AR284" s="28">
        <v>0.112151</v>
      </c>
      <c r="AS284" s="28">
        <v>-0.19803499999999999</v>
      </c>
      <c r="AT284" s="28">
        <v>-0.40351900000000002</v>
      </c>
      <c r="AU284" s="28">
        <v>0.66052299999999997</v>
      </c>
      <c r="AV284" s="28">
        <v>-0.369668</v>
      </c>
      <c r="AW284" s="28">
        <v>-0.35200100000000001</v>
      </c>
      <c r="AX284" s="28">
        <v>-0.20058799999999999</v>
      </c>
      <c r="AY284" s="28">
        <v>8.8799000000000003E-2</v>
      </c>
      <c r="AZ284" s="28">
        <v>-0.22323899999999999</v>
      </c>
      <c r="BA284" s="28">
        <v>-0.62267399999999995</v>
      </c>
      <c r="BB284" s="28">
        <v>0.12564900000000001</v>
      </c>
      <c r="BC284" s="27">
        <v>170.19636499999999</v>
      </c>
      <c r="BD284" s="27">
        <v>1655.116577</v>
      </c>
      <c r="BE284" s="27">
        <v>858.50256300000001</v>
      </c>
      <c r="BF284" s="27">
        <v>20.595925999999999</v>
      </c>
      <c r="BG284" s="27">
        <v>4.8552999999999999E-2</v>
      </c>
    </row>
    <row r="285" spans="1:59">
      <c r="A285" s="27">
        <v>44</v>
      </c>
      <c r="B285" s="27">
        <v>50.526156999999998</v>
      </c>
      <c r="C285" s="27">
        <v>-3</v>
      </c>
      <c r="D285" s="27">
        <v>0</v>
      </c>
      <c r="E285" s="28">
        <v>-0.252108</v>
      </c>
      <c r="F285" s="28">
        <v>-1.254791</v>
      </c>
      <c r="G285" s="28">
        <v>0.85070100000000004</v>
      </c>
      <c r="H285" s="28">
        <v>0.45818900000000001</v>
      </c>
      <c r="I285" s="28">
        <v>-1.107664</v>
      </c>
      <c r="J285" s="28">
        <v>-0.62712999999999997</v>
      </c>
      <c r="K285" s="28">
        <v>-0.87274200000000002</v>
      </c>
      <c r="L285" s="28">
        <v>0.69743699999999997</v>
      </c>
      <c r="M285" s="28">
        <v>-0.50827100000000003</v>
      </c>
      <c r="N285" s="28">
        <v>-0.17824699999999999</v>
      </c>
      <c r="O285" s="28">
        <v>-0.21669099999999999</v>
      </c>
      <c r="P285" s="28">
        <v>-0.156221</v>
      </c>
      <c r="Q285" s="28">
        <v>-1.057574</v>
      </c>
      <c r="R285" s="28">
        <v>0.95014900000000002</v>
      </c>
      <c r="S285" s="28">
        <v>0.287993</v>
      </c>
      <c r="T285" s="28">
        <v>0.70925700000000003</v>
      </c>
      <c r="U285" s="28">
        <v>-0.20768300000000001</v>
      </c>
      <c r="V285" s="28">
        <v>-0.45103900000000002</v>
      </c>
      <c r="W285" s="28">
        <v>0.44376500000000002</v>
      </c>
      <c r="X285" s="28">
        <v>0.98195399999999999</v>
      </c>
      <c r="Y285" s="28">
        <v>0.62348199999999998</v>
      </c>
      <c r="Z285" s="28">
        <v>0.57149399999999995</v>
      </c>
      <c r="AA285" s="28">
        <v>0.532169</v>
      </c>
      <c r="AB285" s="28">
        <v>1.39242</v>
      </c>
      <c r="AC285" s="28">
        <v>8.8690000000000005E-2</v>
      </c>
      <c r="AD285" s="28">
        <v>-1.7580560000000001</v>
      </c>
      <c r="AE285" s="28">
        <v>0.68662299999999998</v>
      </c>
      <c r="AF285" s="28">
        <v>0.81466400000000005</v>
      </c>
      <c r="AG285" s="28">
        <v>-0.62037600000000004</v>
      </c>
      <c r="AH285" s="28">
        <v>-0.72668100000000002</v>
      </c>
      <c r="AI285" s="28">
        <v>0.82117099999999998</v>
      </c>
      <c r="AJ285" s="28">
        <v>-0.90939599999999998</v>
      </c>
      <c r="AK285" s="28">
        <v>1.2582930000000001</v>
      </c>
      <c r="AL285" s="28">
        <v>-0.77181500000000003</v>
      </c>
      <c r="AM285" s="28">
        <v>0.26988899999999999</v>
      </c>
      <c r="AN285" s="28">
        <v>-0.31845499999999999</v>
      </c>
      <c r="AO285" s="28">
        <v>-0.89831000000000005</v>
      </c>
      <c r="AP285" s="28">
        <v>-0.80399500000000002</v>
      </c>
      <c r="AQ285" s="28">
        <v>-1.174266</v>
      </c>
      <c r="AR285" s="28">
        <v>-0.41018500000000002</v>
      </c>
      <c r="AS285" s="28">
        <v>-2.2689000000000001E-2</v>
      </c>
      <c r="AT285" s="28">
        <v>-9.2197000000000001E-2</v>
      </c>
      <c r="AU285" s="28">
        <v>-0.20809</v>
      </c>
      <c r="AV285" s="28">
        <v>0.20910000000000001</v>
      </c>
      <c r="AW285" s="28">
        <v>-0.84453800000000001</v>
      </c>
      <c r="AX285" s="28">
        <v>-0.78732199999999997</v>
      </c>
      <c r="AY285" s="28">
        <v>0.112526</v>
      </c>
      <c r="AZ285" s="28">
        <v>-0.17535300000000001</v>
      </c>
      <c r="BA285" s="28">
        <v>0.39268199999999998</v>
      </c>
      <c r="BB285" s="28">
        <v>-1.261163</v>
      </c>
      <c r="BC285" s="27">
        <v>209.28881799999999</v>
      </c>
      <c r="BD285" s="27">
        <v>2452.8403320000002</v>
      </c>
      <c r="BE285" s="27">
        <v>832.47735599999999</v>
      </c>
      <c r="BF285" s="27">
        <v>16.476165999999999</v>
      </c>
      <c r="BG285" s="27">
        <v>6.0693999999999998E-2</v>
      </c>
    </row>
    <row r="286" spans="1:59">
      <c r="A286" s="27">
        <v>45</v>
      </c>
      <c r="B286" s="27">
        <v>41.594425000000001</v>
      </c>
      <c r="C286" s="27">
        <v>-3</v>
      </c>
      <c r="D286" s="27">
        <v>0</v>
      </c>
      <c r="E286" s="28">
        <v>-0.31709100000000001</v>
      </c>
      <c r="F286" s="28">
        <v>-0.89203399999999999</v>
      </c>
      <c r="G286" s="28">
        <v>-0.50178699999999998</v>
      </c>
      <c r="H286" s="28">
        <v>1.341126</v>
      </c>
      <c r="I286" s="28">
        <v>-0.35331899999999999</v>
      </c>
      <c r="J286" s="28">
        <v>-0.81649300000000002</v>
      </c>
      <c r="K286" s="28">
        <v>0.76869500000000002</v>
      </c>
      <c r="L286" s="28">
        <v>0.78559599999999996</v>
      </c>
      <c r="M286" s="28">
        <v>-0.50029299999999999</v>
      </c>
      <c r="N286" s="28">
        <v>5.3810999999999998E-2</v>
      </c>
      <c r="O286" s="28">
        <v>-1.401068</v>
      </c>
      <c r="P286" s="28">
        <v>-0.34910000000000002</v>
      </c>
      <c r="Q286" s="28">
        <v>1.39639</v>
      </c>
      <c r="R286" s="28">
        <v>0.16563800000000001</v>
      </c>
      <c r="S286" s="28">
        <v>-0.78129099999999996</v>
      </c>
      <c r="T286" s="28">
        <v>0.19028100000000001</v>
      </c>
      <c r="U286" s="28">
        <v>-1.158496</v>
      </c>
      <c r="V286" s="28">
        <v>-8.0203999999999998E-2</v>
      </c>
      <c r="W286" s="28">
        <v>-5.5931000000000002E-2</v>
      </c>
      <c r="X286" s="28">
        <v>0.14855699999999999</v>
      </c>
      <c r="Y286" s="28">
        <v>-0.54910300000000001</v>
      </c>
      <c r="Z286" s="28">
        <v>-1.646245</v>
      </c>
      <c r="AA286" s="28">
        <v>0.36466599999999999</v>
      </c>
      <c r="AB286" s="28">
        <v>1.0881E-2</v>
      </c>
      <c r="AC286" s="28">
        <v>0.95167999999999997</v>
      </c>
      <c r="AD286" s="28">
        <v>0.35824299999999998</v>
      </c>
      <c r="AE286" s="28">
        <v>-0.28089999999999998</v>
      </c>
      <c r="AF286" s="28">
        <v>-0.410466</v>
      </c>
      <c r="AG286" s="28">
        <v>0.50322500000000003</v>
      </c>
      <c r="AH286" s="28">
        <v>0.31360100000000002</v>
      </c>
      <c r="AI286" s="28">
        <v>-1.7582420000000001</v>
      </c>
      <c r="AJ286" s="28">
        <v>1.1691739999999999</v>
      </c>
      <c r="AK286" s="28">
        <v>2.2877999999999999E-2</v>
      </c>
      <c r="AL286" s="28">
        <v>1.1598599999999999</v>
      </c>
      <c r="AM286" s="28">
        <v>-8.8025999999999993E-2</v>
      </c>
      <c r="AN286" s="28">
        <v>1.3394E-2</v>
      </c>
      <c r="AO286" s="28">
        <v>0.43396099999999999</v>
      </c>
      <c r="AP286" s="28">
        <v>-0.96805399999999997</v>
      </c>
      <c r="AQ286" s="28">
        <v>0.22781000000000001</v>
      </c>
      <c r="AR286" s="28">
        <v>4.8700000000000002E-4</v>
      </c>
      <c r="AS286" s="28">
        <v>-0.89963199999999999</v>
      </c>
      <c r="AT286" s="28">
        <v>0.18885199999999999</v>
      </c>
      <c r="AU286" s="28">
        <v>0.40491199999999999</v>
      </c>
      <c r="AV286" s="28">
        <v>0.131018</v>
      </c>
      <c r="AW286" s="28">
        <v>-0.14644599999999999</v>
      </c>
      <c r="AX286" s="28">
        <v>-0.53958099999999998</v>
      </c>
      <c r="AY286" s="28">
        <v>-0.81196599999999997</v>
      </c>
      <c r="AZ286" s="28">
        <v>7.3072999999999999E-2</v>
      </c>
      <c r="BA286" s="28">
        <v>0.273009</v>
      </c>
      <c r="BB286" s="28">
        <v>0.25028899999999998</v>
      </c>
      <c r="BC286" s="27">
        <v>122.633804</v>
      </c>
      <c r="BD286" s="27">
        <v>1647.9073490000001</v>
      </c>
      <c r="BE286" s="27">
        <v>1082.823975</v>
      </c>
      <c r="BF286" s="27">
        <v>26.032910999999999</v>
      </c>
      <c r="BG286" s="27">
        <v>3.8413000000000003E-2</v>
      </c>
    </row>
    <row r="287" spans="1:59">
      <c r="A287" s="27">
        <v>46</v>
      </c>
      <c r="B287" s="27">
        <v>52.003543999999998</v>
      </c>
      <c r="C287" s="27">
        <v>-3</v>
      </c>
      <c r="D287" s="27">
        <v>0</v>
      </c>
      <c r="E287" s="28">
        <v>-0.31709100000000001</v>
      </c>
      <c r="F287" s="28">
        <v>-0.89203399999999999</v>
      </c>
      <c r="G287" s="28">
        <v>0.23070499999999999</v>
      </c>
      <c r="H287" s="28">
        <v>1.1091660000000001</v>
      </c>
      <c r="I287" s="28">
        <v>-0.49470500000000001</v>
      </c>
      <c r="J287" s="28">
        <v>-0.56962000000000002</v>
      </c>
      <c r="K287" s="28">
        <v>-0.23691499999999999</v>
      </c>
      <c r="L287" s="28">
        <v>0.734873</v>
      </c>
      <c r="M287" s="28">
        <v>-0.62842600000000004</v>
      </c>
      <c r="N287" s="28">
        <v>0.133356</v>
      </c>
      <c r="O287" s="28">
        <v>-0.51837999999999995</v>
      </c>
      <c r="P287" s="28">
        <v>-0.27943000000000001</v>
      </c>
      <c r="Q287" s="28">
        <v>-8.7100000000000003E-4</v>
      </c>
      <c r="R287" s="28">
        <v>0.55547599999999997</v>
      </c>
      <c r="S287" s="28">
        <v>-5.5867E-2</v>
      </c>
      <c r="T287" s="28">
        <v>0.86815299999999995</v>
      </c>
      <c r="U287" s="28">
        <v>-0.34560099999999999</v>
      </c>
      <c r="V287" s="28">
        <v>-0.18326200000000001</v>
      </c>
      <c r="W287" s="28">
        <v>0.57987299999999997</v>
      </c>
      <c r="X287" s="28">
        <v>0.97338000000000002</v>
      </c>
      <c r="Y287" s="28">
        <v>0.222686</v>
      </c>
      <c r="Z287" s="28">
        <v>-0.13592399999999999</v>
      </c>
      <c r="AA287" s="28">
        <v>0.40353</v>
      </c>
      <c r="AB287" s="28">
        <v>-0.22150900000000001</v>
      </c>
      <c r="AC287" s="28">
        <v>0.33619700000000002</v>
      </c>
      <c r="AD287" s="28">
        <v>-0.57521699999999998</v>
      </c>
      <c r="AE287" s="28">
        <v>0.27108300000000002</v>
      </c>
      <c r="AF287" s="28">
        <v>7.6307E-2</v>
      </c>
      <c r="AG287" s="28">
        <v>0.26704</v>
      </c>
      <c r="AH287" s="28">
        <v>-0.610205</v>
      </c>
      <c r="AI287" s="28">
        <v>-0.15031900000000001</v>
      </c>
      <c r="AJ287" s="28">
        <v>0.85364700000000004</v>
      </c>
      <c r="AK287" s="28">
        <v>0.56581999999999999</v>
      </c>
      <c r="AL287" s="28">
        <v>3.3752999999999998E-2</v>
      </c>
      <c r="AM287" s="28">
        <v>0.27284399999999998</v>
      </c>
      <c r="AN287" s="28">
        <v>-0.15315400000000001</v>
      </c>
      <c r="AO287" s="28">
        <v>0.54832999999999998</v>
      </c>
      <c r="AP287" s="28">
        <v>-0.87387599999999999</v>
      </c>
      <c r="AQ287" s="28">
        <v>-0.277117</v>
      </c>
      <c r="AR287" s="28">
        <v>-1.2292000000000001E-2</v>
      </c>
      <c r="AS287" s="28">
        <v>-1.0128299999999999</v>
      </c>
      <c r="AT287" s="28">
        <v>-0.23725199999999999</v>
      </c>
      <c r="AU287" s="28">
        <v>-0.89035699999999995</v>
      </c>
      <c r="AV287" s="28">
        <v>6.9239999999999996E-2</v>
      </c>
      <c r="AW287" s="28">
        <v>-0.57479499999999994</v>
      </c>
      <c r="AX287" s="28">
        <v>-0.58593600000000001</v>
      </c>
      <c r="AY287" s="28">
        <v>-0.20180100000000001</v>
      </c>
      <c r="AZ287" s="28">
        <v>-6.5254000000000006E-2</v>
      </c>
      <c r="BA287" s="28">
        <v>1.0964339999999999</v>
      </c>
      <c r="BB287" s="28">
        <v>-0.31400800000000001</v>
      </c>
      <c r="BC287" s="27">
        <v>148.61570699999999</v>
      </c>
      <c r="BD287" s="27">
        <v>2601.3615719999998</v>
      </c>
      <c r="BE287" s="27">
        <v>1213.7677000000001</v>
      </c>
      <c r="BF287" s="27">
        <v>23.340097</v>
      </c>
      <c r="BG287" s="27">
        <v>4.2845000000000001E-2</v>
      </c>
    </row>
    <row r="288" spans="1:59">
      <c r="A288" s="27">
        <v>47</v>
      </c>
      <c r="B288" s="27">
        <v>40.134360999999998</v>
      </c>
      <c r="C288" s="27">
        <v>-3</v>
      </c>
      <c r="D288" s="27">
        <v>0</v>
      </c>
      <c r="E288" s="28">
        <v>-0.39273999999999998</v>
      </c>
      <c r="F288" s="28">
        <v>0.69454800000000005</v>
      </c>
      <c r="G288" s="28">
        <v>4.0208000000000001E-2</v>
      </c>
      <c r="H288" s="28">
        <v>0.54447299999999998</v>
      </c>
      <c r="I288" s="28">
        <v>-0.45896700000000001</v>
      </c>
      <c r="J288" s="28">
        <v>0.48727199999999998</v>
      </c>
      <c r="K288" s="28">
        <v>0.351439</v>
      </c>
      <c r="L288" s="28">
        <v>-0.191992</v>
      </c>
      <c r="M288" s="28">
        <v>-0.91768499999999997</v>
      </c>
      <c r="N288" s="28">
        <v>-1.2897940000000001</v>
      </c>
      <c r="O288" s="28">
        <v>8.7781999999999999E-2</v>
      </c>
      <c r="P288" s="28">
        <v>-0.10591399999999999</v>
      </c>
      <c r="Q288" s="28">
        <v>-0.44226599999999999</v>
      </c>
      <c r="R288" s="28">
        <v>0.35954999999999998</v>
      </c>
      <c r="S288" s="28">
        <v>0.43825799999999998</v>
      </c>
      <c r="T288" s="28">
        <v>-0.80034700000000003</v>
      </c>
      <c r="U288" s="28">
        <v>-0.54747699999999999</v>
      </c>
      <c r="V288" s="28">
        <v>-0.32855600000000001</v>
      </c>
      <c r="W288" s="28">
        <v>1.560214</v>
      </c>
      <c r="X288" s="28">
        <v>-0.30081000000000002</v>
      </c>
      <c r="Y288" s="28">
        <v>-1.457616</v>
      </c>
      <c r="Z288" s="28">
        <v>0.84435099999999996</v>
      </c>
      <c r="AA288" s="28">
        <v>6.3188999999999995E-2</v>
      </c>
      <c r="AB288" s="28">
        <v>0.83720799999999995</v>
      </c>
      <c r="AC288" s="28">
        <v>0.11751399999999999</v>
      </c>
      <c r="AD288" s="28">
        <v>-0.122228</v>
      </c>
      <c r="AE288" s="28">
        <v>0.275868</v>
      </c>
      <c r="AF288" s="28">
        <v>0.94771300000000003</v>
      </c>
      <c r="AG288" s="28">
        <v>-0.242119</v>
      </c>
      <c r="AH288" s="28">
        <v>-0.25316699999999998</v>
      </c>
      <c r="AI288" s="28">
        <v>0.250197</v>
      </c>
      <c r="AJ288" s="28">
        <v>-1.252648</v>
      </c>
      <c r="AK288" s="28">
        <v>0.40989399999999998</v>
      </c>
      <c r="AL288" s="28">
        <v>-0.54223600000000005</v>
      </c>
      <c r="AM288" s="28">
        <v>-1.328927</v>
      </c>
      <c r="AN288" s="28">
        <v>-0.31263999999999997</v>
      </c>
      <c r="AO288" s="28">
        <v>0.52918299999999996</v>
      </c>
      <c r="AP288" s="28">
        <v>0.19153500000000001</v>
      </c>
      <c r="AQ288" s="28">
        <v>0.406414</v>
      </c>
      <c r="AR288" s="28">
        <v>3.1806000000000001E-2</v>
      </c>
      <c r="AS288" s="28">
        <v>0.207372</v>
      </c>
      <c r="AT288" s="28">
        <v>-0.247665</v>
      </c>
      <c r="AU288" s="28">
        <v>-0.76324999999999998</v>
      </c>
      <c r="AV288" s="28">
        <v>-0.407997</v>
      </c>
      <c r="AW288" s="28">
        <v>-0.20460200000000001</v>
      </c>
      <c r="AX288" s="28">
        <v>-0.24990999999999999</v>
      </c>
      <c r="AY288" s="28">
        <v>0.27398299999999998</v>
      </c>
      <c r="AZ288" s="28">
        <v>5.9754000000000002E-2</v>
      </c>
      <c r="BA288" s="28">
        <v>0.48400599999999999</v>
      </c>
      <c r="BB288" s="28">
        <v>-0.74734299999999998</v>
      </c>
      <c r="BC288" s="27">
        <v>106.633804</v>
      </c>
      <c r="BD288" s="27">
        <v>1531.4982910000001</v>
      </c>
      <c r="BE288" s="27">
        <v>1113.6999510000001</v>
      </c>
      <c r="BF288" s="27">
        <v>27.749286999999999</v>
      </c>
      <c r="BG288" s="27">
        <v>3.6037E-2</v>
      </c>
    </row>
    <row r="289" spans="1:59">
      <c r="A289" s="27">
        <v>48</v>
      </c>
      <c r="B289" s="27">
        <v>40.604323999999998</v>
      </c>
      <c r="C289" s="27">
        <v>-3</v>
      </c>
      <c r="D289" s="27">
        <v>0</v>
      </c>
      <c r="E289" s="28">
        <v>-0.40855599999999997</v>
      </c>
      <c r="F289" s="28">
        <v>-8.1069999999999996E-3</v>
      </c>
      <c r="G289" s="28">
        <v>-0.38286599999999998</v>
      </c>
      <c r="H289" s="28">
        <v>0.36358099999999999</v>
      </c>
      <c r="I289" s="28">
        <v>-0.44445899999999999</v>
      </c>
      <c r="J289" s="28">
        <v>-2.3213999999999999E-2</v>
      </c>
      <c r="K289" s="28">
        <v>0.530115</v>
      </c>
      <c r="L289" s="28">
        <v>0.188753</v>
      </c>
      <c r="M289" s="28">
        <v>-1.3347290000000001</v>
      </c>
      <c r="N289" s="28">
        <v>-0.32992899999999997</v>
      </c>
      <c r="O289" s="28">
        <v>0.110162</v>
      </c>
      <c r="P289" s="28">
        <v>-9.1544E-2</v>
      </c>
      <c r="Q289" s="28">
        <v>0.381434</v>
      </c>
      <c r="R289" s="28">
        <v>0.60572599999999999</v>
      </c>
      <c r="S289" s="28">
        <v>-0.30486400000000002</v>
      </c>
      <c r="T289" s="28">
        <v>-0.70830199999999999</v>
      </c>
      <c r="U289" s="28">
        <v>4.0968999999999998E-2</v>
      </c>
      <c r="V289" s="28">
        <v>-0.297736</v>
      </c>
      <c r="W289" s="28">
        <v>0.91204200000000002</v>
      </c>
      <c r="X289" s="28">
        <v>-0.20810200000000001</v>
      </c>
      <c r="Y289" s="28">
        <v>-0.79151700000000003</v>
      </c>
      <c r="Z289" s="28">
        <v>0.98187000000000002</v>
      </c>
      <c r="AA289" s="28">
        <v>-0.19212499999999999</v>
      </c>
      <c r="AB289" s="28">
        <v>0.218304</v>
      </c>
      <c r="AC289" s="28">
        <v>0.43295800000000001</v>
      </c>
      <c r="AD289" s="28">
        <v>-0.103029</v>
      </c>
      <c r="AE289" s="28">
        <v>0.17461299999999999</v>
      </c>
      <c r="AF289" s="28">
        <v>0.76295199999999996</v>
      </c>
      <c r="AG289" s="28">
        <v>0.62474600000000002</v>
      </c>
      <c r="AH289" s="28">
        <v>0.506243</v>
      </c>
      <c r="AI289" s="28">
        <v>0.57089699999999999</v>
      </c>
      <c r="AJ289" s="28">
        <v>-0.94053500000000001</v>
      </c>
      <c r="AK289" s="28">
        <v>0.11687</v>
      </c>
      <c r="AL289" s="28">
        <v>-1.3576600000000001</v>
      </c>
      <c r="AM289" s="28">
        <v>-0.33482800000000001</v>
      </c>
      <c r="AN289" s="28">
        <v>-0.18518699999999999</v>
      </c>
      <c r="AO289" s="28">
        <v>0.22545999999999999</v>
      </c>
      <c r="AP289" s="28">
        <v>0.112974</v>
      </c>
      <c r="AQ289" s="28">
        <v>0.38902500000000001</v>
      </c>
      <c r="AR289" s="28">
        <v>0.76931099999999997</v>
      </c>
      <c r="AS289" s="28">
        <v>-2.2270000000000002E-2</v>
      </c>
      <c r="AT289" s="28">
        <v>-0.12812000000000001</v>
      </c>
      <c r="AU289" s="28">
        <v>-0.74763500000000005</v>
      </c>
      <c r="AV289" s="28">
        <v>-0.31125700000000001</v>
      </c>
      <c r="AW289" s="28">
        <v>-0.54945600000000006</v>
      </c>
      <c r="AX289" s="28">
        <v>0.219357</v>
      </c>
      <c r="AY289" s="28">
        <v>0.231132</v>
      </c>
      <c r="AZ289" s="28">
        <v>-0.16714899999999999</v>
      </c>
      <c r="BA289" s="28">
        <v>-0.16734399999999999</v>
      </c>
      <c r="BB289" s="28">
        <v>-0.54092099999999999</v>
      </c>
      <c r="BC289" s="27">
        <v>134.85708600000001</v>
      </c>
      <c r="BD289" s="27">
        <v>1568.502563</v>
      </c>
      <c r="BE289" s="27">
        <v>991.368469</v>
      </c>
      <c r="BF289" s="27">
        <v>24.415341999999999</v>
      </c>
      <c r="BG289" s="27">
        <v>4.0958000000000001E-2</v>
      </c>
    </row>
    <row r="290" spans="1:59">
      <c r="A290" s="27">
        <v>49</v>
      </c>
      <c r="B290" s="27">
        <v>34.979819999999997</v>
      </c>
      <c r="C290" s="27">
        <v>-3</v>
      </c>
      <c r="D290" s="27">
        <v>0</v>
      </c>
      <c r="E290" s="28">
        <v>0.14165700000000001</v>
      </c>
      <c r="F290" s="28">
        <v>0.93150100000000002</v>
      </c>
      <c r="G290" s="28">
        <v>0.21973599999999999</v>
      </c>
      <c r="H290" s="28">
        <v>8.7349999999999997E-2</v>
      </c>
      <c r="I290" s="28">
        <v>0.66057299999999997</v>
      </c>
      <c r="J290" s="28">
        <v>0.32617000000000002</v>
      </c>
      <c r="K290" s="28">
        <v>0.486794</v>
      </c>
      <c r="L290" s="28">
        <v>-0.44162699999999999</v>
      </c>
      <c r="M290" s="28">
        <v>1.118587</v>
      </c>
      <c r="N290" s="28">
        <v>1.144118</v>
      </c>
      <c r="O290" s="28">
        <v>-0.51496299999999995</v>
      </c>
      <c r="P290" s="28">
        <v>-0.47188099999999999</v>
      </c>
      <c r="Q290" s="28">
        <v>-0.75381500000000001</v>
      </c>
      <c r="R290" s="28">
        <v>-1.003851</v>
      </c>
      <c r="S290" s="28">
        <v>0.94045900000000004</v>
      </c>
      <c r="T290" s="28">
        <v>0.41659000000000002</v>
      </c>
      <c r="U290" s="28">
        <v>0.51018699999999995</v>
      </c>
      <c r="V290" s="28">
        <v>-0.148092</v>
      </c>
      <c r="W290" s="28">
        <v>-0.33923900000000001</v>
      </c>
      <c r="X290" s="28">
        <v>-0.58943599999999996</v>
      </c>
      <c r="Y290" s="28">
        <v>-0.56923500000000005</v>
      </c>
      <c r="Z290" s="28">
        <v>0.34296300000000002</v>
      </c>
      <c r="AA290" s="28">
        <v>0.61133400000000004</v>
      </c>
      <c r="AB290" s="28">
        <v>0.79766300000000001</v>
      </c>
      <c r="AC290" s="28">
        <v>0.11343</v>
      </c>
      <c r="AD290" s="28">
        <v>-8.0041000000000001E-2</v>
      </c>
      <c r="AE290" s="28">
        <v>0.30015900000000001</v>
      </c>
      <c r="AF290" s="28">
        <v>0.413526</v>
      </c>
      <c r="AG290" s="28">
        <v>-0.28984300000000002</v>
      </c>
      <c r="AH290" s="28">
        <v>-0.72956500000000002</v>
      </c>
      <c r="AI290" s="28">
        <v>0.64565600000000001</v>
      </c>
      <c r="AJ290" s="28">
        <v>0.24240700000000001</v>
      </c>
      <c r="AK290" s="28">
        <v>-0.16910700000000001</v>
      </c>
      <c r="AL290" s="28">
        <v>8.9299000000000003E-2</v>
      </c>
      <c r="AM290" s="28">
        <v>0.69734099999999999</v>
      </c>
      <c r="AN290" s="28">
        <v>-0.39131300000000002</v>
      </c>
      <c r="AO290" s="28">
        <v>0.40120499999999998</v>
      </c>
      <c r="AP290" s="28">
        <v>-0.51916300000000004</v>
      </c>
      <c r="AQ290" s="28">
        <v>0.201017</v>
      </c>
      <c r="AR290" s="28">
        <v>-2.4351000000000001E-2</v>
      </c>
      <c r="AS290" s="28">
        <v>-0.169296</v>
      </c>
      <c r="AT290" s="28">
        <v>-0.18704999999999999</v>
      </c>
      <c r="AU290" s="28">
        <v>0.55681700000000001</v>
      </c>
      <c r="AV290" s="28">
        <v>1.0865E-2</v>
      </c>
      <c r="AW290" s="28">
        <v>-0.805342</v>
      </c>
      <c r="AX290" s="28">
        <v>-0.63637600000000005</v>
      </c>
      <c r="AY290" s="28">
        <v>0.38564100000000001</v>
      </c>
      <c r="AZ290" s="28">
        <v>-0.132853</v>
      </c>
      <c r="BA290" s="28">
        <v>-0.30345699999999998</v>
      </c>
      <c r="BB290" s="28">
        <v>1.4652E-2</v>
      </c>
      <c r="BC290" s="27">
        <v>204.854904</v>
      </c>
      <c r="BD290" s="27">
        <v>1154.6281739999999</v>
      </c>
      <c r="BE290" s="27">
        <v>700.33026099999995</v>
      </c>
      <c r="BF290" s="27">
        <v>20.020980999999999</v>
      </c>
      <c r="BG290" s="27">
        <v>4.9947999999999999E-2</v>
      </c>
    </row>
    <row r="291" spans="1:59">
      <c r="A291" s="27">
        <v>50</v>
      </c>
      <c r="B291" s="27">
        <v>50.788933</v>
      </c>
      <c r="C291" s="27">
        <v>-3</v>
      </c>
      <c r="D291" s="27">
        <v>0</v>
      </c>
      <c r="E291" s="28">
        <v>-1.0272969999999999</v>
      </c>
      <c r="F291" s="28">
        <v>0.27704400000000001</v>
      </c>
      <c r="G291" s="28">
        <v>0.38418600000000003</v>
      </c>
      <c r="H291" s="28">
        <v>-1.500448</v>
      </c>
      <c r="I291" s="28">
        <v>0.47839300000000001</v>
      </c>
      <c r="J291" s="28">
        <v>-0.34248299999999998</v>
      </c>
      <c r="K291" s="28">
        <v>0.26569100000000001</v>
      </c>
      <c r="L291" s="28">
        <v>-1.3540999999999999E-2</v>
      </c>
      <c r="M291" s="28">
        <v>-0.35767300000000002</v>
      </c>
      <c r="N291" s="28">
        <v>-2.4577000000000002E-2</v>
      </c>
      <c r="O291" s="28">
        <v>0.93156099999999997</v>
      </c>
      <c r="P291" s="28">
        <v>0.50098600000000004</v>
      </c>
      <c r="Q291" s="28">
        <v>0.59442300000000003</v>
      </c>
      <c r="R291" s="28">
        <v>-0.775169</v>
      </c>
      <c r="S291" s="28">
        <v>0.93869999999999998</v>
      </c>
      <c r="T291" s="28">
        <v>-0.66960900000000001</v>
      </c>
      <c r="U291" s="28">
        <v>0.95382100000000003</v>
      </c>
      <c r="V291" s="28">
        <v>0.79827899999999996</v>
      </c>
      <c r="W291" s="28">
        <v>1.2361249999999999</v>
      </c>
      <c r="X291" s="28">
        <v>-0.46696900000000002</v>
      </c>
      <c r="Y291" s="28">
        <v>0.62204099999999996</v>
      </c>
      <c r="Z291" s="28">
        <v>0.74349299999999996</v>
      </c>
      <c r="AA291" s="28">
        <v>0.46611000000000002</v>
      </c>
      <c r="AB291" s="28">
        <v>-0.46422000000000002</v>
      </c>
      <c r="AC291" s="28">
        <v>-0.91192700000000004</v>
      </c>
      <c r="AD291" s="28">
        <v>5.117E-3</v>
      </c>
      <c r="AE291" s="28">
        <v>0.395256</v>
      </c>
      <c r="AF291" s="28">
        <v>0.92473000000000005</v>
      </c>
      <c r="AG291" s="28">
        <v>-0.25768099999999999</v>
      </c>
      <c r="AH291" s="28">
        <v>-0.13960900000000001</v>
      </c>
      <c r="AI291" s="28">
        <v>-0.58749600000000002</v>
      </c>
      <c r="AJ291" s="28">
        <v>0.50737600000000005</v>
      </c>
      <c r="AK291" s="28">
        <v>-6.7264000000000004E-2</v>
      </c>
      <c r="AL291" s="28">
        <v>-0.96781700000000004</v>
      </c>
      <c r="AM291" s="28">
        <v>0.67024399999999995</v>
      </c>
      <c r="AN291" s="28">
        <v>-0.51710599999999995</v>
      </c>
      <c r="AO291" s="28">
        <v>0.252077</v>
      </c>
      <c r="AP291" s="28">
        <v>-0.179005</v>
      </c>
      <c r="AQ291" s="28">
        <v>-0.84161300000000006</v>
      </c>
      <c r="AR291" s="28">
        <v>0.150035</v>
      </c>
      <c r="AS291" s="28">
        <v>0.693241</v>
      </c>
      <c r="AT291" s="28">
        <v>-6.2043000000000001E-2</v>
      </c>
      <c r="AU291" s="28">
        <v>-0.40085799999999999</v>
      </c>
      <c r="AV291" s="28">
        <v>-0.45977499999999999</v>
      </c>
      <c r="AW291" s="28">
        <v>-0.58702299999999996</v>
      </c>
      <c r="AX291" s="28">
        <v>-7.9908999999999994E-2</v>
      </c>
      <c r="AY291" s="28">
        <v>0.50468800000000003</v>
      </c>
      <c r="AZ291" s="28">
        <v>-0.37721399999999999</v>
      </c>
      <c r="BA291" s="28">
        <v>0.72512399999999999</v>
      </c>
      <c r="BB291" s="28">
        <v>-0.235708</v>
      </c>
      <c r="BC291" s="27">
        <v>81.974853999999993</v>
      </c>
      <c r="BD291" s="27">
        <v>2478.9377439999998</v>
      </c>
      <c r="BE291" s="27">
        <v>1491.3129879999999</v>
      </c>
      <c r="BF291" s="27">
        <v>29.362950999999999</v>
      </c>
      <c r="BG291" s="27">
        <v>3.4056999999999997E-2</v>
      </c>
    </row>
    <row r="292" spans="1:59">
      <c r="A292" s="27">
        <v>51</v>
      </c>
      <c r="B292" s="27">
        <v>50.593369000000003</v>
      </c>
      <c r="C292" s="27">
        <v>-3</v>
      </c>
      <c r="D292" s="27">
        <v>0</v>
      </c>
      <c r="E292" s="28">
        <v>-0.86982300000000001</v>
      </c>
      <c r="F292" s="28">
        <v>1.889802</v>
      </c>
      <c r="G292" s="28">
        <v>-1.1225270000000001</v>
      </c>
      <c r="H292" s="28">
        <v>-0.34977599999999998</v>
      </c>
      <c r="I292" s="28">
        <v>-0.80473399999999995</v>
      </c>
      <c r="J292" s="28">
        <v>0.29142800000000002</v>
      </c>
      <c r="K292" s="28">
        <v>0.75990800000000003</v>
      </c>
      <c r="L292" s="28">
        <v>1.163189</v>
      </c>
      <c r="M292" s="28">
        <v>-0.68245900000000004</v>
      </c>
      <c r="N292" s="28">
        <v>0.90021499999999999</v>
      </c>
      <c r="O292" s="28">
        <v>-1.2188829999999999</v>
      </c>
      <c r="P292" s="28">
        <v>-0.100232</v>
      </c>
      <c r="Q292" s="28">
        <v>0.36422199999999999</v>
      </c>
      <c r="R292" s="28">
        <v>-4.9210999999999998E-2</v>
      </c>
      <c r="S292" s="28">
        <v>-0.27982000000000001</v>
      </c>
      <c r="T292" s="28">
        <v>-0.235323</v>
      </c>
      <c r="U292" s="28">
        <v>-0.36319299999999999</v>
      </c>
      <c r="V292" s="28">
        <v>-1.750051</v>
      </c>
      <c r="W292" s="28">
        <v>-0.48005999999999999</v>
      </c>
      <c r="X292" s="28">
        <v>0.15854499999999999</v>
      </c>
      <c r="Y292" s="28">
        <v>-0.69412499999999999</v>
      </c>
      <c r="Z292" s="28">
        <v>-0.13907600000000001</v>
      </c>
      <c r="AA292" s="28">
        <v>4.0656999999999999E-2</v>
      </c>
      <c r="AB292" s="28">
        <v>-0.104555</v>
      </c>
      <c r="AC292" s="28">
        <v>0.32864100000000002</v>
      </c>
      <c r="AD292" s="28">
        <v>0.83796700000000002</v>
      </c>
      <c r="AE292" s="28">
        <v>-1.742408</v>
      </c>
      <c r="AF292" s="28">
        <v>1.1654690000000001</v>
      </c>
      <c r="AG292" s="28">
        <v>0.92762299999999998</v>
      </c>
      <c r="AH292" s="28">
        <v>-1.0899559999999999</v>
      </c>
      <c r="AI292" s="28">
        <v>-0.81993099999999997</v>
      </c>
      <c r="AJ292" s="28">
        <v>0.73411099999999996</v>
      </c>
      <c r="AK292" s="28">
        <v>-1.6823870000000001</v>
      </c>
      <c r="AL292" s="28">
        <v>0.254052</v>
      </c>
      <c r="AM292" s="28">
        <v>-0.37101600000000001</v>
      </c>
      <c r="AN292" s="28">
        <v>-0.35750900000000002</v>
      </c>
      <c r="AO292" s="28">
        <v>0.82161600000000001</v>
      </c>
      <c r="AP292" s="28">
        <v>0.14734900000000001</v>
      </c>
      <c r="AQ292" s="28">
        <v>0.43515500000000001</v>
      </c>
      <c r="AR292" s="28">
        <v>0.17854</v>
      </c>
      <c r="AS292" s="28">
        <v>-0.61229</v>
      </c>
      <c r="AT292" s="28">
        <v>1.0765910000000001</v>
      </c>
      <c r="AU292" s="28">
        <v>1.3408610000000001</v>
      </c>
      <c r="AV292" s="28">
        <v>0.108755</v>
      </c>
      <c r="AW292" s="28">
        <v>-0.39856999999999998</v>
      </c>
      <c r="AX292" s="28">
        <v>-0.51435699999999995</v>
      </c>
      <c r="AY292" s="28">
        <v>0.15614800000000001</v>
      </c>
      <c r="AZ292" s="28">
        <v>-0.473889</v>
      </c>
      <c r="BA292" s="28">
        <v>-0.93332400000000004</v>
      </c>
      <c r="BB292" s="28">
        <v>-0.22433</v>
      </c>
      <c r="BC292" s="27">
        <v>137.30329900000001</v>
      </c>
      <c r="BD292" s="27">
        <v>2459.5021969999998</v>
      </c>
      <c r="BE292" s="27">
        <v>1085.862793</v>
      </c>
      <c r="BF292" s="27">
        <v>21.462551000000001</v>
      </c>
      <c r="BG292" s="27">
        <v>4.6593000000000002E-2</v>
      </c>
    </row>
    <row r="293" spans="1:59">
      <c r="A293" s="27">
        <v>52</v>
      </c>
      <c r="B293" s="27">
        <v>54.130237999999999</v>
      </c>
      <c r="C293" s="27">
        <v>-3</v>
      </c>
      <c r="D293" s="27">
        <v>0</v>
      </c>
      <c r="E293" s="28">
        <v>-0.95977299999999999</v>
      </c>
      <c r="F293" s="28">
        <v>1.3521590000000001</v>
      </c>
      <c r="G293" s="28">
        <v>-0.97222600000000003</v>
      </c>
      <c r="H293" s="28">
        <v>-0.63371699999999997</v>
      </c>
      <c r="I293" s="28">
        <v>-0.20852200000000001</v>
      </c>
      <c r="J293" s="28">
        <v>-0.52859100000000003</v>
      </c>
      <c r="K293" s="28">
        <v>0.77335600000000004</v>
      </c>
      <c r="L293" s="28">
        <v>-0.38056000000000001</v>
      </c>
      <c r="M293" s="28">
        <v>0.26928099999999999</v>
      </c>
      <c r="N293" s="28">
        <v>-0.345333</v>
      </c>
      <c r="O293" s="28">
        <v>0.298543</v>
      </c>
      <c r="P293" s="28">
        <v>-0.37693100000000002</v>
      </c>
      <c r="Q293" s="28">
        <v>0.91954400000000003</v>
      </c>
      <c r="R293" s="28">
        <v>1.5420609999999999</v>
      </c>
      <c r="S293" s="28">
        <v>-0.81930700000000001</v>
      </c>
      <c r="T293" s="28">
        <v>-1.2955650000000001</v>
      </c>
      <c r="U293" s="28">
        <v>0.37706600000000001</v>
      </c>
      <c r="V293" s="28">
        <v>0.276175</v>
      </c>
      <c r="W293" s="28">
        <v>0.97481499999999999</v>
      </c>
      <c r="X293" s="28">
        <v>0.74573299999999998</v>
      </c>
      <c r="Y293" s="28">
        <v>0.83898399999999995</v>
      </c>
      <c r="Z293" s="28">
        <v>-0.50897000000000003</v>
      </c>
      <c r="AA293" s="28">
        <v>-0.48234100000000002</v>
      </c>
      <c r="AB293" s="28">
        <v>0.26180900000000001</v>
      </c>
      <c r="AC293" s="28">
        <v>-9.3143000000000004E-2</v>
      </c>
      <c r="AD293" s="28">
        <v>-0.68452299999999999</v>
      </c>
      <c r="AE293" s="28">
        <v>0.234401</v>
      </c>
      <c r="AF293" s="28">
        <v>0.86652099999999999</v>
      </c>
      <c r="AG293" s="28">
        <v>-8.9471999999999996E-2</v>
      </c>
      <c r="AH293" s="28">
        <v>-0.14542099999999999</v>
      </c>
      <c r="AI293" s="28">
        <v>8.3619999999999996E-3</v>
      </c>
      <c r="AJ293" s="28">
        <v>0.16239300000000001</v>
      </c>
      <c r="AK293" s="28">
        <v>-0.46764600000000001</v>
      </c>
      <c r="AL293" s="28">
        <v>0.69890200000000002</v>
      </c>
      <c r="AM293" s="28">
        <v>-8.301E-2</v>
      </c>
      <c r="AN293" s="28">
        <v>8.7742000000000001E-2</v>
      </c>
      <c r="AO293" s="28">
        <v>0.20632300000000001</v>
      </c>
      <c r="AP293" s="28">
        <v>-0.158945</v>
      </c>
      <c r="AQ293" s="28">
        <v>0.124892</v>
      </c>
      <c r="AR293" s="28">
        <v>-2.7688000000000001E-2</v>
      </c>
      <c r="AS293" s="28">
        <v>0.16522999999999999</v>
      </c>
      <c r="AT293" s="28">
        <v>0.119285</v>
      </c>
      <c r="AU293" s="28">
        <v>-0.69483099999999998</v>
      </c>
      <c r="AV293" s="28">
        <v>-0.29852600000000001</v>
      </c>
      <c r="AW293" s="28">
        <v>-0.82396800000000003</v>
      </c>
      <c r="AX293" s="28">
        <v>-0.37868299999999999</v>
      </c>
      <c r="AY293" s="28">
        <v>0.225246</v>
      </c>
      <c r="AZ293" s="28">
        <v>0.201184</v>
      </c>
      <c r="BA293" s="28">
        <v>-0.35059099999999999</v>
      </c>
      <c r="BB293" s="28">
        <v>0.29839199999999999</v>
      </c>
      <c r="BC293" s="27">
        <v>87.775199999999998</v>
      </c>
      <c r="BD293" s="27">
        <v>2822.8222660000001</v>
      </c>
      <c r="BE293" s="27">
        <v>1462.2257079999999</v>
      </c>
      <c r="BF293" s="27">
        <v>27.013104999999999</v>
      </c>
      <c r="BG293" s="27">
        <v>3.7019000000000003E-2</v>
      </c>
    </row>
    <row r="294" spans="1:59">
      <c r="A294" s="27">
        <v>53</v>
      </c>
      <c r="B294" s="27">
        <v>47.659041999999999</v>
      </c>
      <c r="C294" s="27">
        <v>-3</v>
      </c>
      <c r="D294" s="27">
        <v>0</v>
      </c>
      <c r="E294" s="28">
        <v>-0.252108</v>
      </c>
      <c r="F294" s="28">
        <v>-1.254791</v>
      </c>
      <c r="G294" s="28">
        <v>0.85070100000000004</v>
      </c>
      <c r="H294" s="28">
        <v>0.45818900000000001</v>
      </c>
      <c r="I294" s="28">
        <v>-1.107664</v>
      </c>
      <c r="J294" s="28">
        <v>-0.62712999999999997</v>
      </c>
      <c r="K294" s="28">
        <v>-0.87274200000000002</v>
      </c>
      <c r="L294" s="28">
        <v>0.69743699999999997</v>
      </c>
      <c r="M294" s="28">
        <v>-0.50827100000000003</v>
      </c>
      <c r="N294" s="28">
        <v>-0.17824699999999999</v>
      </c>
      <c r="O294" s="28">
        <v>-0.21669099999999999</v>
      </c>
      <c r="P294" s="28">
        <v>-0.156221</v>
      </c>
      <c r="Q294" s="28">
        <v>-1.057574</v>
      </c>
      <c r="R294" s="28">
        <v>0.95014900000000002</v>
      </c>
      <c r="S294" s="28">
        <v>0.287993</v>
      </c>
      <c r="T294" s="28">
        <v>0.70925700000000003</v>
      </c>
      <c r="U294" s="28">
        <v>-0.20768300000000001</v>
      </c>
      <c r="V294" s="28">
        <v>-0.45103900000000002</v>
      </c>
      <c r="W294" s="28">
        <v>0.44376500000000002</v>
      </c>
      <c r="X294" s="28">
        <v>0.98195399999999999</v>
      </c>
      <c r="Y294" s="28">
        <v>0.62348199999999998</v>
      </c>
      <c r="Z294" s="28">
        <v>0.57149399999999995</v>
      </c>
      <c r="AA294" s="28">
        <v>0.532169</v>
      </c>
      <c r="AB294" s="28">
        <v>1.39242</v>
      </c>
      <c r="AC294" s="28">
        <v>8.8690000000000005E-2</v>
      </c>
      <c r="AD294" s="28">
        <v>-1.7580560000000001</v>
      </c>
      <c r="AE294" s="28">
        <v>0.68662299999999998</v>
      </c>
      <c r="AF294" s="28">
        <v>0.81466400000000005</v>
      </c>
      <c r="AG294" s="28">
        <v>-0.62037600000000004</v>
      </c>
      <c r="AH294" s="28">
        <v>-0.72668100000000002</v>
      </c>
      <c r="AI294" s="28">
        <v>0.82117099999999998</v>
      </c>
      <c r="AJ294" s="28">
        <v>-0.90939599999999998</v>
      </c>
      <c r="AK294" s="28">
        <v>1.2582930000000001</v>
      </c>
      <c r="AL294" s="28">
        <v>-0.77181500000000003</v>
      </c>
      <c r="AM294" s="28">
        <v>0.26988899999999999</v>
      </c>
      <c r="AN294" s="28">
        <v>-0.31845499999999999</v>
      </c>
      <c r="AO294" s="28">
        <v>-0.89831000000000005</v>
      </c>
      <c r="AP294" s="28">
        <v>-0.80399500000000002</v>
      </c>
      <c r="AQ294" s="28">
        <v>-1.174266</v>
      </c>
      <c r="AR294" s="28">
        <v>-0.41018500000000002</v>
      </c>
      <c r="AS294" s="28">
        <v>-2.2689000000000001E-2</v>
      </c>
      <c r="AT294" s="28">
        <v>-9.2197000000000001E-2</v>
      </c>
      <c r="AU294" s="28">
        <v>-0.20809</v>
      </c>
      <c r="AV294" s="28">
        <v>0.20910000000000001</v>
      </c>
      <c r="AW294" s="28">
        <v>-0.57294800000000001</v>
      </c>
      <c r="AX294" s="28">
        <v>9.3760999999999997E-2</v>
      </c>
      <c r="AY294" s="28">
        <v>0.39479500000000001</v>
      </c>
      <c r="AZ294" s="28">
        <v>3.2660000000000002E-2</v>
      </c>
      <c r="BA294" s="28">
        <v>0.51157300000000006</v>
      </c>
      <c r="BB294" s="28">
        <v>-1.0849089999999999</v>
      </c>
      <c r="BC294" s="27">
        <v>123.503738</v>
      </c>
      <c r="BD294" s="27">
        <v>2177.0661620000001</v>
      </c>
      <c r="BE294" s="27">
        <v>1228.268677</v>
      </c>
      <c r="BF294" s="27">
        <v>25.771996999999999</v>
      </c>
      <c r="BG294" s="27">
        <v>3.8802000000000003E-2</v>
      </c>
    </row>
    <row r="295" spans="1:59">
      <c r="A295" s="27">
        <v>54</v>
      </c>
      <c r="B295" s="27">
        <v>41.337344999999999</v>
      </c>
      <c r="C295" s="27">
        <v>-3</v>
      </c>
      <c r="D295" s="27">
        <v>0</v>
      </c>
      <c r="E295" s="28">
        <v>0.427541</v>
      </c>
      <c r="F295" s="28">
        <v>0.88970300000000002</v>
      </c>
      <c r="G295" s="28">
        <v>0.80390899999999998</v>
      </c>
      <c r="H295" s="28">
        <v>0.426755</v>
      </c>
      <c r="I295" s="28">
        <v>0.87039599999999995</v>
      </c>
      <c r="J295" s="28">
        <v>6.306E-3</v>
      </c>
      <c r="K295" s="28">
        <v>2.8598999999999999E-2</v>
      </c>
      <c r="L295" s="28">
        <v>0.57139799999999996</v>
      </c>
      <c r="M295" s="28">
        <v>0.73162799999999995</v>
      </c>
      <c r="N295" s="28">
        <v>-1.0035909999999999</v>
      </c>
      <c r="O295" s="28">
        <v>0.72262199999999999</v>
      </c>
      <c r="P295" s="28">
        <v>-0.96554700000000004</v>
      </c>
      <c r="Q295" s="28">
        <v>0.118475</v>
      </c>
      <c r="R295" s="28">
        <v>0.28988000000000003</v>
      </c>
      <c r="S295" s="28">
        <v>0.12096800000000001</v>
      </c>
      <c r="T295" s="28">
        <v>0.89887899999999998</v>
      </c>
      <c r="U295" s="28">
        <v>-0.32561299999999999</v>
      </c>
      <c r="V295" s="28">
        <v>-0.64724300000000001</v>
      </c>
      <c r="W295" s="28">
        <v>0.74688600000000005</v>
      </c>
      <c r="X295" s="28">
        <v>0.69733500000000004</v>
      </c>
      <c r="Y295" s="28">
        <v>0.711557</v>
      </c>
      <c r="Z295" s="28">
        <v>0.15065500000000001</v>
      </c>
      <c r="AA295" s="28">
        <v>-0.41647600000000001</v>
      </c>
      <c r="AB295" s="28">
        <v>-0.59472700000000001</v>
      </c>
      <c r="AC295" s="28">
        <v>-7.1073999999999998E-2</v>
      </c>
      <c r="AD295" s="28">
        <v>-0.59923899999999997</v>
      </c>
      <c r="AE295" s="28">
        <v>-0.26326300000000002</v>
      </c>
      <c r="AF295" s="28">
        <v>-0.42431400000000002</v>
      </c>
      <c r="AG295" s="28">
        <v>-0.37342700000000001</v>
      </c>
      <c r="AH295" s="28">
        <v>0.44561600000000001</v>
      </c>
      <c r="AI295" s="28">
        <v>0.53959299999999999</v>
      </c>
      <c r="AJ295" s="28">
        <v>-0.11196</v>
      </c>
      <c r="AK295" s="28">
        <v>-1.0258419999999999</v>
      </c>
      <c r="AL295" s="28">
        <v>8.0366000000000007E-2</v>
      </c>
      <c r="AM295" s="28">
        <v>-0.91864299999999999</v>
      </c>
      <c r="AN295" s="28">
        <v>1.742624</v>
      </c>
      <c r="AO295" s="28">
        <v>0.622197</v>
      </c>
      <c r="AP295" s="28">
        <v>0.53773700000000002</v>
      </c>
      <c r="AQ295" s="28">
        <v>0.26173000000000002</v>
      </c>
      <c r="AR295" s="28">
        <v>0.39759299999999997</v>
      </c>
      <c r="AS295" s="28">
        <v>-0.50012999999999996</v>
      </c>
      <c r="AT295" s="28">
        <v>0.23380000000000001</v>
      </c>
      <c r="AU295" s="28">
        <v>0.56078799999999995</v>
      </c>
      <c r="AV295" s="28">
        <v>-0.45276300000000003</v>
      </c>
      <c r="AW295" s="28">
        <v>0.34278399999999998</v>
      </c>
      <c r="AX295" s="28">
        <v>-0.298896</v>
      </c>
      <c r="AY295" s="28">
        <v>-0.351076</v>
      </c>
      <c r="AZ295" s="28">
        <v>0.24985599999999999</v>
      </c>
      <c r="BA295" s="28">
        <v>-0.972464</v>
      </c>
      <c r="BB295" s="28">
        <v>-0.30875900000000001</v>
      </c>
      <c r="BC295" s="27">
        <v>116.923553</v>
      </c>
      <c r="BD295" s="27">
        <v>1627.1014399999999</v>
      </c>
      <c r="BE295" s="27">
        <v>962.35894800000005</v>
      </c>
      <c r="BF295" s="27">
        <v>23.280616999999999</v>
      </c>
      <c r="BG295" s="27">
        <v>4.2953999999999999E-2</v>
      </c>
    </row>
    <row r="296" spans="1:59">
      <c r="A296" s="27">
        <v>55</v>
      </c>
      <c r="B296" s="27">
        <v>57.355381000000001</v>
      </c>
      <c r="C296" s="27">
        <v>-3</v>
      </c>
      <c r="D296" s="27">
        <v>0</v>
      </c>
      <c r="E296" s="28">
        <v>1.201147</v>
      </c>
      <c r="F296" s="28">
        <v>0.79544800000000004</v>
      </c>
      <c r="G296" s="28">
        <v>-0.347964</v>
      </c>
      <c r="H296" s="28">
        <v>0.64128600000000002</v>
      </c>
      <c r="I296" s="28">
        <v>-1.14191</v>
      </c>
      <c r="J296" s="28">
        <v>-0.75992899999999997</v>
      </c>
      <c r="K296" s="28">
        <v>-1.604358</v>
      </c>
      <c r="L296" s="28">
        <v>0.857491</v>
      </c>
      <c r="M296" s="28">
        <v>-0.38516099999999998</v>
      </c>
      <c r="N296" s="28">
        <v>-0.71442099999999997</v>
      </c>
      <c r="O296" s="28">
        <v>0.24291399999999999</v>
      </c>
      <c r="P296" s="28">
        <v>0.67096800000000001</v>
      </c>
      <c r="Q296" s="28">
        <v>-0.96941600000000006</v>
      </c>
      <c r="R296" s="28">
        <v>0.99116300000000002</v>
      </c>
      <c r="S296" s="28">
        <v>-0.74195800000000001</v>
      </c>
      <c r="T296" s="28">
        <v>-0.86413799999999996</v>
      </c>
      <c r="U296" s="28">
        <v>0.40667399999999998</v>
      </c>
      <c r="V296" s="28">
        <v>-0.128631</v>
      </c>
      <c r="W296" s="28">
        <v>0.52541599999999999</v>
      </c>
      <c r="X296" s="28">
        <v>-0.70207799999999998</v>
      </c>
      <c r="Y296" s="28">
        <v>0.44840099999999999</v>
      </c>
      <c r="Z296" s="28">
        <v>0.16995399999999999</v>
      </c>
      <c r="AA296" s="28">
        <v>-0.86248899999999995</v>
      </c>
      <c r="AB296" s="28">
        <v>-0.22888700000000001</v>
      </c>
      <c r="AC296" s="28">
        <v>0.45491999999999999</v>
      </c>
      <c r="AD296" s="28">
        <v>-0.72645800000000005</v>
      </c>
      <c r="AE296" s="28">
        <v>1.391367</v>
      </c>
      <c r="AF296" s="28">
        <v>9.3720000000000001E-3</v>
      </c>
      <c r="AG296" s="28">
        <v>0.78249100000000005</v>
      </c>
      <c r="AH296" s="28">
        <v>0.10928599999999999</v>
      </c>
      <c r="AI296" s="28">
        <v>0.149314</v>
      </c>
      <c r="AJ296" s="28">
        <v>-0.14735699999999999</v>
      </c>
      <c r="AK296" s="28">
        <v>-0.37022500000000003</v>
      </c>
      <c r="AL296" s="28">
        <v>0.68862100000000004</v>
      </c>
      <c r="AM296" s="28">
        <v>0.116507</v>
      </c>
      <c r="AN296" s="28">
        <v>0.70454499999999998</v>
      </c>
      <c r="AO296" s="28">
        <v>0.40933000000000003</v>
      </c>
      <c r="AP296" s="28">
        <v>0.12867500000000001</v>
      </c>
      <c r="AQ296" s="28">
        <v>-0.22351499999999999</v>
      </c>
      <c r="AR296" s="28">
        <v>0.43947000000000003</v>
      </c>
      <c r="AS296" s="28">
        <v>0.96678399999999998</v>
      </c>
      <c r="AT296" s="28">
        <v>0.56113900000000005</v>
      </c>
      <c r="AU296" s="28">
        <v>0.242558</v>
      </c>
      <c r="AV296" s="28">
        <v>-0.25269399999999997</v>
      </c>
      <c r="AW296" s="28">
        <v>-0.25429200000000002</v>
      </c>
      <c r="AX296" s="28">
        <v>-0.45938600000000002</v>
      </c>
      <c r="AY296" s="28">
        <v>-1.129035</v>
      </c>
      <c r="AZ296" s="28">
        <v>-0.16184200000000001</v>
      </c>
      <c r="BA296" s="28">
        <v>1.0025869999999999</v>
      </c>
      <c r="BB296" s="28">
        <v>-0.185421</v>
      </c>
      <c r="BC296" s="27">
        <v>146.45864900000001</v>
      </c>
      <c r="BD296" s="27">
        <v>3175.9289549999999</v>
      </c>
      <c r="BE296" s="27">
        <v>1489.650879</v>
      </c>
      <c r="BF296" s="27">
        <v>25.972296</v>
      </c>
      <c r="BG296" s="27">
        <v>3.8503000000000003E-2</v>
      </c>
    </row>
    <row r="297" spans="1:59">
      <c r="A297" s="27">
        <v>56</v>
      </c>
      <c r="B297" s="27">
        <v>49.836562999999998</v>
      </c>
      <c r="C297" s="27">
        <v>-3</v>
      </c>
      <c r="D297" s="27">
        <v>0</v>
      </c>
      <c r="E297" s="28">
        <v>0.69282900000000003</v>
      </c>
      <c r="F297" s="28">
        <v>0.71467999999999998</v>
      </c>
      <c r="G297" s="28">
        <v>1.2126570000000001</v>
      </c>
      <c r="H297" s="28">
        <v>0.45126899999999998</v>
      </c>
      <c r="I297" s="28">
        <v>0.98350499999999996</v>
      </c>
      <c r="J297" s="28">
        <v>0.68548600000000004</v>
      </c>
      <c r="K297" s="28">
        <v>-0.48544799999999999</v>
      </c>
      <c r="L297" s="28">
        <v>-0.589256</v>
      </c>
      <c r="M297" s="28">
        <v>1.5953120000000001</v>
      </c>
      <c r="N297" s="28">
        <v>0.53074600000000005</v>
      </c>
      <c r="O297" s="28">
        <v>0.60611800000000005</v>
      </c>
      <c r="P297" s="28">
        <v>-0.25597799999999998</v>
      </c>
      <c r="Q297" s="28">
        <v>-0.82231299999999996</v>
      </c>
      <c r="R297" s="28">
        <v>0.101855</v>
      </c>
      <c r="S297" s="28">
        <v>-5.0455E-2</v>
      </c>
      <c r="T297" s="28">
        <v>-0.49763299999999999</v>
      </c>
      <c r="U297" s="28">
        <v>-0.41728700000000002</v>
      </c>
      <c r="V297" s="28">
        <v>0.94844899999999999</v>
      </c>
      <c r="W297" s="28">
        <v>1.5517179999999999</v>
      </c>
      <c r="X297" s="28">
        <v>-0.74891399999999997</v>
      </c>
      <c r="Y297" s="28">
        <v>-5.0248000000000001E-2</v>
      </c>
      <c r="Z297" s="28">
        <v>-1.2618000000000001E-2</v>
      </c>
      <c r="AA297" s="28">
        <v>0.34831000000000001</v>
      </c>
      <c r="AB297" s="28">
        <v>0.63383100000000003</v>
      </c>
      <c r="AC297" s="28">
        <v>0.53678700000000001</v>
      </c>
      <c r="AD297" s="28">
        <v>0.40151300000000001</v>
      </c>
      <c r="AE297" s="28">
        <v>-2.4989999999999998E-2</v>
      </c>
      <c r="AF297" s="28">
        <v>-0.154254</v>
      </c>
      <c r="AG297" s="28">
        <v>-0.74421000000000004</v>
      </c>
      <c r="AH297" s="28">
        <v>0.69545599999999996</v>
      </c>
      <c r="AI297" s="28">
        <v>0.92507300000000003</v>
      </c>
      <c r="AJ297" s="28">
        <v>0.50984099999999999</v>
      </c>
      <c r="AK297" s="28">
        <v>1.180007</v>
      </c>
      <c r="AL297" s="28">
        <v>-0.68346700000000005</v>
      </c>
      <c r="AM297" s="28">
        <v>7.8431000000000001E-2</v>
      </c>
      <c r="AN297" s="28">
        <v>-0.58427499999999999</v>
      </c>
      <c r="AO297" s="28">
        <v>-0.68280099999999999</v>
      </c>
      <c r="AP297" s="28">
        <v>0.52074399999999998</v>
      </c>
      <c r="AQ297" s="28">
        <v>0.52919099999999997</v>
      </c>
      <c r="AR297" s="28">
        <v>0.75307199999999996</v>
      </c>
      <c r="AS297" s="28">
        <v>-0.47826600000000002</v>
      </c>
      <c r="AT297" s="28">
        <v>-1.053868</v>
      </c>
      <c r="AU297" s="28">
        <v>4.548E-3</v>
      </c>
      <c r="AV297" s="28">
        <v>0.75359500000000001</v>
      </c>
      <c r="AW297" s="28">
        <v>0.342775</v>
      </c>
      <c r="AX297" s="28">
        <v>-0.32476899999999997</v>
      </c>
      <c r="AY297" s="28">
        <v>-0.78778099999999995</v>
      </c>
      <c r="AZ297" s="28">
        <v>-0.38073000000000001</v>
      </c>
      <c r="BA297" s="28">
        <v>-0.54479900000000003</v>
      </c>
      <c r="BB297" s="28">
        <v>-0.29766799999999999</v>
      </c>
      <c r="BC297" s="27">
        <v>241.75952100000001</v>
      </c>
      <c r="BD297" s="27">
        <v>2385.01001</v>
      </c>
      <c r="BE297" s="27">
        <v>700.02081299999998</v>
      </c>
      <c r="BF297" s="27">
        <v>14.046329</v>
      </c>
      <c r="BG297" s="27">
        <v>7.1193000000000006E-2</v>
      </c>
    </row>
    <row r="298" spans="1:59">
      <c r="A298" s="27">
        <v>57</v>
      </c>
      <c r="B298" s="27">
        <v>41.218620000000001</v>
      </c>
      <c r="C298" s="27">
        <v>-3</v>
      </c>
      <c r="D298" s="27">
        <v>0</v>
      </c>
      <c r="E298" s="28">
        <v>-0.64072499999999999</v>
      </c>
      <c r="F298" s="28">
        <v>0.26803700000000003</v>
      </c>
      <c r="G298" s="28">
        <v>-0.239621</v>
      </c>
      <c r="H298" s="28">
        <v>0.25725999999999999</v>
      </c>
      <c r="I298" s="28">
        <v>-0.13240499999999999</v>
      </c>
      <c r="J298" s="28">
        <v>-0.69857199999999997</v>
      </c>
      <c r="K298" s="28">
        <v>-0.45666099999999998</v>
      </c>
      <c r="L298" s="28">
        <v>-0.89855799999999997</v>
      </c>
      <c r="M298" s="28">
        <v>-0.68262</v>
      </c>
      <c r="N298" s="28">
        <v>0.90382099999999999</v>
      </c>
      <c r="O298" s="28">
        <v>-1.22786</v>
      </c>
      <c r="P298" s="28">
        <v>-0.10549</v>
      </c>
      <c r="Q298" s="28">
        <v>0.36602600000000002</v>
      </c>
      <c r="R298" s="28">
        <v>-3.9303999999999999E-2</v>
      </c>
      <c r="S298" s="28">
        <v>-0.29153200000000001</v>
      </c>
      <c r="T298" s="28">
        <v>-0.24004600000000001</v>
      </c>
      <c r="U298" s="28">
        <v>-0.365172</v>
      </c>
      <c r="V298" s="28">
        <v>-1.7680560000000001</v>
      </c>
      <c r="W298" s="28">
        <v>-0.48832300000000001</v>
      </c>
      <c r="X298" s="28">
        <v>0.158077</v>
      </c>
      <c r="Y298" s="28">
        <v>-0.701048</v>
      </c>
      <c r="Z298" s="28">
        <v>-0.14253199999999999</v>
      </c>
      <c r="AA298" s="28">
        <v>3.8005999999999998E-2</v>
      </c>
      <c r="AB298" s="28">
        <v>-0.114546</v>
      </c>
      <c r="AC298" s="28">
        <v>0.33164199999999999</v>
      </c>
      <c r="AD298" s="28">
        <v>0.84590500000000002</v>
      </c>
      <c r="AE298" s="28">
        <v>-1.754562</v>
      </c>
      <c r="AF298" s="28">
        <v>1.178931</v>
      </c>
      <c r="AG298" s="28">
        <v>0.928234</v>
      </c>
      <c r="AH298" s="28">
        <v>-1.0962190000000001</v>
      </c>
      <c r="AI298" s="28">
        <v>-0.82793399999999995</v>
      </c>
      <c r="AJ298" s="28">
        <v>0.74485400000000002</v>
      </c>
      <c r="AK298" s="28">
        <v>-1.6927749999999999</v>
      </c>
      <c r="AL298" s="28">
        <v>0.249553</v>
      </c>
      <c r="AM298" s="28">
        <v>-0.37673699999999999</v>
      </c>
      <c r="AN298" s="28">
        <v>-0.35931999999999997</v>
      </c>
      <c r="AO298" s="28">
        <v>0.83486400000000005</v>
      </c>
      <c r="AP298" s="28">
        <v>0.14965300000000001</v>
      </c>
      <c r="AQ298" s="28">
        <v>0.442075</v>
      </c>
      <c r="AR298" s="28">
        <v>0.174349</v>
      </c>
      <c r="AS298" s="28">
        <v>-0.62146000000000001</v>
      </c>
      <c r="AT298" s="28">
        <v>1.086551</v>
      </c>
      <c r="AU298" s="28">
        <v>1.34995</v>
      </c>
      <c r="AV298" s="28">
        <v>0.109746</v>
      </c>
      <c r="AW298" s="28">
        <v>-0.40096199999999999</v>
      </c>
      <c r="AX298" s="28">
        <v>-0.50676600000000005</v>
      </c>
      <c r="AY298" s="28">
        <v>0.16062199999999999</v>
      </c>
      <c r="AZ298" s="28">
        <v>-0.47307700000000003</v>
      </c>
      <c r="BA298" s="28">
        <v>-0.945766</v>
      </c>
      <c r="BB298" s="28">
        <v>-0.22873299999999999</v>
      </c>
      <c r="BC298" s="27">
        <v>172.48355100000001</v>
      </c>
      <c r="BD298" s="27">
        <v>1617.537476</v>
      </c>
      <c r="BE298" s="27">
        <v>863.63488800000005</v>
      </c>
      <c r="BF298" s="27">
        <v>20.952541</v>
      </c>
      <c r="BG298" s="27">
        <v>4.7726999999999999E-2</v>
      </c>
    </row>
    <row r="299" spans="1:59">
      <c r="A299" s="27">
        <v>58</v>
      </c>
      <c r="B299" s="27">
        <v>49.548664000000002</v>
      </c>
      <c r="C299" s="27">
        <v>-3</v>
      </c>
      <c r="D299" s="27">
        <v>0</v>
      </c>
      <c r="E299" s="28">
        <v>1.0107900000000001</v>
      </c>
      <c r="F299" s="28">
        <v>-0.88376999999999994</v>
      </c>
      <c r="G299" s="28">
        <v>-0.74157600000000001</v>
      </c>
      <c r="H299" s="28">
        <v>-0.76297199999999998</v>
      </c>
      <c r="I299" s="28">
        <v>-0.84866399999999997</v>
      </c>
      <c r="J299" s="28">
        <v>0.29241699999999998</v>
      </c>
      <c r="K299" s="28">
        <v>-0.57423900000000005</v>
      </c>
      <c r="L299" s="28">
        <v>0.78362399999999999</v>
      </c>
      <c r="M299" s="28">
        <v>0.84691899999999998</v>
      </c>
      <c r="N299" s="28">
        <v>0.54095300000000002</v>
      </c>
      <c r="O299" s="28">
        <v>-1.2010559999999999</v>
      </c>
      <c r="P299" s="28">
        <v>0.90051000000000003</v>
      </c>
      <c r="Q299" s="28">
        <v>0.25661400000000001</v>
      </c>
      <c r="R299" s="28">
        <v>-7.8424999999999995E-2</v>
      </c>
      <c r="S299" s="28">
        <v>0.83231200000000005</v>
      </c>
      <c r="T299" s="28">
        <v>-0.28163100000000002</v>
      </c>
      <c r="U299" s="28">
        <v>-0.18229799999999999</v>
      </c>
      <c r="V299" s="28">
        <v>0.49211300000000002</v>
      </c>
      <c r="W299" s="28">
        <v>1.135105</v>
      </c>
      <c r="X299" s="28">
        <v>-0.13441500000000001</v>
      </c>
      <c r="Y299" s="28">
        <v>0.28303899999999999</v>
      </c>
      <c r="Z299" s="28">
        <v>4.4645999999999998E-2</v>
      </c>
      <c r="AA299" s="28">
        <v>0.783196</v>
      </c>
      <c r="AB299" s="28">
        <v>-0.25130000000000002</v>
      </c>
      <c r="AC299" s="28">
        <v>1.254807</v>
      </c>
      <c r="AD299" s="28">
        <v>0.24223800000000001</v>
      </c>
      <c r="AE299" s="28">
        <v>-0.66971400000000003</v>
      </c>
      <c r="AF299" s="28">
        <v>-0.63559399999999999</v>
      </c>
      <c r="AG299" s="28">
        <v>0.83333999999999997</v>
      </c>
      <c r="AH299" s="28">
        <v>-0.51413600000000004</v>
      </c>
      <c r="AI299" s="28">
        <v>0.59201899999999996</v>
      </c>
      <c r="AJ299" s="28">
        <v>-0.88652399999999998</v>
      </c>
      <c r="AK299" s="28">
        <v>0.36339500000000002</v>
      </c>
      <c r="AL299" s="28">
        <v>-0.27624199999999999</v>
      </c>
      <c r="AM299" s="28">
        <v>0.26332</v>
      </c>
      <c r="AN299" s="28">
        <v>1.191416</v>
      </c>
      <c r="AO299" s="28">
        <v>0.34820200000000001</v>
      </c>
      <c r="AP299" s="28">
        <v>-3.9428999999999999E-2</v>
      </c>
      <c r="AQ299" s="28">
        <v>-9.5601000000000005E-2</v>
      </c>
      <c r="AR299" s="28">
        <v>0.39086199999999999</v>
      </c>
      <c r="AS299" s="28">
        <v>0.97696700000000003</v>
      </c>
      <c r="AT299" s="28">
        <v>0.58188300000000004</v>
      </c>
      <c r="AU299" s="28">
        <v>0.31577300000000003</v>
      </c>
      <c r="AV299" s="28">
        <v>-0.44945800000000002</v>
      </c>
      <c r="AW299" s="28">
        <v>-0.24018</v>
      </c>
      <c r="AX299" s="28">
        <v>-0.48635899999999999</v>
      </c>
      <c r="AY299" s="28">
        <v>-0.820909</v>
      </c>
      <c r="AZ299" s="28">
        <v>-0.213583</v>
      </c>
      <c r="BA299" s="28">
        <v>0.819909</v>
      </c>
      <c r="BB299" s="28">
        <v>-0.28433799999999998</v>
      </c>
      <c r="BC299" s="27">
        <v>176.59612999999999</v>
      </c>
      <c r="BD299" s="27">
        <v>2356.9729000000002</v>
      </c>
      <c r="BE299" s="27">
        <v>997.57372999999995</v>
      </c>
      <c r="BF299" s="27">
        <v>20.133210999999999</v>
      </c>
      <c r="BG299" s="27">
        <v>4.9668999999999998E-2</v>
      </c>
    </row>
    <row r="300" spans="1:59">
      <c r="A300" s="27">
        <v>59</v>
      </c>
      <c r="B300" s="27">
        <v>40.044941000000001</v>
      </c>
      <c r="C300" s="27">
        <v>-3</v>
      </c>
      <c r="D300" s="27">
        <v>0</v>
      </c>
      <c r="E300" s="28">
        <v>0.26916400000000001</v>
      </c>
      <c r="F300" s="28">
        <v>-1.3101799999999999</v>
      </c>
      <c r="G300" s="28">
        <v>0.52901100000000001</v>
      </c>
      <c r="H300" s="28">
        <v>-0.44570799999999999</v>
      </c>
      <c r="I300" s="28">
        <v>0.55388999999999999</v>
      </c>
      <c r="J300" s="28">
        <v>0.846244</v>
      </c>
      <c r="K300" s="28">
        <v>-0.40750900000000001</v>
      </c>
      <c r="L300" s="28">
        <v>-0.78264500000000004</v>
      </c>
      <c r="M300" s="28">
        <v>8.3086999999999994E-2</v>
      </c>
      <c r="N300" s="28">
        <v>0.43715199999999999</v>
      </c>
      <c r="O300" s="28">
        <v>2.7615000000000001E-2</v>
      </c>
      <c r="P300" s="28">
        <v>0.200211</v>
      </c>
      <c r="Q300" s="28">
        <v>-1.3780669999999999</v>
      </c>
      <c r="R300" s="28">
        <v>1.7145189999999999</v>
      </c>
      <c r="S300" s="28">
        <v>0.93861499999999998</v>
      </c>
      <c r="T300" s="28">
        <v>-0.81486199999999998</v>
      </c>
      <c r="U300" s="28">
        <v>-1.705659</v>
      </c>
      <c r="V300" s="28">
        <v>0.21678700000000001</v>
      </c>
      <c r="W300" s="28">
        <v>1.0476019999999999</v>
      </c>
      <c r="X300" s="28">
        <v>0.86004400000000003</v>
      </c>
      <c r="Y300" s="28">
        <v>1.214334</v>
      </c>
      <c r="Z300" s="28">
        <v>-0.372975</v>
      </c>
      <c r="AA300" s="28">
        <v>-3.4550999999999998E-2</v>
      </c>
      <c r="AB300" s="28">
        <v>-0.82369300000000001</v>
      </c>
      <c r="AC300" s="28">
        <v>0.141236</v>
      </c>
      <c r="AD300" s="28">
        <v>-0.78498699999999999</v>
      </c>
      <c r="AE300" s="28">
        <v>0.91773300000000002</v>
      </c>
      <c r="AF300" s="28">
        <v>0.67518299999999998</v>
      </c>
      <c r="AG300" s="28">
        <v>-0.45951799999999998</v>
      </c>
      <c r="AH300" s="28">
        <v>-0.68491299999999999</v>
      </c>
      <c r="AI300" s="28">
        <v>0.45034800000000003</v>
      </c>
      <c r="AJ300" s="28">
        <v>-0.34376099999999998</v>
      </c>
      <c r="AK300" s="28">
        <v>0.68656300000000003</v>
      </c>
      <c r="AL300" s="28">
        <v>-1.0645640000000001</v>
      </c>
      <c r="AM300" s="28">
        <v>0.109946</v>
      </c>
      <c r="AN300" s="28">
        <v>-0.58764899999999998</v>
      </c>
      <c r="AO300" s="28">
        <v>-0.95221500000000003</v>
      </c>
      <c r="AP300" s="28">
        <v>-1.137985</v>
      </c>
      <c r="AQ300" s="28">
        <v>-0.84816199999999997</v>
      </c>
      <c r="AR300" s="28">
        <v>-0.151643</v>
      </c>
      <c r="AS300" s="28">
        <v>7.7344999999999997E-2</v>
      </c>
      <c r="AT300" s="28">
        <v>-0.161576</v>
      </c>
      <c r="AU300" s="28">
        <v>0.124124</v>
      </c>
      <c r="AV300" s="28">
        <v>1.1004E-2</v>
      </c>
      <c r="AW300" s="28">
        <v>-0.38386599999999999</v>
      </c>
      <c r="AX300" s="28">
        <v>-0.31872200000000001</v>
      </c>
      <c r="AY300" s="28">
        <v>0.35201900000000003</v>
      </c>
      <c r="AZ300" s="28">
        <v>-7.2125999999999996E-2</v>
      </c>
      <c r="BA300" s="28">
        <v>0.176508</v>
      </c>
      <c r="BB300" s="28">
        <v>-0.49096200000000001</v>
      </c>
      <c r="BC300" s="27">
        <v>127.936905</v>
      </c>
      <c r="BD300" s="27">
        <v>1524.5074460000001</v>
      </c>
      <c r="BE300" s="27">
        <v>917.90698199999997</v>
      </c>
      <c r="BF300" s="27">
        <v>22.921921000000001</v>
      </c>
      <c r="BG300" s="27">
        <v>4.3625999999999998E-2</v>
      </c>
    </row>
    <row r="301" spans="1:59">
      <c r="A301" s="27">
        <v>60</v>
      </c>
      <c r="B301" s="27">
        <v>53.166198999999999</v>
      </c>
      <c r="C301" s="27">
        <v>-3</v>
      </c>
      <c r="D301" s="27">
        <v>0</v>
      </c>
      <c r="E301" s="28">
        <v>-0.64072499999999999</v>
      </c>
      <c r="F301" s="28">
        <v>0.26803700000000003</v>
      </c>
      <c r="G301" s="28">
        <v>-0.239621</v>
      </c>
      <c r="H301" s="28">
        <v>0.25725999999999999</v>
      </c>
      <c r="I301" s="28">
        <v>-0.13240499999999999</v>
      </c>
      <c r="J301" s="28">
        <v>-0.69857199999999997</v>
      </c>
      <c r="K301" s="28">
        <v>-0.45666099999999998</v>
      </c>
      <c r="L301" s="28">
        <v>-0.89855799999999997</v>
      </c>
      <c r="M301" s="28">
        <v>-0.68262</v>
      </c>
      <c r="N301" s="28">
        <v>0.90382099999999999</v>
      </c>
      <c r="O301" s="28">
        <v>-1.22786</v>
      </c>
      <c r="P301" s="28">
        <v>-0.10549</v>
      </c>
      <c r="Q301" s="28">
        <v>0.36602600000000002</v>
      </c>
      <c r="R301" s="28">
        <v>-3.9303999999999999E-2</v>
      </c>
      <c r="S301" s="28">
        <v>-0.29153200000000001</v>
      </c>
      <c r="T301" s="28">
        <v>-0.24004600000000001</v>
      </c>
      <c r="U301" s="28">
        <v>-0.365172</v>
      </c>
      <c r="V301" s="28">
        <v>-1.7680560000000001</v>
      </c>
      <c r="W301" s="28">
        <v>-0.48832300000000001</v>
      </c>
      <c r="X301" s="28">
        <v>0.158077</v>
      </c>
      <c r="Y301" s="28">
        <v>-0.701048</v>
      </c>
      <c r="Z301" s="28">
        <v>-0.14253199999999999</v>
      </c>
      <c r="AA301" s="28">
        <v>3.8005999999999998E-2</v>
      </c>
      <c r="AB301" s="28">
        <v>-0.114546</v>
      </c>
      <c r="AC301" s="28">
        <v>0.33164199999999999</v>
      </c>
      <c r="AD301" s="28">
        <v>0.84590500000000002</v>
      </c>
      <c r="AE301" s="28">
        <v>-1.754562</v>
      </c>
      <c r="AF301" s="28">
        <v>1.178931</v>
      </c>
      <c r="AG301" s="28">
        <v>0.928234</v>
      </c>
      <c r="AH301" s="28">
        <v>-1.0962190000000001</v>
      </c>
      <c r="AI301" s="28">
        <v>-0.82793399999999995</v>
      </c>
      <c r="AJ301" s="28">
        <v>0.74485400000000002</v>
      </c>
      <c r="AK301" s="28">
        <v>-1.6927749999999999</v>
      </c>
      <c r="AL301" s="28">
        <v>0.249553</v>
      </c>
      <c r="AM301" s="28">
        <v>-0.37673699999999999</v>
      </c>
      <c r="AN301" s="28">
        <v>-0.35931999999999997</v>
      </c>
      <c r="AO301" s="28">
        <v>0.83486400000000005</v>
      </c>
      <c r="AP301" s="28">
        <v>0.14965300000000001</v>
      </c>
      <c r="AQ301" s="28">
        <v>0.442075</v>
      </c>
      <c r="AR301" s="28">
        <v>0.174349</v>
      </c>
      <c r="AS301" s="28">
        <v>-0.62146000000000001</v>
      </c>
      <c r="AT301" s="28">
        <v>1.086551</v>
      </c>
      <c r="AU301" s="28">
        <v>1.34995</v>
      </c>
      <c r="AV301" s="28">
        <v>0.109746</v>
      </c>
      <c r="AW301" s="28">
        <v>-0.40096199999999999</v>
      </c>
      <c r="AX301" s="28">
        <v>-0.50676600000000005</v>
      </c>
      <c r="AY301" s="28">
        <v>0.16062199999999999</v>
      </c>
      <c r="AZ301" s="28">
        <v>-0.47307700000000003</v>
      </c>
      <c r="BA301" s="28">
        <v>-0.945766</v>
      </c>
      <c r="BB301" s="28">
        <v>-0.22873299999999999</v>
      </c>
      <c r="BC301" s="27">
        <v>248.376251</v>
      </c>
      <c r="BD301" s="27">
        <v>2721.3122560000002</v>
      </c>
      <c r="BE301" s="27">
        <v>950.74487299999998</v>
      </c>
      <c r="BF301" s="27">
        <v>17.882504999999998</v>
      </c>
      <c r="BG301" s="27">
        <v>5.5920999999999998E-2</v>
      </c>
    </row>
    <row r="302" spans="1:59">
      <c r="A302" s="27">
        <v>61</v>
      </c>
      <c r="B302" s="27">
        <v>45.392788000000003</v>
      </c>
      <c r="C302" s="27">
        <v>-3</v>
      </c>
      <c r="D302" s="27">
        <v>0</v>
      </c>
      <c r="E302" s="28">
        <v>1.6254040000000001</v>
      </c>
      <c r="F302" s="28">
        <v>-0.32974100000000001</v>
      </c>
      <c r="G302" s="28">
        <v>-0.96115799999999996</v>
      </c>
      <c r="H302" s="28">
        <v>-0.70081599999999999</v>
      </c>
      <c r="I302" s="28">
        <v>-1.4411430000000001</v>
      </c>
      <c r="J302" s="28">
        <v>-0.68226600000000004</v>
      </c>
      <c r="K302" s="28">
        <v>-0.89169799999999999</v>
      </c>
      <c r="L302" s="28">
        <v>0.85860499999999995</v>
      </c>
      <c r="M302" s="28">
        <v>-0.48549900000000001</v>
      </c>
      <c r="N302" s="28">
        <v>0.76777899999999999</v>
      </c>
      <c r="O302" s="28">
        <v>0.54898499999999995</v>
      </c>
      <c r="P302" s="28">
        <v>-0.81550199999999995</v>
      </c>
      <c r="Q302" s="28">
        <v>-0.86378900000000003</v>
      </c>
      <c r="R302" s="28">
        <v>0.79839000000000004</v>
      </c>
      <c r="S302" s="28">
        <v>-0.55228100000000002</v>
      </c>
      <c r="T302" s="28">
        <v>0.314245</v>
      </c>
      <c r="U302" s="28">
        <v>-1.4318789999999999</v>
      </c>
      <c r="V302" s="28">
        <v>-0.92930100000000004</v>
      </c>
      <c r="W302" s="28">
        <v>0.57114299999999996</v>
      </c>
      <c r="X302" s="28">
        <v>-0.26586100000000001</v>
      </c>
      <c r="Y302" s="28">
        <v>0.451239</v>
      </c>
      <c r="Z302" s="28">
        <v>-0.236091</v>
      </c>
      <c r="AA302" s="28">
        <v>1.634371</v>
      </c>
      <c r="AB302" s="28">
        <v>8.8885000000000006E-2</v>
      </c>
      <c r="AC302" s="28">
        <v>-1.4460789999999999</v>
      </c>
      <c r="AD302" s="28">
        <v>0.106548</v>
      </c>
      <c r="AE302" s="28">
        <v>0.447882</v>
      </c>
      <c r="AF302" s="28">
        <v>-0.80142199999999997</v>
      </c>
      <c r="AG302" s="28">
        <v>-0.182949</v>
      </c>
      <c r="AH302" s="28">
        <v>0.85319900000000004</v>
      </c>
      <c r="AI302" s="28">
        <v>0.76485499999999995</v>
      </c>
      <c r="AJ302" s="28">
        <v>-1.4253290000000001</v>
      </c>
      <c r="AK302" s="28">
        <v>-0.37792199999999998</v>
      </c>
      <c r="AL302" s="28">
        <v>-0.102326</v>
      </c>
      <c r="AM302" s="28">
        <v>0.76357299999999995</v>
      </c>
      <c r="AN302" s="28">
        <v>1.8122400000000001</v>
      </c>
      <c r="AO302" s="28">
        <v>7.0805000000000007E-2</v>
      </c>
      <c r="AP302" s="28">
        <v>-7.2219000000000005E-2</v>
      </c>
      <c r="AQ302" s="28">
        <v>0.31185000000000002</v>
      </c>
      <c r="AR302" s="28">
        <v>-0.25651600000000002</v>
      </c>
      <c r="AS302" s="28">
        <v>-0.31519399999999997</v>
      </c>
      <c r="AT302" s="28">
        <v>6.9620000000000003E-3</v>
      </c>
      <c r="AU302" s="28">
        <v>0.72981499999999999</v>
      </c>
      <c r="AV302" s="28">
        <v>0.65998199999999996</v>
      </c>
      <c r="AW302" s="28">
        <v>0.22279599999999999</v>
      </c>
      <c r="AX302" s="28">
        <v>0.138983</v>
      </c>
      <c r="AY302" s="28">
        <v>0.457179</v>
      </c>
      <c r="AZ302" s="28">
        <v>3.6289999999999998E-3</v>
      </c>
      <c r="BA302" s="28">
        <v>-0.22415399999999999</v>
      </c>
      <c r="BB302" s="28">
        <v>0.21735299999999999</v>
      </c>
      <c r="BC302" s="27">
        <v>99.370827000000006</v>
      </c>
      <c r="BD302" s="27">
        <v>1970.7196039999999</v>
      </c>
      <c r="BE302" s="27">
        <v>1247.1170649999999</v>
      </c>
      <c r="BF302" s="27">
        <v>27.473905999999999</v>
      </c>
      <c r="BG302" s="27">
        <v>3.6398E-2</v>
      </c>
    </row>
    <row r="303" spans="1:59">
      <c r="A303" s="27">
        <v>62</v>
      </c>
      <c r="B303" s="27">
        <v>47.376514</v>
      </c>
      <c r="C303" s="27">
        <v>-3</v>
      </c>
      <c r="D303" s="27">
        <v>0</v>
      </c>
      <c r="E303" s="28">
        <v>0.62340799999999996</v>
      </c>
      <c r="F303" s="28">
        <v>-0.388465</v>
      </c>
      <c r="G303" s="28">
        <v>5.6070000000000002E-2</v>
      </c>
      <c r="H303" s="28">
        <v>7.9558000000000004E-2</v>
      </c>
      <c r="I303" s="28">
        <v>0.96263500000000002</v>
      </c>
      <c r="J303" s="28">
        <v>0.15728300000000001</v>
      </c>
      <c r="K303" s="28">
        <v>-0.16175100000000001</v>
      </c>
      <c r="L303" s="28">
        <v>0.80041499999999999</v>
      </c>
      <c r="M303" s="28">
        <v>-0.85971399999999998</v>
      </c>
      <c r="N303" s="28">
        <v>0.67834000000000005</v>
      </c>
      <c r="O303" s="28">
        <v>5.4384000000000002E-2</v>
      </c>
      <c r="P303" s="28">
        <v>-0.63309899999999997</v>
      </c>
      <c r="Q303" s="28">
        <v>-1.530619</v>
      </c>
      <c r="R303" s="28">
        <v>-1.4579279999999999</v>
      </c>
      <c r="S303" s="28">
        <v>0.20503399999999999</v>
      </c>
      <c r="T303" s="28">
        <v>0.92105700000000001</v>
      </c>
      <c r="U303" s="28">
        <v>0.62899000000000005</v>
      </c>
      <c r="V303" s="28">
        <v>-4.3908000000000003E-2</v>
      </c>
      <c r="W303" s="28">
        <v>0.28092299999999998</v>
      </c>
      <c r="X303" s="28">
        <v>-0.456926</v>
      </c>
      <c r="Y303" s="28">
        <v>0.85801099999999997</v>
      </c>
      <c r="Z303" s="28">
        <v>-0.24601700000000001</v>
      </c>
      <c r="AA303" s="28">
        <v>-0.56400600000000001</v>
      </c>
      <c r="AB303" s="28">
        <v>-0.42475200000000002</v>
      </c>
      <c r="AC303" s="28">
        <v>-0.79116699999999995</v>
      </c>
      <c r="AD303" s="28">
        <v>-0.109279</v>
      </c>
      <c r="AE303" s="28">
        <v>-0.43773000000000001</v>
      </c>
      <c r="AF303" s="28">
        <v>-9.1144000000000003E-2</v>
      </c>
      <c r="AG303" s="28">
        <v>1.1765049999999999</v>
      </c>
      <c r="AH303" s="28">
        <v>-0.140066</v>
      </c>
      <c r="AI303" s="28">
        <v>0.39283800000000002</v>
      </c>
      <c r="AJ303" s="28">
        <v>-0.79353099999999999</v>
      </c>
      <c r="AK303" s="28">
        <v>0.81246700000000005</v>
      </c>
      <c r="AL303" s="28">
        <v>0.61284099999999997</v>
      </c>
      <c r="AM303" s="28">
        <v>-1.0034639999999999</v>
      </c>
      <c r="AN303" s="28">
        <v>-0.59877899999999995</v>
      </c>
      <c r="AO303" s="28">
        <v>0.49614799999999998</v>
      </c>
      <c r="AP303" s="28">
        <v>0.16345199999999999</v>
      </c>
      <c r="AQ303" s="28">
        <v>0.82041799999999998</v>
      </c>
      <c r="AR303" s="28">
        <v>0.119877</v>
      </c>
      <c r="AS303" s="28">
        <v>1.9595000000000001E-2</v>
      </c>
      <c r="AT303" s="28">
        <v>-1.3072600000000001</v>
      </c>
      <c r="AU303" s="28">
        <v>0.52255200000000002</v>
      </c>
      <c r="AV303" s="28">
        <v>-0.70823000000000003</v>
      </c>
      <c r="AW303" s="28">
        <v>-0.58472199999999996</v>
      </c>
      <c r="AX303" s="28">
        <v>-0.37847500000000001</v>
      </c>
      <c r="AY303" s="28">
        <v>-0.535408</v>
      </c>
      <c r="AZ303" s="28">
        <v>0.25209100000000001</v>
      </c>
      <c r="BA303" s="28">
        <v>-0.77663899999999997</v>
      </c>
      <c r="BB303" s="28">
        <v>0.89637500000000003</v>
      </c>
      <c r="BC303" s="27">
        <v>190.31178299999999</v>
      </c>
      <c r="BD303" s="27">
        <v>2150.7810060000002</v>
      </c>
      <c r="BE303" s="27">
        <v>1068.189697</v>
      </c>
      <c r="BF303" s="27">
        <v>22.546817999999998</v>
      </c>
      <c r="BG303" s="27">
        <v>4.4352000000000003E-2</v>
      </c>
    </row>
    <row r="304" spans="1:59">
      <c r="A304" s="27">
        <v>63</v>
      </c>
      <c r="B304" s="27">
        <v>44.213878999999999</v>
      </c>
      <c r="C304" s="27">
        <v>-3</v>
      </c>
      <c r="D304" s="27">
        <v>0</v>
      </c>
      <c r="E304" s="28">
        <v>-0.24062800000000001</v>
      </c>
      <c r="F304" s="28">
        <v>-0.89815699999999998</v>
      </c>
      <c r="G304" s="28">
        <v>-1.1891830000000001</v>
      </c>
      <c r="H304" s="28">
        <v>0.91522499999999996</v>
      </c>
      <c r="I304" s="28">
        <v>-1.3426229999999999</v>
      </c>
      <c r="J304" s="28">
        <v>-1.0758650000000001</v>
      </c>
      <c r="K304" s="28">
        <v>0.72298700000000005</v>
      </c>
      <c r="L304" s="28">
        <v>0.59974899999999998</v>
      </c>
      <c r="M304" s="28">
        <v>-1.392889</v>
      </c>
      <c r="N304" s="28">
        <v>0.11608499999999999</v>
      </c>
      <c r="O304" s="28">
        <v>0.59754099999999999</v>
      </c>
      <c r="P304" s="28">
        <v>0.332096</v>
      </c>
      <c r="Q304" s="28">
        <v>0.62007900000000005</v>
      </c>
      <c r="R304" s="28">
        <v>0.663219</v>
      </c>
      <c r="S304" s="28">
        <v>0.37763799999999997</v>
      </c>
      <c r="T304" s="28">
        <v>-0.32256400000000002</v>
      </c>
      <c r="U304" s="28">
        <v>1.178612</v>
      </c>
      <c r="V304" s="28">
        <v>-0.28919600000000001</v>
      </c>
      <c r="W304" s="28">
        <v>0.30357099999999998</v>
      </c>
      <c r="X304" s="28">
        <v>0.34051799999999999</v>
      </c>
      <c r="Y304" s="28">
        <v>0.48448600000000003</v>
      </c>
      <c r="Z304" s="28">
        <v>-7.5115000000000001E-2</v>
      </c>
      <c r="AA304" s="28">
        <v>-5.7859000000000001E-2</v>
      </c>
      <c r="AB304" s="28">
        <v>-6.2333E-2</v>
      </c>
      <c r="AC304" s="28">
        <v>0.51146999999999998</v>
      </c>
      <c r="AD304" s="28">
        <v>-0.35165999999999997</v>
      </c>
      <c r="AE304" s="28">
        <v>0.76350700000000005</v>
      </c>
      <c r="AF304" s="28">
        <v>-1.0874470000000001</v>
      </c>
      <c r="AG304" s="28">
        <v>0.58434699999999995</v>
      </c>
      <c r="AH304" s="28">
        <v>0.33564899999999998</v>
      </c>
      <c r="AI304" s="28">
        <v>7.3327000000000003E-2</v>
      </c>
      <c r="AJ304" s="28">
        <v>0.69725899999999996</v>
      </c>
      <c r="AK304" s="28">
        <v>-1.004319</v>
      </c>
      <c r="AL304" s="28">
        <v>-0.29432700000000001</v>
      </c>
      <c r="AM304" s="28">
        <v>-0.473831</v>
      </c>
      <c r="AN304" s="28">
        <v>0.83350999999999997</v>
      </c>
      <c r="AO304" s="28">
        <v>0.20108699999999999</v>
      </c>
      <c r="AP304" s="28">
        <v>1.5207550000000001</v>
      </c>
      <c r="AQ304" s="28">
        <v>-0.41515000000000002</v>
      </c>
      <c r="AR304" s="28">
        <v>-0.28287699999999999</v>
      </c>
      <c r="AS304" s="28">
        <v>-2.1642000000000002E-2</v>
      </c>
      <c r="AT304" s="28">
        <v>2E-3</v>
      </c>
      <c r="AU304" s="28">
        <v>-0.70627799999999996</v>
      </c>
      <c r="AV304" s="28">
        <v>-0.84072999999999998</v>
      </c>
      <c r="AW304" s="28">
        <v>-9.9981E-2</v>
      </c>
      <c r="AX304" s="28">
        <v>-0.31532399999999999</v>
      </c>
      <c r="AY304" s="28">
        <v>9.3782000000000004E-2</v>
      </c>
      <c r="AZ304" s="28">
        <v>0.67683800000000005</v>
      </c>
      <c r="BA304" s="28">
        <v>-0.35512300000000002</v>
      </c>
      <c r="BB304" s="28">
        <v>0.10933900000000001</v>
      </c>
      <c r="BC304" s="27">
        <v>127.688568</v>
      </c>
      <c r="BD304" s="27">
        <v>1867.439331</v>
      </c>
      <c r="BE304" s="27">
        <v>1162.221558</v>
      </c>
      <c r="BF304" s="27">
        <v>26.286352000000001</v>
      </c>
      <c r="BG304" s="27">
        <v>3.8043E-2</v>
      </c>
    </row>
    <row r="305" spans="1:59">
      <c r="A305" s="27">
        <v>64</v>
      </c>
      <c r="B305" s="27">
        <v>45.369999</v>
      </c>
      <c r="C305" s="27">
        <v>-3</v>
      </c>
      <c r="D305" s="27">
        <v>0</v>
      </c>
      <c r="E305" s="28">
        <v>-0.31709100000000001</v>
      </c>
      <c r="F305" s="28">
        <v>-0.89203399999999999</v>
      </c>
      <c r="G305" s="28">
        <v>-0.50178699999999998</v>
      </c>
      <c r="H305" s="28">
        <v>1.341126</v>
      </c>
      <c r="I305" s="28">
        <v>-0.35331899999999999</v>
      </c>
      <c r="J305" s="28">
        <v>-0.81649300000000002</v>
      </c>
      <c r="K305" s="28">
        <v>0.76869500000000002</v>
      </c>
      <c r="L305" s="28">
        <v>0.78559599999999996</v>
      </c>
      <c r="M305" s="28">
        <v>-0.50029299999999999</v>
      </c>
      <c r="N305" s="28">
        <v>5.3810999999999998E-2</v>
      </c>
      <c r="O305" s="28">
        <v>-1.401068</v>
      </c>
      <c r="P305" s="28">
        <v>-0.34910000000000002</v>
      </c>
      <c r="Q305" s="28">
        <v>1.39639</v>
      </c>
      <c r="R305" s="28">
        <v>0.16563800000000001</v>
      </c>
      <c r="S305" s="28">
        <v>-0.78129099999999996</v>
      </c>
      <c r="T305" s="28">
        <v>0.19028100000000001</v>
      </c>
      <c r="U305" s="28">
        <v>-1.158496</v>
      </c>
      <c r="V305" s="28">
        <v>-8.0203999999999998E-2</v>
      </c>
      <c r="W305" s="28">
        <v>-5.5931000000000002E-2</v>
      </c>
      <c r="X305" s="28">
        <v>0.14855699999999999</v>
      </c>
      <c r="Y305" s="28">
        <v>-0.54910300000000001</v>
      </c>
      <c r="Z305" s="28">
        <v>-1.646245</v>
      </c>
      <c r="AA305" s="28">
        <v>0.36466599999999999</v>
      </c>
      <c r="AB305" s="28">
        <v>1.0881E-2</v>
      </c>
      <c r="AC305" s="28">
        <v>0.95167999999999997</v>
      </c>
      <c r="AD305" s="28">
        <v>0.35824299999999998</v>
      </c>
      <c r="AE305" s="28">
        <v>-0.28089999999999998</v>
      </c>
      <c r="AF305" s="28">
        <v>-0.410466</v>
      </c>
      <c r="AG305" s="28">
        <v>0.50322500000000003</v>
      </c>
      <c r="AH305" s="28">
        <v>0.31360100000000002</v>
      </c>
      <c r="AI305" s="28">
        <v>-0.23713600000000001</v>
      </c>
      <c r="AJ305" s="28">
        <v>0.36348399999999997</v>
      </c>
      <c r="AK305" s="28">
        <v>0.13684199999999999</v>
      </c>
      <c r="AL305" s="28">
        <v>0.33509</v>
      </c>
      <c r="AM305" s="28">
        <v>-0.48836600000000002</v>
      </c>
      <c r="AN305" s="28">
        <v>-0.299456</v>
      </c>
      <c r="AO305" s="28">
        <v>0.45318799999999998</v>
      </c>
      <c r="AP305" s="28">
        <v>-8.2151000000000002E-2</v>
      </c>
      <c r="AQ305" s="28">
        <v>0.99787199999999998</v>
      </c>
      <c r="AR305" s="28">
        <v>0.40102199999999999</v>
      </c>
      <c r="AS305" s="28">
        <v>-0.54829099999999997</v>
      </c>
      <c r="AT305" s="28">
        <v>0.31867899999999999</v>
      </c>
      <c r="AU305" s="28">
        <v>-7.5986999999999999E-2</v>
      </c>
      <c r="AV305" s="28">
        <v>9.6158999999999994E-2</v>
      </c>
      <c r="AW305" s="28">
        <v>-0.27546199999999998</v>
      </c>
      <c r="AX305" s="28">
        <v>-5.9617999999999997E-2</v>
      </c>
      <c r="AY305" s="28">
        <v>0.10448200000000001</v>
      </c>
      <c r="AZ305" s="28">
        <v>0.260662</v>
      </c>
      <c r="BA305" s="28">
        <v>6.4059000000000005E-2</v>
      </c>
      <c r="BB305" s="28">
        <v>0.48377900000000001</v>
      </c>
      <c r="BC305" s="27">
        <v>247.3647</v>
      </c>
      <c r="BD305" s="27">
        <v>1968.6967770000001</v>
      </c>
      <c r="BE305" s="27">
        <v>679.20275900000001</v>
      </c>
      <c r="BF305" s="27">
        <v>14.970305</v>
      </c>
      <c r="BG305" s="27">
        <v>6.6798999999999997E-2</v>
      </c>
    </row>
    <row r="306" spans="1:59">
      <c r="A306" s="27">
        <v>65</v>
      </c>
      <c r="B306" s="27">
        <v>49.346508</v>
      </c>
      <c r="C306" s="27">
        <v>-3</v>
      </c>
      <c r="D306" s="27">
        <v>0</v>
      </c>
      <c r="E306" s="28">
        <v>-0.28954200000000002</v>
      </c>
      <c r="F306" s="28">
        <v>-2.6342000000000001E-2</v>
      </c>
      <c r="G306" s="28">
        <v>1.5683940000000001</v>
      </c>
      <c r="H306" s="28">
        <v>-0.72652099999999997</v>
      </c>
      <c r="I306" s="28">
        <v>0.27178600000000003</v>
      </c>
      <c r="J306" s="28">
        <v>0.54248799999999997</v>
      </c>
      <c r="K306" s="28">
        <v>-0.79119200000000001</v>
      </c>
      <c r="L306" s="28">
        <v>-0.59809500000000004</v>
      </c>
      <c r="M306" s="28">
        <v>1.3168979999999999</v>
      </c>
      <c r="N306" s="28">
        <v>-0.54538900000000001</v>
      </c>
      <c r="O306" s="28">
        <v>0.52483999999999997</v>
      </c>
      <c r="P306" s="28">
        <v>-5.1343E-2</v>
      </c>
      <c r="Q306" s="28">
        <v>0.234239</v>
      </c>
      <c r="R306" s="28">
        <v>0.49034499999999998</v>
      </c>
      <c r="S306" s="28">
        <v>0.42064299999999999</v>
      </c>
      <c r="T306" s="28">
        <v>0.93844300000000003</v>
      </c>
      <c r="U306" s="28">
        <v>0.32164999999999999</v>
      </c>
      <c r="V306" s="28">
        <v>-0.40574500000000002</v>
      </c>
      <c r="W306" s="28">
        <v>0.57790799999999998</v>
      </c>
      <c r="X306" s="28">
        <v>0.211648</v>
      </c>
      <c r="Y306" s="28">
        <v>0.21204100000000001</v>
      </c>
      <c r="Z306" s="28">
        <v>0.913906</v>
      </c>
      <c r="AA306" s="28">
        <v>-0.21668699999999999</v>
      </c>
      <c r="AB306" s="28">
        <v>-0.56440500000000005</v>
      </c>
      <c r="AC306" s="28">
        <v>-0.53941899999999998</v>
      </c>
      <c r="AD306" s="28">
        <v>-0.39078499999999999</v>
      </c>
      <c r="AE306" s="28">
        <v>-0.71603399999999995</v>
      </c>
      <c r="AF306" s="28">
        <v>6.7325999999999997E-2</v>
      </c>
      <c r="AG306" s="28">
        <v>-1.0420309999999999</v>
      </c>
      <c r="AH306" s="28">
        <v>0.43470599999999998</v>
      </c>
      <c r="AI306" s="28">
        <v>0.72248199999999996</v>
      </c>
      <c r="AJ306" s="28">
        <v>-0.18853</v>
      </c>
      <c r="AK306" s="28">
        <v>-0.55139899999999997</v>
      </c>
      <c r="AL306" s="28">
        <v>0.35400799999999999</v>
      </c>
      <c r="AM306" s="28">
        <v>-0.44626500000000002</v>
      </c>
      <c r="AN306" s="28">
        <v>1.390476</v>
      </c>
      <c r="AO306" s="28">
        <v>0.22494400000000001</v>
      </c>
      <c r="AP306" s="28">
        <v>0.106922</v>
      </c>
      <c r="AQ306" s="28">
        <v>0.45110600000000001</v>
      </c>
      <c r="AR306" s="28">
        <v>0.75812599999999997</v>
      </c>
      <c r="AS306" s="28">
        <v>-0.61443000000000003</v>
      </c>
      <c r="AT306" s="28">
        <v>8.5474999999999995E-2</v>
      </c>
      <c r="AU306" s="28">
        <v>0.17801500000000001</v>
      </c>
      <c r="AV306" s="28">
        <v>-0.433533</v>
      </c>
      <c r="AW306" s="28">
        <v>0.183701</v>
      </c>
      <c r="AX306" s="28">
        <v>-0.59287900000000004</v>
      </c>
      <c r="AY306" s="28">
        <v>-7.2377999999999998E-2</v>
      </c>
      <c r="AZ306" s="28">
        <v>8.3467E-2</v>
      </c>
      <c r="BA306" s="28">
        <v>-0.358456</v>
      </c>
      <c r="BB306" s="28">
        <v>-1.3597E-2</v>
      </c>
      <c r="BC306" s="27">
        <v>139.13447600000001</v>
      </c>
      <c r="BD306" s="27">
        <v>2337.3847660000001</v>
      </c>
      <c r="BE306" s="27">
        <v>1345.018433</v>
      </c>
      <c r="BF306" s="27">
        <v>27.256609000000001</v>
      </c>
      <c r="BG306" s="27">
        <v>3.6687999999999998E-2</v>
      </c>
    </row>
    <row r="307" spans="1:59">
      <c r="A307" s="27">
        <v>66</v>
      </c>
      <c r="B307" s="27">
        <v>48.719925000000003</v>
      </c>
      <c r="C307" s="27">
        <v>-3</v>
      </c>
      <c r="D307" s="27">
        <v>0</v>
      </c>
      <c r="E307" s="28">
        <v>-1.0969869999999999</v>
      </c>
      <c r="F307" s="28">
        <v>0.38115300000000002</v>
      </c>
      <c r="G307" s="28">
        <v>0.52356899999999995</v>
      </c>
      <c r="H307" s="28">
        <v>-1.714448</v>
      </c>
      <c r="I307" s="28">
        <v>0.639714</v>
      </c>
      <c r="J307" s="28">
        <v>-0.27751399999999998</v>
      </c>
      <c r="K307" s="28">
        <v>0.22517899999999999</v>
      </c>
      <c r="L307" s="28">
        <v>-6.7871000000000001E-2</v>
      </c>
      <c r="M307" s="28">
        <v>-0.26596500000000001</v>
      </c>
      <c r="N307" s="28">
        <v>-3.7038000000000001E-2</v>
      </c>
      <c r="O307" s="28">
        <v>0.65094200000000002</v>
      </c>
      <c r="P307" s="28">
        <v>0.582901</v>
      </c>
      <c r="Q307" s="28">
        <v>-8.2296999999999995E-2</v>
      </c>
      <c r="R307" s="28">
        <v>-8.4670999999999996E-2</v>
      </c>
      <c r="S307" s="28">
        <v>0.24105299999999999</v>
      </c>
      <c r="T307" s="28">
        <v>-0.75668000000000002</v>
      </c>
      <c r="U307" s="28">
        <v>0.73147899999999999</v>
      </c>
      <c r="V307" s="28">
        <v>0.41255500000000001</v>
      </c>
      <c r="W307" s="28">
        <v>1.0205569999999999</v>
      </c>
      <c r="X307" s="28">
        <v>-0.560616</v>
      </c>
      <c r="Y307" s="28">
        <v>0.58199900000000004</v>
      </c>
      <c r="Z307" s="28">
        <v>0.49066700000000002</v>
      </c>
      <c r="AA307" s="28">
        <v>-4.9835999999999998E-2</v>
      </c>
      <c r="AB307" s="28">
        <v>-0.35866700000000001</v>
      </c>
      <c r="AC307" s="28">
        <v>-0.39907399999999998</v>
      </c>
      <c r="AD307" s="28">
        <v>-0.320156</v>
      </c>
      <c r="AE307" s="28">
        <v>0.76829800000000004</v>
      </c>
      <c r="AF307" s="28">
        <v>0.59813700000000003</v>
      </c>
      <c r="AG307" s="28">
        <v>0.13470699999999999</v>
      </c>
      <c r="AH307" s="28">
        <v>-2.4122000000000001E-2</v>
      </c>
      <c r="AI307" s="28">
        <v>-0.28881899999999999</v>
      </c>
      <c r="AJ307" s="28">
        <v>0.23494899999999999</v>
      </c>
      <c r="AK307" s="28">
        <v>-0.14604600000000001</v>
      </c>
      <c r="AL307" s="28">
        <v>-0.34220299999999998</v>
      </c>
      <c r="AM307" s="28">
        <v>0.49519800000000003</v>
      </c>
      <c r="AN307" s="28">
        <v>-5.1220000000000002E-2</v>
      </c>
      <c r="AO307" s="28">
        <v>0.29622199999999999</v>
      </c>
      <c r="AP307" s="28">
        <v>8.8899000000000006E-2</v>
      </c>
      <c r="AQ307" s="28">
        <v>-0.27543400000000001</v>
      </c>
      <c r="AR307" s="28">
        <v>0.28158699999999998</v>
      </c>
      <c r="AS307" s="28">
        <v>1.0194749999999999</v>
      </c>
      <c r="AT307" s="28">
        <v>0.36904300000000001</v>
      </c>
      <c r="AU307" s="28">
        <v>-0.18944</v>
      </c>
      <c r="AV307" s="28">
        <v>-0.14538599999999999</v>
      </c>
      <c r="AW307" s="28">
        <v>-0.33323000000000003</v>
      </c>
      <c r="AX307" s="28">
        <v>0.187026</v>
      </c>
      <c r="AY307" s="28">
        <v>0.28148499999999999</v>
      </c>
      <c r="AZ307" s="28">
        <v>-5.3513999999999999E-2</v>
      </c>
      <c r="BA307" s="28">
        <v>0.41681600000000002</v>
      </c>
      <c r="BB307" s="28">
        <v>-0.14299799999999999</v>
      </c>
      <c r="BC307" s="27">
        <v>143.04063400000001</v>
      </c>
      <c r="BD307" s="27">
        <v>2277.1911620000001</v>
      </c>
      <c r="BE307" s="27">
        <v>916.87182600000006</v>
      </c>
      <c r="BF307" s="27">
        <v>18.819237000000001</v>
      </c>
      <c r="BG307" s="27">
        <v>5.3136999999999997E-2</v>
      </c>
    </row>
    <row r="308" spans="1:59">
      <c r="A308" s="27">
        <v>67</v>
      </c>
      <c r="B308" s="27">
        <v>46.778229000000003</v>
      </c>
      <c r="C308" s="27">
        <v>-3</v>
      </c>
      <c r="D308" s="27">
        <v>0</v>
      </c>
      <c r="E308" s="28">
        <v>1.021855</v>
      </c>
      <c r="F308" s="28">
        <v>-0.51335299999999995</v>
      </c>
      <c r="G308" s="28">
        <v>0.84499000000000002</v>
      </c>
      <c r="H308" s="28">
        <v>0.221779</v>
      </c>
      <c r="I308" s="28">
        <v>-0.345945</v>
      </c>
      <c r="J308" s="28">
        <v>0.38443500000000003</v>
      </c>
      <c r="K308" s="28">
        <v>0.40000599999999997</v>
      </c>
      <c r="L308" s="28">
        <v>0.74851999999999996</v>
      </c>
      <c r="M308" s="28">
        <v>0.67580399999999996</v>
      </c>
      <c r="N308" s="28">
        <v>0.37582700000000002</v>
      </c>
      <c r="O308" s="28">
        <v>-0.451517</v>
      </c>
      <c r="P308" s="28">
        <v>0.72071799999999997</v>
      </c>
      <c r="Q308" s="28">
        <v>-0.823855</v>
      </c>
      <c r="R308" s="28">
        <v>-0.92714300000000005</v>
      </c>
      <c r="S308" s="28">
        <v>-1.432078</v>
      </c>
      <c r="T308" s="28">
        <v>0.16611200000000001</v>
      </c>
      <c r="U308" s="28">
        <v>-0.45099600000000001</v>
      </c>
      <c r="V308" s="28">
        <v>0.71827300000000005</v>
      </c>
      <c r="W308" s="28">
        <v>-1.286106</v>
      </c>
      <c r="X308" s="28">
        <v>0.18909400000000001</v>
      </c>
      <c r="Y308" s="28">
        <v>-0.96882500000000005</v>
      </c>
      <c r="Z308" s="28">
        <v>-0.55457999999999996</v>
      </c>
      <c r="AA308" s="28">
        <v>0.52403</v>
      </c>
      <c r="AB308" s="28">
        <v>-0.97477400000000003</v>
      </c>
      <c r="AC308" s="28">
        <v>0.67058799999999996</v>
      </c>
      <c r="AD308" s="28">
        <v>-0.11078499999999999</v>
      </c>
      <c r="AE308" s="28">
        <v>9.8577999999999999E-2</v>
      </c>
      <c r="AF308" s="28">
        <v>-0.23871600000000001</v>
      </c>
      <c r="AG308" s="28">
        <v>0.54095199999999999</v>
      </c>
      <c r="AH308" s="28">
        <v>-0.807531</v>
      </c>
      <c r="AI308" s="28">
        <v>-0.59443299999999999</v>
      </c>
      <c r="AJ308" s="28">
        <v>0.83320000000000005</v>
      </c>
      <c r="AK308" s="28">
        <v>-7.3070000000000001E-3</v>
      </c>
      <c r="AL308" s="28">
        <v>0.72152400000000005</v>
      </c>
      <c r="AM308" s="28">
        <v>-0.10818999999999999</v>
      </c>
      <c r="AN308" s="28">
        <v>-0.58541900000000002</v>
      </c>
      <c r="AO308" s="28">
        <v>0.47434900000000002</v>
      </c>
      <c r="AP308" s="28">
        <v>-0.68302300000000005</v>
      </c>
      <c r="AQ308" s="28">
        <v>0.82828199999999996</v>
      </c>
      <c r="AR308" s="28">
        <v>-0.40819499999999997</v>
      </c>
      <c r="AS308" s="28">
        <v>0.15193200000000001</v>
      </c>
      <c r="AT308" s="28">
        <v>-0.23450099999999999</v>
      </c>
      <c r="AU308" s="28">
        <v>-0.66697799999999996</v>
      </c>
      <c r="AV308" s="28">
        <v>-0.443963</v>
      </c>
      <c r="AW308" s="28">
        <v>0.68674900000000005</v>
      </c>
      <c r="AX308" s="28">
        <v>-6.0060000000000001E-3</v>
      </c>
      <c r="AY308" s="28">
        <v>-1.1411789999999999</v>
      </c>
      <c r="AZ308" s="28">
        <v>-0.85166600000000003</v>
      </c>
      <c r="BA308" s="28">
        <v>-0.37468200000000002</v>
      </c>
      <c r="BB308" s="28">
        <v>0.48577900000000002</v>
      </c>
      <c r="BC308" s="27">
        <v>168.80857800000001</v>
      </c>
      <c r="BD308" s="27">
        <v>2095.64624</v>
      </c>
      <c r="BE308" s="27">
        <v>1381.475586</v>
      </c>
      <c r="BF308" s="27">
        <v>29.532450000000001</v>
      </c>
      <c r="BG308" s="27">
        <v>3.3861000000000002E-2</v>
      </c>
    </row>
    <row r="309" spans="1:59">
      <c r="A309" s="27">
        <v>68</v>
      </c>
      <c r="B309" s="27">
        <v>58.584372999999999</v>
      </c>
      <c r="C309" s="27">
        <v>-3</v>
      </c>
      <c r="D309" s="27">
        <v>0</v>
      </c>
      <c r="E309" s="28">
        <v>0.59661299999999995</v>
      </c>
      <c r="F309" s="28">
        <v>4.6722E-2</v>
      </c>
      <c r="G309" s="28">
        <v>0.84499000000000002</v>
      </c>
      <c r="H309" s="28">
        <v>0.70559700000000003</v>
      </c>
      <c r="I309" s="28">
        <v>-0.26948</v>
      </c>
      <c r="J309" s="28">
        <v>0.55483099999999996</v>
      </c>
      <c r="K309" s="28">
        <v>0.27463599999999999</v>
      </c>
      <c r="L309" s="28">
        <v>1.007574</v>
      </c>
      <c r="M309" s="28">
        <v>0.67580399999999996</v>
      </c>
      <c r="N309" s="28">
        <v>0.95684100000000005</v>
      </c>
      <c r="O309" s="28">
        <v>-0.33118999999999998</v>
      </c>
      <c r="P309" s="28">
        <v>-0.18388299999999999</v>
      </c>
      <c r="Q309" s="28">
        <v>-0.823855</v>
      </c>
      <c r="R309" s="28">
        <v>-0.293875</v>
      </c>
      <c r="S309" s="28">
        <v>-1.150944</v>
      </c>
      <c r="T309" s="28">
        <v>-4.0208000000000001E-2</v>
      </c>
      <c r="U309" s="28">
        <v>9.1570000000000002E-3</v>
      </c>
      <c r="V309" s="28">
        <v>0.71827300000000005</v>
      </c>
      <c r="W309" s="28">
        <v>-1.014146</v>
      </c>
      <c r="X309" s="28">
        <v>0.18909400000000001</v>
      </c>
      <c r="Y309" s="28">
        <v>-0.137041</v>
      </c>
      <c r="Z309" s="28">
        <v>-1.0149090000000001</v>
      </c>
      <c r="AA309" s="28">
        <v>0.36501</v>
      </c>
      <c r="AB309" s="28">
        <v>-0.16683000000000001</v>
      </c>
      <c r="AC309" s="28">
        <v>-9.7029000000000004E-2</v>
      </c>
      <c r="AD309" s="28">
        <v>-0.11078499999999999</v>
      </c>
      <c r="AE309" s="28">
        <v>0.140847</v>
      </c>
      <c r="AF309" s="28">
        <v>0.76027500000000003</v>
      </c>
      <c r="AG309" s="28">
        <v>1.0447329999999999</v>
      </c>
      <c r="AH309" s="28">
        <v>-0.81359599999999999</v>
      </c>
      <c r="AI309" s="28">
        <v>-0.56049700000000002</v>
      </c>
      <c r="AJ309" s="28">
        <v>0.66468400000000005</v>
      </c>
      <c r="AK309" s="28">
        <v>-0.12205000000000001</v>
      </c>
      <c r="AL309" s="28">
        <v>-4.761E-2</v>
      </c>
      <c r="AM309" s="28">
        <v>4.7496999999999998E-2</v>
      </c>
      <c r="AN309" s="28">
        <v>-0.35219299999999998</v>
      </c>
      <c r="AO309" s="28">
        <v>-1.0246930000000001</v>
      </c>
      <c r="AP309" s="28">
        <v>-0.32544699999999999</v>
      </c>
      <c r="AQ309" s="28">
        <v>-0.489591</v>
      </c>
      <c r="AR309" s="28">
        <v>-0.74582700000000002</v>
      </c>
      <c r="AS309" s="28">
        <v>0.11329599999999999</v>
      </c>
      <c r="AT309" s="28">
        <v>-1.3594470000000001</v>
      </c>
      <c r="AU309" s="28">
        <v>0.52810699999999999</v>
      </c>
      <c r="AV309" s="28">
        <v>0.12609799999999999</v>
      </c>
      <c r="AW309" s="28">
        <v>-0.71600699999999995</v>
      </c>
      <c r="AX309" s="28">
        <v>-0.18382399999999999</v>
      </c>
      <c r="AY309" s="28">
        <v>0.247616</v>
      </c>
      <c r="AZ309" s="28">
        <v>1.6714249999999999</v>
      </c>
      <c r="BA309" s="28">
        <v>-0.43859100000000001</v>
      </c>
      <c r="BB309" s="28">
        <v>-0.45567000000000002</v>
      </c>
      <c r="BC309" s="27">
        <v>121.294617</v>
      </c>
      <c r="BD309" s="27">
        <v>3315.959961</v>
      </c>
      <c r="BE309" s="27">
        <v>1177.1942140000001</v>
      </c>
      <c r="BF309" s="27">
        <v>20.093996000000001</v>
      </c>
      <c r="BG309" s="27">
        <v>4.9765999999999998E-2</v>
      </c>
    </row>
    <row r="310" spans="1:59">
      <c r="A310" s="27">
        <v>69</v>
      </c>
      <c r="B310" s="27">
        <v>49.668033999999999</v>
      </c>
      <c r="C310" s="27">
        <v>-3</v>
      </c>
      <c r="D310" s="27">
        <v>0</v>
      </c>
      <c r="E310" s="28">
        <v>-1.3680110000000001</v>
      </c>
      <c r="F310" s="28">
        <v>-0.85349200000000003</v>
      </c>
      <c r="G310" s="28">
        <v>0.48217700000000002</v>
      </c>
      <c r="H310" s="28">
        <v>0.32085900000000001</v>
      </c>
      <c r="I310" s="28">
        <v>0.36048200000000002</v>
      </c>
      <c r="J310" s="28">
        <v>6.2484999999999999E-2</v>
      </c>
      <c r="K310" s="28">
        <v>-0.42971900000000002</v>
      </c>
      <c r="L310" s="28">
        <v>2.7362000000000001E-2</v>
      </c>
      <c r="M310" s="28">
        <v>-0.67951099999999998</v>
      </c>
      <c r="N310" s="28">
        <v>0.74470199999999998</v>
      </c>
      <c r="O310" s="28">
        <v>-0.92654300000000001</v>
      </c>
      <c r="P310" s="28">
        <v>0.70228500000000005</v>
      </c>
      <c r="Q310" s="28">
        <v>-0.35286000000000001</v>
      </c>
      <c r="R310" s="28">
        <v>-0.65729199999999999</v>
      </c>
      <c r="S310" s="28">
        <v>8.7060000000000002E-3</v>
      </c>
      <c r="T310" s="28">
        <v>-0.23127600000000001</v>
      </c>
      <c r="U310" s="28">
        <v>0.38279999999999997</v>
      </c>
      <c r="V310" s="28">
        <v>0.34945500000000002</v>
      </c>
      <c r="W310" s="28">
        <v>0.35790499999999997</v>
      </c>
      <c r="X310" s="28">
        <v>-5.0867000000000002E-2</v>
      </c>
      <c r="Y310" s="28">
        <v>6.5620999999999999E-2</v>
      </c>
      <c r="Z310" s="28">
        <v>-4.7824999999999999E-2</v>
      </c>
      <c r="AA310" s="28">
        <v>-0.45417400000000002</v>
      </c>
      <c r="AB310" s="28">
        <v>0.74773699999999999</v>
      </c>
      <c r="AC310" s="28">
        <v>-0.56772599999999995</v>
      </c>
      <c r="AD310" s="28">
        <v>-0.43990400000000002</v>
      </c>
      <c r="AE310" s="28">
        <v>-1.2277720000000001</v>
      </c>
      <c r="AF310" s="28">
        <v>0.17562</v>
      </c>
      <c r="AG310" s="28">
        <v>-0.23658100000000001</v>
      </c>
      <c r="AH310" s="28">
        <v>0.42153099999999999</v>
      </c>
      <c r="AI310" s="28">
        <v>0.36602099999999999</v>
      </c>
      <c r="AJ310" s="28">
        <v>0.14546000000000001</v>
      </c>
      <c r="AK310" s="28">
        <v>-0.872834</v>
      </c>
      <c r="AL310" s="28">
        <v>0.30730499999999999</v>
      </c>
      <c r="AM310" s="28">
        <v>-0.37290299999999998</v>
      </c>
      <c r="AN310" s="28">
        <v>1.3538380000000001</v>
      </c>
      <c r="AO310" s="28">
        <v>0.26966800000000002</v>
      </c>
      <c r="AP310" s="28">
        <v>-7.5999999999999998E-2</v>
      </c>
      <c r="AQ310" s="28">
        <v>1.0184120000000001</v>
      </c>
      <c r="AR310" s="28">
        <v>0.90351499999999996</v>
      </c>
      <c r="AS310" s="28">
        <v>-0.62914400000000004</v>
      </c>
      <c r="AT310" s="28">
        <v>0.36584800000000001</v>
      </c>
      <c r="AU310" s="28">
        <v>0.42481200000000002</v>
      </c>
      <c r="AV310" s="28">
        <v>8.4759000000000001E-2</v>
      </c>
      <c r="AW310" s="28">
        <v>0.23393800000000001</v>
      </c>
      <c r="AX310" s="28">
        <v>2.0317999999999999E-2</v>
      </c>
      <c r="AY310" s="28">
        <v>0.14291599999999999</v>
      </c>
      <c r="AZ310" s="28">
        <v>-0.20235700000000001</v>
      </c>
      <c r="BA310" s="28">
        <v>-0.28637400000000002</v>
      </c>
      <c r="BB310" s="28">
        <v>-0.131299</v>
      </c>
      <c r="BC310" s="27">
        <v>110.81521600000001</v>
      </c>
      <c r="BD310" s="27">
        <v>2368.577393</v>
      </c>
      <c r="BE310" s="27">
        <v>1257.7016599999999</v>
      </c>
      <c r="BF310" s="27">
        <v>25.322154999999999</v>
      </c>
      <c r="BG310" s="27">
        <v>3.9490999999999998E-2</v>
      </c>
    </row>
    <row r="311" spans="1:59">
      <c r="A311" s="27">
        <v>70</v>
      </c>
      <c r="B311" s="27">
        <v>50.076698</v>
      </c>
      <c r="C311" s="27">
        <v>-3</v>
      </c>
      <c r="D311" s="27">
        <v>0</v>
      </c>
      <c r="E311" s="28">
        <v>0.94180900000000001</v>
      </c>
      <c r="F311" s="28">
        <v>-0.96661600000000003</v>
      </c>
      <c r="G311" s="28">
        <v>-1.701E-3</v>
      </c>
      <c r="H311" s="28">
        <v>-0.54540299999999997</v>
      </c>
      <c r="I311" s="28">
        <v>-0.43832100000000002</v>
      </c>
      <c r="J311" s="28">
        <v>-1.4298390000000001</v>
      </c>
      <c r="K311" s="28">
        <v>0.92647900000000005</v>
      </c>
      <c r="L311" s="28">
        <v>-0.78257600000000005</v>
      </c>
      <c r="M311" s="28">
        <v>0.45502300000000001</v>
      </c>
      <c r="N311" s="28">
        <v>0.18059900000000001</v>
      </c>
      <c r="O311" s="28">
        <v>-0.34862500000000002</v>
      </c>
      <c r="P311" s="28">
        <v>-0.84838400000000003</v>
      </c>
      <c r="Q311" s="28">
        <v>0.65981699999999999</v>
      </c>
      <c r="R311" s="28">
        <v>-1.4716579999999999</v>
      </c>
      <c r="S311" s="28">
        <v>1.3420000000000001E-3</v>
      </c>
      <c r="T311" s="28">
        <v>-3.8100000000000002E-2</v>
      </c>
      <c r="U311" s="28">
        <v>-0.96284999999999998</v>
      </c>
      <c r="V311" s="28">
        <v>0.84333599999999997</v>
      </c>
      <c r="W311" s="28">
        <v>0.60397100000000004</v>
      </c>
      <c r="X311" s="28">
        <v>-1.6871149999999999</v>
      </c>
      <c r="Y311" s="28">
        <v>-0.68394600000000005</v>
      </c>
      <c r="Z311" s="28">
        <v>0.35351500000000002</v>
      </c>
      <c r="AA311" s="28">
        <v>0.96839200000000003</v>
      </c>
      <c r="AB311" s="28">
        <v>0.25067600000000001</v>
      </c>
      <c r="AC311" s="28">
        <v>-0.779752</v>
      </c>
      <c r="AD311" s="28">
        <v>-0.34521099999999999</v>
      </c>
      <c r="AE311" s="28">
        <v>-0.21026900000000001</v>
      </c>
      <c r="AF311" s="28">
        <v>-0.109163</v>
      </c>
      <c r="AG311" s="28">
        <v>-0.66417000000000004</v>
      </c>
      <c r="AH311" s="28">
        <v>-0.28645100000000001</v>
      </c>
      <c r="AI311" s="28">
        <v>0.462646</v>
      </c>
      <c r="AJ311" s="28">
        <v>-0.72480699999999998</v>
      </c>
      <c r="AK311" s="28">
        <v>-0.29299199999999997</v>
      </c>
      <c r="AL311" s="28">
        <v>-0.711063</v>
      </c>
      <c r="AM311" s="28">
        <v>-0.151256</v>
      </c>
      <c r="AN311" s="28">
        <v>0.544937</v>
      </c>
      <c r="AO311" s="28">
        <v>-5.1728000000000003E-2</v>
      </c>
      <c r="AP311" s="28">
        <v>0.20899300000000001</v>
      </c>
      <c r="AQ311" s="28">
        <v>0.34592299999999998</v>
      </c>
      <c r="AR311" s="28">
        <v>1.1479E-2</v>
      </c>
      <c r="AS311" s="28">
        <v>3.9641000000000003E-2</v>
      </c>
      <c r="AT311" s="28">
        <v>-0.27148800000000001</v>
      </c>
      <c r="AU311" s="28">
        <v>0.63138300000000003</v>
      </c>
      <c r="AV311" s="28">
        <v>-0.18917700000000001</v>
      </c>
      <c r="AW311" s="28">
        <v>-2.0919E-2</v>
      </c>
      <c r="AX311" s="28">
        <v>3.1E-2</v>
      </c>
      <c r="AY311" s="28">
        <v>0.81748600000000005</v>
      </c>
      <c r="AZ311" s="28">
        <v>7.2108000000000005E-2</v>
      </c>
      <c r="BA311" s="28">
        <v>0.32081100000000001</v>
      </c>
      <c r="BB311" s="28">
        <v>-1.014561</v>
      </c>
      <c r="BC311" s="27">
        <v>147.89006000000001</v>
      </c>
      <c r="BD311" s="27">
        <v>2408.5222170000002</v>
      </c>
      <c r="BE311" s="27">
        <v>989.06115699999998</v>
      </c>
      <c r="BF311" s="27">
        <v>19.750927000000001</v>
      </c>
      <c r="BG311" s="27">
        <v>5.0631000000000002E-2</v>
      </c>
    </row>
    <row r="312" spans="1:59">
      <c r="A312" s="27">
        <v>71</v>
      </c>
      <c r="B312" s="27">
        <v>46.839354999999998</v>
      </c>
      <c r="C312" s="27">
        <v>-3</v>
      </c>
      <c r="D312" s="27">
        <v>0</v>
      </c>
      <c r="E312" s="28">
        <v>0.42886099999999999</v>
      </c>
      <c r="F312" s="28">
        <v>0.18281</v>
      </c>
      <c r="G312" s="28">
        <v>1.0113160000000001</v>
      </c>
      <c r="H312" s="28">
        <v>0.833758</v>
      </c>
      <c r="I312" s="28">
        <v>0.72736800000000001</v>
      </c>
      <c r="J312" s="28">
        <v>-0.48835600000000001</v>
      </c>
      <c r="K312" s="28">
        <v>-0.16409099999999999</v>
      </c>
      <c r="L312" s="28">
        <v>-0.22639899999999999</v>
      </c>
      <c r="M312" s="28">
        <v>0.76419000000000004</v>
      </c>
      <c r="N312" s="28">
        <v>-0.41230899999999998</v>
      </c>
      <c r="O312" s="28">
        <v>-0.58820700000000004</v>
      </c>
      <c r="P312" s="28">
        <v>0.37289</v>
      </c>
      <c r="Q312" s="28">
        <v>0.71107600000000004</v>
      </c>
      <c r="R312" s="28">
        <v>0.64318900000000001</v>
      </c>
      <c r="S312" s="28">
        <v>-0.59041600000000005</v>
      </c>
      <c r="T312" s="28">
        <v>-0.56031699999999995</v>
      </c>
      <c r="U312" s="28">
        <v>0.85442700000000005</v>
      </c>
      <c r="V312" s="28">
        <v>0.48623899999999998</v>
      </c>
      <c r="W312" s="28">
        <v>0.99421999999999999</v>
      </c>
      <c r="X312" s="28">
        <v>-0.44461099999999998</v>
      </c>
      <c r="Y312" s="28">
        <v>0.23882300000000001</v>
      </c>
      <c r="Z312" s="28">
        <v>0.48824099999999998</v>
      </c>
      <c r="AA312" s="28">
        <v>0.91266999999999998</v>
      </c>
      <c r="AB312" s="28">
        <v>5.1566000000000001E-2</v>
      </c>
      <c r="AC312" s="28">
        <v>-0.99329400000000001</v>
      </c>
      <c r="AD312" s="28">
        <v>5.9742999999999997E-2</v>
      </c>
      <c r="AE312" s="28">
        <v>-0.17322599999999999</v>
      </c>
      <c r="AF312" s="28">
        <v>1.065191</v>
      </c>
      <c r="AG312" s="28">
        <v>-0.446432</v>
      </c>
      <c r="AH312" s="28">
        <v>-0.13075000000000001</v>
      </c>
      <c r="AI312" s="28">
        <v>-0.18707499999999999</v>
      </c>
      <c r="AJ312" s="28">
        <v>0.33366000000000001</v>
      </c>
      <c r="AK312" s="28">
        <v>4.9646999999999997E-2</v>
      </c>
      <c r="AL312" s="28">
        <v>-0.68306999999999995</v>
      </c>
      <c r="AM312" s="28">
        <v>0.78821300000000005</v>
      </c>
      <c r="AN312" s="28">
        <v>-0.71343599999999996</v>
      </c>
      <c r="AO312" s="28">
        <v>0.37558200000000003</v>
      </c>
      <c r="AP312" s="28">
        <v>2.1198000000000002E-2</v>
      </c>
      <c r="AQ312" s="28">
        <v>-0.47781099999999999</v>
      </c>
      <c r="AR312" s="28">
        <v>0.312745</v>
      </c>
      <c r="AS312" s="28">
        <v>0.65036899999999997</v>
      </c>
      <c r="AT312" s="28">
        <v>0.23480300000000001</v>
      </c>
      <c r="AU312" s="28">
        <v>-0.142844</v>
      </c>
      <c r="AV312" s="28">
        <v>-0.59527600000000003</v>
      </c>
      <c r="AW312" s="28">
        <v>-0.73792599999999997</v>
      </c>
      <c r="AX312" s="28">
        <v>0.15395300000000001</v>
      </c>
      <c r="AY312" s="28">
        <v>0.56127000000000005</v>
      </c>
      <c r="AZ312" s="28">
        <v>-0.22265699999999999</v>
      </c>
      <c r="BA312" s="28">
        <v>0.32146200000000003</v>
      </c>
      <c r="BB312" s="28">
        <v>-0.23855599999999999</v>
      </c>
      <c r="BC312" s="27">
        <v>86.890518</v>
      </c>
      <c r="BD312" s="27">
        <v>2101.2465820000002</v>
      </c>
      <c r="BE312" s="27">
        <v>1224.6263429999999</v>
      </c>
      <c r="BF312" s="27">
        <v>26.145244999999999</v>
      </c>
      <c r="BG312" s="27">
        <v>3.8247999999999997E-2</v>
      </c>
    </row>
    <row r="313" spans="1:59">
      <c r="A313" s="27">
        <v>72</v>
      </c>
      <c r="B313" s="27">
        <v>47.306831000000003</v>
      </c>
      <c r="C313" s="27">
        <v>-3</v>
      </c>
      <c r="D313" s="27">
        <v>0</v>
      </c>
      <c r="E313" s="28">
        <v>0.70405300000000004</v>
      </c>
      <c r="F313" s="28">
        <v>0.189886</v>
      </c>
      <c r="G313" s="28">
        <v>-0.29790899999999998</v>
      </c>
      <c r="H313" s="28">
        <v>0.97846299999999997</v>
      </c>
      <c r="I313" s="28">
        <v>0.29230600000000001</v>
      </c>
      <c r="J313" s="28">
        <v>-2.6873999999999999E-2</v>
      </c>
      <c r="K313" s="28">
        <v>0.130222</v>
      </c>
      <c r="L313" s="28">
        <v>-0.67488000000000004</v>
      </c>
      <c r="M313" s="28">
        <v>0.447604</v>
      </c>
      <c r="N313" s="28">
        <v>-0.91737900000000006</v>
      </c>
      <c r="O313" s="28">
        <v>-0.26982699999999998</v>
      </c>
      <c r="P313" s="28">
        <v>-1.6246039999999999</v>
      </c>
      <c r="Q313" s="28">
        <v>0.86949500000000002</v>
      </c>
      <c r="R313" s="28">
        <v>-0.86700600000000005</v>
      </c>
      <c r="S313" s="28">
        <v>0.37614900000000001</v>
      </c>
      <c r="T313" s="28">
        <v>0.39145999999999997</v>
      </c>
      <c r="U313" s="28">
        <v>-0.40725499999999998</v>
      </c>
      <c r="V313" s="28">
        <v>0.84033400000000003</v>
      </c>
      <c r="W313" s="28">
        <v>-0.634104</v>
      </c>
      <c r="X313" s="28">
        <v>-1.3065999999999999E-2</v>
      </c>
      <c r="Y313" s="28">
        <v>-0.312776</v>
      </c>
      <c r="Z313" s="28">
        <v>0.60697900000000005</v>
      </c>
      <c r="AA313" s="28">
        <v>1.4918089999999999</v>
      </c>
      <c r="AB313" s="28">
        <v>-0.98450700000000002</v>
      </c>
      <c r="AC313" s="28">
        <v>-0.138104</v>
      </c>
      <c r="AD313" s="28">
        <v>-0.28716900000000001</v>
      </c>
      <c r="AE313" s="28">
        <v>9.7927E-2</v>
      </c>
      <c r="AF313" s="28">
        <v>0.58560199999999996</v>
      </c>
      <c r="AG313" s="28">
        <v>-0.20683799999999999</v>
      </c>
      <c r="AH313" s="28">
        <v>-1.0295780000000001</v>
      </c>
      <c r="AI313" s="28">
        <v>0.74508399999999997</v>
      </c>
      <c r="AJ313" s="28">
        <v>-0.89406799999999997</v>
      </c>
      <c r="AK313" s="28">
        <v>0.24113499999999999</v>
      </c>
      <c r="AL313" s="28">
        <v>-0.90995199999999998</v>
      </c>
      <c r="AM313" s="28">
        <v>-0.16833400000000001</v>
      </c>
      <c r="AN313" s="28">
        <v>0.35755399999999998</v>
      </c>
      <c r="AO313" s="28">
        <v>0.13730800000000001</v>
      </c>
      <c r="AP313" s="28">
        <v>0.11741600000000001</v>
      </c>
      <c r="AQ313" s="28">
        <v>-0.51264600000000005</v>
      </c>
      <c r="AR313" s="28">
        <v>0.27145900000000001</v>
      </c>
      <c r="AS313" s="28">
        <v>2.0532999999999999E-2</v>
      </c>
      <c r="AT313" s="28">
        <v>-0.29658800000000002</v>
      </c>
      <c r="AU313" s="28">
        <v>0.13769799999999999</v>
      </c>
      <c r="AV313" s="28">
        <v>-0.25645200000000001</v>
      </c>
      <c r="AW313" s="28">
        <v>0.118328</v>
      </c>
      <c r="AX313" s="28">
        <v>-0.45146999999999998</v>
      </c>
      <c r="AY313" s="28">
        <v>0.21507899999999999</v>
      </c>
      <c r="AZ313" s="28">
        <v>0.360684</v>
      </c>
      <c r="BA313" s="28">
        <v>0.100983</v>
      </c>
      <c r="BB313" s="28">
        <v>-0.111281</v>
      </c>
      <c r="BC313" s="27">
        <v>99.122421000000003</v>
      </c>
      <c r="BD313" s="27">
        <v>2144.32251</v>
      </c>
      <c r="BE313" s="27">
        <v>1229.5235600000001</v>
      </c>
      <c r="BF313" s="27">
        <v>25.990404000000002</v>
      </c>
      <c r="BG313" s="27">
        <v>3.8476000000000003E-2</v>
      </c>
    </row>
    <row r="314" spans="1:59">
      <c r="A314" s="27">
        <v>73</v>
      </c>
      <c r="B314" s="27">
        <v>47.375214</v>
      </c>
      <c r="C314" s="27">
        <v>-3</v>
      </c>
      <c r="D314" s="27">
        <v>0</v>
      </c>
      <c r="E314" s="28">
        <v>0.316693</v>
      </c>
      <c r="F314" s="28">
        <v>-0.30018699999999998</v>
      </c>
      <c r="G314" s="28">
        <v>-0.70582500000000004</v>
      </c>
      <c r="H314" s="28">
        <v>0.21092900000000001</v>
      </c>
      <c r="I314" s="28">
        <v>-0.81134099999999998</v>
      </c>
      <c r="J314" s="28">
        <v>-0.33339000000000002</v>
      </c>
      <c r="K314" s="28">
        <v>0.41412199999999999</v>
      </c>
      <c r="L314" s="28">
        <v>-0.91388100000000005</v>
      </c>
      <c r="M314" s="28">
        <v>-1.8170280000000001</v>
      </c>
      <c r="N314" s="28">
        <v>-0.71457499999999996</v>
      </c>
      <c r="O314" s="28">
        <v>0.46987699999999999</v>
      </c>
      <c r="P314" s="28">
        <v>6.9020000000000001E-3</v>
      </c>
      <c r="Q314" s="28">
        <v>0.932979</v>
      </c>
      <c r="R314" s="28">
        <v>1.0265759999999999</v>
      </c>
      <c r="S314" s="28">
        <v>-0.88664900000000002</v>
      </c>
      <c r="T314" s="28">
        <v>-0.56404299999999996</v>
      </c>
      <c r="U314" s="28">
        <v>-0.33663900000000002</v>
      </c>
      <c r="V314" s="28">
        <v>0.63464299999999996</v>
      </c>
      <c r="W314" s="28">
        <v>0.285107</v>
      </c>
      <c r="X314" s="28">
        <v>0.50770700000000002</v>
      </c>
      <c r="Y314" s="28">
        <v>0.32968599999999998</v>
      </c>
      <c r="Z314" s="28">
        <v>-0.38834800000000003</v>
      </c>
      <c r="AA314" s="28">
        <v>-0.62957300000000005</v>
      </c>
      <c r="AB314" s="28">
        <v>-0.13575200000000001</v>
      </c>
      <c r="AC314" s="28">
        <v>0.428365</v>
      </c>
      <c r="AD314" s="28">
        <v>-0.84453699999999998</v>
      </c>
      <c r="AE314" s="28">
        <v>-0.49519099999999999</v>
      </c>
      <c r="AF314" s="28">
        <v>0.81726100000000002</v>
      </c>
      <c r="AG314" s="28">
        <v>4.4997000000000002E-2</v>
      </c>
      <c r="AH314" s="28">
        <v>-3.4559999999999999E-3</v>
      </c>
      <c r="AI314" s="28">
        <v>4.2220000000000001E-2</v>
      </c>
      <c r="AJ314" s="28">
        <v>0.746112</v>
      </c>
      <c r="AK314" s="28">
        <v>-0.18641099999999999</v>
      </c>
      <c r="AL314" s="28">
        <v>-0.59467499999999995</v>
      </c>
      <c r="AM314" s="28">
        <v>-0.77396699999999996</v>
      </c>
      <c r="AN314" s="28">
        <v>-1.7034000000000001E-2</v>
      </c>
      <c r="AO314" s="28">
        <v>0.89082099999999997</v>
      </c>
      <c r="AP314" s="28">
        <v>-0.36768200000000001</v>
      </c>
      <c r="AQ314" s="28">
        <v>-0.33218700000000001</v>
      </c>
      <c r="AR314" s="28">
        <v>0.15631100000000001</v>
      </c>
      <c r="AS314" s="28">
        <v>0.50167499999999998</v>
      </c>
      <c r="AT314" s="28">
        <v>0.95774199999999998</v>
      </c>
      <c r="AU314" s="28">
        <v>0.69609699999999997</v>
      </c>
      <c r="AV314" s="28">
        <v>0.19927600000000001</v>
      </c>
      <c r="AW314" s="28">
        <v>1.5352520000000001</v>
      </c>
      <c r="AX314" s="28">
        <v>0.27076899999999998</v>
      </c>
      <c r="AY314" s="28">
        <v>1.7179999999999999E-3</v>
      </c>
      <c r="AZ314" s="28">
        <v>-0.28248600000000001</v>
      </c>
      <c r="BA314" s="28">
        <v>-0.32857199999999998</v>
      </c>
      <c r="BB314" s="28">
        <v>-0.18800900000000001</v>
      </c>
      <c r="BC314" s="27">
        <v>146.70155299999999</v>
      </c>
      <c r="BD314" s="27">
        <v>2150.6604000000002</v>
      </c>
      <c r="BE314" s="27">
        <v>821.95361300000002</v>
      </c>
      <c r="BF314" s="27">
        <v>17.349867</v>
      </c>
      <c r="BG314" s="27">
        <v>5.7637000000000001E-2</v>
      </c>
    </row>
    <row r="315" spans="1:59">
      <c r="A315" s="27">
        <v>74</v>
      </c>
      <c r="B315" s="27">
        <v>41.771571999999999</v>
      </c>
      <c r="C315" s="27">
        <v>-3</v>
      </c>
      <c r="D315" s="27">
        <v>0</v>
      </c>
      <c r="E315" s="28">
        <v>-1.0345310000000001</v>
      </c>
      <c r="F315" s="28">
        <v>1.1446890000000001</v>
      </c>
      <c r="G315" s="28">
        <v>0.27109</v>
      </c>
      <c r="H315" s="28">
        <v>0.61382199999999998</v>
      </c>
      <c r="I315" s="28">
        <v>-0.62524100000000005</v>
      </c>
      <c r="J315" s="28">
        <v>0.57052199999999997</v>
      </c>
      <c r="K315" s="28">
        <v>-0.77776800000000001</v>
      </c>
      <c r="L315" s="28">
        <v>0.75486200000000003</v>
      </c>
      <c r="M315" s="28">
        <v>-0.90419799999999995</v>
      </c>
      <c r="N315" s="28">
        <v>-0.95964000000000005</v>
      </c>
      <c r="O315" s="28">
        <v>1.5676810000000001</v>
      </c>
      <c r="P315" s="28">
        <v>-0.53586599999999995</v>
      </c>
      <c r="Q315" s="28">
        <v>-0.13311999999999999</v>
      </c>
      <c r="R315" s="28">
        <v>-0.63129900000000005</v>
      </c>
      <c r="S315" s="28">
        <v>-0.530088</v>
      </c>
      <c r="T315" s="28">
        <v>-0.336281</v>
      </c>
      <c r="U315" s="28">
        <v>0.83720000000000006</v>
      </c>
      <c r="V315" s="28">
        <v>0.53286100000000003</v>
      </c>
      <c r="W315" s="28">
        <v>-0.76175300000000001</v>
      </c>
      <c r="X315" s="28">
        <v>-0.40066299999999999</v>
      </c>
      <c r="Y315" s="28">
        <v>-0.217838</v>
      </c>
      <c r="Z315" s="28">
        <v>1.0231159999999999</v>
      </c>
      <c r="AA315" s="28">
        <v>0.89995700000000001</v>
      </c>
      <c r="AB315" s="28">
        <v>0.80369800000000002</v>
      </c>
      <c r="AC315" s="28">
        <v>8.4682999999999994E-2</v>
      </c>
      <c r="AD315" s="28">
        <v>0.111869</v>
      </c>
      <c r="AE315" s="28">
        <v>-0.12438200000000001</v>
      </c>
      <c r="AF315" s="28">
        <v>-0.39358599999999999</v>
      </c>
      <c r="AG315" s="28">
        <v>0.568102</v>
      </c>
      <c r="AH315" s="28">
        <v>-0.31729000000000002</v>
      </c>
      <c r="AI315" s="28">
        <v>0.36620999999999998</v>
      </c>
      <c r="AJ315" s="28">
        <v>-0.26042999999999999</v>
      </c>
      <c r="AK315" s="28">
        <v>-0.30504500000000001</v>
      </c>
      <c r="AL315" s="28">
        <v>0.40236300000000003</v>
      </c>
      <c r="AM315" s="28">
        <v>-0.11082</v>
      </c>
      <c r="AN315" s="28">
        <v>-0.38263599999999998</v>
      </c>
      <c r="AO315" s="28">
        <v>0.49604500000000001</v>
      </c>
      <c r="AP315" s="28">
        <v>0.29136600000000001</v>
      </c>
      <c r="AQ315" s="28">
        <v>0.430145</v>
      </c>
      <c r="AR315" s="28">
        <v>0.112025</v>
      </c>
      <c r="AS315" s="28">
        <v>0.11107400000000001</v>
      </c>
      <c r="AT315" s="28">
        <v>-0.48599999999999999</v>
      </c>
      <c r="AU315" s="28">
        <v>-0.19489500000000001</v>
      </c>
      <c r="AV315" s="28">
        <v>-0.51212599999999997</v>
      </c>
      <c r="AW315" s="28">
        <v>-0.324272</v>
      </c>
      <c r="AX315" s="28">
        <v>-0.34603600000000001</v>
      </c>
      <c r="AY315" s="28">
        <v>-0.31162200000000001</v>
      </c>
      <c r="AZ315" s="28">
        <v>-0.144534</v>
      </c>
      <c r="BA315" s="28">
        <v>4.7342000000000002E-2</v>
      </c>
      <c r="BB315" s="28">
        <v>-0.68689699999999998</v>
      </c>
      <c r="BC315" s="27">
        <v>103.838272</v>
      </c>
      <c r="BD315" s="27">
        <v>1662.3210449999999</v>
      </c>
      <c r="BE315" s="27">
        <v>1052.213379</v>
      </c>
      <c r="BF315" s="27">
        <v>25.189700999999999</v>
      </c>
      <c r="BG315" s="27">
        <v>3.9698999999999998E-2</v>
      </c>
    </row>
    <row r="316" spans="1:59">
      <c r="A316" s="27">
        <v>75</v>
      </c>
      <c r="B316" s="27">
        <v>44.166007999999998</v>
      </c>
      <c r="C316" s="27">
        <v>-3</v>
      </c>
      <c r="D316" s="27">
        <v>0</v>
      </c>
      <c r="E316" s="28">
        <v>0.21737699999999999</v>
      </c>
      <c r="F316" s="28">
        <v>0.14487800000000001</v>
      </c>
      <c r="G316" s="28">
        <v>-0.83955400000000002</v>
      </c>
      <c r="H316" s="28">
        <v>0.16831699999999999</v>
      </c>
      <c r="I316" s="28">
        <v>-0.42879800000000001</v>
      </c>
      <c r="J316" s="28">
        <v>-0.57425800000000005</v>
      </c>
      <c r="K316" s="28">
        <v>-6.8325999999999998E-2</v>
      </c>
      <c r="L316" s="28">
        <v>0.79547000000000001</v>
      </c>
      <c r="M316" s="28">
        <v>9.1750000000000009E-3</v>
      </c>
      <c r="N316" s="28">
        <v>0.315826</v>
      </c>
      <c r="O316" s="28">
        <v>1.2041200000000001</v>
      </c>
      <c r="P316" s="28">
        <v>-7.6033000000000003E-2</v>
      </c>
      <c r="Q316" s="28">
        <v>0.93650800000000001</v>
      </c>
      <c r="R316" s="28">
        <v>0.87146000000000001</v>
      </c>
      <c r="S316" s="28">
        <v>-0.58244700000000005</v>
      </c>
      <c r="T316" s="28">
        <v>-0.60894499999999996</v>
      </c>
      <c r="U316" s="28">
        <v>-0.24179700000000001</v>
      </c>
      <c r="V316" s="28">
        <v>0.119975</v>
      </c>
      <c r="W316" s="28">
        <v>-0.27732800000000002</v>
      </c>
      <c r="X316" s="28">
        <v>-0.52818399999999999</v>
      </c>
      <c r="Y316" s="28">
        <v>0.342223</v>
      </c>
      <c r="Z316" s="28">
        <v>0.34368199999999999</v>
      </c>
      <c r="AA316" s="28">
        <v>-1.144153</v>
      </c>
      <c r="AB316" s="28">
        <v>-0.16705</v>
      </c>
      <c r="AC316" s="28">
        <v>0.34206300000000001</v>
      </c>
      <c r="AD316" s="28">
        <v>-0.57966200000000001</v>
      </c>
      <c r="AE316" s="28">
        <v>0.696214</v>
      </c>
      <c r="AF316" s="28">
        <v>-7.7374999999999999E-2</v>
      </c>
      <c r="AG316" s="28">
        <v>0.75925299999999996</v>
      </c>
      <c r="AH316" s="28">
        <v>0.36561700000000003</v>
      </c>
      <c r="AI316" s="28">
        <v>-0.112899</v>
      </c>
      <c r="AJ316" s="28">
        <v>7.0718000000000003E-2</v>
      </c>
      <c r="AK316" s="28">
        <v>9.0939999999999997E-3</v>
      </c>
      <c r="AL316" s="28">
        <v>0.42084100000000002</v>
      </c>
      <c r="AM316" s="28">
        <v>-1.1668130000000001</v>
      </c>
      <c r="AN316" s="28">
        <v>0.571635</v>
      </c>
      <c r="AO316" s="28">
        <v>-0.52815400000000001</v>
      </c>
      <c r="AP316" s="28">
        <v>-0.22562499999999999</v>
      </c>
      <c r="AQ316" s="28">
        <v>-0.25958500000000001</v>
      </c>
      <c r="AR316" s="28">
        <v>-0.49524000000000001</v>
      </c>
      <c r="AS316" s="28">
        <v>0.14766899999999999</v>
      </c>
      <c r="AT316" s="28">
        <v>-0.66093599999999997</v>
      </c>
      <c r="AU316" s="28">
        <v>-0.51466999999999996</v>
      </c>
      <c r="AV316" s="28">
        <v>-0.41141299999999997</v>
      </c>
      <c r="AW316" s="28">
        <v>0.63375700000000001</v>
      </c>
      <c r="AX316" s="28">
        <v>-0.43501099999999998</v>
      </c>
      <c r="AY316" s="28">
        <v>-0.49466100000000002</v>
      </c>
      <c r="AZ316" s="28">
        <v>-0.43436900000000001</v>
      </c>
      <c r="BA316" s="28">
        <v>-0.17350699999999999</v>
      </c>
      <c r="BB316" s="28">
        <v>-0.82518999999999998</v>
      </c>
      <c r="BC316" s="27">
        <v>76.127266000000006</v>
      </c>
      <c r="BD316" s="27">
        <v>1863.3041989999999</v>
      </c>
      <c r="BE316" s="27">
        <v>1193.6641850000001</v>
      </c>
      <c r="BF316" s="27">
        <v>27.026762000000002</v>
      </c>
      <c r="BG316" s="27">
        <v>3.6999999999999998E-2</v>
      </c>
    </row>
    <row r="317" spans="1:59">
      <c r="A317" s="27">
        <v>76</v>
      </c>
      <c r="B317" s="27">
        <v>54.441192999999998</v>
      </c>
      <c r="C317" s="27">
        <v>-3</v>
      </c>
      <c r="D317" s="27">
        <v>0</v>
      </c>
      <c r="E317" s="28">
        <v>0.14165700000000001</v>
      </c>
      <c r="F317" s="28">
        <v>0.93150100000000002</v>
      </c>
      <c r="G317" s="28">
        <v>0.21973599999999999</v>
      </c>
      <c r="H317" s="28">
        <v>8.7349999999999997E-2</v>
      </c>
      <c r="I317" s="28">
        <v>0.66057299999999997</v>
      </c>
      <c r="J317" s="28">
        <v>0.32617000000000002</v>
      </c>
      <c r="K317" s="28">
        <v>0.486794</v>
      </c>
      <c r="L317" s="28">
        <v>-0.60062700000000002</v>
      </c>
      <c r="M317" s="28">
        <v>1.7281930000000001</v>
      </c>
      <c r="N317" s="28">
        <v>1.279531</v>
      </c>
      <c r="O317" s="28">
        <v>-0.37542500000000001</v>
      </c>
      <c r="P317" s="28">
        <v>-0.86995599999999995</v>
      </c>
      <c r="Q317" s="28">
        <v>-0.88975000000000004</v>
      </c>
      <c r="R317" s="28">
        <v>-1.1213439999999999</v>
      </c>
      <c r="S317" s="28">
        <v>1.2563500000000001</v>
      </c>
      <c r="T317" s="28">
        <v>0.63623399999999997</v>
      </c>
      <c r="U317" s="28">
        <v>0.55337499999999995</v>
      </c>
      <c r="V317" s="28">
        <v>-0.316774</v>
      </c>
      <c r="W317" s="28">
        <v>-0.57559000000000005</v>
      </c>
      <c r="X317" s="28">
        <v>-0.77202599999999999</v>
      </c>
      <c r="Y317" s="28">
        <v>-0.78446899999999997</v>
      </c>
      <c r="Z317" s="28">
        <v>0.47545100000000001</v>
      </c>
      <c r="AA317" s="28">
        <v>0.97257099999999996</v>
      </c>
      <c r="AB317" s="28">
        <v>0.81458900000000001</v>
      </c>
      <c r="AC317" s="28">
        <v>0.34436099999999997</v>
      </c>
      <c r="AD317" s="28">
        <v>4.1963E-2</v>
      </c>
      <c r="AE317" s="28">
        <v>0.81816999999999995</v>
      </c>
      <c r="AF317" s="28">
        <v>0.49418299999999998</v>
      </c>
      <c r="AG317" s="28">
        <v>-0.74974099999999999</v>
      </c>
      <c r="AH317" s="28">
        <v>-1.1178939999999999</v>
      </c>
      <c r="AI317" s="28">
        <v>1.0275810000000001</v>
      </c>
      <c r="AJ317" s="28">
        <v>0.18726499999999999</v>
      </c>
      <c r="AK317" s="28">
        <v>-0.46878799999999998</v>
      </c>
      <c r="AL317" s="28">
        <v>0.21907799999999999</v>
      </c>
      <c r="AM317" s="28">
        <v>0.65311699999999995</v>
      </c>
      <c r="AN317" s="28">
        <v>-0.532003</v>
      </c>
      <c r="AO317" s="28">
        <v>0.80649400000000004</v>
      </c>
      <c r="AP317" s="28">
        <v>-0.388903</v>
      </c>
      <c r="AQ317" s="28">
        <v>-0.21298</v>
      </c>
      <c r="AR317" s="28">
        <v>-0.33707300000000001</v>
      </c>
      <c r="AS317" s="28">
        <v>-1.7750000000000001E-3</v>
      </c>
      <c r="AT317" s="28">
        <v>-0.43126399999999998</v>
      </c>
      <c r="AU317" s="28">
        <v>0.65154900000000004</v>
      </c>
      <c r="AV317" s="28">
        <v>-0.22847300000000001</v>
      </c>
      <c r="AW317" s="28">
        <v>-0.84716899999999995</v>
      </c>
      <c r="AX317" s="28">
        <v>-0.80086500000000005</v>
      </c>
      <c r="AY317" s="28">
        <v>0.213061</v>
      </c>
      <c r="AZ317" s="28">
        <v>-8.6742E-2</v>
      </c>
      <c r="BA317" s="28">
        <v>0.15487300000000001</v>
      </c>
      <c r="BB317" s="28">
        <v>-0.16297900000000001</v>
      </c>
      <c r="BC317" s="27">
        <v>203.27995300000001</v>
      </c>
      <c r="BD317" s="27">
        <v>2855.961182</v>
      </c>
      <c r="BE317" s="27">
        <v>708.44970699999999</v>
      </c>
      <c r="BF317" s="27">
        <v>13.013119</v>
      </c>
      <c r="BG317" s="27">
        <v>7.6845999999999998E-2</v>
      </c>
    </row>
    <row r="318" spans="1:59">
      <c r="A318" s="27">
        <v>77</v>
      </c>
      <c r="B318" s="27">
        <v>41.765403999999997</v>
      </c>
      <c r="C318" s="27">
        <v>-3</v>
      </c>
      <c r="D318" s="27">
        <v>0</v>
      </c>
      <c r="E318" s="28">
        <v>0.94180900000000001</v>
      </c>
      <c r="F318" s="28">
        <v>-0.96661600000000003</v>
      </c>
      <c r="G318" s="28">
        <v>-1.701E-3</v>
      </c>
      <c r="H318" s="28">
        <v>-0.54540299999999997</v>
      </c>
      <c r="I318" s="28">
        <v>-0.43832100000000002</v>
      </c>
      <c r="J318" s="28">
        <v>-1.4298390000000001</v>
      </c>
      <c r="K318" s="28">
        <v>0.92647900000000005</v>
      </c>
      <c r="L318" s="28">
        <v>-0.78257600000000005</v>
      </c>
      <c r="M318" s="28">
        <v>0.45502300000000001</v>
      </c>
      <c r="N318" s="28">
        <v>0.18059900000000001</v>
      </c>
      <c r="O318" s="28">
        <v>-0.34862500000000002</v>
      </c>
      <c r="P318" s="28">
        <v>-0.84838400000000003</v>
      </c>
      <c r="Q318" s="28">
        <v>0.65981699999999999</v>
      </c>
      <c r="R318" s="28">
        <v>-1.4716579999999999</v>
      </c>
      <c r="S318" s="28">
        <v>1.3420000000000001E-3</v>
      </c>
      <c r="T318" s="28">
        <v>-3.8100000000000002E-2</v>
      </c>
      <c r="U318" s="28">
        <v>-0.96284999999999998</v>
      </c>
      <c r="V318" s="28">
        <v>0.84333599999999997</v>
      </c>
      <c r="W318" s="28">
        <v>0.60397100000000004</v>
      </c>
      <c r="X318" s="28">
        <v>-1.6871149999999999</v>
      </c>
      <c r="Y318" s="28">
        <v>-0.68394600000000005</v>
      </c>
      <c r="Z318" s="28">
        <v>0.61243499999999995</v>
      </c>
      <c r="AA318" s="28">
        <v>0.67593400000000003</v>
      </c>
      <c r="AB318" s="28">
        <v>0.32172499999999998</v>
      </c>
      <c r="AC318" s="28">
        <v>-0.48714099999999999</v>
      </c>
      <c r="AD318" s="28">
        <v>-0.543597</v>
      </c>
      <c r="AE318" s="28">
        <v>-0.49929000000000001</v>
      </c>
      <c r="AF318" s="28">
        <v>0.19483600000000001</v>
      </c>
      <c r="AG318" s="28">
        <v>-0.87549399999999999</v>
      </c>
      <c r="AH318" s="28">
        <v>-0.78691800000000001</v>
      </c>
      <c r="AI318" s="28">
        <v>0.32993400000000001</v>
      </c>
      <c r="AJ318" s="28">
        <v>-0.41718</v>
      </c>
      <c r="AK318" s="28">
        <v>-0.23232800000000001</v>
      </c>
      <c r="AL318" s="28">
        <v>-0.99069300000000005</v>
      </c>
      <c r="AM318" s="28">
        <v>-0.44152000000000002</v>
      </c>
      <c r="AN318" s="28">
        <v>-6.2833E-2</v>
      </c>
      <c r="AO318" s="28">
        <v>-6.9667000000000007E-2</v>
      </c>
      <c r="AP318" s="28">
        <v>0.28074100000000002</v>
      </c>
      <c r="AQ318" s="28">
        <v>0.262905</v>
      </c>
      <c r="AR318" s="28">
        <v>0.13527400000000001</v>
      </c>
      <c r="AS318" s="28">
        <v>0.23907500000000001</v>
      </c>
      <c r="AT318" s="28">
        <v>-0.36229600000000001</v>
      </c>
      <c r="AU318" s="28">
        <v>0.51333300000000004</v>
      </c>
      <c r="AV318" s="28">
        <v>-0.54958700000000005</v>
      </c>
      <c r="AW318" s="28">
        <v>-0.17644799999999999</v>
      </c>
      <c r="AX318" s="28">
        <v>-1.173E-3</v>
      </c>
      <c r="AY318" s="28">
        <v>0.99456100000000003</v>
      </c>
      <c r="AZ318" s="28">
        <v>0.322212</v>
      </c>
      <c r="BA318" s="28">
        <v>0.72501300000000002</v>
      </c>
      <c r="BB318" s="28">
        <v>-1.154423</v>
      </c>
      <c r="BC318" s="27">
        <v>139.99292</v>
      </c>
      <c r="BD318" s="27">
        <v>1661.818115</v>
      </c>
      <c r="BE318" s="27">
        <v>897.75707999999997</v>
      </c>
      <c r="BF318" s="27">
        <v>21.495234</v>
      </c>
      <c r="BG318" s="27">
        <v>4.6522000000000001E-2</v>
      </c>
    </row>
    <row r="319" spans="1:59">
      <c r="A319" s="27">
        <v>78</v>
      </c>
      <c r="B319" s="27">
        <v>46.610035000000003</v>
      </c>
      <c r="C319" s="27">
        <v>-3</v>
      </c>
      <c r="D319" s="27">
        <v>0</v>
      </c>
      <c r="E319" s="28">
        <v>0.74165199999999998</v>
      </c>
      <c r="F319" s="28">
        <v>0.26011600000000001</v>
      </c>
      <c r="G319" s="28">
        <v>-0.19200700000000001</v>
      </c>
      <c r="H319" s="28">
        <v>0.39093</v>
      </c>
      <c r="I319" s="28">
        <v>0.431419</v>
      </c>
      <c r="J319" s="28">
        <v>-0.22012899999999999</v>
      </c>
      <c r="K319" s="28">
        <v>1.2590239999999999</v>
      </c>
      <c r="L319" s="28">
        <v>0.14258000000000001</v>
      </c>
      <c r="M319" s="28">
        <v>0.77181</v>
      </c>
      <c r="N319" s="28">
        <v>-0.21779200000000001</v>
      </c>
      <c r="O319" s="28">
        <v>0.87763599999999997</v>
      </c>
      <c r="P319" s="28">
        <v>0.84106300000000001</v>
      </c>
      <c r="Q319" s="28">
        <v>1.0041530000000001</v>
      </c>
      <c r="R319" s="28">
        <v>-0.97346200000000005</v>
      </c>
      <c r="S319" s="28">
        <v>0.962086</v>
      </c>
      <c r="T319" s="28">
        <v>-0.36222100000000002</v>
      </c>
      <c r="U319" s="28">
        <v>-0.85171399999999997</v>
      </c>
      <c r="V319" s="28">
        <v>-1.2297830000000001</v>
      </c>
      <c r="W319" s="28">
        <v>-1.113645</v>
      </c>
      <c r="X319" s="28">
        <v>-0.57122700000000004</v>
      </c>
      <c r="Y319" s="28">
        <v>-1.261752</v>
      </c>
      <c r="Z319" s="28">
        <v>-0.39733400000000002</v>
      </c>
      <c r="AA319" s="28">
        <v>-1.5360799999999999</v>
      </c>
      <c r="AB319" s="28">
        <v>0.39678200000000002</v>
      </c>
      <c r="AC319" s="28">
        <v>-1.603602</v>
      </c>
      <c r="AD319" s="28">
        <v>-6.6264000000000003E-2</v>
      </c>
      <c r="AE319" s="28">
        <v>-7.1603E-2</v>
      </c>
      <c r="AF319" s="28">
        <v>-0.75956900000000005</v>
      </c>
      <c r="AG319" s="28">
        <v>0.313276</v>
      </c>
      <c r="AH319" s="28">
        <v>0.64104000000000005</v>
      </c>
      <c r="AI319" s="28">
        <v>-0.30619099999999999</v>
      </c>
      <c r="AJ319" s="28">
        <v>-0.340924</v>
      </c>
      <c r="AK319" s="28">
        <v>1.2936639999999999</v>
      </c>
      <c r="AL319" s="28">
        <v>1.124884</v>
      </c>
      <c r="AM319" s="28">
        <v>0.26757900000000001</v>
      </c>
      <c r="AN319" s="28">
        <v>0.20402200000000001</v>
      </c>
      <c r="AO319" s="28">
        <v>0.59815300000000005</v>
      </c>
      <c r="AP319" s="28">
        <v>-0.16686599999999999</v>
      </c>
      <c r="AQ319" s="28">
        <v>-5.8087E-2</v>
      </c>
      <c r="AR319" s="28">
        <v>0.110678</v>
      </c>
      <c r="AS319" s="28">
        <v>0.39646599999999999</v>
      </c>
      <c r="AT319" s="28">
        <v>0.37256299999999998</v>
      </c>
      <c r="AU319" s="28">
        <v>0.113577</v>
      </c>
      <c r="AV319" s="28">
        <v>-0.43213499999999999</v>
      </c>
      <c r="AW319" s="28">
        <v>-1.144225</v>
      </c>
      <c r="AX319" s="28">
        <v>0.238344</v>
      </c>
      <c r="AY319" s="28">
        <v>0.36293300000000001</v>
      </c>
      <c r="AZ319" s="28">
        <v>-0.21221899999999999</v>
      </c>
      <c r="BA319" s="28">
        <v>0.65087399999999995</v>
      </c>
      <c r="BB319" s="28">
        <v>-5.6946999999999998E-2</v>
      </c>
      <c r="BC319" s="27">
        <v>132.41085799999999</v>
      </c>
      <c r="BD319" s="27">
        <v>2080.2753910000001</v>
      </c>
      <c r="BE319" s="27">
        <v>1339.32312</v>
      </c>
      <c r="BF319" s="27">
        <v>28.734652000000001</v>
      </c>
      <c r="BG319" s="27">
        <v>3.4800999999999999E-2</v>
      </c>
    </row>
    <row r="320" spans="1:59">
      <c r="A320" s="27">
        <v>79</v>
      </c>
      <c r="B320" s="27">
        <v>40.963859999999997</v>
      </c>
      <c r="C320" s="27">
        <v>-3</v>
      </c>
      <c r="D320" s="27">
        <v>0</v>
      </c>
      <c r="E320" s="28">
        <v>-0.96952099999999997</v>
      </c>
      <c r="F320" s="28">
        <v>0.66410999999999998</v>
      </c>
      <c r="G320" s="28">
        <v>-0.97222600000000003</v>
      </c>
      <c r="H320" s="28">
        <v>-0.63371699999999997</v>
      </c>
      <c r="I320" s="28">
        <v>-0.20852200000000001</v>
      </c>
      <c r="J320" s="28">
        <v>-0.52859100000000003</v>
      </c>
      <c r="K320" s="28">
        <v>1.0724800000000001</v>
      </c>
      <c r="L320" s="28">
        <v>0.25561099999999998</v>
      </c>
      <c r="M320" s="28">
        <v>0.13075899999999999</v>
      </c>
      <c r="N320" s="28">
        <v>-0.345333</v>
      </c>
      <c r="O320" s="28">
        <v>-6.3410000000000003E-3</v>
      </c>
      <c r="P320" s="28">
        <v>0.30458099999999999</v>
      </c>
      <c r="Q320" s="28">
        <v>0.91954400000000003</v>
      </c>
      <c r="R320" s="28">
        <v>1.6418710000000001</v>
      </c>
      <c r="S320" s="28">
        <v>-5.1436000000000003E-2</v>
      </c>
      <c r="T320" s="28">
        <v>-0.56040000000000001</v>
      </c>
      <c r="U320" s="28">
        <v>8.0870000000000004E-3</v>
      </c>
      <c r="V320" s="28">
        <v>-7.4077000000000004E-2</v>
      </c>
      <c r="W320" s="28">
        <v>1.7126790000000001</v>
      </c>
      <c r="X320" s="28">
        <v>0.74573299999999998</v>
      </c>
      <c r="Y320" s="28">
        <v>-0.127611</v>
      </c>
      <c r="Z320" s="28">
        <v>-1.00105</v>
      </c>
      <c r="AA320" s="28">
        <v>0.130331</v>
      </c>
      <c r="AB320" s="28">
        <v>-0.115831</v>
      </c>
      <c r="AC320" s="28">
        <v>-0.10696799999999999</v>
      </c>
      <c r="AD320" s="28">
        <v>-0.68452299999999999</v>
      </c>
      <c r="AE320" s="28">
        <v>-0.99203300000000005</v>
      </c>
      <c r="AF320" s="28">
        <v>2.9193E-2</v>
      </c>
      <c r="AG320" s="28">
        <v>-0.54664699999999999</v>
      </c>
      <c r="AH320" s="28">
        <v>-0.81507300000000005</v>
      </c>
      <c r="AI320" s="28">
        <v>1.367518</v>
      </c>
      <c r="AJ320" s="28">
        <v>-8.6235999999999993E-2</v>
      </c>
      <c r="AK320" s="28">
        <v>-0.514575</v>
      </c>
      <c r="AL320" s="28">
        <v>0.82640999999999998</v>
      </c>
      <c r="AM320" s="28">
        <v>0.45799499999999999</v>
      </c>
      <c r="AN320" s="28">
        <v>-0.85157499999999997</v>
      </c>
      <c r="AO320" s="28">
        <v>-1.3882490000000001</v>
      </c>
      <c r="AP320" s="28">
        <v>-0.79769599999999996</v>
      </c>
      <c r="AQ320" s="28">
        <v>-0.59496199999999999</v>
      </c>
      <c r="AR320" s="28">
        <v>0.27181300000000003</v>
      </c>
      <c r="AS320" s="28">
        <v>-0.75547600000000004</v>
      </c>
      <c r="AT320" s="28">
        <v>-2.6192E-2</v>
      </c>
      <c r="AU320" s="28">
        <v>0.29480499999999998</v>
      </c>
      <c r="AV320" s="28">
        <v>-0.12639400000000001</v>
      </c>
      <c r="AW320" s="28">
        <v>0.55312499999999998</v>
      </c>
      <c r="AX320" s="28">
        <v>-0.12640100000000001</v>
      </c>
      <c r="AY320" s="28">
        <v>0.25186700000000001</v>
      </c>
      <c r="AZ320" s="28">
        <v>-0.52502599999999999</v>
      </c>
      <c r="BA320" s="28">
        <v>-0.55027700000000002</v>
      </c>
      <c r="BB320" s="28">
        <v>1.1503829999999999</v>
      </c>
      <c r="BC320" s="27">
        <v>135.94435100000001</v>
      </c>
      <c r="BD320" s="27">
        <v>1597.110107</v>
      </c>
      <c r="BE320" s="27">
        <v>871.30474900000002</v>
      </c>
      <c r="BF320" s="27">
        <v>21.270084000000001</v>
      </c>
      <c r="BG320" s="27">
        <v>4.7014E-2</v>
      </c>
    </row>
    <row r="321" spans="1:59">
      <c r="A321" s="27">
        <v>80</v>
      </c>
      <c r="B321" s="27">
        <v>49.186171999999999</v>
      </c>
      <c r="C321" s="27">
        <v>-3</v>
      </c>
      <c r="D321" s="27">
        <v>0</v>
      </c>
      <c r="E321" s="28">
        <v>0.977024</v>
      </c>
      <c r="F321" s="28">
        <v>-0.77819899999999997</v>
      </c>
      <c r="G321" s="28">
        <v>0.28137000000000001</v>
      </c>
      <c r="H321" s="28">
        <v>0.210147</v>
      </c>
      <c r="I321" s="28">
        <v>0.75479200000000002</v>
      </c>
      <c r="J321" s="28">
        <v>-1.792562</v>
      </c>
      <c r="K321" s="28">
        <v>0.68064400000000003</v>
      </c>
      <c r="L321" s="28">
        <v>-0.47226499999999999</v>
      </c>
      <c r="M321" s="28">
        <v>-0.21042</v>
      </c>
      <c r="N321" s="28">
        <v>-0.56348200000000004</v>
      </c>
      <c r="O321" s="28">
        <v>0.35940800000000001</v>
      </c>
      <c r="P321" s="28">
        <v>-0.662134</v>
      </c>
      <c r="Q321" s="28">
        <v>-1.333936</v>
      </c>
      <c r="R321" s="28">
        <v>1.1656359999999999</v>
      </c>
      <c r="S321" s="28">
        <v>0.39030100000000001</v>
      </c>
      <c r="T321" s="28">
        <v>0.12973899999999999</v>
      </c>
      <c r="U321" s="28">
        <v>-0.52273099999999995</v>
      </c>
      <c r="V321" s="28">
        <v>1.156361</v>
      </c>
      <c r="W321" s="28">
        <v>-0.85358699999999998</v>
      </c>
      <c r="X321" s="28">
        <v>4.7983999999999999E-2</v>
      </c>
      <c r="Y321" s="28">
        <v>-0.40818500000000002</v>
      </c>
      <c r="Z321" s="28">
        <v>-0.96428700000000001</v>
      </c>
      <c r="AA321" s="28">
        <v>-0.70098700000000003</v>
      </c>
      <c r="AB321" s="28">
        <v>5.7111000000000002E-2</v>
      </c>
      <c r="AC321" s="28">
        <v>-0.157724</v>
      </c>
      <c r="AD321" s="28">
        <v>-0.310886</v>
      </c>
      <c r="AE321" s="28">
        <v>-0.24035500000000001</v>
      </c>
      <c r="AF321" s="28">
        <v>1.41211</v>
      </c>
      <c r="AG321" s="28">
        <v>0.32704899999999998</v>
      </c>
      <c r="AH321" s="28">
        <v>0.42012899999999997</v>
      </c>
      <c r="AI321" s="28">
        <v>0.648756</v>
      </c>
      <c r="AJ321" s="28">
        <v>0.87153599999999998</v>
      </c>
      <c r="AK321" s="28">
        <v>0.26472000000000001</v>
      </c>
      <c r="AL321" s="28">
        <v>3.2361000000000001E-2</v>
      </c>
      <c r="AM321" s="28">
        <v>4.2389000000000003E-2</v>
      </c>
      <c r="AN321" s="28">
        <v>0.51620500000000002</v>
      </c>
      <c r="AO321" s="28">
        <v>6.7905999999999994E-2</v>
      </c>
      <c r="AP321" s="28">
        <v>-0.15556400000000001</v>
      </c>
      <c r="AQ321" s="28">
        <v>-0.36950100000000002</v>
      </c>
      <c r="AR321" s="28">
        <v>0.35318699999999997</v>
      </c>
      <c r="AS321" s="28">
        <v>-0.182979</v>
      </c>
      <c r="AT321" s="28">
        <v>1.2469730000000001</v>
      </c>
      <c r="AU321" s="28">
        <v>0.56035299999999999</v>
      </c>
      <c r="AV321" s="28">
        <v>-9.7970000000000002E-3</v>
      </c>
      <c r="AW321" s="28">
        <v>0.322075</v>
      </c>
      <c r="AX321" s="28">
        <v>-1.2087969999999999</v>
      </c>
      <c r="AY321" s="28">
        <v>-0.42161300000000002</v>
      </c>
      <c r="AZ321" s="28">
        <v>0.54421399999999998</v>
      </c>
      <c r="BA321" s="28">
        <v>-0.44938099999999997</v>
      </c>
      <c r="BB321" s="28">
        <v>0.77766400000000002</v>
      </c>
      <c r="BC321" s="27">
        <v>205.62097199999999</v>
      </c>
      <c r="BD321" s="27">
        <v>2321.9072270000001</v>
      </c>
      <c r="BE321" s="27">
        <v>788.39294400000006</v>
      </c>
      <c r="BF321" s="27">
        <v>16.028751</v>
      </c>
      <c r="BG321" s="27">
        <v>6.2387999999999999E-2</v>
      </c>
    </row>
    <row r="322" spans="1:59">
      <c r="A322" s="27">
        <v>81</v>
      </c>
      <c r="B322" s="27">
        <v>47.443126999999997</v>
      </c>
      <c r="C322" s="27">
        <v>-3</v>
      </c>
      <c r="D322" s="27">
        <v>0</v>
      </c>
      <c r="E322" s="28">
        <v>-0.31709100000000001</v>
      </c>
      <c r="F322" s="28">
        <v>-0.89203399999999999</v>
      </c>
      <c r="G322" s="28">
        <v>-0.50178699999999998</v>
      </c>
      <c r="H322" s="28">
        <v>1.341126</v>
      </c>
      <c r="I322" s="28">
        <v>-0.35331899999999999</v>
      </c>
      <c r="J322" s="28">
        <v>-0.81649300000000002</v>
      </c>
      <c r="K322" s="28">
        <v>0.76869500000000002</v>
      </c>
      <c r="L322" s="28">
        <v>0.78559599999999996</v>
      </c>
      <c r="M322" s="28">
        <v>-0.50029299999999999</v>
      </c>
      <c r="N322" s="28">
        <v>5.3810999999999998E-2</v>
      </c>
      <c r="O322" s="28">
        <v>-1.401068</v>
      </c>
      <c r="P322" s="28">
        <v>-0.34910000000000002</v>
      </c>
      <c r="Q322" s="28">
        <v>1.39639</v>
      </c>
      <c r="R322" s="28">
        <v>0.16563800000000001</v>
      </c>
      <c r="S322" s="28">
        <v>-0.78129099999999996</v>
      </c>
      <c r="T322" s="28">
        <v>0.19028100000000001</v>
      </c>
      <c r="U322" s="28">
        <v>-1.158496</v>
      </c>
      <c r="V322" s="28">
        <v>-8.0203999999999998E-2</v>
      </c>
      <c r="W322" s="28">
        <v>-5.5931000000000002E-2</v>
      </c>
      <c r="X322" s="28">
        <v>0.14855699999999999</v>
      </c>
      <c r="Y322" s="28">
        <v>-0.54910300000000001</v>
      </c>
      <c r="Z322" s="28">
        <v>-1.646245</v>
      </c>
      <c r="AA322" s="28">
        <v>0.36466599999999999</v>
      </c>
      <c r="AB322" s="28">
        <v>1.0881E-2</v>
      </c>
      <c r="AC322" s="28">
        <v>0.95167999999999997</v>
      </c>
      <c r="AD322" s="28">
        <v>0.35824299999999998</v>
      </c>
      <c r="AE322" s="28">
        <v>-0.28089999999999998</v>
      </c>
      <c r="AF322" s="28">
        <v>-0.410466</v>
      </c>
      <c r="AG322" s="28">
        <v>0.50322500000000003</v>
      </c>
      <c r="AH322" s="28">
        <v>0.31360100000000002</v>
      </c>
      <c r="AI322" s="28">
        <v>-1.7582420000000001</v>
      </c>
      <c r="AJ322" s="28">
        <v>1.1691739999999999</v>
      </c>
      <c r="AK322" s="28">
        <v>2.2877999999999999E-2</v>
      </c>
      <c r="AL322" s="28">
        <v>1.1598599999999999</v>
      </c>
      <c r="AM322" s="28">
        <v>-8.8025999999999993E-2</v>
      </c>
      <c r="AN322" s="28">
        <v>1.3394E-2</v>
      </c>
      <c r="AO322" s="28">
        <v>0.43396099999999999</v>
      </c>
      <c r="AP322" s="28">
        <v>-0.96805399999999997</v>
      </c>
      <c r="AQ322" s="28">
        <v>0.22781000000000001</v>
      </c>
      <c r="AR322" s="28">
        <v>4.8700000000000002E-4</v>
      </c>
      <c r="AS322" s="28">
        <v>-0.89963199999999999</v>
      </c>
      <c r="AT322" s="28">
        <v>0.18885199999999999</v>
      </c>
      <c r="AU322" s="28">
        <v>0.40491199999999999</v>
      </c>
      <c r="AV322" s="28">
        <v>0.131018</v>
      </c>
      <c r="AW322" s="28">
        <v>-0.14644599999999999</v>
      </c>
      <c r="AX322" s="28">
        <v>-0.53958099999999998</v>
      </c>
      <c r="AY322" s="28">
        <v>-0.81196599999999997</v>
      </c>
      <c r="AZ322" s="28">
        <v>7.3072999999999999E-2</v>
      </c>
      <c r="BA322" s="28">
        <v>0.273009</v>
      </c>
      <c r="BB322" s="28">
        <v>0.25028899999999998</v>
      </c>
      <c r="BC322" s="27">
        <v>101.47468600000001</v>
      </c>
      <c r="BD322" s="27">
        <v>2156.9641109999998</v>
      </c>
      <c r="BE322" s="27">
        <v>1519.0173339999999</v>
      </c>
      <c r="BF322" s="27">
        <v>32.017646999999997</v>
      </c>
      <c r="BG322" s="27">
        <v>3.1233E-2</v>
      </c>
    </row>
    <row r="323" spans="1:59">
      <c r="A323" s="27">
        <v>82</v>
      </c>
      <c r="B323" s="27">
        <v>49.232669999999999</v>
      </c>
      <c r="C323" s="27">
        <v>-3</v>
      </c>
      <c r="D323" s="27">
        <v>0</v>
      </c>
      <c r="E323" s="28">
        <v>1.0107900000000001</v>
      </c>
      <c r="F323" s="28">
        <v>-0.94229099999999999</v>
      </c>
      <c r="G323" s="28">
        <v>-0.49042799999999998</v>
      </c>
      <c r="H323" s="28">
        <v>-0.57035899999999995</v>
      </c>
      <c r="I323" s="28">
        <v>-0.88951599999999997</v>
      </c>
      <c r="J323" s="28">
        <v>0.14737800000000001</v>
      </c>
      <c r="K323" s="28">
        <v>-0.62132100000000001</v>
      </c>
      <c r="L323" s="28">
        <v>0.77002999999999999</v>
      </c>
      <c r="M323" s="28">
        <v>0.63316600000000001</v>
      </c>
      <c r="N323" s="28">
        <v>0.42751400000000001</v>
      </c>
      <c r="O323" s="28">
        <v>-1.045793</v>
      </c>
      <c r="P323" s="28">
        <v>0.73383299999999996</v>
      </c>
      <c r="Q323" s="28">
        <v>4.9328999999999998E-2</v>
      </c>
      <c r="R323" s="28">
        <v>8.3810999999999997E-2</v>
      </c>
      <c r="S323" s="28">
        <v>0.74645700000000004</v>
      </c>
      <c r="T323" s="28">
        <v>-0.12533900000000001</v>
      </c>
      <c r="U323" s="28">
        <v>-0.186302</v>
      </c>
      <c r="V323" s="28">
        <v>0.34334999999999999</v>
      </c>
      <c r="W323" s="28">
        <v>1.0260609999999999</v>
      </c>
      <c r="X323" s="28">
        <v>4.1668999999999998E-2</v>
      </c>
      <c r="Y323" s="28">
        <v>0.33673700000000001</v>
      </c>
      <c r="Z323" s="28">
        <v>0.127745</v>
      </c>
      <c r="AA323" s="28">
        <v>0.74360199999999999</v>
      </c>
      <c r="AB323" s="28">
        <v>7.9620000000000003E-3</v>
      </c>
      <c r="AC323" s="28">
        <v>1.0708759999999999</v>
      </c>
      <c r="AD323" s="28">
        <v>-7.3266999999999999E-2</v>
      </c>
      <c r="AE323" s="28">
        <v>-0.45578000000000002</v>
      </c>
      <c r="AF323" s="28">
        <v>-0.40684599999999999</v>
      </c>
      <c r="AG323" s="28">
        <v>0.604047</v>
      </c>
      <c r="AH323" s="28">
        <v>-0.54766099999999995</v>
      </c>
      <c r="AI323" s="28">
        <v>0.62816300000000003</v>
      </c>
      <c r="AJ323" s="28">
        <v>-0.89013200000000003</v>
      </c>
      <c r="AK323" s="28">
        <v>0.51264699999999996</v>
      </c>
      <c r="AL323" s="28">
        <v>-0.298898</v>
      </c>
      <c r="AM323" s="28">
        <v>0.294487</v>
      </c>
      <c r="AN323" s="28">
        <v>1.2058230000000001</v>
      </c>
      <c r="AO323" s="28">
        <v>0.21059600000000001</v>
      </c>
      <c r="AP323" s="28">
        <v>-4.1245999999999998E-2</v>
      </c>
      <c r="AQ323" s="28">
        <v>-0.40631299999999998</v>
      </c>
      <c r="AR323" s="28">
        <v>0.30814200000000003</v>
      </c>
      <c r="AS323" s="28">
        <v>0.78823200000000004</v>
      </c>
      <c r="AT323" s="28">
        <v>0.44231100000000001</v>
      </c>
      <c r="AU323" s="28">
        <v>0.18525700000000001</v>
      </c>
      <c r="AV323" s="28">
        <v>-0.20281299999999999</v>
      </c>
      <c r="AW323" s="28">
        <v>-0.36820799999999998</v>
      </c>
      <c r="AX323" s="28">
        <v>-0.56093099999999996</v>
      </c>
      <c r="AY323" s="28">
        <v>-0.98987400000000003</v>
      </c>
      <c r="AZ323" s="28">
        <v>-0.192713</v>
      </c>
      <c r="BA323" s="28">
        <v>0.96116000000000001</v>
      </c>
      <c r="BB323" s="28">
        <v>-0.35945899999999997</v>
      </c>
      <c r="BC323" s="27">
        <v>129.93452500000001</v>
      </c>
      <c r="BD323" s="27">
        <v>2326.3903810000002</v>
      </c>
      <c r="BE323" s="27">
        <v>1342.3789059999999</v>
      </c>
      <c r="BF323" s="27">
        <v>27.266017999999999</v>
      </c>
      <c r="BG323" s="27">
        <v>3.6676E-2</v>
      </c>
    </row>
    <row r="324" spans="1:59">
      <c r="A324" s="27">
        <v>83</v>
      </c>
      <c r="B324" s="27">
        <v>48.193474000000002</v>
      </c>
      <c r="C324" s="27">
        <v>-3</v>
      </c>
      <c r="D324" s="27">
        <v>0</v>
      </c>
      <c r="E324" s="28">
        <v>0.57696199999999997</v>
      </c>
      <c r="F324" s="28">
        <v>-1.4874590000000001</v>
      </c>
      <c r="G324" s="28">
        <v>0.952291</v>
      </c>
      <c r="H324" s="28">
        <v>0.77326700000000004</v>
      </c>
      <c r="I324" s="28">
        <v>0.68866700000000003</v>
      </c>
      <c r="J324" s="28">
        <v>1.7243740000000001</v>
      </c>
      <c r="K324" s="28">
        <v>0.71753599999999995</v>
      </c>
      <c r="L324" s="28">
        <v>-0.16437399999999999</v>
      </c>
      <c r="M324" s="28">
        <v>-0.93447999999999998</v>
      </c>
      <c r="N324" s="28">
        <v>0.85742600000000002</v>
      </c>
      <c r="O324" s="28">
        <v>0.73014000000000001</v>
      </c>
      <c r="P324" s="28">
        <v>-0.70085299999999995</v>
      </c>
      <c r="Q324" s="28">
        <v>-0.52315500000000004</v>
      </c>
      <c r="R324" s="28">
        <v>0.13569300000000001</v>
      </c>
      <c r="S324" s="28">
        <v>0.29335800000000001</v>
      </c>
      <c r="T324" s="28">
        <v>0.14247599999999999</v>
      </c>
      <c r="U324" s="28">
        <v>-1.601702</v>
      </c>
      <c r="V324" s="28">
        <v>0.20288600000000001</v>
      </c>
      <c r="W324" s="28">
        <v>-7.2257000000000002E-2</v>
      </c>
      <c r="X324" s="28">
        <v>-0.57675200000000004</v>
      </c>
      <c r="Y324" s="28">
        <v>-0.76120500000000002</v>
      </c>
      <c r="Z324" s="28">
        <v>0.44364799999999999</v>
      </c>
      <c r="AA324" s="28">
        <v>-0.96713899999999997</v>
      </c>
      <c r="AB324" s="28">
        <v>-0.476827</v>
      </c>
      <c r="AC324" s="28">
        <v>0.78085099999999996</v>
      </c>
      <c r="AD324" s="28">
        <v>0.46842</v>
      </c>
      <c r="AE324" s="28">
        <v>0.68768799999999997</v>
      </c>
      <c r="AF324" s="28">
        <v>-0.71115899999999999</v>
      </c>
      <c r="AG324" s="28">
        <v>-0.173899</v>
      </c>
      <c r="AH324" s="28">
        <v>-0.90610999999999997</v>
      </c>
      <c r="AI324" s="28">
        <v>0.95882299999999998</v>
      </c>
      <c r="AJ324" s="28">
        <v>-0.23041600000000001</v>
      </c>
      <c r="AK324" s="28">
        <v>-0.72459499999999999</v>
      </c>
      <c r="AL324" s="28">
        <v>-0.209921</v>
      </c>
      <c r="AM324" s="28">
        <v>1.4373450000000001</v>
      </c>
      <c r="AN324" s="28">
        <v>-0.49346000000000001</v>
      </c>
      <c r="AO324" s="28">
        <v>-9.1018000000000002E-2</v>
      </c>
      <c r="AP324" s="28">
        <v>0.783169</v>
      </c>
      <c r="AQ324" s="28">
        <v>-0.51691500000000001</v>
      </c>
      <c r="AR324" s="28">
        <v>-0.214866</v>
      </c>
      <c r="AS324" s="28">
        <v>4.47E-3</v>
      </c>
      <c r="AT324" s="28">
        <v>-0.290885</v>
      </c>
      <c r="AU324" s="28">
        <v>0.51869100000000001</v>
      </c>
      <c r="AV324" s="28">
        <v>-0.86163599999999996</v>
      </c>
      <c r="AW324" s="28">
        <v>-0.57362299999999999</v>
      </c>
      <c r="AX324" s="28">
        <v>-0.25337900000000002</v>
      </c>
      <c r="AY324" s="28">
        <v>-0.50946899999999995</v>
      </c>
      <c r="AZ324" s="28">
        <v>0.22222700000000001</v>
      </c>
      <c r="BA324" s="28">
        <v>0.99304300000000001</v>
      </c>
      <c r="BB324" s="28">
        <v>0.29014499999999999</v>
      </c>
      <c r="BC324" s="27">
        <v>130.35292100000001</v>
      </c>
      <c r="BD324" s="27">
        <v>2227.2238769999999</v>
      </c>
      <c r="BE324" s="27">
        <v>1423.2666019999999</v>
      </c>
      <c r="BF324" s="27">
        <v>29.532351999999999</v>
      </c>
      <c r="BG324" s="27">
        <v>3.3861000000000002E-2</v>
      </c>
    </row>
    <row r="325" spans="1:59">
      <c r="A325" s="27">
        <v>84</v>
      </c>
      <c r="B325" s="27">
        <v>51.981628000000001</v>
      </c>
      <c r="C325" s="27">
        <v>-3</v>
      </c>
      <c r="D325" s="27">
        <v>0</v>
      </c>
      <c r="E325" s="28">
        <v>0.92113900000000004</v>
      </c>
      <c r="F325" s="28">
        <v>-0.29337000000000002</v>
      </c>
      <c r="G325" s="28">
        <v>0.44889099999999998</v>
      </c>
      <c r="H325" s="28">
        <v>0.75926700000000003</v>
      </c>
      <c r="I325" s="28">
        <v>1.6478440000000001</v>
      </c>
      <c r="J325" s="28">
        <v>0.93362199999999995</v>
      </c>
      <c r="K325" s="28">
        <v>5.6568E-2</v>
      </c>
      <c r="L325" s="28">
        <v>1.2903420000000001</v>
      </c>
      <c r="M325" s="28">
        <v>0.406779</v>
      </c>
      <c r="N325" s="28">
        <v>-0.81093899999999997</v>
      </c>
      <c r="O325" s="28">
        <v>0.94307600000000003</v>
      </c>
      <c r="P325" s="28">
        <v>-0.74760400000000005</v>
      </c>
      <c r="Q325" s="28">
        <v>1.547347</v>
      </c>
      <c r="R325" s="28">
        <v>-0.329567</v>
      </c>
      <c r="S325" s="28">
        <v>7.3186000000000001E-2</v>
      </c>
      <c r="T325" s="28">
        <v>-0.147924</v>
      </c>
      <c r="U325" s="28">
        <v>1.4850099999999999</v>
      </c>
      <c r="V325" s="28">
        <v>-0.77529400000000004</v>
      </c>
      <c r="W325" s="28">
        <v>0.84227600000000002</v>
      </c>
      <c r="X325" s="28">
        <v>0.92862999999999996</v>
      </c>
      <c r="Y325" s="28">
        <v>0.82414200000000004</v>
      </c>
      <c r="Z325" s="28">
        <v>-0.63624700000000001</v>
      </c>
      <c r="AA325" s="28">
        <v>0.323988</v>
      </c>
      <c r="AB325" s="28">
        <v>0.23015099999999999</v>
      </c>
      <c r="AC325" s="28">
        <v>0.44046299999999999</v>
      </c>
      <c r="AD325" s="28">
        <v>-0.68194399999999999</v>
      </c>
      <c r="AE325" s="28">
        <v>0.29517700000000002</v>
      </c>
      <c r="AF325" s="28">
        <v>-1.4813989999999999</v>
      </c>
      <c r="AG325" s="28">
        <v>0.408771</v>
      </c>
      <c r="AH325" s="28">
        <v>0.72226400000000002</v>
      </c>
      <c r="AI325" s="28">
        <v>0.23936499999999999</v>
      </c>
      <c r="AJ325" s="28">
        <v>0.93853299999999995</v>
      </c>
      <c r="AK325" s="28">
        <v>-0.94483899999999998</v>
      </c>
      <c r="AL325" s="28">
        <v>-0.971854</v>
      </c>
      <c r="AM325" s="28">
        <v>-0.39461200000000002</v>
      </c>
      <c r="AN325" s="28">
        <v>0.90890499999999996</v>
      </c>
      <c r="AO325" s="28">
        <v>0.66777500000000001</v>
      </c>
      <c r="AP325" s="28">
        <v>1.8090900000000001</v>
      </c>
      <c r="AQ325" s="28">
        <v>3.8622999999999998E-2</v>
      </c>
      <c r="AR325" s="28">
        <v>-0.18663099999999999</v>
      </c>
      <c r="AS325" s="28">
        <v>-0.28596199999999999</v>
      </c>
      <c r="AT325" s="28">
        <v>0.35414800000000002</v>
      </c>
      <c r="AU325" s="28">
        <v>-0.25786999999999999</v>
      </c>
      <c r="AV325" s="28">
        <v>-0.74679899999999999</v>
      </c>
      <c r="AW325" s="28">
        <v>-0.27183400000000002</v>
      </c>
      <c r="AX325" s="28">
        <v>-0.43824099999999999</v>
      </c>
      <c r="AY325" s="28">
        <v>-0.42750199999999999</v>
      </c>
      <c r="AZ325" s="28">
        <v>0.63556299999999999</v>
      </c>
      <c r="BA325" s="28">
        <v>-0.45283699999999999</v>
      </c>
      <c r="BB325" s="28">
        <v>0.38875199999999999</v>
      </c>
      <c r="BC325" s="27">
        <v>148.03611799999999</v>
      </c>
      <c r="BD325" s="27">
        <v>2599.1264649999998</v>
      </c>
      <c r="BE325" s="27">
        <v>930.05456500000003</v>
      </c>
      <c r="BF325" s="27">
        <v>17.891987</v>
      </c>
      <c r="BG325" s="27">
        <v>5.5891000000000003E-2</v>
      </c>
    </row>
    <row r="326" spans="1:59">
      <c r="A326" s="27">
        <v>85</v>
      </c>
      <c r="B326" s="27">
        <v>49.241458999999999</v>
      </c>
      <c r="C326" s="27">
        <v>-3</v>
      </c>
      <c r="D326" s="27">
        <v>0</v>
      </c>
      <c r="E326" s="28">
        <v>-0.31709100000000001</v>
      </c>
      <c r="F326" s="28">
        <v>-0.89203399999999999</v>
      </c>
      <c r="G326" s="28">
        <v>-0.50178699999999998</v>
      </c>
      <c r="H326" s="28">
        <v>1.341126</v>
      </c>
      <c r="I326" s="28">
        <v>-0.35331899999999999</v>
      </c>
      <c r="J326" s="28">
        <v>-0.81649300000000002</v>
      </c>
      <c r="K326" s="28">
        <v>0.76869500000000002</v>
      </c>
      <c r="L326" s="28">
        <v>0.78559599999999996</v>
      </c>
      <c r="M326" s="28">
        <v>-0.50029299999999999</v>
      </c>
      <c r="N326" s="28">
        <v>5.3810999999999998E-2</v>
      </c>
      <c r="O326" s="28">
        <v>-1.401068</v>
      </c>
      <c r="P326" s="28">
        <v>-0.34910000000000002</v>
      </c>
      <c r="Q326" s="28">
        <v>1.39639</v>
      </c>
      <c r="R326" s="28">
        <v>0.16563800000000001</v>
      </c>
      <c r="S326" s="28">
        <v>-0.78129099999999996</v>
      </c>
      <c r="T326" s="28">
        <v>0.19028100000000001</v>
      </c>
      <c r="U326" s="28">
        <v>-1.158496</v>
      </c>
      <c r="V326" s="28">
        <v>-8.0203999999999998E-2</v>
      </c>
      <c r="W326" s="28">
        <v>-5.5931000000000002E-2</v>
      </c>
      <c r="X326" s="28">
        <v>0.14855699999999999</v>
      </c>
      <c r="Y326" s="28">
        <v>-0.54910300000000001</v>
      </c>
      <c r="Z326" s="28">
        <v>-1.646245</v>
      </c>
      <c r="AA326" s="28">
        <v>0.36466599999999999</v>
      </c>
      <c r="AB326" s="28">
        <v>1.0881E-2</v>
      </c>
      <c r="AC326" s="28">
        <v>0.95167999999999997</v>
      </c>
      <c r="AD326" s="28">
        <v>0.35824299999999998</v>
      </c>
      <c r="AE326" s="28">
        <v>-0.28089999999999998</v>
      </c>
      <c r="AF326" s="28">
        <v>-0.410466</v>
      </c>
      <c r="AG326" s="28">
        <v>0.50322500000000003</v>
      </c>
      <c r="AH326" s="28">
        <v>0.31360100000000002</v>
      </c>
      <c r="AI326" s="28">
        <v>-1.7582420000000001</v>
      </c>
      <c r="AJ326" s="28">
        <v>1.1691739999999999</v>
      </c>
      <c r="AK326" s="28">
        <v>2.2877999999999999E-2</v>
      </c>
      <c r="AL326" s="28">
        <v>1.1598599999999999</v>
      </c>
      <c r="AM326" s="28">
        <v>-8.8025999999999993E-2</v>
      </c>
      <c r="AN326" s="28">
        <v>1.3394E-2</v>
      </c>
      <c r="AO326" s="28">
        <v>0.43396099999999999</v>
      </c>
      <c r="AP326" s="28">
        <v>-0.96805399999999997</v>
      </c>
      <c r="AQ326" s="28">
        <v>0.22781000000000001</v>
      </c>
      <c r="AR326" s="28">
        <v>4.8700000000000002E-4</v>
      </c>
      <c r="AS326" s="28">
        <v>-0.89963199999999999</v>
      </c>
      <c r="AT326" s="28">
        <v>0.18885199999999999</v>
      </c>
      <c r="AU326" s="28">
        <v>0.40491199999999999</v>
      </c>
      <c r="AV326" s="28">
        <v>0.131018</v>
      </c>
      <c r="AW326" s="28">
        <v>-0.14644599999999999</v>
      </c>
      <c r="AX326" s="28">
        <v>-0.53958099999999998</v>
      </c>
      <c r="AY326" s="28">
        <v>-0.81196599999999997</v>
      </c>
      <c r="AZ326" s="28">
        <v>7.3072999999999999E-2</v>
      </c>
      <c r="BA326" s="28">
        <v>0.273009</v>
      </c>
      <c r="BB326" s="28">
        <v>0.25028899999999998</v>
      </c>
      <c r="BC326" s="27">
        <v>144.30387899999999</v>
      </c>
      <c r="BD326" s="27">
        <v>2327.2382809999999</v>
      </c>
      <c r="BE326" s="27">
        <v>1374.830078</v>
      </c>
      <c r="BF326" s="27">
        <v>27.920172000000001</v>
      </c>
      <c r="BG326" s="27">
        <v>3.5816000000000001E-2</v>
      </c>
    </row>
    <row r="327" spans="1:59">
      <c r="A327" s="27">
        <v>86</v>
      </c>
      <c r="B327" s="27">
        <v>50.000709999999998</v>
      </c>
      <c r="C327" s="27">
        <v>-3</v>
      </c>
      <c r="D327" s="27">
        <v>0</v>
      </c>
      <c r="E327" s="28">
        <v>0.80271800000000004</v>
      </c>
      <c r="F327" s="28">
        <v>0.41569299999999998</v>
      </c>
      <c r="G327" s="28">
        <v>-0.65010199999999996</v>
      </c>
      <c r="H327" s="28">
        <v>1.421875</v>
      </c>
      <c r="I327" s="28">
        <v>-1.3561369999999999</v>
      </c>
      <c r="J327" s="28">
        <v>-0.280613</v>
      </c>
      <c r="K327" s="28">
        <v>-0.77776800000000001</v>
      </c>
      <c r="L327" s="28">
        <v>0.216886</v>
      </c>
      <c r="M327" s="28">
        <v>-9.5966999999999997E-2</v>
      </c>
      <c r="N327" s="28">
        <v>-1.415297</v>
      </c>
      <c r="O327" s="28">
        <v>0.40227499999999999</v>
      </c>
      <c r="P327" s="28">
        <v>5.2469999999999999E-3</v>
      </c>
      <c r="Q327" s="28">
        <v>-0.25848399999999999</v>
      </c>
      <c r="R327" s="28">
        <v>-0.59054499999999999</v>
      </c>
      <c r="S327" s="28">
        <v>-0.66590099999999997</v>
      </c>
      <c r="T327" s="28">
        <v>-1.029955</v>
      </c>
      <c r="U327" s="28">
        <v>0.46449499999999999</v>
      </c>
      <c r="V327" s="28">
        <v>1.274626</v>
      </c>
      <c r="W327" s="28">
        <v>-0.88309400000000005</v>
      </c>
      <c r="X327" s="28">
        <v>0.18010200000000001</v>
      </c>
      <c r="Y327" s="28">
        <v>-2.7584000000000001E-2</v>
      </c>
      <c r="Z327" s="28">
        <v>0.92403800000000003</v>
      </c>
      <c r="AA327" s="28">
        <v>0.16814299999999999</v>
      </c>
      <c r="AB327" s="28">
        <v>0.79659800000000003</v>
      </c>
      <c r="AC327" s="28">
        <v>-0.64390000000000003</v>
      </c>
      <c r="AD327" s="28">
        <v>-0.66383000000000003</v>
      </c>
      <c r="AE327" s="28">
        <v>-0.73873999999999995</v>
      </c>
      <c r="AF327" s="28">
        <v>-0.97223599999999999</v>
      </c>
      <c r="AG327" s="28">
        <v>0.71340599999999998</v>
      </c>
      <c r="AH327" s="28">
        <v>0.93837599999999999</v>
      </c>
      <c r="AI327" s="28">
        <v>-0.27566000000000002</v>
      </c>
      <c r="AJ327" s="28">
        <v>-0.31607000000000002</v>
      </c>
      <c r="AK327" s="28">
        <v>1.2694879999999999</v>
      </c>
      <c r="AL327" s="28">
        <v>0.28856700000000002</v>
      </c>
      <c r="AM327" s="28">
        <v>4.6719999999999999E-3</v>
      </c>
      <c r="AN327" s="28">
        <v>-1.6549000000000001E-2</v>
      </c>
      <c r="AO327" s="28">
        <v>0.64384699999999995</v>
      </c>
      <c r="AP327" s="28">
        <v>0.36836799999999997</v>
      </c>
      <c r="AQ327" s="28">
        <v>0.689689</v>
      </c>
      <c r="AR327" s="28">
        <v>0.12138500000000001</v>
      </c>
      <c r="AS327" s="28">
        <v>0.36139500000000002</v>
      </c>
      <c r="AT327" s="28">
        <v>1.077331</v>
      </c>
      <c r="AU327" s="28">
        <v>-1.804222</v>
      </c>
      <c r="AV327" s="28">
        <v>-0.78857100000000002</v>
      </c>
      <c r="AW327" s="28">
        <v>-1.718933</v>
      </c>
      <c r="AX327" s="28">
        <v>0.42726199999999998</v>
      </c>
      <c r="AY327" s="28">
        <v>0.477684</v>
      </c>
      <c r="AZ327" s="28">
        <v>0.31363099999999999</v>
      </c>
      <c r="BA327" s="28">
        <v>0.68030999999999997</v>
      </c>
      <c r="BB327" s="28">
        <v>-0.96115099999999998</v>
      </c>
      <c r="BC327" s="27">
        <v>189.55590799999999</v>
      </c>
      <c r="BD327" s="27">
        <v>2401.0695799999999</v>
      </c>
      <c r="BE327" s="27">
        <v>978.95251499999995</v>
      </c>
      <c r="BF327" s="27">
        <v>19.578772000000001</v>
      </c>
      <c r="BG327" s="27">
        <v>5.1076000000000003E-2</v>
      </c>
    </row>
    <row r="328" spans="1:59">
      <c r="A328" s="27">
        <v>87</v>
      </c>
      <c r="B328" s="27">
        <v>51.350974999999998</v>
      </c>
      <c r="C328" s="27">
        <v>-3</v>
      </c>
      <c r="D328" s="27">
        <v>0</v>
      </c>
      <c r="E328" s="28">
        <v>0.14194000000000001</v>
      </c>
      <c r="F328" s="28">
        <v>1.2506390000000001</v>
      </c>
      <c r="G328" s="28">
        <v>-0.81791199999999997</v>
      </c>
      <c r="H328" s="28">
        <v>0.54447299999999998</v>
      </c>
      <c r="I328" s="28">
        <v>-0.45896700000000001</v>
      </c>
      <c r="J328" s="28">
        <v>0.69933100000000004</v>
      </c>
      <c r="K328" s="28">
        <v>0.81448100000000001</v>
      </c>
      <c r="L328" s="28">
        <v>-0.191992</v>
      </c>
      <c r="M328" s="28">
        <v>-0.18806999999999999</v>
      </c>
      <c r="N328" s="28">
        <v>0.104064</v>
      </c>
      <c r="O328" s="28">
        <v>-0.58274999999999999</v>
      </c>
      <c r="P328" s="28">
        <v>0.21702199999999999</v>
      </c>
      <c r="Q328" s="28">
        <v>-0.42371900000000001</v>
      </c>
      <c r="R328" s="28">
        <v>0.85927600000000004</v>
      </c>
      <c r="S328" s="28">
        <v>0.43825799999999998</v>
      </c>
      <c r="T328" s="28">
        <v>-0.80034700000000003</v>
      </c>
      <c r="U328" s="28">
        <v>-0.74512299999999998</v>
      </c>
      <c r="V328" s="28">
        <v>-0.32855600000000001</v>
      </c>
      <c r="W328" s="28">
        <v>1.5563480000000001</v>
      </c>
      <c r="X328" s="28">
        <v>-1.0259309999999999</v>
      </c>
      <c r="Y328" s="28">
        <v>-0.40920400000000001</v>
      </c>
      <c r="Z328" s="28">
        <v>9.3523999999999996E-2</v>
      </c>
      <c r="AA328" s="28">
        <v>6.3188999999999995E-2</v>
      </c>
      <c r="AB328" s="28">
        <v>0.15293499999999999</v>
      </c>
      <c r="AC328" s="28">
        <v>-0.72272800000000004</v>
      </c>
      <c r="AD328" s="28">
        <v>-0.51946199999999998</v>
      </c>
      <c r="AE328" s="28">
        <v>0.13444999999999999</v>
      </c>
      <c r="AF328" s="28">
        <v>0.94771300000000003</v>
      </c>
      <c r="AG328" s="28">
        <v>0.21096799999999999</v>
      </c>
      <c r="AH328" s="28">
        <v>0.60152000000000005</v>
      </c>
      <c r="AI328" s="28">
        <v>0.15823899999999999</v>
      </c>
      <c r="AJ328" s="28">
        <v>-0.80809200000000003</v>
      </c>
      <c r="AK328" s="28">
        <v>0.320656</v>
      </c>
      <c r="AL328" s="28">
        <v>-0.56914699999999996</v>
      </c>
      <c r="AM328" s="28">
        <v>0.104336</v>
      </c>
      <c r="AN328" s="28">
        <v>-0.14121300000000001</v>
      </c>
      <c r="AO328" s="28">
        <v>3.6859000000000003E-2</v>
      </c>
      <c r="AP328" s="28">
        <v>-0.66616200000000003</v>
      </c>
      <c r="AQ328" s="28">
        <v>0.64614499999999997</v>
      </c>
      <c r="AR328" s="28">
        <v>0.16065399999999999</v>
      </c>
      <c r="AS328" s="28">
        <v>1.140854</v>
      </c>
      <c r="AT328" s="28">
        <v>0.75732500000000003</v>
      </c>
      <c r="AU328" s="28">
        <v>0.56845500000000004</v>
      </c>
      <c r="AV328" s="28">
        <v>-1.2027939999999999</v>
      </c>
      <c r="AW328" s="28">
        <v>-6.7622000000000002E-2</v>
      </c>
      <c r="AX328" s="28">
        <v>-0.34335500000000002</v>
      </c>
      <c r="AY328" s="28">
        <v>0.84750599999999998</v>
      </c>
      <c r="AZ328" s="28">
        <v>-0.29188599999999998</v>
      </c>
      <c r="BA328" s="28">
        <v>-0.28097</v>
      </c>
      <c r="BB328" s="28">
        <v>-0.70093300000000003</v>
      </c>
      <c r="BC328" s="27">
        <v>100.98942599999999</v>
      </c>
      <c r="BD328" s="27">
        <v>2535.220703</v>
      </c>
      <c r="BE328" s="27">
        <v>1349.3754879999999</v>
      </c>
      <c r="BF328" s="27">
        <v>26.277504</v>
      </c>
      <c r="BG328" s="27">
        <v>3.8054999999999999E-2</v>
      </c>
    </row>
    <row r="329" spans="1:59">
      <c r="A329" s="27">
        <v>88</v>
      </c>
      <c r="B329" s="27">
        <v>51.916263999999998</v>
      </c>
      <c r="C329" s="27">
        <v>-3</v>
      </c>
      <c r="D329" s="27">
        <v>0</v>
      </c>
      <c r="E329" s="28">
        <v>0.427541</v>
      </c>
      <c r="F329" s="28">
        <v>0.88970300000000002</v>
      </c>
      <c r="G329" s="28">
        <v>1.0445359999999999</v>
      </c>
      <c r="H329" s="28">
        <v>0.94583399999999995</v>
      </c>
      <c r="I329" s="28">
        <v>0.93252000000000002</v>
      </c>
      <c r="J329" s="28">
        <v>-0.110526</v>
      </c>
      <c r="K329" s="28">
        <v>0.421041</v>
      </c>
      <c r="L329" s="28">
        <v>0.74219599999999997</v>
      </c>
      <c r="M329" s="28">
        <v>0.85197999999999996</v>
      </c>
      <c r="N329" s="28">
        <v>-0.60107299999999997</v>
      </c>
      <c r="O329" s="28">
        <v>0.78763000000000005</v>
      </c>
      <c r="P329" s="28">
        <v>-0.54883300000000002</v>
      </c>
      <c r="Q329" s="28">
        <v>-9.8946999999999993E-2</v>
      </c>
      <c r="R329" s="28">
        <v>0.63033099999999997</v>
      </c>
      <c r="S329" s="28">
        <v>0.49465999999999999</v>
      </c>
      <c r="T329" s="28">
        <v>0.98188500000000001</v>
      </c>
      <c r="U329" s="28">
        <v>0.79038299999999995</v>
      </c>
      <c r="V329" s="28">
        <v>-0.193297</v>
      </c>
      <c r="W329" s="28">
        <v>0.42077599999999998</v>
      </c>
      <c r="X329" s="28">
        <v>-0.12784899999999999</v>
      </c>
      <c r="Y329" s="28">
        <v>-2.9482999999999999E-2</v>
      </c>
      <c r="Z329" s="28">
        <v>0.75538000000000005</v>
      </c>
      <c r="AA329" s="28">
        <v>0.18859600000000001</v>
      </c>
      <c r="AB329" s="28">
        <v>-0.62631199999999998</v>
      </c>
      <c r="AC329" s="28">
        <v>-0.56916599999999995</v>
      </c>
      <c r="AD329" s="28">
        <v>-0.26979300000000001</v>
      </c>
      <c r="AE329" s="28">
        <v>-0.57169599999999998</v>
      </c>
      <c r="AF329" s="28">
        <v>0.21851799999999999</v>
      </c>
      <c r="AG329" s="28">
        <v>-1.202137</v>
      </c>
      <c r="AH329" s="28">
        <v>0.44114399999999998</v>
      </c>
      <c r="AI329" s="28">
        <v>0.72737399999999997</v>
      </c>
      <c r="AJ329" s="28">
        <v>-0.32349600000000001</v>
      </c>
      <c r="AK329" s="28">
        <v>2.7215E-2</v>
      </c>
      <c r="AL329" s="28">
        <v>0.23502899999999999</v>
      </c>
      <c r="AM329" s="28">
        <v>-0.19662499999999999</v>
      </c>
      <c r="AN329" s="28">
        <v>1.087405</v>
      </c>
      <c r="AO329" s="28">
        <v>-6.1425E-2</v>
      </c>
      <c r="AP329" s="28">
        <v>1.3513000000000001E-2</v>
      </c>
      <c r="AQ329" s="28">
        <v>0.21277199999999999</v>
      </c>
      <c r="AR329" s="28">
        <v>0.67044499999999996</v>
      </c>
      <c r="AS329" s="28">
        <v>-0.61406099999999997</v>
      </c>
      <c r="AT329" s="28">
        <v>-4.0152E-2</v>
      </c>
      <c r="AU329" s="28">
        <v>-4.5580000000000004E-3</v>
      </c>
      <c r="AV329" s="28">
        <v>-0.58699999999999997</v>
      </c>
      <c r="AW329" s="28">
        <v>-5.4794000000000002E-2</v>
      </c>
      <c r="AX329" s="28">
        <v>-0.92355399999999999</v>
      </c>
      <c r="AY329" s="28">
        <v>-4.8729000000000001E-2</v>
      </c>
      <c r="AZ329" s="28">
        <v>0.21538599999999999</v>
      </c>
      <c r="BA329" s="28">
        <v>-0.18163599999999999</v>
      </c>
      <c r="BB329" s="28">
        <v>3.6867999999999998E-2</v>
      </c>
      <c r="BC329" s="27">
        <v>222.80983000000001</v>
      </c>
      <c r="BD329" s="27">
        <v>2592.4658199999999</v>
      </c>
      <c r="BE329" s="27">
        <v>859.73706100000004</v>
      </c>
      <c r="BF329" s="27">
        <v>16.560072000000002</v>
      </c>
      <c r="BG329" s="27">
        <v>6.0386000000000002E-2</v>
      </c>
    </row>
    <row r="330" spans="1:59">
      <c r="A330" s="27">
        <v>89</v>
      </c>
      <c r="B330" s="27">
        <v>51.730182999999997</v>
      </c>
      <c r="C330" s="27">
        <v>-3</v>
      </c>
      <c r="D330" s="27">
        <v>0</v>
      </c>
      <c r="E330" s="28">
        <v>-0.28954200000000002</v>
      </c>
      <c r="F330" s="28">
        <v>-2.6342000000000001E-2</v>
      </c>
      <c r="G330" s="28">
        <v>1.5683940000000001</v>
      </c>
      <c r="H330" s="28">
        <v>-0.72652099999999997</v>
      </c>
      <c r="I330" s="28">
        <v>0.27178600000000003</v>
      </c>
      <c r="J330" s="28">
        <v>0.54248799999999997</v>
      </c>
      <c r="K330" s="28">
        <v>-0.79119200000000001</v>
      </c>
      <c r="L330" s="28">
        <v>-0.59809500000000004</v>
      </c>
      <c r="M330" s="28">
        <v>1.3168979999999999</v>
      </c>
      <c r="N330" s="28">
        <v>-0.467142</v>
      </c>
      <c r="O330" s="28">
        <v>0.15556900000000001</v>
      </c>
      <c r="P330" s="28">
        <v>0.64772600000000002</v>
      </c>
      <c r="Q330" s="28">
        <v>0.70243</v>
      </c>
      <c r="R330" s="28">
        <v>0.29363800000000001</v>
      </c>
      <c r="S330" s="28">
        <v>0.59576899999999999</v>
      </c>
      <c r="T330" s="28">
        <v>1.041228</v>
      </c>
      <c r="U330" s="28">
        <v>1.430679</v>
      </c>
      <c r="V330" s="28">
        <v>9.6909999999999996E-2</v>
      </c>
      <c r="W330" s="28">
        <v>0.20613200000000001</v>
      </c>
      <c r="X330" s="28">
        <v>-0.59160500000000005</v>
      </c>
      <c r="Y330" s="28">
        <v>-0.39682699999999999</v>
      </c>
      <c r="Z330" s="28">
        <v>-0.61428000000000005</v>
      </c>
      <c r="AA330" s="28">
        <v>-0.36493199999999998</v>
      </c>
      <c r="AB330" s="28">
        <v>-0.12171800000000001</v>
      </c>
      <c r="AC330" s="28">
        <v>-0.26299099999999997</v>
      </c>
      <c r="AD330" s="28">
        <v>-0.26283200000000001</v>
      </c>
      <c r="AE330" s="28">
        <v>-0.27159800000000001</v>
      </c>
      <c r="AF330" s="28">
        <v>1.182269</v>
      </c>
      <c r="AG330" s="28">
        <v>-7.9952999999999996E-2</v>
      </c>
      <c r="AH330" s="28">
        <v>0.42707000000000001</v>
      </c>
      <c r="AI330" s="28">
        <v>0.66861899999999996</v>
      </c>
      <c r="AJ330" s="28">
        <v>0.55033900000000002</v>
      </c>
      <c r="AK330" s="28">
        <v>0.39346199999999998</v>
      </c>
      <c r="AL330" s="28">
        <v>4.1708000000000002E-2</v>
      </c>
      <c r="AM330" s="28">
        <v>6.6139000000000003E-2</v>
      </c>
      <c r="AN330" s="28">
        <v>0.55281000000000002</v>
      </c>
      <c r="AO330" s="28">
        <v>-5.3297999999999998E-2</v>
      </c>
      <c r="AP330" s="28">
        <v>-0.14590600000000001</v>
      </c>
      <c r="AQ330" s="28">
        <v>-0.309726</v>
      </c>
      <c r="AR330" s="28">
        <v>0.39917200000000003</v>
      </c>
      <c r="AS330" s="28">
        <v>-0.28324100000000002</v>
      </c>
      <c r="AT330" s="28">
        <v>0.90730200000000005</v>
      </c>
      <c r="AU330" s="28">
        <v>0.37073800000000001</v>
      </c>
      <c r="AV330" s="28">
        <v>-0.19301599999999999</v>
      </c>
      <c r="AW330" s="28">
        <v>0.15845899999999999</v>
      </c>
      <c r="AX330" s="28">
        <v>-1.2475590000000001</v>
      </c>
      <c r="AY330" s="28">
        <v>-0.32726300000000003</v>
      </c>
      <c r="AZ330" s="28">
        <v>0.509606</v>
      </c>
      <c r="BA330" s="28">
        <v>-0.33659600000000001</v>
      </c>
      <c r="BB330" s="28">
        <v>0.63985999999999998</v>
      </c>
      <c r="BC330" s="27">
        <v>158.057693</v>
      </c>
      <c r="BD330" s="27">
        <v>2573.5515140000002</v>
      </c>
      <c r="BE330" s="27">
        <v>1247.942871</v>
      </c>
      <c r="BF330" s="27">
        <v>24.124077</v>
      </c>
      <c r="BG330" s="27">
        <v>4.1452000000000003E-2</v>
      </c>
    </row>
    <row r="331" spans="1:59">
      <c r="A331" s="27">
        <v>90</v>
      </c>
      <c r="B331" s="27">
        <v>50.722938999999997</v>
      </c>
      <c r="C331" s="27">
        <v>-3</v>
      </c>
      <c r="D331" s="27">
        <v>0</v>
      </c>
      <c r="E331" s="28">
        <v>-1.1206419999999999</v>
      </c>
      <c r="F331" s="28">
        <v>-1.3029770000000001</v>
      </c>
      <c r="G331" s="28">
        <v>0.63195299999999999</v>
      </c>
      <c r="H331" s="28">
        <v>0.98210200000000003</v>
      </c>
      <c r="I331" s="28">
        <v>-0.57215499999999997</v>
      </c>
      <c r="J331" s="28">
        <v>-0.43438700000000002</v>
      </c>
      <c r="K331" s="28">
        <v>-0.78777299999999995</v>
      </c>
      <c r="L331" s="28">
        <v>0.70708700000000002</v>
      </c>
      <c r="M331" s="28">
        <v>-0.69861499999999999</v>
      </c>
      <c r="N331" s="28">
        <v>0.17693</v>
      </c>
      <c r="O331" s="28">
        <v>-3.4855999999999998E-2</v>
      </c>
      <c r="P331" s="28">
        <v>-0.24126500000000001</v>
      </c>
      <c r="Q331" s="28">
        <v>-0.76626899999999998</v>
      </c>
      <c r="R331" s="28">
        <v>-0.108588</v>
      </c>
      <c r="S331" s="28">
        <v>-0.30878100000000003</v>
      </c>
      <c r="T331" s="28">
        <v>-0.22545499999999999</v>
      </c>
      <c r="U331" s="28">
        <v>0.33517400000000003</v>
      </c>
      <c r="V331" s="28">
        <v>0.73780199999999996</v>
      </c>
      <c r="W331" s="28">
        <v>-0.24101800000000001</v>
      </c>
      <c r="X331" s="28">
        <v>0.62148199999999998</v>
      </c>
      <c r="Y331" s="28">
        <v>0.211006</v>
      </c>
      <c r="Z331" s="28">
        <v>0.84157199999999999</v>
      </c>
      <c r="AA331" s="28">
        <v>0.259133</v>
      </c>
      <c r="AB331" s="28">
        <v>0.39055899999999999</v>
      </c>
      <c r="AC331" s="28">
        <v>-0.41598000000000002</v>
      </c>
      <c r="AD331" s="28">
        <v>-0.81368200000000002</v>
      </c>
      <c r="AE331" s="28">
        <v>-0.27357700000000001</v>
      </c>
      <c r="AF331" s="28">
        <v>-0.50600999999999996</v>
      </c>
      <c r="AG331" s="28">
        <v>0.50930799999999998</v>
      </c>
      <c r="AH331" s="28">
        <v>0.21002399999999999</v>
      </c>
      <c r="AI331" s="28">
        <v>8.1007999999999997E-2</v>
      </c>
      <c r="AJ331" s="28">
        <v>3.7316000000000002E-2</v>
      </c>
      <c r="AK331" s="28">
        <v>1.1254740000000001</v>
      </c>
      <c r="AL331" s="28">
        <v>-2.0437E-2</v>
      </c>
      <c r="AM331" s="28">
        <v>0.16981299999999999</v>
      </c>
      <c r="AN331" s="28">
        <v>-9.7316E-2</v>
      </c>
      <c r="AO331" s="28">
        <v>0.63219599999999998</v>
      </c>
      <c r="AP331" s="28">
        <v>-5.3711000000000002E-2</v>
      </c>
      <c r="AQ331" s="28">
        <v>0.248913</v>
      </c>
      <c r="AR331" s="28">
        <v>7.1515999999999996E-2</v>
      </c>
      <c r="AS331" s="28">
        <v>-0.14774000000000001</v>
      </c>
      <c r="AT331" s="28">
        <v>0.52857600000000005</v>
      </c>
      <c r="AU331" s="28">
        <v>-1.731786</v>
      </c>
      <c r="AV331" s="28">
        <v>-0.496479</v>
      </c>
      <c r="AW331" s="28">
        <v>-1.396523</v>
      </c>
      <c r="AX331" s="28">
        <v>5.9089000000000003E-2</v>
      </c>
      <c r="AY331" s="28">
        <v>0.353993</v>
      </c>
      <c r="AZ331" s="28">
        <v>0.16700599999999999</v>
      </c>
      <c r="BA331" s="28">
        <v>0.99661</v>
      </c>
      <c r="BB331" s="28">
        <v>-0.83705799999999997</v>
      </c>
      <c r="BC331" s="27">
        <v>148.25787399999999</v>
      </c>
      <c r="BD331" s="27">
        <v>2472.3706050000001</v>
      </c>
      <c r="BE331" s="27">
        <v>930.535889</v>
      </c>
      <c r="BF331" s="27">
        <v>18.345465000000001</v>
      </c>
      <c r="BG331" s="27">
        <v>5.4509000000000002E-2</v>
      </c>
    </row>
    <row r="332" spans="1:59">
      <c r="A332" s="27">
        <v>91</v>
      </c>
      <c r="B332" s="27">
        <v>47.091835000000003</v>
      </c>
      <c r="C332" s="27">
        <v>-3</v>
      </c>
      <c r="D332" s="27">
        <v>0</v>
      </c>
      <c r="E332" s="28">
        <v>0.90972600000000003</v>
      </c>
      <c r="F332" s="28">
        <v>-0.45310499999999998</v>
      </c>
      <c r="G332" s="28">
        <v>-1.0521959999999999</v>
      </c>
      <c r="H332" s="28">
        <v>5.6633000000000003E-2</v>
      </c>
      <c r="I332" s="28">
        <v>0.449739</v>
      </c>
      <c r="J332" s="28">
        <v>0.845279</v>
      </c>
      <c r="K332" s="28">
        <v>0.38819399999999998</v>
      </c>
      <c r="L332" s="28">
        <v>0.97882199999999997</v>
      </c>
      <c r="M332" s="28">
        <v>-0.136128</v>
      </c>
      <c r="N332" s="28">
        <v>0.45363300000000001</v>
      </c>
      <c r="O332" s="28">
        <v>0.65946899999999997</v>
      </c>
      <c r="P332" s="28">
        <v>-0.32113700000000001</v>
      </c>
      <c r="Q332" s="28">
        <v>-0.63678500000000005</v>
      </c>
      <c r="R332" s="28">
        <v>1.073164</v>
      </c>
      <c r="S332" s="28">
        <v>-0.51376999999999995</v>
      </c>
      <c r="T332" s="28">
        <v>0.63609599999999999</v>
      </c>
      <c r="U332" s="28">
        <v>0.40853899999999999</v>
      </c>
      <c r="V332" s="28">
        <v>0.51034400000000002</v>
      </c>
      <c r="W332" s="28">
        <v>0.83618800000000004</v>
      </c>
      <c r="X332" s="28">
        <v>0.82614699999999996</v>
      </c>
      <c r="Y332" s="28">
        <v>-9.1495000000000007E-2</v>
      </c>
      <c r="Z332" s="28">
        <v>-1.8576859999999999</v>
      </c>
      <c r="AA332" s="28">
        <v>-7.9833000000000001E-2</v>
      </c>
      <c r="AB332" s="28">
        <v>-0.62732200000000005</v>
      </c>
      <c r="AC332" s="28">
        <v>0.68394600000000005</v>
      </c>
      <c r="AD332" s="28">
        <v>0.124973</v>
      </c>
      <c r="AE332" s="28">
        <v>1.392938</v>
      </c>
      <c r="AF332" s="28">
        <v>-0.38086300000000001</v>
      </c>
      <c r="AG332" s="28">
        <v>-0.81379299999999999</v>
      </c>
      <c r="AH332" s="28">
        <v>-0.59833099999999995</v>
      </c>
      <c r="AI332" s="28">
        <v>0.67982200000000004</v>
      </c>
      <c r="AJ332" s="28">
        <v>0.80859700000000001</v>
      </c>
      <c r="AK332" s="28">
        <v>-0.582121</v>
      </c>
      <c r="AL332" s="28">
        <v>0.78030100000000002</v>
      </c>
      <c r="AM332" s="28">
        <v>1.738081</v>
      </c>
      <c r="AN332" s="28">
        <v>-0.22570399999999999</v>
      </c>
      <c r="AO332" s="28">
        <v>1.471268</v>
      </c>
      <c r="AP332" s="28">
        <v>-1.0703499999999999</v>
      </c>
      <c r="AQ332" s="28">
        <v>0.96555400000000002</v>
      </c>
      <c r="AR332" s="28">
        <v>-1.3589549999999999</v>
      </c>
      <c r="AS332" s="28">
        <v>-0.49991099999999999</v>
      </c>
      <c r="AT332" s="28">
        <v>3.5972999999999998E-2</v>
      </c>
      <c r="AU332" s="28">
        <v>-0.95415099999999997</v>
      </c>
      <c r="AV332" s="28">
        <v>-0.100814</v>
      </c>
      <c r="AW332" s="28">
        <v>0.248055</v>
      </c>
      <c r="AX332" s="28">
        <v>-0.16294800000000001</v>
      </c>
      <c r="AY332" s="28">
        <v>-0.54520500000000005</v>
      </c>
      <c r="AZ332" s="28">
        <v>0.22525899999999999</v>
      </c>
      <c r="BA332" s="28">
        <v>-0.687029</v>
      </c>
      <c r="BB332" s="28">
        <v>-8.3977999999999997E-2</v>
      </c>
      <c r="BC332" s="27">
        <v>108.71262400000001</v>
      </c>
      <c r="BD332" s="27">
        <v>2124.4572750000002</v>
      </c>
      <c r="BE332" s="27">
        <v>1069.7266850000001</v>
      </c>
      <c r="BF332" s="27">
        <v>22.715757</v>
      </c>
      <c r="BG332" s="27">
        <v>4.4021999999999999E-2</v>
      </c>
    </row>
    <row r="333" spans="1:59">
      <c r="A333" s="27">
        <v>92</v>
      </c>
      <c r="B333" s="27">
        <v>46.628653999999997</v>
      </c>
      <c r="C333" s="27">
        <v>-3</v>
      </c>
      <c r="D333" s="27">
        <v>0</v>
      </c>
      <c r="E333" s="28">
        <v>-8.9701000000000003E-2</v>
      </c>
      <c r="F333" s="28">
        <v>-1.062033</v>
      </c>
      <c r="G333" s="28">
        <v>0.99671799999999999</v>
      </c>
      <c r="H333" s="28">
        <v>-0.50319899999999995</v>
      </c>
      <c r="I333" s="28">
        <v>-1.3004290000000001</v>
      </c>
      <c r="J333" s="28">
        <v>-3.0889E-2</v>
      </c>
      <c r="K333" s="28">
        <v>0.88186699999999996</v>
      </c>
      <c r="L333" s="28">
        <v>0.71436999999999995</v>
      </c>
      <c r="M333" s="28">
        <v>-0.26535799999999998</v>
      </c>
      <c r="N333" s="28">
        <v>-0.51729899999999995</v>
      </c>
      <c r="O333" s="28">
        <v>-1.3392459999999999</v>
      </c>
      <c r="P333" s="28">
        <v>7.4237999999999998E-2</v>
      </c>
      <c r="Q333" s="28">
        <v>0.51790199999999997</v>
      </c>
      <c r="R333" s="28">
        <v>-0.42674699999999999</v>
      </c>
      <c r="S333" s="28">
        <v>0.20774899999999999</v>
      </c>
      <c r="T333" s="28">
        <v>-0.73572700000000002</v>
      </c>
      <c r="U333" s="28">
        <v>0.70632300000000003</v>
      </c>
      <c r="V333" s="28">
        <v>0.33780100000000002</v>
      </c>
      <c r="W333" s="28">
        <v>0.563886</v>
      </c>
      <c r="X333" s="28">
        <v>-0.70856399999999997</v>
      </c>
      <c r="Y333" s="28">
        <v>0.72263100000000002</v>
      </c>
      <c r="Z333" s="28">
        <v>-0.23342099999999999</v>
      </c>
      <c r="AA333" s="28">
        <v>-7.2009000000000004E-2</v>
      </c>
      <c r="AB333" s="28">
        <v>-1.2075830000000001</v>
      </c>
      <c r="AC333" s="28">
        <v>-0.440944</v>
      </c>
      <c r="AD333" s="28">
        <v>1.379237</v>
      </c>
      <c r="AE333" s="28">
        <v>1.701673</v>
      </c>
      <c r="AF333" s="28">
        <v>-0.17763499999999999</v>
      </c>
      <c r="AG333" s="28">
        <v>-0.97233800000000004</v>
      </c>
      <c r="AH333" s="28">
        <v>-0.75466800000000001</v>
      </c>
      <c r="AI333" s="28">
        <v>0.47717900000000002</v>
      </c>
      <c r="AJ333" s="28">
        <v>-1.487E-2</v>
      </c>
      <c r="AK333" s="28">
        <v>0.19036</v>
      </c>
      <c r="AL333" s="28">
        <v>-5.2224E-2</v>
      </c>
      <c r="AM333" s="28">
        <v>-0.67636700000000005</v>
      </c>
      <c r="AN333" s="28">
        <v>-0.44637100000000002</v>
      </c>
      <c r="AO333" s="28">
        <v>0.46221600000000002</v>
      </c>
      <c r="AP333" s="28">
        <v>0.33387099999999997</v>
      </c>
      <c r="AQ333" s="28">
        <v>1.359496</v>
      </c>
      <c r="AR333" s="28">
        <v>0.58911400000000003</v>
      </c>
      <c r="AS333" s="28">
        <v>-0.38329999999999997</v>
      </c>
      <c r="AT333" s="28">
        <v>0.37964500000000001</v>
      </c>
      <c r="AU333" s="28">
        <v>-0.30181799999999998</v>
      </c>
      <c r="AV333" s="28">
        <v>7.979E-2</v>
      </c>
      <c r="AW333" s="28">
        <v>-0.33604899999999999</v>
      </c>
      <c r="AX333" s="28">
        <v>0.165774</v>
      </c>
      <c r="AY333" s="28">
        <v>0.53484799999999999</v>
      </c>
      <c r="AZ333" s="28">
        <v>0.34875499999999998</v>
      </c>
      <c r="BA333" s="28">
        <v>-3.4063999999999997E-2</v>
      </c>
      <c r="BB333" s="28">
        <v>0.59342600000000001</v>
      </c>
      <c r="BC333" s="27">
        <v>125.54039</v>
      </c>
      <c r="BD333" s="27">
        <v>2081.9741210000002</v>
      </c>
      <c r="BE333" s="27">
        <v>1167.510254</v>
      </c>
      <c r="BF333" s="27">
        <v>25.038473</v>
      </c>
      <c r="BG333" s="27">
        <v>3.9939000000000002E-2</v>
      </c>
    </row>
    <row r="334" spans="1:59">
      <c r="A334" s="27">
        <v>93</v>
      </c>
      <c r="B334" s="27">
        <v>50.604213999999999</v>
      </c>
      <c r="C334" s="27">
        <v>-3</v>
      </c>
      <c r="D334" s="27">
        <v>0</v>
      </c>
      <c r="E334" s="28">
        <v>-0.26093499999999997</v>
      </c>
      <c r="F334" s="28">
        <v>0.79002799999999995</v>
      </c>
      <c r="G334" s="28">
        <v>-2.0379999999999999E-2</v>
      </c>
      <c r="H334" s="28">
        <v>1.2761089999999999</v>
      </c>
      <c r="I334" s="28">
        <v>-0.45896700000000001</v>
      </c>
      <c r="J334" s="28">
        <v>0.61991799999999997</v>
      </c>
      <c r="K334" s="28">
        <v>1.3424970000000001</v>
      </c>
      <c r="L334" s="28">
        <v>-0.191992</v>
      </c>
      <c r="M334" s="28">
        <v>-0.57312300000000005</v>
      </c>
      <c r="N334" s="28">
        <v>-0.59387599999999996</v>
      </c>
      <c r="O334" s="28">
        <v>0.39508100000000002</v>
      </c>
      <c r="P334" s="28">
        <v>-0.29557899999999998</v>
      </c>
      <c r="Q334" s="28">
        <v>-1.2123299999999999</v>
      </c>
      <c r="R334" s="28">
        <v>0.53608199999999995</v>
      </c>
      <c r="S334" s="28">
        <v>0.43825799999999998</v>
      </c>
      <c r="T334" s="28">
        <v>-1.0462629999999999</v>
      </c>
      <c r="U334" s="28">
        <v>-0.92386999999999997</v>
      </c>
      <c r="V334" s="28">
        <v>-0.32855600000000001</v>
      </c>
      <c r="W334" s="28">
        <v>0.79715599999999998</v>
      </c>
      <c r="X334" s="28">
        <v>-0.18821499999999999</v>
      </c>
      <c r="Y334" s="28">
        <v>-0.87919400000000003</v>
      </c>
      <c r="Z334" s="28">
        <v>0.84435099999999996</v>
      </c>
      <c r="AA334" s="28">
        <v>0.41101399999999999</v>
      </c>
      <c r="AB334" s="28">
        <v>0.83720799999999995</v>
      </c>
      <c r="AC334" s="28">
        <v>-0.17442299999999999</v>
      </c>
      <c r="AD334" s="28">
        <v>8.8509999999999995E-3</v>
      </c>
      <c r="AE334" s="28">
        <v>0.275868</v>
      </c>
      <c r="AF334" s="28">
        <v>1.348231</v>
      </c>
      <c r="AG334" s="28">
        <v>0.35782199999999997</v>
      </c>
      <c r="AH334" s="28">
        <v>-0.22400200000000001</v>
      </c>
      <c r="AI334" s="28">
        <v>0.19275999999999999</v>
      </c>
      <c r="AJ334" s="28">
        <v>-0.427369</v>
      </c>
      <c r="AK334" s="28">
        <v>0.535667</v>
      </c>
      <c r="AL334" s="28">
        <v>-0.38593</v>
      </c>
      <c r="AM334" s="28">
        <v>6.5364000000000005E-2</v>
      </c>
      <c r="AN334" s="28">
        <v>0.148231</v>
      </c>
      <c r="AO334" s="28">
        <v>-0.119029</v>
      </c>
      <c r="AP334" s="28">
        <v>-0.30284899999999998</v>
      </c>
      <c r="AQ334" s="28">
        <v>0.17454500000000001</v>
      </c>
      <c r="AR334" s="28">
        <v>-0.29211599999999999</v>
      </c>
      <c r="AS334" s="28">
        <v>-0.40971000000000002</v>
      </c>
      <c r="AT334" s="28">
        <v>-0.4829</v>
      </c>
      <c r="AU334" s="28">
        <v>-0.333866</v>
      </c>
      <c r="AV334" s="28">
        <v>-0.18843699999999999</v>
      </c>
      <c r="AW334" s="28">
        <v>-0.218866</v>
      </c>
      <c r="AX334" s="28">
        <v>-0.24868799999999999</v>
      </c>
      <c r="AY334" s="28">
        <v>0.23365900000000001</v>
      </c>
      <c r="AZ334" s="28">
        <v>-0.32935500000000001</v>
      </c>
      <c r="BA334" s="28">
        <v>-0.122324</v>
      </c>
      <c r="BB334" s="28">
        <v>-1.0755980000000001</v>
      </c>
      <c r="BC334" s="27">
        <v>113.875626</v>
      </c>
      <c r="BD334" s="27">
        <v>2460.578125</v>
      </c>
      <c r="BE334" s="27">
        <v>1186.0922849999999</v>
      </c>
      <c r="BF334" s="27">
        <v>23.438606</v>
      </c>
      <c r="BG334" s="27">
        <v>4.2665000000000002E-2</v>
      </c>
    </row>
    <row r="335" spans="1:59">
      <c r="A335" s="27">
        <v>94</v>
      </c>
      <c r="B335" s="27">
        <v>56.383136999999998</v>
      </c>
      <c r="C335" s="27">
        <v>-3</v>
      </c>
      <c r="D335" s="27">
        <v>0</v>
      </c>
      <c r="E335" s="28">
        <v>1.6254040000000001</v>
      </c>
      <c r="F335" s="28">
        <v>-0.32974100000000001</v>
      </c>
      <c r="G335" s="28">
        <v>-0.96115799999999996</v>
      </c>
      <c r="H335" s="28">
        <v>-0.70081599999999999</v>
      </c>
      <c r="I335" s="28">
        <v>-1.4411430000000001</v>
      </c>
      <c r="J335" s="28">
        <v>-0.68226600000000004</v>
      </c>
      <c r="K335" s="28">
        <v>-0.89169799999999999</v>
      </c>
      <c r="L335" s="28">
        <v>0.85860499999999995</v>
      </c>
      <c r="M335" s="28">
        <v>-0.48549900000000001</v>
      </c>
      <c r="N335" s="28">
        <v>0.76777899999999999</v>
      </c>
      <c r="O335" s="28">
        <v>0.54898499999999995</v>
      </c>
      <c r="P335" s="28">
        <v>-0.81550199999999995</v>
      </c>
      <c r="Q335" s="28">
        <v>-0.86378900000000003</v>
      </c>
      <c r="R335" s="28">
        <v>0.79839000000000004</v>
      </c>
      <c r="S335" s="28">
        <v>-0.55228100000000002</v>
      </c>
      <c r="T335" s="28">
        <v>0.314245</v>
      </c>
      <c r="U335" s="28">
        <v>-1.4318789999999999</v>
      </c>
      <c r="V335" s="28">
        <v>-0.92930100000000004</v>
      </c>
      <c r="W335" s="28">
        <v>0.57114299999999996</v>
      </c>
      <c r="X335" s="28">
        <v>-0.26586100000000001</v>
      </c>
      <c r="Y335" s="28">
        <v>0.451239</v>
      </c>
      <c r="Z335" s="28">
        <v>-0.236091</v>
      </c>
      <c r="AA335" s="28">
        <v>1.634371</v>
      </c>
      <c r="AB335" s="28">
        <v>8.8885000000000006E-2</v>
      </c>
      <c r="AC335" s="28">
        <v>-1.4460789999999999</v>
      </c>
      <c r="AD335" s="28">
        <v>0.106548</v>
      </c>
      <c r="AE335" s="28">
        <v>0.447882</v>
      </c>
      <c r="AF335" s="28">
        <v>-0.80142199999999997</v>
      </c>
      <c r="AG335" s="28">
        <v>-0.182949</v>
      </c>
      <c r="AH335" s="28">
        <v>0.85319900000000004</v>
      </c>
      <c r="AI335" s="28">
        <v>0.76485499999999995</v>
      </c>
      <c r="AJ335" s="28">
        <v>-1.4253290000000001</v>
      </c>
      <c r="AK335" s="28">
        <v>-0.37792199999999998</v>
      </c>
      <c r="AL335" s="28">
        <v>-0.102326</v>
      </c>
      <c r="AM335" s="28">
        <v>0.76357299999999995</v>
      </c>
      <c r="AN335" s="28">
        <v>1.8122400000000001</v>
      </c>
      <c r="AO335" s="28">
        <v>7.0805000000000007E-2</v>
      </c>
      <c r="AP335" s="28">
        <v>-7.2219000000000005E-2</v>
      </c>
      <c r="AQ335" s="28">
        <v>0.31185000000000002</v>
      </c>
      <c r="AR335" s="28">
        <v>-0.25651600000000002</v>
      </c>
      <c r="AS335" s="28">
        <v>-0.31519399999999997</v>
      </c>
      <c r="AT335" s="28">
        <v>6.9620000000000003E-3</v>
      </c>
      <c r="AU335" s="28">
        <v>0.72981499999999999</v>
      </c>
      <c r="AV335" s="28">
        <v>0.65998199999999996</v>
      </c>
      <c r="AW335" s="28">
        <v>0.22279599999999999</v>
      </c>
      <c r="AX335" s="28">
        <v>8.8345000000000007E-2</v>
      </c>
      <c r="AY335" s="28">
        <v>0.31037700000000001</v>
      </c>
      <c r="AZ335" s="28">
        <v>-0.64868899999999996</v>
      </c>
      <c r="BA335" s="28">
        <v>-0.58344099999999999</v>
      </c>
      <c r="BB335" s="28">
        <v>-0.49345800000000001</v>
      </c>
      <c r="BC335" s="27">
        <v>109.823296</v>
      </c>
      <c r="BD335" s="27">
        <v>3067.2917480000001</v>
      </c>
      <c r="BE335" s="27">
        <v>1338.8076169999999</v>
      </c>
      <c r="BF335" s="27">
        <v>23.744821999999999</v>
      </c>
      <c r="BG335" s="27">
        <v>4.2113999999999999E-2</v>
      </c>
    </row>
    <row r="336" spans="1:59">
      <c r="A336" s="27">
        <v>95</v>
      </c>
      <c r="B336" s="27">
        <v>39.327972000000003</v>
      </c>
      <c r="C336" s="27">
        <v>-3</v>
      </c>
      <c r="D336" s="27">
        <v>0</v>
      </c>
      <c r="E336" s="28">
        <v>0.57696199999999997</v>
      </c>
      <c r="F336" s="28">
        <v>-1.4874590000000001</v>
      </c>
      <c r="G336" s="28">
        <v>0.952291</v>
      </c>
      <c r="H336" s="28">
        <v>0.77326700000000004</v>
      </c>
      <c r="I336" s="28">
        <v>0.68866700000000003</v>
      </c>
      <c r="J336" s="28">
        <v>0.72178100000000001</v>
      </c>
      <c r="K336" s="28">
        <v>1.2848580000000001</v>
      </c>
      <c r="L336" s="28">
        <v>-0.189445</v>
      </c>
      <c r="M336" s="28">
        <v>-0.60645099999999996</v>
      </c>
      <c r="N336" s="28">
        <v>-0.46002399999999999</v>
      </c>
      <c r="O336" s="28">
        <v>0.425983</v>
      </c>
      <c r="P336" s="28">
        <v>-0.332957</v>
      </c>
      <c r="Q336" s="28">
        <v>-1.148768</v>
      </c>
      <c r="R336" s="28">
        <v>0.49915500000000002</v>
      </c>
      <c r="S336" s="28">
        <v>0.42489399999999999</v>
      </c>
      <c r="T336" s="28">
        <v>-0.93662699999999999</v>
      </c>
      <c r="U336" s="28">
        <v>-0.98638599999999999</v>
      </c>
      <c r="V336" s="28">
        <v>-0.27954200000000001</v>
      </c>
      <c r="W336" s="28">
        <v>0.71697100000000002</v>
      </c>
      <c r="X336" s="28">
        <v>-0.22405</v>
      </c>
      <c r="Y336" s="28">
        <v>-0.86831199999999997</v>
      </c>
      <c r="Z336" s="28">
        <v>0.80739399999999995</v>
      </c>
      <c r="AA336" s="28">
        <v>0.28390799999999999</v>
      </c>
      <c r="AB336" s="28">
        <v>0.71601599999999999</v>
      </c>
      <c r="AC336" s="28">
        <v>-8.2658999999999996E-2</v>
      </c>
      <c r="AD336" s="28">
        <v>5.4812E-2</v>
      </c>
      <c r="AE336" s="28">
        <v>0.31275599999999998</v>
      </c>
      <c r="AF336" s="28">
        <v>1.1481889999999999</v>
      </c>
      <c r="AG336" s="28">
        <v>0.31361</v>
      </c>
      <c r="AH336" s="28">
        <v>-0.28513699999999997</v>
      </c>
      <c r="AI336" s="28">
        <v>0.26283699999999999</v>
      </c>
      <c r="AJ336" s="28">
        <v>-0.70505899999999999</v>
      </c>
      <c r="AK336" s="28">
        <v>0.30107099999999998</v>
      </c>
      <c r="AL336" s="28">
        <v>-0.91740699999999997</v>
      </c>
      <c r="AM336" s="28">
        <v>-9.6104999999999996E-2</v>
      </c>
      <c r="AN336" s="28">
        <v>2.7970999999999999E-2</v>
      </c>
      <c r="AO336" s="28">
        <v>7.7908000000000005E-2</v>
      </c>
      <c r="AP336" s="28">
        <v>-0.15492800000000001</v>
      </c>
      <c r="AQ336" s="28">
        <v>-2.3113000000000002E-2</v>
      </c>
      <c r="AR336" s="28">
        <v>-0.51136199999999998</v>
      </c>
      <c r="AS336" s="28">
        <v>-0.45498</v>
      </c>
      <c r="AT336" s="28">
        <v>-1.0390779999999999</v>
      </c>
      <c r="AU336" s="28">
        <v>2.8237000000000002E-2</v>
      </c>
      <c r="AV336" s="28">
        <v>-0.62973000000000001</v>
      </c>
      <c r="AW336" s="28">
        <v>-0.114097</v>
      </c>
      <c r="AX336" s="28">
        <v>-0.59043800000000002</v>
      </c>
      <c r="AY336" s="28">
        <v>2.0525999999999999E-2</v>
      </c>
      <c r="AZ336" s="28">
        <v>-0.50599700000000003</v>
      </c>
      <c r="BA336" s="28">
        <v>-0.36208000000000001</v>
      </c>
      <c r="BB336" s="28">
        <v>-0.97638400000000003</v>
      </c>
      <c r="BC336" s="27">
        <v>99.780586</v>
      </c>
      <c r="BD336" s="27">
        <v>1469.033447</v>
      </c>
      <c r="BE336" s="27">
        <v>1108.2270510000001</v>
      </c>
      <c r="BF336" s="27">
        <v>28.179106000000001</v>
      </c>
      <c r="BG336" s="27">
        <v>3.5486999999999998E-2</v>
      </c>
    </row>
    <row r="337" spans="1:59">
      <c r="A337" s="27">
        <v>96</v>
      </c>
      <c r="B337" s="27">
        <v>45.692988999999997</v>
      </c>
      <c r="C337" s="27">
        <v>-3</v>
      </c>
      <c r="D337" s="27">
        <v>0</v>
      </c>
      <c r="E337" s="28">
        <v>1.0107900000000001</v>
      </c>
      <c r="F337" s="28">
        <v>-0.88376999999999994</v>
      </c>
      <c r="G337" s="28">
        <v>-0.74157600000000001</v>
      </c>
      <c r="H337" s="28">
        <v>-0.76297199999999998</v>
      </c>
      <c r="I337" s="28">
        <v>-0.84866399999999997</v>
      </c>
      <c r="J337" s="28">
        <v>0.29241699999999998</v>
      </c>
      <c r="K337" s="28">
        <v>-0.57423900000000005</v>
      </c>
      <c r="L337" s="28">
        <v>0.78362399999999999</v>
      </c>
      <c r="M337" s="28">
        <v>0.84691899999999998</v>
      </c>
      <c r="N337" s="28">
        <v>0.54095300000000002</v>
      </c>
      <c r="O337" s="28">
        <v>-1.2010559999999999</v>
      </c>
      <c r="P337" s="28">
        <v>0.90051000000000003</v>
      </c>
      <c r="Q337" s="28">
        <v>0.25661400000000001</v>
      </c>
      <c r="R337" s="28">
        <v>-7.8424999999999995E-2</v>
      </c>
      <c r="S337" s="28">
        <v>0.83231200000000005</v>
      </c>
      <c r="T337" s="28">
        <v>-0.28163100000000002</v>
      </c>
      <c r="U337" s="28">
        <v>-0.18229799999999999</v>
      </c>
      <c r="V337" s="28">
        <v>0.49211300000000002</v>
      </c>
      <c r="W337" s="28">
        <v>1.135105</v>
      </c>
      <c r="X337" s="28">
        <v>-0.13441500000000001</v>
      </c>
      <c r="Y337" s="28">
        <v>0.28303899999999999</v>
      </c>
      <c r="Z337" s="28">
        <v>4.6629999999999998E-2</v>
      </c>
      <c r="AA337" s="28">
        <v>0.78025800000000001</v>
      </c>
      <c r="AB337" s="28">
        <v>-0.25166500000000003</v>
      </c>
      <c r="AC337" s="28">
        <v>1.25176</v>
      </c>
      <c r="AD337" s="28">
        <v>0.24077599999999999</v>
      </c>
      <c r="AE337" s="28">
        <v>-0.67022000000000004</v>
      </c>
      <c r="AF337" s="28">
        <v>-0.63481100000000001</v>
      </c>
      <c r="AG337" s="28">
        <v>0.83053500000000002</v>
      </c>
      <c r="AH337" s="28">
        <v>-0.51249800000000001</v>
      </c>
      <c r="AI337" s="28">
        <v>0.59223199999999998</v>
      </c>
      <c r="AJ337" s="28">
        <v>-0.88490800000000003</v>
      </c>
      <c r="AK337" s="28">
        <v>0.36969600000000002</v>
      </c>
      <c r="AL337" s="28">
        <v>-0.20899999999999999</v>
      </c>
      <c r="AM337" s="28">
        <v>0.29705700000000002</v>
      </c>
      <c r="AN337" s="28">
        <v>1.491984</v>
      </c>
      <c r="AO337" s="28">
        <v>0.41876200000000002</v>
      </c>
      <c r="AP337" s="28">
        <v>0.10187499999999999</v>
      </c>
      <c r="AQ337" s="28">
        <v>-0.26055299999999998</v>
      </c>
      <c r="AR337" s="28">
        <v>0.44346999999999998</v>
      </c>
      <c r="AS337" s="28">
        <v>0.93737400000000004</v>
      </c>
      <c r="AT337" s="28">
        <v>0.54197799999999996</v>
      </c>
      <c r="AU337" s="28">
        <v>0.25931300000000002</v>
      </c>
      <c r="AV337" s="28">
        <v>-0.27976800000000002</v>
      </c>
      <c r="AW337" s="28">
        <v>-0.27749699999999999</v>
      </c>
      <c r="AX337" s="28">
        <v>-0.51769299999999996</v>
      </c>
      <c r="AY337" s="28">
        <v>-1.194423</v>
      </c>
      <c r="AZ337" s="28">
        <v>-0.19586400000000001</v>
      </c>
      <c r="BA337" s="28">
        <v>1.064605</v>
      </c>
      <c r="BB337" s="28">
        <v>-0.190439</v>
      </c>
      <c r="BC337" s="27">
        <v>79.330948000000006</v>
      </c>
      <c r="BD337" s="27">
        <v>1997.4632570000001</v>
      </c>
      <c r="BE337" s="27">
        <v>1484.8682859999999</v>
      </c>
      <c r="BF337" s="27">
        <v>32.496631999999998</v>
      </c>
      <c r="BG337" s="27">
        <v>3.0772000000000001E-2</v>
      </c>
    </row>
    <row r="338" spans="1:59">
      <c r="A338" s="27">
        <v>97</v>
      </c>
      <c r="B338" s="27">
        <v>52.385593</v>
      </c>
      <c r="C338" s="27">
        <v>-3</v>
      </c>
      <c r="D338" s="27">
        <v>0</v>
      </c>
      <c r="E338" s="28">
        <v>1.614214</v>
      </c>
      <c r="F338" s="28">
        <v>0.23215</v>
      </c>
      <c r="G338" s="28">
        <v>0.25669599999999998</v>
      </c>
      <c r="H338" s="28">
        <v>-0.116481</v>
      </c>
      <c r="I338" s="28">
        <v>1.692396</v>
      </c>
      <c r="J338" s="28">
        <v>2.0740000000000001E-2</v>
      </c>
      <c r="K338" s="28">
        <v>0.49175000000000002</v>
      </c>
      <c r="L338" s="28">
        <v>0.14841399999999999</v>
      </c>
      <c r="M338" s="28">
        <v>0.565612</v>
      </c>
      <c r="N338" s="28">
        <v>-6.6751000000000005E-2</v>
      </c>
      <c r="O338" s="28">
        <v>-0.16994899999999999</v>
      </c>
      <c r="P338" s="28">
        <v>-7.2718000000000005E-2</v>
      </c>
      <c r="Q338" s="28">
        <v>-1.174739</v>
      </c>
      <c r="R338" s="28">
        <v>-0.150586</v>
      </c>
      <c r="S338" s="28">
        <v>2.6440000000000002E-2</v>
      </c>
      <c r="T338" s="28">
        <v>0.480263</v>
      </c>
      <c r="U338" s="28">
        <v>-0.78358300000000003</v>
      </c>
      <c r="V338" s="28">
        <v>0.582646</v>
      </c>
      <c r="W338" s="28">
        <v>0.55637800000000004</v>
      </c>
      <c r="X338" s="28">
        <v>-0.53551599999999999</v>
      </c>
      <c r="Y338" s="28">
        <v>0.230158</v>
      </c>
      <c r="Z338" s="28">
        <v>0.30423600000000001</v>
      </c>
      <c r="AA338" s="28">
        <v>0.70019100000000001</v>
      </c>
      <c r="AB338" s="28">
        <v>0.34028799999999998</v>
      </c>
      <c r="AC338" s="28">
        <v>-0.67244000000000004</v>
      </c>
      <c r="AD338" s="28">
        <v>4.5914999999999997E-2</v>
      </c>
      <c r="AE338" s="28">
        <v>-0.15002099999999999</v>
      </c>
      <c r="AF338" s="28">
        <v>0.21759200000000001</v>
      </c>
      <c r="AG338" s="28">
        <v>-0.25183800000000001</v>
      </c>
      <c r="AH338" s="28">
        <v>-9.2655000000000001E-2</v>
      </c>
      <c r="AI338" s="28">
        <v>1.256788</v>
      </c>
      <c r="AJ338" s="28">
        <v>-0.18878200000000001</v>
      </c>
      <c r="AK338" s="28">
        <v>0.79800700000000002</v>
      </c>
      <c r="AL338" s="28">
        <v>-0.46310000000000001</v>
      </c>
      <c r="AM338" s="28">
        <v>-0.22752600000000001</v>
      </c>
      <c r="AN338" s="28">
        <v>0.27594999999999997</v>
      </c>
      <c r="AO338" s="28">
        <v>-0.116387</v>
      </c>
      <c r="AP338" s="28">
        <v>-3.3105000000000002E-2</v>
      </c>
      <c r="AQ338" s="28">
        <v>-0.54501999999999995</v>
      </c>
      <c r="AR338" s="28">
        <v>-0.15330199999999999</v>
      </c>
      <c r="AS338" s="28">
        <v>9.2596999999999999E-2</v>
      </c>
      <c r="AT338" s="28">
        <v>-0.173674</v>
      </c>
      <c r="AU338" s="28">
        <v>-1.102223</v>
      </c>
      <c r="AV338" s="28">
        <v>0.34865299999999999</v>
      </c>
      <c r="AW338" s="28">
        <v>0.398976</v>
      </c>
      <c r="AX338" s="28">
        <v>-0.12264899999999999</v>
      </c>
      <c r="AY338" s="28">
        <v>-0.44393899999999997</v>
      </c>
      <c r="AZ338" s="28">
        <v>0.56074599999999997</v>
      </c>
      <c r="BA338" s="28">
        <v>-0.62265199999999998</v>
      </c>
      <c r="BB338" s="28">
        <v>-0.96209699999999998</v>
      </c>
      <c r="BC338" s="27">
        <v>92.639258999999996</v>
      </c>
      <c r="BD338" s="27">
        <v>2640.4792480000001</v>
      </c>
      <c r="BE338" s="27">
        <v>1657.7288820000001</v>
      </c>
      <c r="BF338" s="27">
        <v>31.644749000000001</v>
      </c>
      <c r="BG338" s="27">
        <v>3.1600999999999997E-2</v>
      </c>
    </row>
    <row r="339" spans="1:59">
      <c r="A339" s="27">
        <v>98</v>
      </c>
      <c r="B339" s="27">
        <v>37.950839999999999</v>
      </c>
      <c r="C339" s="27">
        <v>-3</v>
      </c>
      <c r="D339" s="27">
        <v>0</v>
      </c>
      <c r="E339" s="28">
        <v>0.94180900000000001</v>
      </c>
      <c r="F339" s="28">
        <v>-0.961171</v>
      </c>
      <c r="G339" s="28">
        <v>-7.36E-4</v>
      </c>
      <c r="H339" s="28">
        <v>-0.51105999999999996</v>
      </c>
      <c r="I339" s="28">
        <v>-0.41472300000000001</v>
      </c>
      <c r="J339" s="28">
        <v>-1.4149350000000001</v>
      </c>
      <c r="K339" s="28">
        <v>0.919539</v>
      </c>
      <c r="L339" s="28">
        <v>-0.79424700000000004</v>
      </c>
      <c r="M339" s="28">
        <v>0.43951400000000002</v>
      </c>
      <c r="N339" s="28">
        <v>0.182506</v>
      </c>
      <c r="O339" s="28">
        <v>-0.315911</v>
      </c>
      <c r="P339" s="28">
        <v>-0.84944299999999995</v>
      </c>
      <c r="Q339" s="28">
        <v>0.62574700000000005</v>
      </c>
      <c r="R339" s="28">
        <v>-1.3992100000000001</v>
      </c>
      <c r="S339" s="28">
        <v>-4.4250000000000001E-3</v>
      </c>
      <c r="T339" s="28">
        <v>-3.3249000000000001E-2</v>
      </c>
      <c r="U339" s="28">
        <v>-0.95013199999999998</v>
      </c>
      <c r="V339" s="28">
        <v>0.80715099999999995</v>
      </c>
      <c r="W339" s="28">
        <v>0.56753500000000001</v>
      </c>
      <c r="X339" s="28">
        <v>-1.619262</v>
      </c>
      <c r="Y339" s="28">
        <v>-0.70006100000000004</v>
      </c>
      <c r="Z339" s="28">
        <v>0.56687100000000001</v>
      </c>
      <c r="AA339" s="28">
        <v>0.64646400000000004</v>
      </c>
      <c r="AB339" s="28">
        <v>0.33309499999999997</v>
      </c>
      <c r="AC339" s="28">
        <v>-0.49075600000000003</v>
      </c>
      <c r="AD339" s="28">
        <v>-0.53687200000000002</v>
      </c>
      <c r="AE339" s="28">
        <v>-0.51339100000000004</v>
      </c>
      <c r="AF339" s="28">
        <v>0.20835999999999999</v>
      </c>
      <c r="AG339" s="28">
        <v>-0.84893799999999997</v>
      </c>
      <c r="AH339" s="28">
        <v>-0.75144999999999995</v>
      </c>
      <c r="AI339" s="28">
        <v>0.33925300000000003</v>
      </c>
      <c r="AJ339" s="28">
        <v>-0.39865099999999998</v>
      </c>
      <c r="AK339" s="28">
        <v>-0.24761900000000001</v>
      </c>
      <c r="AL339" s="28">
        <v>-0.93593099999999996</v>
      </c>
      <c r="AM339" s="28">
        <v>-0.54419099999999998</v>
      </c>
      <c r="AN339" s="28">
        <v>1.2012E-2</v>
      </c>
      <c r="AO339" s="28">
        <v>-8.4905999999999995E-2</v>
      </c>
      <c r="AP339" s="28">
        <v>0.32449699999999998</v>
      </c>
      <c r="AQ339" s="28">
        <v>0.33465400000000001</v>
      </c>
      <c r="AR339" s="28">
        <v>0.13635800000000001</v>
      </c>
      <c r="AS339" s="28">
        <v>0.184914</v>
      </c>
      <c r="AT339" s="28">
        <v>-0.37331999999999999</v>
      </c>
      <c r="AU339" s="28">
        <v>0.58251200000000003</v>
      </c>
      <c r="AV339" s="28">
        <v>-0.56775299999999995</v>
      </c>
      <c r="AW339" s="28">
        <v>-9.5992999999999995E-2</v>
      </c>
      <c r="AX339" s="28">
        <v>-1.8123E-2</v>
      </c>
      <c r="AY339" s="28">
        <v>1.0159830000000001</v>
      </c>
      <c r="AZ339" s="28">
        <v>0.39590500000000001</v>
      </c>
      <c r="BA339" s="28">
        <v>0.679817</v>
      </c>
      <c r="BB339" s="28">
        <v>-1.2070240000000001</v>
      </c>
      <c r="BC339" s="27">
        <v>173.926163</v>
      </c>
      <c r="BD339" s="27">
        <v>1365.364624</v>
      </c>
      <c r="BE339" s="27">
        <v>860.86798099999999</v>
      </c>
      <c r="BF339" s="27">
        <v>22.683767</v>
      </c>
      <c r="BG339" s="27">
        <v>4.4083999999999998E-2</v>
      </c>
    </row>
    <row r="340" spans="1:59">
      <c r="A340" s="27">
        <v>99</v>
      </c>
      <c r="B340" s="27">
        <v>48.366374999999998</v>
      </c>
      <c r="C340" s="27">
        <v>-3</v>
      </c>
      <c r="D340" s="27">
        <v>0</v>
      </c>
      <c r="E340" s="28">
        <v>0.14165700000000001</v>
      </c>
      <c r="F340" s="28">
        <v>0.93150100000000002</v>
      </c>
      <c r="G340" s="28">
        <v>0.21973599999999999</v>
      </c>
      <c r="H340" s="28">
        <v>8.7349999999999997E-2</v>
      </c>
      <c r="I340" s="28">
        <v>0.66057299999999997</v>
      </c>
      <c r="J340" s="28">
        <v>0.32617000000000002</v>
      </c>
      <c r="K340" s="28">
        <v>0.486794</v>
      </c>
      <c r="L340" s="28">
        <v>-0.60062700000000002</v>
      </c>
      <c r="M340" s="28">
        <v>1.7281930000000001</v>
      </c>
      <c r="N340" s="28">
        <v>1.279531</v>
      </c>
      <c r="O340" s="28">
        <v>-0.37542500000000001</v>
      </c>
      <c r="P340" s="28">
        <v>-0.86995599999999995</v>
      </c>
      <c r="Q340" s="28">
        <v>-0.88975000000000004</v>
      </c>
      <c r="R340" s="28">
        <v>-1.1213439999999999</v>
      </c>
      <c r="S340" s="28">
        <v>1.2563500000000001</v>
      </c>
      <c r="T340" s="28">
        <v>0.63623399999999997</v>
      </c>
      <c r="U340" s="28">
        <v>0.55337499999999995</v>
      </c>
      <c r="V340" s="28">
        <v>-0.316774</v>
      </c>
      <c r="W340" s="28">
        <v>-0.57559000000000005</v>
      </c>
      <c r="X340" s="28">
        <v>-0.77202599999999999</v>
      </c>
      <c r="Y340" s="28">
        <v>-0.78446899999999997</v>
      </c>
      <c r="Z340" s="28">
        <v>0.47545100000000001</v>
      </c>
      <c r="AA340" s="28">
        <v>0.97257099999999996</v>
      </c>
      <c r="AB340" s="28">
        <v>0.81458900000000001</v>
      </c>
      <c r="AC340" s="28">
        <v>0.34436099999999997</v>
      </c>
      <c r="AD340" s="28">
        <v>4.1963E-2</v>
      </c>
      <c r="AE340" s="28">
        <v>0.81816999999999995</v>
      </c>
      <c r="AF340" s="28">
        <v>0.49418299999999998</v>
      </c>
      <c r="AG340" s="28">
        <v>-0.74974099999999999</v>
      </c>
      <c r="AH340" s="28">
        <v>-1.1178939999999999</v>
      </c>
      <c r="AI340" s="28">
        <v>1.0275810000000001</v>
      </c>
      <c r="AJ340" s="28">
        <v>0.18726499999999999</v>
      </c>
      <c r="AK340" s="28">
        <v>-0.46878799999999998</v>
      </c>
      <c r="AL340" s="28">
        <v>0.21907799999999999</v>
      </c>
      <c r="AM340" s="28">
        <v>0.65311699999999995</v>
      </c>
      <c r="AN340" s="28">
        <v>-0.532003</v>
      </c>
      <c r="AO340" s="28">
        <v>0.80649400000000004</v>
      </c>
      <c r="AP340" s="28">
        <v>-0.388903</v>
      </c>
      <c r="AQ340" s="28">
        <v>-0.21298</v>
      </c>
      <c r="AR340" s="28">
        <v>-0.33707300000000001</v>
      </c>
      <c r="AS340" s="28">
        <v>-1.7750000000000001E-3</v>
      </c>
      <c r="AT340" s="28">
        <v>-0.43126399999999998</v>
      </c>
      <c r="AU340" s="28">
        <v>0.65154900000000004</v>
      </c>
      <c r="AV340" s="28">
        <v>-0.22847300000000001</v>
      </c>
      <c r="AW340" s="28">
        <v>-0.868004</v>
      </c>
      <c r="AX340" s="28">
        <v>-0.905532</v>
      </c>
      <c r="AY340" s="28">
        <v>0.25758300000000001</v>
      </c>
      <c r="AZ340" s="28">
        <v>-5.6763000000000001E-2</v>
      </c>
      <c r="BA340" s="28">
        <v>-0.61416400000000004</v>
      </c>
      <c r="BB340" s="28">
        <v>9.1121999999999995E-2</v>
      </c>
      <c r="BC340" s="27">
        <v>102.276833</v>
      </c>
      <c r="BD340" s="27">
        <v>2243.5734859999998</v>
      </c>
      <c r="BE340" s="27">
        <v>1717.668091</v>
      </c>
      <c r="BF340" s="27">
        <v>35.513683</v>
      </c>
      <c r="BG340" s="27">
        <v>2.8157999999999999E-2</v>
      </c>
    </row>
    <row r="343" spans="1:59">
      <c r="A343" s="10" t="s">
        <v>275</v>
      </c>
      <c r="B343" s="10"/>
      <c r="C343" s="11"/>
      <c r="D343" s="11"/>
      <c r="E343" s="11"/>
    </row>
    <row r="345" spans="1:59">
      <c r="A345" s="1" t="s">
        <v>101</v>
      </c>
      <c r="B345">
        <v>1.9999999999999999E-6</v>
      </c>
    </row>
    <row r="347" spans="1:59">
      <c r="A347" t="s">
        <v>57</v>
      </c>
    </row>
    <row r="348" spans="1:59">
      <c r="F348" s="54">
        <v>0</v>
      </c>
      <c r="G348" s="54">
        <f>F348+1</f>
        <v>1</v>
      </c>
      <c r="H348" s="54">
        <f t="shared" ref="H348" si="393">G348+1</f>
        <v>2</v>
      </c>
      <c r="I348" s="54">
        <f t="shared" ref="I348" si="394">H348+1</f>
        <v>3</v>
      </c>
      <c r="J348" s="54">
        <f t="shared" ref="J348" si="395">I348+1</f>
        <v>4</v>
      </c>
      <c r="K348" s="54">
        <f t="shared" ref="K348" si="396">J348+1</f>
        <v>5</v>
      </c>
      <c r="L348" s="54">
        <f t="shared" ref="L348" si="397">K348+1</f>
        <v>6</v>
      </c>
      <c r="M348" s="54">
        <f t="shared" ref="M348" si="398">L348+1</f>
        <v>7</v>
      </c>
      <c r="N348" s="54">
        <f t="shared" ref="N348" si="399">M348+1</f>
        <v>8</v>
      </c>
      <c r="O348" s="54">
        <f t="shared" ref="O348" si="400">N348+1</f>
        <v>9</v>
      </c>
      <c r="P348" s="54">
        <f t="shared" ref="P348" si="401">O348+1</f>
        <v>10</v>
      </c>
      <c r="Q348" s="54">
        <f t="shared" ref="Q348" si="402">P348+1</f>
        <v>11</v>
      </c>
      <c r="R348" s="54">
        <f t="shared" ref="R348" si="403">Q348+1</f>
        <v>12</v>
      </c>
      <c r="S348" s="54">
        <f t="shared" ref="S348" si="404">R348+1</f>
        <v>13</v>
      </c>
      <c r="T348" s="54">
        <f t="shared" ref="T348" si="405">S348+1</f>
        <v>14</v>
      </c>
      <c r="U348" s="54">
        <f t="shared" ref="U348" si="406">T348+1</f>
        <v>15</v>
      </c>
      <c r="V348" s="54">
        <f t="shared" ref="V348" si="407">U348+1</f>
        <v>16</v>
      </c>
      <c r="W348" s="54">
        <f t="shared" ref="W348" si="408">V348+1</f>
        <v>17</v>
      </c>
      <c r="X348" s="54">
        <f t="shared" ref="X348" si="409">W348+1</f>
        <v>18</v>
      </c>
      <c r="Y348" s="54">
        <f t="shared" ref="Y348" si="410">X348+1</f>
        <v>19</v>
      </c>
      <c r="Z348" s="54">
        <f t="shared" ref="Z348" si="411">Y348+1</f>
        <v>20</v>
      </c>
      <c r="AA348" s="54">
        <f t="shared" ref="AA348" si="412">Z348+1</f>
        <v>21</v>
      </c>
      <c r="AB348" s="54">
        <f t="shared" ref="AB348" si="413">AA348+1</f>
        <v>22</v>
      </c>
      <c r="AC348" s="54">
        <f t="shared" ref="AC348" si="414">AB348+1</f>
        <v>23</v>
      </c>
      <c r="AD348" s="54">
        <f t="shared" ref="AD348" si="415">AC348+1</f>
        <v>24</v>
      </c>
      <c r="AE348" s="54">
        <f t="shared" ref="AE348" si="416">AD348+1</f>
        <v>25</v>
      </c>
      <c r="AF348" s="54">
        <f t="shared" ref="AF348" si="417">AE348+1</f>
        <v>26</v>
      </c>
      <c r="AG348" s="54">
        <f t="shared" ref="AG348" si="418">AF348+1</f>
        <v>27</v>
      </c>
      <c r="AH348" s="54">
        <f t="shared" ref="AH348" si="419">AG348+1</f>
        <v>28</v>
      </c>
      <c r="AI348" s="54">
        <f t="shared" ref="AI348" si="420">AH348+1</f>
        <v>29</v>
      </c>
      <c r="AJ348" s="54">
        <f t="shared" ref="AJ348" si="421">AI348+1</f>
        <v>30</v>
      </c>
      <c r="AK348" s="54">
        <f t="shared" ref="AK348" si="422">AJ348+1</f>
        <v>31</v>
      </c>
      <c r="AL348" s="54">
        <f t="shared" ref="AL348" si="423">AK348+1</f>
        <v>32</v>
      </c>
      <c r="AM348" s="54">
        <f t="shared" ref="AM348" si="424">AL348+1</f>
        <v>33</v>
      </c>
      <c r="AN348" s="54">
        <f t="shared" ref="AN348" si="425">AM348+1</f>
        <v>34</v>
      </c>
      <c r="AO348" s="54">
        <f t="shared" ref="AO348" si="426">AN348+1</f>
        <v>35</v>
      </c>
      <c r="AP348" s="54">
        <f t="shared" ref="AP348" si="427">AO348+1</f>
        <v>36</v>
      </c>
      <c r="AQ348" s="54">
        <f t="shared" ref="AQ348" si="428">AP348+1</f>
        <v>37</v>
      </c>
      <c r="AR348" s="54">
        <f t="shared" ref="AR348" si="429">AQ348+1</f>
        <v>38</v>
      </c>
      <c r="AS348" s="54">
        <f t="shared" ref="AS348" si="430">AR348+1</f>
        <v>39</v>
      </c>
      <c r="AT348" s="54">
        <f t="shared" ref="AT348" si="431">AS348+1</f>
        <v>40</v>
      </c>
      <c r="AU348" s="54">
        <f t="shared" ref="AU348" si="432">AT348+1</f>
        <v>41</v>
      </c>
      <c r="AV348" s="54">
        <f t="shared" ref="AV348" si="433">AU348+1</f>
        <v>42</v>
      </c>
      <c r="AW348" s="54">
        <f t="shared" ref="AW348" si="434">AV348+1</f>
        <v>43</v>
      </c>
      <c r="AX348" s="54">
        <f t="shared" ref="AX348" si="435">AW348+1</f>
        <v>44</v>
      </c>
      <c r="AY348" s="54">
        <f t="shared" ref="AY348" si="436">AX348+1</f>
        <v>45</v>
      </c>
      <c r="AZ348" s="54">
        <f t="shared" ref="AZ348" si="437">AY348+1</f>
        <v>46</v>
      </c>
      <c r="BA348" s="54">
        <f t="shared" ref="BA348" si="438">AZ348+1</f>
        <v>47</v>
      </c>
      <c r="BB348" s="54">
        <f t="shared" ref="BB348" si="439">BA348+1</f>
        <v>48</v>
      </c>
      <c r="BC348" s="54">
        <f t="shared" ref="BC348" si="440">BB348+1</f>
        <v>49</v>
      </c>
    </row>
    <row r="349" spans="1:59">
      <c r="A349" s="32" t="s">
        <v>60</v>
      </c>
      <c r="B349" s="32" t="s">
        <v>103</v>
      </c>
      <c r="C349" s="32" t="s">
        <v>277</v>
      </c>
      <c r="D349" s="32" t="s">
        <v>278</v>
      </c>
      <c r="E349" s="33" t="s">
        <v>60</v>
      </c>
      <c r="F349" s="53" t="s">
        <v>3</v>
      </c>
      <c r="G349" s="53" t="s">
        <v>4</v>
      </c>
      <c r="H349" s="53" t="s">
        <v>5</v>
      </c>
      <c r="I349" s="53" t="s">
        <v>6</v>
      </c>
      <c r="J349" s="53" t="s">
        <v>7</v>
      </c>
      <c r="K349" s="53" t="s">
        <v>8</v>
      </c>
      <c r="L349" s="53" t="s">
        <v>9</v>
      </c>
      <c r="M349" s="53" t="s">
        <v>10</v>
      </c>
      <c r="N349" s="53" t="s">
        <v>11</v>
      </c>
      <c r="O349" s="53" t="s">
        <v>12</v>
      </c>
      <c r="P349" s="53" t="s">
        <v>13</v>
      </c>
      <c r="Q349" s="53" t="s">
        <v>14</v>
      </c>
      <c r="R349" s="53" t="s">
        <v>15</v>
      </c>
      <c r="S349" s="53" t="s">
        <v>16</v>
      </c>
      <c r="T349" s="53" t="s">
        <v>17</v>
      </c>
      <c r="U349" s="53" t="s">
        <v>18</v>
      </c>
      <c r="V349" s="53" t="s">
        <v>19</v>
      </c>
      <c r="W349" s="53" t="s">
        <v>20</v>
      </c>
      <c r="X349" s="53" t="s">
        <v>21</v>
      </c>
      <c r="Y349" s="53" t="s">
        <v>22</v>
      </c>
      <c r="Z349" s="53" t="s">
        <v>27</v>
      </c>
      <c r="AA349" s="53" t="s">
        <v>28</v>
      </c>
      <c r="AB349" s="53" t="s">
        <v>29</v>
      </c>
      <c r="AC349" s="53" t="s">
        <v>30</v>
      </c>
      <c r="AD349" s="53" t="s">
        <v>31</v>
      </c>
      <c r="AE349" s="53" t="s">
        <v>32</v>
      </c>
      <c r="AF349" s="53" t="s">
        <v>33</v>
      </c>
      <c r="AG349" s="53" t="s">
        <v>34</v>
      </c>
      <c r="AH349" s="53" t="s">
        <v>35</v>
      </c>
      <c r="AI349" s="53" t="s">
        <v>36</v>
      </c>
      <c r="AJ349" s="53" t="s">
        <v>37</v>
      </c>
      <c r="AK349" s="53" t="s">
        <v>38</v>
      </c>
      <c r="AL349" s="53" t="s">
        <v>39</v>
      </c>
      <c r="AM349" s="53" t="s">
        <v>40</v>
      </c>
      <c r="AN349" s="53" t="s">
        <v>41</v>
      </c>
      <c r="AO349" s="53" t="s">
        <v>42</v>
      </c>
      <c r="AP349" s="53" t="s">
        <v>43</v>
      </c>
      <c r="AQ349" s="53" t="s">
        <v>44</v>
      </c>
      <c r="AR349" s="53" t="s">
        <v>45</v>
      </c>
      <c r="AS349" s="53" t="s">
        <v>46</v>
      </c>
      <c r="AT349" s="53" t="s">
        <v>47</v>
      </c>
      <c r="AU349" s="53" t="s">
        <v>48</v>
      </c>
      <c r="AV349" s="53" t="s">
        <v>49</v>
      </c>
      <c r="AW349" s="53" t="s">
        <v>50</v>
      </c>
      <c r="AX349" s="53" t="s">
        <v>51</v>
      </c>
      <c r="AY349" s="53" t="s">
        <v>52</v>
      </c>
      <c r="AZ349" s="53" t="s">
        <v>53</v>
      </c>
      <c r="BA349" s="53" t="s">
        <v>54</v>
      </c>
      <c r="BB349" s="53" t="s">
        <v>55</v>
      </c>
      <c r="BC349" s="53" t="s">
        <v>56</v>
      </c>
    </row>
    <row r="350" spans="1:59">
      <c r="A350" s="27">
        <v>0</v>
      </c>
      <c r="B350" s="27" t="str">
        <f t="shared" ref="B350:B381" si="441">H137</f>
        <v>Sim</v>
      </c>
      <c r="C350" s="27">
        <f>E137</f>
        <v>45</v>
      </c>
      <c r="D350" s="27">
        <f ca="1">F137</f>
        <v>46</v>
      </c>
      <c r="E350" s="34">
        <v>0</v>
      </c>
      <c r="F350" s="57">
        <f ca="1">E241-DI137</f>
        <v>0</v>
      </c>
      <c r="G350" s="57">
        <f ca="1">F241-DJ137</f>
        <v>0</v>
      </c>
      <c r="H350" s="57">
        <f ca="1">G241-DK137</f>
        <v>0</v>
      </c>
      <c r="I350" s="57">
        <f ca="1">H241-DL137</f>
        <v>0</v>
      </c>
      <c r="J350" s="57">
        <f ca="1">I241-DM137</f>
        <v>0</v>
      </c>
      <c r="K350" s="57">
        <f ca="1">J241-DN137</f>
        <v>0</v>
      </c>
      <c r="L350" s="57">
        <f ca="1">K241-DO137</f>
        <v>0</v>
      </c>
      <c r="M350" s="57">
        <f ca="1">L241-DP137</f>
        <v>0</v>
      </c>
      <c r="N350" s="57">
        <f ca="1">M241-DQ137</f>
        <v>0</v>
      </c>
      <c r="O350" s="57">
        <f ca="1">N241-DR137</f>
        <v>0</v>
      </c>
      <c r="P350" s="57">
        <f ca="1">O241-DS137</f>
        <v>0</v>
      </c>
      <c r="Q350" s="57">
        <f ca="1">P241-DT137</f>
        <v>0</v>
      </c>
      <c r="R350" s="57">
        <f ca="1">Q241-DU137</f>
        <v>0</v>
      </c>
      <c r="S350" s="57">
        <f ca="1">R241-DV137</f>
        <v>0</v>
      </c>
      <c r="T350" s="57">
        <f ca="1">S241-DW137</f>
        <v>0</v>
      </c>
      <c r="U350" s="57">
        <f ca="1">T241-DX137</f>
        <v>0</v>
      </c>
      <c r="V350" s="57">
        <f ca="1">U241-DY137</f>
        <v>0</v>
      </c>
      <c r="W350" s="57">
        <f ca="1">V241-DZ137</f>
        <v>0</v>
      </c>
      <c r="X350" s="57">
        <f ca="1">W241-EA137</f>
        <v>0</v>
      </c>
      <c r="Y350" s="57">
        <f ca="1">X241-EB137</f>
        <v>0</v>
      </c>
      <c r="Z350" s="57">
        <f ca="1">Y241-EC137</f>
        <v>0</v>
      </c>
      <c r="AA350" s="57">
        <f ca="1">Z241-ED137</f>
        <v>0</v>
      </c>
      <c r="AB350" s="57">
        <f ca="1">AA241-EE137</f>
        <v>0</v>
      </c>
      <c r="AC350" s="57">
        <f ca="1">AB241-EF137</f>
        <v>0</v>
      </c>
      <c r="AD350" s="57">
        <f ca="1">AC241-EG137</f>
        <v>0</v>
      </c>
      <c r="AE350" s="57">
        <f ca="1">AD241-EH137</f>
        <v>0</v>
      </c>
      <c r="AF350" s="57">
        <f ca="1">AE241-EI137</f>
        <v>0</v>
      </c>
      <c r="AG350" s="57">
        <f ca="1">AF241-EJ137</f>
        <v>0</v>
      </c>
      <c r="AH350" s="57">
        <f ca="1">AG241-EK137</f>
        <v>0</v>
      </c>
      <c r="AI350" s="57">
        <f ca="1">AH241-EL137</f>
        <v>0</v>
      </c>
      <c r="AJ350" s="57">
        <f ca="1">AI241-EM137</f>
        <v>0</v>
      </c>
      <c r="AK350" s="57">
        <f ca="1">AJ241-EN137</f>
        <v>0</v>
      </c>
      <c r="AL350" s="57">
        <f ca="1">AK241-EO137</f>
        <v>0</v>
      </c>
      <c r="AM350" s="57">
        <f ca="1">AL241-EP137</f>
        <v>0</v>
      </c>
      <c r="AN350" s="57">
        <f ca="1">AM241-EQ137</f>
        <v>0</v>
      </c>
      <c r="AO350" s="57">
        <f ca="1">AN241-ER137</f>
        <v>0</v>
      </c>
      <c r="AP350" s="57">
        <f ca="1">AO241-ES137</f>
        <v>0</v>
      </c>
      <c r="AQ350" s="57">
        <f ca="1">AP241-ET137</f>
        <v>0</v>
      </c>
      <c r="AR350" s="57">
        <f ca="1">AQ241-EU137</f>
        <v>0</v>
      </c>
      <c r="AS350" s="57">
        <f ca="1">AR241-EV137</f>
        <v>0</v>
      </c>
      <c r="AT350" s="57">
        <f ca="1">AS241-EW137</f>
        <v>0</v>
      </c>
      <c r="AU350" s="57">
        <f ca="1">AT241-EX137</f>
        <v>0</v>
      </c>
      <c r="AV350" s="57">
        <f ca="1">AU241-EY137</f>
        <v>0</v>
      </c>
      <c r="AW350" s="57">
        <f ca="1">AV241-EZ137</f>
        <v>0</v>
      </c>
      <c r="AX350" s="57">
        <f ca="1">AW241-FA137</f>
        <v>0</v>
      </c>
      <c r="AY350" s="57">
        <f ca="1">AX241-FB137</f>
        <v>-5.2185999988019205E-7</v>
      </c>
      <c r="AZ350" s="57">
        <f ca="1">AY241-FC137</f>
        <v>-1.2507550000000001</v>
      </c>
      <c r="BA350" s="57">
        <f ca="1">AZ241-FD137</f>
        <v>0.64081100000000002</v>
      </c>
      <c r="BB350" s="57">
        <f ca="1">BA241-FE137</f>
        <v>-0.70983099999999988</v>
      </c>
      <c r="BC350" s="57">
        <f ca="1">BB241-FF137</f>
        <v>1.0616840000000001</v>
      </c>
    </row>
    <row r="351" spans="1:59">
      <c r="A351" s="27">
        <v>1</v>
      </c>
      <c r="B351" s="27" t="str">
        <f t="shared" si="441"/>
        <v>Sim</v>
      </c>
      <c r="C351" s="27">
        <f t="shared" ref="C351:C414" si="442">E138</f>
        <v>36</v>
      </c>
      <c r="D351" s="27">
        <f t="shared" ref="D351:D414" ca="1" si="443">F138</f>
        <v>41</v>
      </c>
      <c r="E351" s="34">
        <v>1</v>
      </c>
      <c r="F351" s="57">
        <f ca="1">E242-DI138</f>
        <v>0</v>
      </c>
      <c r="G351" s="57">
        <f ca="1">F242-DJ138</f>
        <v>0</v>
      </c>
      <c r="H351" s="57">
        <f ca="1">G242-DK138</f>
        <v>0</v>
      </c>
      <c r="I351" s="57">
        <f ca="1">H242-DL138</f>
        <v>0</v>
      </c>
      <c r="J351" s="57">
        <f ca="1">I242-DM138</f>
        <v>0</v>
      </c>
      <c r="K351" s="57">
        <f ca="1">J242-DN138</f>
        <v>0</v>
      </c>
      <c r="L351" s="57">
        <f ca="1">K242-DO138</f>
        <v>0</v>
      </c>
      <c r="M351" s="57">
        <f ca="1">L242-DP138</f>
        <v>0</v>
      </c>
      <c r="N351" s="57">
        <f ca="1">M242-DQ138</f>
        <v>0</v>
      </c>
      <c r="O351" s="57">
        <f ca="1">N242-DR138</f>
        <v>0</v>
      </c>
      <c r="P351" s="57">
        <f ca="1">O242-DS138</f>
        <v>0</v>
      </c>
      <c r="Q351" s="57">
        <f ca="1">P242-DT138</f>
        <v>0</v>
      </c>
      <c r="R351" s="57">
        <f ca="1">Q242-DU138</f>
        <v>0</v>
      </c>
      <c r="S351" s="57">
        <f ca="1">R242-DV138</f>
        <v>0</v>
      </c>
      <c r="T351" s="57">
        <f ca="1">S242-DW138</f>
        <v>0</v>
      </c>
      <c r="U351" s="57">
        <f ca="1">T242-DX138</f>
        <v>0</v>
      </c>
      <c r="V351" s="57">
        <f ca="1">U242-DY138</f>
        <v>0</v>
      </c>
      <c r="W351" s="57">
        <f ca="1">V242-DZ138</f>
        <v>0</v>
      </c>
      <c r="X351" s="57">
        <f ca="1">W242-EA138</f>
        <v>0</v>
      </c>
      <c r="Y351" s="57">
        <f ca="1">X242-EB138</f>
        <v>0</v>
      </c>
      <c r="Z351" s="57">
        <f ca="1">Y242-EC138</f>
        <v>0</v>
      </c>
      <c r="AA351" s="57">
        <f ca="1">Z242-ED138</f>
        <v>0</v>
      </c>
      <c r="AB351" s="57">
        <f ca="1">AA242-EE138</f>
        <v>0</v>
      </c>
      <c r="AC351" s="57">
        <f ca="1">AB242-EF138</f>
        <v>0</v>
      </c>
      <c r="AD351" s="57">
        <f ca="1">AC242-EG138</f>
        <v>0</v>
      </c>
      <c r="AE351" s="57">
        <f ca="1">AD242-EH138</f>
        <v>0</v>
      </c>
      <c r="AF351" s="57">
        <f ca="1">AE242-EI138</f>
        <v>0</v>
      </c>
      <c r="AG351" s="57">
        <f ca="1">AF242-EJ138</f>
        <v>0</v>
      </c>
      <c r="AH351" s="57">
        <f ca="1">AG242-EK138</f>
        <v>0</v>
      </c>
      <c r="AI351" s="57">
        <f ca="1">AH242-EL138</f>
        <v>0</v>
      </c>
      <c r="AJ351" s="57">
        <f ca="1">AI242-EM138</f>
        <v>0</v>
      </c>
      <c r="AK351" s="57">
        <f ca="1">AJ242-EN138</f>
        <v>0</v>
      </c>
      <c r="AL351" s="57">
        <f ca="1">AK242-EO138</f>
        <v>0</v>
      </c>
      <c r="AM351" s="57">
        <f ca="1">AL242-EP138</f>
        <v>0</v>
      </c>
      <c r="AN351" s="57">
        <f ca="1">AM242-EQ138</f>
        <v>0</v>
      </c>
      <c r="AO351" s="57">
        <f ca="1">AN242-ER138</f>
        <v>0</v>
      </c>
      <c r="AP351" s="57">
        <f ca="1">AO242-ES138</f>
        <v>6.153479999992939E-7</v>
      </c>
      <c r="AQ351" s="57">
        <f ca="1">AP242-ET138</f>
        <v>-8.9758000032524876E-8</v>
      </c>
      <c r="AR351" s="57">
        <f ca="1">AQ242-EU138</f>
        <v>5.7130400010763083E-7</v>
      </c>
      <c r="AS351" s="57">
        <f ca="1">AR242-EV138</f>
        <v>1.9931000000417143E-7</v>
      </c>
      <c r="AT351" s="57">
        <f ca="1">AS242-EW138</f>
        <v>9.4650000004303791E-8</v>
      </c>
      <c r="AU351" s="57">
        <f ca="1">AT242-EX138</f>
        <v>-0.15967999999999999</v>
      </c>
      <c r="AV351" s="57">
        <f ca="1">AU242-EY138</f>
        <v>-8.7480999999999975E-2</v>
      </c>
      <c r="AW351" s="57">
        <f ca="1">AV242-EZ138</f>
        <v>-0.13197600000000004</v>
      </c>
      <c r="AX351" s="57">
        <f ca="1">AW242-FA138</f>
        <v>-0.26753499999999997</v>
      </c>
      <c r="AY351" s="57">
        <f ca="1">AX242-FB138</f>
        <v>0.17483199999999999</v>
      </c>
      <c r="AZ351" s="57">
        <f ca="1">AY242-FC138</f>
        <v>5.2670000000000217E-3</v>
      </c>
      <c r="BA351" s="57">
        <f ca="1">AZ242-FD138</f>
        <v>-2.4185999999999985E-2</v>
      </c>
      <c r="BB351" s="57">
        <f ca="1">BA242-FE138</f>
        <v>0.26068599999999997</v>
      </c>
      <c r="BC351" s="57">
        <f ca="1">BB242-FF138</f>
        <v>-0.32582500000000003</v>
      </c>
    </row>
    <row r="352" spans="1:59">
      <c r="A352" s="27">
        <v>2</v>
      </c>
      <c r="B352" s="27" t="str">
        <f t="shared" si="441"/>
        <v>Sim</v>
      </c>
      <c r="C352" s="27">
        <f t="shared" si="442"/>
        <v>47</v>
      </c>
      <c r="D352" s="27">
        <f t="shared" ca="1" si="443"/>
        <v>49</v>
      </c>
      <c r="E352" s="34">
        <v>2</v>
      </c>
      <c r="F352" s="57">
        <f ca="1">E243-DI139</f>
        <v>0</v>
      </c>
      <c r="G352" s="57">
        <f ca="1">F243-DJ139</f>
        <v>0</v>
      </c>
      <c r="H352" s="57">
        <f ca="1">G243-DK139</f>
        <v>0</v>
      </c>
      <c r="I352" s="57">
        <f ca="1">H243-DL139</f>
        <v>0</v>
      </c>
      <c r="J352" s="57">
        <f ca="1">I243-DM139</f>
        <v>0</v>
      </c>
      <c r="K352" s="57">
        <f ca="1">J243-DN139</f>
        <v>0</v>
      </c>
      <c r="L352" s="57">
        <f ca="1">K243-DO139</f>
        <v>0</v>
      </c>
      <c r="M352" s="57">
        <f ca="1">L243-DP139</f>
        <v>0</v>
      </c>
      <c r="N352" s="57">
        <f ca="1">M243-DQ139</f>
        <v>0</v>
      </c>
      <c r="O352" s="57">
        <f ca="1">N243-DR139</f>
        <v>0</v>
      </c>
      <c r="P352" s="57">
        <f ca="1">O243-DS139</f>
        <v>0</v>
      </c>
      <c r="Q352" s="57">
        <f ca="1">P243-DT139</f>
        <v>0</v>
      </c>
      <c r="R352" s="57">
        <f ca="1">Q243-DU139</f>
        <v>0</v>
      </c>
      <c r="S352" s="57">
        <f ca="1">R243-DV139</f>
        <v>0</v>
      </c>
      <c r="T352" s="57">
        <f ca="1">S243-DW139</f>
        <v>0</v>
      </c>
      <c r="U352" s="57">
        <f ca="1">T243-DX139</f>
        <v>0</v>
      </c>
      <c r="V352" s="57">
        <f ca="1">U243-DY139</f>
        <v>0</v>
      </c>
      <c r="W352" s="57">
        <f ca="1">V243-DZ139</f>
        <v>0</v>
      </c>
      <c r="X352" s="57">
        <f ca="1">W243-EA139</f>
        <v>0</v>
      </c>
      <c r="Y352" s="57">
        <f ca="1">X243-EB139</f>
        <v>0</v>
      </c>
      <c r="Z352" s="57">
        <f ca="1">Y243-EC139</f>
        <v>0</v>
      </c>
      <c r="AA352" s="57">
        <f ca="1">Z243-ED139</f>
        <v>0</v>
      </c>
      <c r="AB352" s="57">
        <f ca="1">AA243-EE139</f>
        <v>0</v>
      </c>
      <c r="AC352" s="57">
        <f ca="1">AB243-EF139</f>
        <v>0</v>
      </c>
      <c r="AD352" s="57">
        <f ca="1">AC243-EG139</f>
        <v>0</v>
      </c>
      <c r="AE352" s="57">
        <f ca="1">AD243-EH139</f>
        <v>0</v>
      </c>
      <c r="AF352" s="57">
        <f ca="1">AE243-EI139</f>
        <v>0</v>
      </c>
      <c r="AG352" s="57">
        <f ca="1">AF243-EJ139</f>
        <v>0</v>
      </c>
      <c r="AH352" s="57">
        <f ca="1">AG243-EK139</f>
        <v>0</v>
      </c>
      <c r="AI352" s="57">
        <f ca="1">AH243-EL139</f>
        <v>0</v>
      </c>
      <c r="AJ352" s="57">
        <f ca="1">AI243-EM139</f>
        <v>0</v>
      </c>
      <c r="AK352" s="57">
        <f ca="1">AJ243-EN139</f>
        <v>0</v>
      </c>
      <c r="AL352" s="57">
        <f ca="1">AK243-EO139</f>
        <v>0</v>
      </c>
      <c r="AM352" s="57">
        <f ca="1">AL243-EP139</f>
        <v>0</v>
      </c>
      <c r="AN352" s="57">
        <f ca="1">AM243-EQ139</f>
        <v>0</v>
      </c>
      <c r="AO352" s="57">
        <f ca="1">AN243-ER139</f>
        <v>0</v>
      </c>
      <c r="AP352" s="57">
        <f ca="1">AO243-ES139</f>
        <v>0</v>
      </c>
      <c r="AQ352" s="57">
        <f ca="1">AP243-ET139</f>
        <v>0</v>
      </c>
      <c r="AR352" s="57">
        <f ca="1">AQ243-EU139</f>
        <v>0</v>
      </c>
      <c r="AS352" s="57">
        <f ca="1">AR243-EV139</f>
        <v>0</v>
      </c>
      <c r="AT352" s="57">
        <f ca="1">AS243-EW139</f>
        <v>0</v>
      </c>
      <c r="AU352" s="57">
        <f ca="1">AT243-EX139</f>
        <v>0</v>
      </c>
      <c r="AV352" s="57">
        <f ca="1">AU243-EY139</f>
        <v>0</v>
      </c>
      <c r="AW352" s="57">
        <f ca="1">AV243-EZ139</f>
        <v>0</v>
      </c>
      <c r="AX352" s="57">
        <f ca="1">AW243-FA139</f>
        <v>0</v>
      </c>
      <c r="AY352" s="57">
        <f ca="1">AX243-FB139</f>
        <v>0</v>
      </c>
      <c r="AZ352" s="57">
        <f ca="1">AY243-FC139</f>
        <v>0</v>
      </c>
      <c r="BA352" s="57">
        <f ca="1">AZ243-FD139</f>
        <v>2.7351699999345058E-7</v>
      </c>
      <c r="BB352" s="57">
        <f ca="1">BA243-FE139</f>
        <v>3.1381299997468304E-7</v>
      </c>
      <c r="BC352" s="57">
        <f ca="1">BB243-FF139</f>
        <v>0.18987099999999996</v>
      </c>
    </row>
    <row r="353" spans="1:55">
      <c r="A353" s="27">
        <v>3</v>
      </c>
      <c r="B353" s="27" t="str">
        <f t="shared" si="441"/>
        <v>Sim</v>
      </c>
      <c r="C353" s="27">
        <f t="shared" si="442"/>
        <v>41</v>
      </c>
      <c r="D353" s="27">
        <f t="shared" ca="1" si="443"/>
        <v>48</v>
      </c>
      <c r="E353" s="34">
        <v>3</v>
      </c>
      <c r="F353" s="57">
        <f ca="1">E244-DI140</f>
        <v>0</v>
      </c>
      <c r="G353" s="57">
        <f ca="1">F244-DJ140</f>
        <v>0</v>
      </c>
      <c r="H353" s="57">
        <f ca="1">G244-DK140</f>
        <v>0</v>
      </c>
      <c r="I353" s="57">
        <f ca="1">H244-DL140</f>
        <v>0</v>
      </c>
      <c r="J353" s="57">
        <f ca="1">I244-DM140</f>
        <v>0</v>
      </c>
      <c r="K353" s="57">
        <f ca="1">J244-DN140</f>
        <v>0</v>
      </c>
      <c r="L353" s="57">
        <f ca="1">K244-DO140</f>
        <v>0</v>
      </c>
      <c r="M353" s="57">
        <f ca="1">L244-DP140</f>
        <v>0</v>
      </c>
      <c r="N353" s="57">
        <f ca="1">M244-DQ140</f>
        <v>0</v>
      </c>
      <c r="O353" s="57">
        <f ca="1">N244-DR140</f>
        <v>0</v>
      </c>
      <c r="P353" s="57">
        <f ca="1">O244-DS140</f>
        <v>0</v>
      </c>
      <c r="Q353" s="57">
        <f ca="1">P244-DT140</f>
        <v>0</v>
      </c>
      <c r="R353" s="57">
        <f ca="1">Q244-DU140</f>
        <v>0</v>
      </c>
      <c r="S353" s="57">
        <f ca="1">R244-DV140</f>
        <v>0</v>
      </c>
      <c r="T353" s="57">
        <f ca="1">S244-DW140</f>
        <v>0</v>
      </c>
      <c r="U353" s="57">
        <f ca="1">T244-DX140</f>
        <v>0</v>
      </c>
      <c r="V353" s="57">
        <f ca="1">U244-DY140</f>
        <v>0</v>
      </c>
      <c r="W353" s="57">
        <f ca="1">V244-DZ140</f>
        <v>0</v>
      </c>
      <c r="X353" s="57">
        <f ca="1">W244-EA140</f>
        <v>0</v>
      </c>
      <c r="Y353" s="57">
        <f ca="1">X244-EB140</f>
        <v>0</v>
      </c>
      <c r="Z353" s="57">
        <f ca="1">Y244-EC140</f>
        <v>0</v>
      </c>
      <c r="AA353" s="57">
        <f ca="1">Z244-ED140</f>
        <v>0</v>
      </c>
      <c r="AB353" s="57">
        <f ca="1">AA244-EE140</f>
        <v>0</v>
      </c>
      <c r="AC353" s="57">
        <f ca="1">AB244-EF140</f>
        <v>0</v>
      </c>
      <c r="AD353" s="57">
        <f ca="1">AC244-EG140</f>
        <v>0</v>
      </c>
      <c r="AE353" s="57">
        <f ca="1">AD244-EH140</f>
        <v>0</v>
      </c>
      <c r="AF353" s="57">
        <f ca="1">AE244-EI140</f>
        <v>0</v>
      </c>
      <c r="AG353" s="57">
        <f ca="1">AF244-EJ140</f>
        <v>0</v>
      </c>
      <c r="AH353" s="57">
        <f ca="1">AG244-EK140</f>
        <v>0</v>
      </c>
      <c r="AI353" s="57">
        <f ca="1">AH244-EL140</f>
        <v>0</v>
      </c>
      <c r="AJ353" s="57">
        <f ca="1">AI244-EM140</f>
        <v>0</v>
      </c>
      <c r="AK353" s="57">
        <f ca="1">AJ244-EN140</f>
        <v>0</v>
      </c>
      <c r="AL353" s="57">
        <f ca="1">AK244-EO140</f>
        <v>0</v>
      </c>
      <c r="AM353" s="57">
        <f ca="1">AL244-EP140</f>
        <v>0</v>
      </c>
      <c r="AN353" s="57">
        <f ca="1">AM244-EQ140</f>
        <v>0</v>
      </c>
      <c r="AO353" s="57">
        <f ca="1">AN244-ER140</f>
        <v>0</v>
      </c>
      <c r="AP353" s="57">
        <f ca="1">AO244-ES140</f>
        <v>0</v>
      </c>
      <c r="AQ353" s="57">
        <f ca="1">AP244-ET140</f>
        <v>0</v>
      </c>
      <c r="AR353" s="57">
        <f ca="1">AQ244-EU140</f>
        <v>0</v>
      </c>
      <c r="AS353" s="57">
        <f ca="1">AR244-EV140</f>
        <v>0</v>
      </c>
      <c r="AT353" s="57">
        <f ca="1">AS244-EW140</f>
        <v>0</v>
      </c>
      <c r="AU353" s="57">
        <f ca="1">AT244-EX140</f>
        <v>2.3759999951029898E-8</v>
      </c>
      <c r="AV353" s="57">
        <f ca="1">AU244-EY140</f>
        <v>7.3352000007353979E-7</v>
      </c>
      <c r="AW353" s="57">
        <f ca="1">AV244-EZ140</f>
        <v>-1.6167999999927574E-7</v>
      </c>
      <c r="AX353" s="57">
        <f ca="1">AW244-FA140</f>
        <v>2.9984000005089939E-8</v>
      </c>
      <c r="AY353" s="57">
        <f ca="1">AX244-FB140</f>
        <v>4.0385600003078892E-7</v>
      </c>
      <c r="AZ353" s="57">
        <f ca="1">AY244-FC140</f>
        <v>3.0030400011149538E-7</v>
      </c>
      <c r="BA353" s="57">
        <f ca="1">AZ244-FD140</f>
        <v>-1.1172799996295169E-7</v>
      </c>
      <c r="BB353" s="57">
        <f ca="1">BA244-FE140</f>
        <v>0.34150999999999998</v>
      </c>
      <c r="BC353" s="57">
        <f ca="1">BB244-FF140</f>
        <v>-0.530165</v>
      </c>
    </row>
    <row r="354" spans="1:55">
      <c r="A354" s="27">
        <v>4</v>
      </c>
      <c r="B354" s="27" t="str">
        <f t="shared" si="441"/>
        <v>Não</v>
      </c>
      <c r="C354" s="27">
        <f t="shared" si="442"/>
        <v>11</v>
      </c>
      <c r="D354" s="27">
        <f t="shared" ca="1" si="443"/>
        <v>14</v>
      </c>
      <c r="E354" s="34">
        <v>4</v>
      </c>
      <c r="F354" s="57">
        <f ca="1">E245-DI141</f>
        <v>0</v>
      </c>
      <c r="G354" s="57">
        <f ca="1">F245-DJ141</f>
        <v>0</v>
      </c>
      <c r="H354" s="57">
        <f ca="1">G245-DK141</f>
        <v>0</v>
      </c>
      <c r="I354" s="57">
        <f ca="1">H245-DL141</f>
        <v>0</v>
      </c>
      <c r="J354" s="57">
        <f ca="1">I245-DM141</f>
        <v>0</v>
      </c>
      <c r="K354" s="57">
        <f ca="1">J245-DN141</f>
        <v>0</v>
      </c>
      <c r="L354" s="57">
        <f ca="1">K245-DO141</f>
        <v>0</v>
      </c>
      <c r="M354" s="57">
        <f ca="1">L245-DP141</f>
        <v>0</v>
      </c>
      <c r="N354" s="57">
        <f ca="1">M245-DQ141</f>
        <v>0</v>
      </c>
      <c r="O354" s="57">
        <f ca="1">N245-DR141</f>
        <v>0</v>
      </c>
      <c r="P354" s="57">
        <f ca="1">O245-DS141</f>
        <v>0</v>
      </c>
      <c r="Q354" s="57">
        <f ca="1">P245-DT141</f>
        <v>0</v>
      </c>
      <c r="R354" s="57">
        <f ca="1">Q245-DU141</f>
        <v>0</v>
      </c>
      <c r="S354" s="57">
        <f ca="1">R245-DV141</f>
        <v>0</v>
      </c>
      <c r="T354" s="57">
        <f ca="1">S245-DW141</f>
        <v>0</v>
      </c>
      <c r="U354" s="57">
        <f ca="1">T245-DX141</f>
        <v>0</v>
      </c>
      <c r="V354" s="57">
        <f ca="1">U245-DY141</f>
        <v>0</v>
      </c>
      <c r="W354" s="57">
        <f ca="1">V245-DZ141</f>
        <v>0</v>
      </c>
      <c r="X354" s="57">
        <f ca="1">W245-EA141</f>
        <v>0</v>
      </c>
      <c r="Y354" s="57">
        <f ca="1">X245-EB141</f>
        <v>0</v>
      </c>
      <c r="Z354" s="57">
        <f ca="1">Y245-EC141</f>
        <v>0</v>
      </c>
      <c r="AA354" s="57">
        <f ca="1">Z245-ED141</f>
        <v>0</v>
      </c>
      <c r="AB354" s="57">
        <f ca="1">AA245-EE141</f>
        <v>0</v>
      </c>
      <c r="AC354" s="57">
        <f ca="1">AB245-EF141</f>
        <v>0</v>
      </c>
      <c r="AD354" s="57">
        <f ca="1">AC245-EG141</f>
        <v>0</v>
      </c>
      <c r="AE354" s="57">
        <f ca="1">AD245-EH141</f>
        <v>0</v>
      </c>
      <c r="AF354" s="57">
        <f ca="1">AE245-EI141</f>
        <v>0</v>
      </c>
      <c r="AG354" s="57">
        <f ca="1">AF245-EJ141</f>
        <v>0</v>
      </c>
      <c r="AH354" s="57">
        <f ca="1">AG245-EK141</f>
        <v>0</v>
      </c>
      <c r="AI354" s="57">
        <f ca="1">AH245-EL141</f>
        <v>0</v>
      </c>
      <c r="AJ354" s="57">
        <f ca="1">AI245-EM141</f>
        <v>0</v>
      </c>
      <c r="AK354" s="57">
        <f ca="1">AJ245-EN141</f>
        <v>0</v>
      </c>
      <c r="AL354" s="57">
        <f ca="1">AK245-EO141</f>
        <v>0</v>
      </c>
      <c r="AM354" s="57">
        <f ca="1">AL245-EP141</f>
        <v>0</v>
      </c>
      <c r="AN354" s="57">
        <f ca="1">AM245-EQ141</f>
        <v>0</v>
      </c>
      <c r="AO354" s="57">
        <f ca="1">AN245-ER141</f>
        <v>0</v>
      </c>
      <c r="AP354" s="57">
        <f ca="1">AO245-ES141</f>
        <v>0</v>
      </c>
      <c r="AQ354" s="57">
        <f ca="1">AP245-ET141</f>
        <v>0</v>
      </c>
      <c r="AR354" s="57">
        <f ca="1">AQ245-EU141</f>
        <v>0</v>
      </c>
      <c r="AS354" s="57">
        <f ca="1">AR245-EV141</f>
        <v>0</v>
      </c>
      <c r="AT354" s="57">
        <f ca="1">AS245-EW141</f>
        <v>0</v>
      </c>
      <c r="AU354" s="57">
        <f ca="1">AT245-EX141</f>
        <v>0</v>
      </c>
      <c r="AV354" s="57">
        <f ca="1">AU245-EY141</f>
        <v>0</v>
      </c>
      <c r="AW354" s="57">
        <f ca="1">AV245-EZ141</f>
        <v>0</v>
      </c>
      <c r="AX354" s="57">
        <f ca="1">AW245-FA141</f>
        <v>0</v>
      </c>
      <c r="AY354" s="57">
        <f ca="1">AX245-FB141</f>
        <v>0</v>
      </c>
      <c r="AZ354" s="57">
        <f ca="1">AY245-FC141</f>
        <v>0</v>
      </c>
      <c r="BA354" s="57">
        <f ca="1">AZ245-FD141</f>
        <v>0</v>
      </c>
      <c r="BB354" s="57">
        <f ca="1">BA245-FE141</f>
        <v>0</v>
      </c>
      <c r="BC354" s="57">
        <f ca="1">BB245-FF141</f>
        <v>0</v>
      </c>
    </row>
    <row r="355" spans="1:55">
      <c r="A355" s="27">
        <v>5</v>
      </c>
      <c r="B355" s="27" t="str">
        <f t="shared" si="441"/>
        <v>Não</v>
      </c>
      <c r="C355" s="27">
        <f t="shared" si="442"/>
        <v>39</v>
      </c>
      <c r="D355" s="27">
        <f t="shared" ca="1" si="443"/>
        <v>45</v>
      </c>
      <c r="E355" s="34">
        <v>5</v>
      </c>
      <c r="F355" s="57">
        <f ca="1">E246-DI142</f>
        <v>0</v>
      </c>
      <c r="G355" s="57">
        <f ca="1">F246-DJ142</f>
        <v>0</v>
      </c>
      <c r="H355" s="57">
        <f ca="1">G246-DK142</f>
        <v>0</v>
      </c>
      <c r="I355" s="57">
        <f ca="1">H246-DL142</f>
        <v>0</v>
      </c>
      <c r="J355" s="57">
        <f ca="1">I246-DM142</f>
        <v>0</v>
      </c>
      <c r="K355" s="57">
        <f ca="1">J246-DN142</f>
        <v>0</v>
      </c>
      <c r="L355" s="57">
        <f ca="1">K246-DO142</f>
        <v>0</v>
      </c>
      <c r="M355" s="57">
        <f ca="1">L246-DP142</f>
        <v>0</v>
      </c>
      <c r="N355" s="57">
        <f ca="1">M246-DQ142</f>
        <v>0</v>
      </c>
      <c r="O355" s="57">
        <f ca="1">N246-DR142</f>
        <v>0</v>
      </c>
      <c r="P355" s="57">
        <f ca="1">O246-DS142</f>
        <v>0</v>
      </c>
      <c r="Q355" s="57">
        <f ca="1">P246-DT142</f>
        <v>0</v>
      </c>
      <c r="R355" s="57">
        <f ca="1">Q246-DU142</f>
        <v>0</v>
      </c>
      <c r="S355" s="57">
        <f ca="1">R246-DV142</f>
        <v>0</v>
      </c>
      <c r="T355" s="57">
        <f ca="1">S246-DW142</f>
        <v>0</v>
      </c>
      <c r="U355" s="57">
        <f ca="1">T246-DX142</f>
        <v>0</v>
      </c>
      <c r="V355" s="57">
        <f ca="1">U246-DY142</f>
        <v>0</v>
      </c>
      <c r="W355" s="57">
        <f ca="1">V246-DZ142</f>
        <v>0</v>
      </c>
      <c r="X355" s="57">
        <f ca="1">W246-EA142</f>
        <v>0</v>
      </c>
      <c r="Y355" s="57">
        <f ca="1">X246-EB142</f>
        <v>0</v>
      </c>
      <c r="Z355" s="57">
        <f ca="1">Y246-EC142</f>
        <v>0</v>
      </c>
      <c r="AA355" s="57">
        <f ca="1">Z246-ED142</f>
        <v>0</v>
      </c>
      <c r="AB355" s="57">
        <f ca="1">AA246-EE142</f>
        <v>0</v>
      </c>
      <c r="AC355" s="57">
        <f ca="1">AB246-EF142</f>
        <v>0</v>
      </c>
      <c r="AD355" s="57">
        <f ca="1">AC246-EG142</f>
        <v>0</v>
      </c>
      <c r="AE355" s="57">
        <f ca="1">AD246-EH142</f>
        <v>0</v>
      </c>
      <c r="AF355" s="57">
        <f ca="1">AE246-EI142</f>
        <v>0</v>
      </c>
      <c r="AG355" s="57">
        <f ca="1">AF246-EJ142</f>
        <v>0</v>
      </c>
      <c r="AH355" s="57">
        <f ca="1">AG246-EK142</f>
        <v>0</v>
      </c>
      <c r="AI355" s="57">
        <f ca="1">AH246-EL142</f>
        <v>0</v>
      </c>
      <c r="AJ355" s="57">
        <f ca="1">AI246-EM142</f>
        <v>0</v>
      </c>
      <c r="AK355" s="57">
        <f ca="1">AJ246-EN142</f>
        <v>0</v>
      </c>
      <c r="AL355" s="57">
        <f ca="1">AK246-EO142</f>
        <v>0</v>
      </c>
      <c r="AM355" s="57">
        <f ca="1">AL246-EP142</f>
        <v>0</v>
      </c>
      <c r="AN355" s="57">
        <f ca="1">AM246-EQ142</f>
        <v>0</v>
      </c>
      <c r="AO355" s="57">
        <f ca="1">AN246-ER142</f>
        <v>0</v>
      </c>
      <c r="AP355" s="57">
        <f ca="1">AO246-ES142</f>
        <v>0</v>
      </c>
      <c r="AQ355" s="57">
        <f ca="1">AP246-ET142</f>
        <v>0</v>
      </c>
      <c r="AR355" s="57">
        <f ca="1">AQ246-EU142</f>
        <v>0</v>
      </c>
      <c r="AS355" s="57">
        <f ca="1">AR246-EV142</f>
        <v>0</v>
      </c>
      <c r="AT355" s="57">
        <f ca="1">AS246-EW142</f>
        <v>0</v>
      </c>
      <c r="AU355" s="57">
        <f ca="1">AT246-EX142</f>
        <v>0</v>
      </c>
      <c r="AV355" s="57">
        <f ca="1">AU246-EY142</f>
        <v>0</v>
      </c>
      <c r="AW355" s="57">
        <f ca="1">AV246-EZ142</f>
        <v>0</v>
      </c>
      <c r="AX355" s="57">
        <f ca="1">AW246-FA142</f>
        <v>0</v>
      </c>
      <c r="AY355" s="57">
        <f ca="1">AX246-FB142</f>
        <v>0</v>
      </c>
      <c r="AZ355" s="57">
        <f ca="1">AY246-FC142</f>
        <v>0</v>
      </c>
      <c r="BA355" s="57">
        <f ca="1">AZ246-FD142</f>
        <v>0</v>
      </c>
      <c r="BB355" s="57">
        <f ca="1">BA246-FE142</f>
        <v>0</v>
      </c>
      <c r="BC355" s="57">
        <f ca="1">BB246-FF142</f>
        <v>0</v>
      </c>
    </row>
    <row r="356" spans="1:55">
      <c r="A356" s="27">
        <v>6</v>
      </c>
      <c r="B356" s="27" t="str">
        <f t="shared" si="441"/>
        <v>Sim</v>
      </c>
      <c r="C356" s="27">
        <f t="shared" si="442"/>
        <v>47</v>
      </c>
      <c r="D356" s="27">
        <f t="shared" ca="1" si="443"/>
        <v>49</v>
      </c>
      <c r="E356" s="34">
        <v>6</v>
      </c>
      <c r="F356" s="57">
        <f ca="1">E247-DI143</f>
        <v>0</v>
      </c>
      <c r="G356" s="57">
        <f ca="1">F247-DJ143</f>
        <v>0</v>
      </c>
      <c r="H356" s="57">
        <f ca="1">G247-DK143</f>
        <v>0</v>
      </c>
      <c r="I356" s="57">
        <f ca="1">H247-DL143</f>
        <v>0</v>
      </c>
      <c r="J356" s="57">
        <f ca="1">I247-DM143</f>
        <v>0</v>
      </c>
      <c r="K356" s="57">
        <f ca="1">J247-DN143</f>
        <v>0</v>
      </c>
      <c r="L356" s="57">
        <f ca="1">K247-DO143</f>
        <v>0</v>
      </c>
      <c r="M356" s="57">
        <f ca="1">L247-DP143</f>
        <v>0</v>
      </c>
      <c r="N356" s="57">
        <f ca="1">M247-DQ143</f>
        <v>0</v>
      </c>
      <c r="O356" s="57">
        <f ca="1">N247-DR143</f>
        <v>0</v>
      </c>
      <c r="P356" s="57">
        <f ca="1">O247-DS143</f>
        <v>0</v>
      </c>
      <c r="Q356" s="57">
        <f ca="1">P247-DT143</f>
        <v>0</v>
      </c>
      <c r="R356" s="57">
        <f ca="1">Q247-DU143</f>
        <v>0</v>
      </c>
      <c r="S356" s="57">
        <f ca="1">R247-DV143</f>
        <v>0</v>
      </c>
      <c r="T356" s="57">
        <f ca="1">S247-DW143</f>
        <v>0</v>
      </c>
      <c r="U356" s="57">
        <f ca="1">T247-DX143</f>
        <v>0</v>
      </c>
      <c r="V356" s="57">
        <f ca="1">U247-DY143</f>
        <v>0</v>
      </c>
      <c r="W356" s="57">
        <f ca="1">V247-DZ143</f>
        <v>0</v>
      </c>
      <c r="X356" s="57">
        <f ca="1">W247-EA143</f>
        <v>0</v>
      </c>
      <c r="Y356" s="57">
        <f ca="1">X247-EB143</f>
        <v>0</v>
      </c>
      <c r="Z356" s="57">
        <f ca="1">Y247-EC143</f>
        <v>0</v>
      </c>
      <c r="AA356" s="57">
        <f ca="1">Z247-ED143</f>
        <v>0</v>
      </c>
      <c r="AB356" s="57">
        <f ca="1">AA247-EE143</f>
        <v>0</v>
      </c>
      <c r="AC356" s="57">
        <f ca="1">AB247-EF143</f>
        <v>0</v>
      </c>
      <c r="AD356" s="57">
        <f ca="1">AC247-EG143</f>
        <v>0</v>
      </c>
      <c r="AE356" s="57">
        <f ca="1">AD247-EH143</f>
        <v>0</v>
      </c>
      <c r="AF356" s="57">
        <f ca="1">AE247-EI143</f>
        <v>0</v>
      </c>
      <c r="AG356" s="57">
        <f ca="1">AF247-EJ143</f>
        <v>0</v>
      </c>
      <c r="AH356" s="57">
        <f ca="1">AG247-EK143</f>
        <v>0</v>
      </c>
      <c r="AI356" s="57">
        <f ca="1">AH247-EL143</f>
        <v>0</v>
      </c>
      <c r="AJ356" s="57">
        <f ca="1">AI247-EM143</f>
        <v>0</v>
      </c>
      <c r="AK356" s="57">
        <f ca="1">AJ247-EN143</f>
        <v>0</v>
      </c>
      <c r="AL356" s="57">
        <f ca="1">AK247-EO143</f>
        <v>0</v>
      </c>
      <c r="AM356" s="57">
        <f ca="1">AL247-EP143</f>
        <v>0</v>
      </c>
      <c r="AN356" s="57">
        <f ca="1">AM247-EQ143</f>
        <v>0</v>
      </c>
      <c r="AO356" s="57">
        <f ca="1">AN247-ER143</f>
        <v>0</v>
      </c>
      <c r="AP356" s="57">
        <f ca="1">AO247-ES143</f>
        <v>0</v>
      </c>
      <c r="AQ356" s="57">
        <f ca="1">AP247-ET143</f>
        <v>0</v>
      </c>
      <c r="AR356" s="57">
        <f ca="1">AQ247-EU143</f>
        <v>0</v>
      </c>
      <c r="AS356" s="57">
        <f ca="1">AR247-EV143</f>
        <v>0</v>
      </c>
      <c r="AT356" s="57">
        <f ca="1">AS247-EW143</f>
        <v>0</v>
      </c>
      <c r="AU356" s="57">
        <f ca="1">AT247-EX143</f>
        <v>0</v>
      </c>
      <c r="AV356" s="57">
        <f ca="1">AU247-EY143</f>
        <v>0</v>
      </c>
      <c r="AW356" s="57">
        <f ca="1">AV247-EZ143</f>
        <v>0</v>
      </c>
      <c r="AX356" s="57">
        <f ca="1">AW247-FA143</f>
        <v>0</v>
      </c>
      <c r="AY356" s="57">
        <f ca="1">AX247-FB143</f>
        <v>0</v>
      </c>
      <c r="AZ356" s="57">
        <f ca="1">AY247-FC143</f>
        <v>0</v>
      </c>
      <c r="BA356" s="57">
        <f ca="1">AZ247-FD143</f>
        <v>-2.9747200003260588E-7</v>
      </c>
      <c r="BB356" s="57">
        <f ca="1">BA247-FE143</f>
        <v>2.1760000000481394E-7</v>
      </c>
      <c r="BC356" s="57">
        <f ca="1">BB247-FF143</f>
        <v>-0.29248099999999999</v>
      </c>
    </row>
    <row r="357" spans="1:55">
      <c r="A357" s="27">
        <v>7</v>
      </c>
      <c r="B357" s="27" t="str">
        <f t="shared" si="441"/>
        <v>Sim</v>
      </c>
      <c r="C357" s="27">
        <f t="shared" si="442"/>
        <v>2</v>
      </c>
      <c r="D357" s="27">
        <f t="shared" ca="1" si="443"/>
        <v>4</v>
      </c>
      <c r="E357" s="34">
        <v>7</v>
      </c>
      <c r="F357" s="57">
        <f ca="1">E248-DI144</f>
        <v>0</v>
      </c>
      <c r="G357" s="57">
        <f ca="1">F248-DJ144</f>
        <v>0</v>
      </c>
      <c r="H357" s="57">
        <f ca="1">G248-DK144</f>
        <v>-9.2052000022491143E-8</v>
      </c>
      <c r="I357" s="57">
        <f ca="1">H248-DL144</f>
        <v>4.9677999996999844E-7</v>
      </c>
      <c r="J357" s="57">
        <f ca="1">I248-DM144</f>
        <v>-0.29880499999999999</v>
      </c>
      <c r="K357" s="57">
        <f ca="1">J248-DN144</f>
        <v>-0.16902200000000001</v>
      </c>
      <c r="L357" s="57">
        <f ca="1">K248-DO144</f>
        <v>8.7365000000000026E-2</v>
      </c>
      <c r="M357" s="57">
        <f ca="1">L248-DP144</f>
        <v>-0.47274099999999997</v>
      </c>
      <c r="N357" s="57">
        <f ca="1">M248-DQ144</f>
        <v>9.4740999999999992E-2</v>
      </c>
      <c r="O357" s="57">
        <f ca="1">N248-DR144</f>
        <v>0.406829</v>
      </c>
      <c r="P357" s="57">
        <f ca="1">O248-DS144</f>
        <v>0.12959699999999996</v>
      </c>
      <c r="Q357" s="57">
        <f ca="1">P248-DT144</f>
        <v>-0.29427399999999998</v>
      </c>
      <c r="R357" s="57">
        <f ca="1">Q248-DU144</f>
        <v>-4.7691000000000039E-2</v>
      </c>
      <c r="S357" s="57">
        <f ca="1">R248-DV144</f>
        <v>-0.82509900000000003</v>
      </c>
      <c r="T357" s="57">
        <f ca="1">S248-DW144</f>
        <v>0.15640599999999999</v>
      </c>
      <c r="U357" s="57">
        <f ca="1">T248-DX144</f>
        <v>6.9814999999999988E-2</v>
      </c>
      <c r="V357" s="57">
        <f ca="1">U248-DY144</f>
        <v>-0.7537609999999999</v>
      </c>
      <c r="W357" s="57">
        <f ca="1">V248-DZ144</f>
        <v>0.40937500000000004</v>
      </c>
      <c r="X357" s="57">
        <f ca="1">W248-EA144</f>
        <v>0.102076</v>
      </c>
      <c r="Y357" s="57">
        <f ca="1">X248-EB144</f>
        <v>-0.48001699999999997</v>
      </c>
      <c r="Z357" s="57">
        <f ca="1">Y248-EC144</f>
        <v>-0.22392800000000002</v>
      </c>
      <c r="AA357" s="57">
        <f ca="1">Z248-ED144</f>
        <v>3.7235999999999936E-2</v>
      </c>
      <c r="AB357" s="57">
        <f ca="1">AA248-EE144</f>
        <v>-1.1124000000000023E-2</v>
      </c>
      <c r="AC357" s="57">
        <f ca="1">AB248-EF144</f>
        <v>0.14979500000000001</v>
      </c>
      <c r="AD357" s="57">
        <f ca="1">AC248-EG144</f>
        <v>0.45699800000000002</v>
      </c>
      <c r="AE357" s="57">
        <f ca="1">AD248-EH144</f>
        <v>-0.31603200000000004</v>
      </c>
      <c r="AF357" s="57">
        <f ca="1">AE248-EI144</f>
        <v>3.8584000000000063E-2</v>
      </c>
      <c r="AG357" s="57">
        <f ca="1">AF248-EJ144</f>
        <v>-8.7877999999999956E-2</v>
      </c>
      <c r="AH357" s="57">
        <f ca="1">AG248-EK144</f>
        <v>-0.37845400000000001</v>
      </c>
      <c r="AI357" s="57">
        <f ca="1">AH248-EL144</f>
        <v>-0.32779900000000001</v>
      </c>
      <c r="AJ357" s="57">
        <f ca="1">AI248-EM144</f>
        <v>-0.48894899999999986</v>
      </c>
      <c r="AK357" s="57">
        <f ca="1">AJ248-EN144</f>
        <v>-0.109255</v>
      </c>
      <c r="AL357" s="57">
        <f ca="1">AK248-EO144</f>
        <v>-9.1290999999999997E-2</v>
      </c>
      <c r="AM357" s="57">
        <f ca="1">AL248-EP144</f>
        <v>-0.43553399999999998</v>
      </c>
      <c r="AN357" s="57">
        <f ca="1">AM248-EQ144</f>
        <v>-0.19436900000000001</v>
      </c>
      <c r="AO357" s="57">
        <f ca="1">AN248-ER144</f>
        <v>0.32004199999999994</v>
      </c>
      <c r="AP357" s="57">
        <f ca="1">AO248-ES144</f>
        <v>-0.12540600000000002</v>
      </c>
      <c r="AQ357" s="57">
        <f ca="1">AP248-ET144</f>
        <v>1.3680000000000025E-2</v>
      </c>
      <c r="AR357" s="57">
        <f ca="1">AQ248-EU144</f>
        <v>1.6528000000000043E-2</v>
      </c>
      <c r="AS357" s="57">
        <f ca="1">AR248-EV144</f>
        <v>-0.19420999999999999</v>
      </c>
      <c r="AT357" s="57">
        <f ca="1">AS248-EW144</f>
        <v>0.18905</v>
      </c>
      <c r="AU357" s="57">
        <f ca="1">AT248-EX144</f>
        <v>-0.38581700000000002</v>
      </c>
      <c r="AV357" s="57">
        <f ca="1">AU248-EY144</f>
        <v>9.3276000000000026E-2</v>
      </c>
      <c r="AW357" s="57">
        <f ca="1">AV248-EZ144</f>
        <v>4.7142000000000017E-2</v>
      </c>
      <c r="AX357" s="57">
        <f ca="1">AW248-FA144</f>
        <v>-7.1979999999999988E-2</v>
      </c>
      <c r="AY357" s="57">
        <f ca="1">AX248-FB144</f>
        <v>0.11299999999999999</v>
      </c>
      <c r="AZ357" s="57">
        <f ca="1">AY248-FC144</f>
        <v>0.10873200000000005</v>
      </c>
      <c r="BA357" s="57">
        <f ca="1">AZ248-FD144</f>
        <v>0.164297</v>
      </c>
      <c r="BB357" s="57">
        <f ca="1">BA248-FE144</f>
        <v>0.58632499999999999</v>
      </c>
      <c r="BC357" s="57">
        <f ca="1">BB248-FF144</f>
        <v>-0.59697299999999998</v>
      </c>
    </row>
    <row r="358" spans="1:55">
      <c r="A358" s="27">
        <v>8</v>
      </c>
      <c r="B358" s="27" t="str">
        <f t="shared" si="441"/>
        <v>Sim</v>
      </c>
      <c r="C358" s="27">
        <f t="shared" si="442"/>
        <v>27</v>
      </c>
      <c r="D358" s="27">
        <f t="shared" ca="1" si="443"/>
        <v>39</v>
      </c>
      <c r="E358" s="34">
        <v>8</v>
      </c>
      <c r="F358" s="57">
        <f ca="1">E249-DI145</f>
        <v>0</v>
      </c>
      <c r="G358" s="57">
        <f ca="1">F249-DJ145</f>
        <v>0</v>
      </c>
      <c r="H358" s="57">
        <f ca="1">G249-DK145</f>
        <v>0</v>
      </c>
      <c r="I358" s="57">
        <f ca="1">H249-DL145</f>
        <v>0</v>
      </c>
      <c r="J358" s="57">
        <f ca="1">I249-DM145</f>
        <v>0</v>
      </c>
      <c r="K358" s="57">
        <f ca="1">J249-DN145</f>
        <v>0</v>
      </c>
      <c r="L358" s="57">
        <f ca="1">K249-DO145</f>
        <v>0</v>
      </c>
      <c r="M358" s="57">
        <f ca="1">L249-DP145</f>
        <v>0</v>
      </c>
      <c r="N358" s="57">
        <f ca="1">M249-DQ145</f>
        <v>0</v>
      </c>
      <c r="O358" s="57">
        <f ca="1">N249-DR145</f>
        <v>0</v>
      </c>
      <c r="P358" s="57">
        <f ca="1">O249-DS145</f>
        <v>0</v>
      </c>
      <c r="Q358" s="57">
        <f ca="1">P249-DT145</f>
        <v>0</v>
      </c>
      <c r="R358" s="57">
        <f ca="1">Q249-DU145</f>
        <v>0</v>
      </c>
      <c r="S358" s="57">
        <f ca="1">R249-DV145</f>
        <v>0</v>
      </c>
      <c r="T358" s="57">
        <f ca="1">S249-DW145</f>
        <v>0</v>
      </c>
      <c r="U358" s="57">
        <f ca="1">T249-DX145</f>
        <v>0</v>
      </c>
      <c r="V358" s="57">
        <f ca="1">U249-DY145</f>
        <v>0</v>
      </c>
      <c r="W358" s="57">
        <f ca="1">V249-DZ145</f>
        <v>0</v>
      </c>
      <c r="X358" s="57">
        <f ca="1">W249-EA145</f>
        <v>0</v>
      </c>
      <c r="Y358" s="57">
        <f ca="1">X249-EB145</f>
        <v>0</v>
      </c>
      <c r="Z358" s="57">
        <f ca="1">Y249-EC145</f>
        <v>0</v>
      </c>
      <c r="AA358" s="57">
        <f ca="1">Z249-ED145</f>
        <v>0</v>
      </c>
      <c r="AB358" s="57">
        <f ca="1">AA249-EE145</f>
        <v>0</v>
      </c>
      <c r="AC358" s="57">
        <f ca="1">AB249-EF145</f>
        <v>0</v>
      </c>
      <c r="AD358" s="57">
        <f ca="1">AC249-EG145</f>
        <v>0</v>
      </c>
      <c r="AE358" s="57">
        <f ca="1">AD249-EH145</f>
        <v>0</v>
      </c>
      <c r="AF358" s="57">
        <f ca="1">AE249-EI145</f>
        <v>0</v>
      </c>
      <c r="AG358" s="57">
        <f ca="1">AF249-EJ145</f>
        <v>-9.2320000000256641E-7</v>
      </c>
      <c r="AH358" s="57">
        <f ca="1">AG249-EK145</f>
        <v>5.6415000002085769E-7</v>
      </c>
      <c r="AI358" s="57">
        <f ca="1">AH249-EL145</f>
        <v>6.5215000001270229E-7</v>
      </c>
      <c r="AJ358" s="57">
        <f ca="1">AI249-EM145</f>
        <v>-1.6494999993676984E-7</v>
      </c>
      <c r="AK358" s="57">
        <f ca="1">AJ249-EN145</f>
        <v>-4.4510000005160144E-7</v>
      </c>
      <c r="AL358" s="57">
        <f ca="1">AK249-EO145</f>
        <v>-8.9699999983317014E-8</v>
      </c>
      <c r="AM358" s="57">
        <f ca="1">AL249-EP145</f>
        <v>4.5730000008958882E-7</v>
      </c>
      <c r="AN358" s="57">
        <f ca="1">AM249-EQ145</f>
        <v>1.2564999996023118E-7</v>
      </c>
      <c r="AO358" s="57">
        <f ca="1">AN249-ER145</f>
        <v>9.5540000001788361E-7</v>
      </c>
      <c r="AP358" s="57">
        <f ca="1">AO249-ES145</f>
        <v>-3.124500000395436E-7</v>
      </c>
      <c r="AQ358" s="57">
        <f ca="1">AP249-ET145</f>
        <v>1.0797500000492288E-6</v>
      </c>
      <c r="AR358" s="57">
        <f ca="1">AQ249-EU145</f>
        <v>3.6570000008784298E-7</v>
      </c>
      <c r="AS358" s="57">
        <f ca="1">AR249-EV145</f>
        <v>-9.5111999999999974E-2</v>
      </c>
      <c r="AT358" s="57">
        <f ca="1">AS249-EW145</f>
        <v>-0.3617459999999999</v>
      </c>
      <c r="AU358" s="57">
        <f ca="1">AT249-EX145</f>
        <v>-0.46295900000000001</v>
      </c>
      <c r="AV358" s="57">
        <f ca="1">AU249-EY145</f>
        <v>-0.14313799999999999</v>
      </c>
      <c r="AW358" s="57">
        <f ca="1">AV249-EZ145</f>
        <v>-0.32055699999999998</v>
      </c>
      <c r="AX358" s="57">
        <f ca="1">AW249-FA145</f>
        <v>-0.451517</v>
      </c>
      <c r="AY358" s="57">
        <f ca="1">AX249-FB145</f>
        <v>-0.31815199999999999</v>
      </c>
      <c r="AZ358" s="57">
        <f ca="1">AY249-FC145</f>
        <v>0.25447400000000003</v>
      </c>
      <c r="BA358" s="57">
        <f ca="1">AZ249-FD145</f>
        <v>-0.42503000000000002</v>
      </c>
      <c r="BB358" s="57">
        <f ca="1">BA249-FE145</f>
        <v>0.46377599999999997</v>
      </c>
      <c r="BC358" s="57">
        <f ca="1">BB249-FF145</f>
        <v>-4.0791000000000008E-2</v>
      </c>
    </row>
    <row r="359" spans="1:55">
      <c r="A359" s="27">
        <v>9</v>
      </c>
      <c r="B359" s="27" t="str">
        <f t="shared" si="441"/>
        <v>Sim</v>
      </c>
      <c r="C359" s="27">
        <f t="shared" si="442"/>
        <v>47</v>
      </c>
      <c r="D359" s="27">
        <f t="shared" ca="1" si="443"/>
        <v>49</v>
      </c>
      <c r="E359" s="34">
        <v>9</v>
      </c>
      <c r="F359" s="57">
        <f ca="1">E250-DI146</f>
        <v>0</v>
      </c>
      <c r="G359" s="57">
        <f ca="1">F250-DJ146</f>
        <v>0</v>
      </c>
      <c r="H359" s="57">
        <f ca="1">G250-DK146</f>
        <v>0</v>
      </c>
      <c r="I359" s="57">
        <f ca="1">H250-DL146</f>
        <v>0</v>
      </c>
      <c r="J359" s="57">
        <f ca="1">I250-DM146</f>
        <v>0</v>
      </c>
      <c r="K359" s="57">
        <f ca="1">J250-DN146</f>
        <v>0</v>
      </c>
      <c r="L359" s="57">
        <f ca="1">K250-DO146</f>
        <v>0</v>
      </c>
      <c r="M359" s="57">
        <f ca="1">L250-DP146</f>
        <v>0</v>
      </c>
      <c r="N359" s="57">
        <f ca="1">M250-DQ146</f>
        <v>0</v>
      </c>
      <c r="O359" s="57">
        <f ca="1">N250-DR146</f>
        <v>0</v>
      </c>
      <c r="P359" s="57">
        <f ca="1">O250-DS146</f>
        <v>0</v>
      </c>
      <c r="Q359" s="57">
        <f ca="1">P250-DT146</f>
        <v>0</v>
      </c>
      <c r="R359" s="57">
        <f ca="1">Q250-DU146</f>
        <v>0</v>
      </c>
      <c r="S359" s="57">
        <f ca="1">R250-DV146</f>
        <v>0</v>
      </c>
      <c r="T359" s="57">
        <f ca="1">S250-DW146</f>
        <v>0</v>
      </c>
      <c r="U359" s="57">
        <f ca="1">T250-DX146</f>
        <v>0</v>
      </c>
      <c r="V359" s="57">
        <f ca="1">U250-DY146</f>
        <v>0</v>
      </c>
      <c r="W359" s="57">
        <f ca="1">V250-DZ146</f>
        <v>0</v>
      </c>
      <c r="X359" s="57">
        <f ca="1">W250-EA146</f>
        <v>0</v>
      </c>
      <c r="Y359" s="57">
        <f ca="1">X250-EB146</f>
        <v>0</v>
      </c>
      <c r="Z359" s="57">
        <f ca="1">Y250-EC146</f>
        <v>0</v>
      </c>
      <c r="AA359" s="57">
        <f ca="1">Z250-ED146</f>
        <v>0</v>
      </c>
      <c r="AB359" s="57">
        <f ca="1">AA250-EE146</f>
        <v>0</v>
      </c>
      <c r="AC359" s="57">
        <f ca="1">AB250-EF146</f>
        <v>0</v>
      </c>
      <c r="AD359" s="57">
        <f ca="1">AC250-EG146</f>
        <v>0</v>
      </c>
      <c r="AE359" s="57">
        <f ca="1">AD250-EH146</f>
        <v>0</v>
      </c>
      <c r="AF359" s="57">
        <f ca="1">AE250-EI146</f>
        <v>0</v>
      </c>
      <c r="AG359" s="57">
        <f ca="1">AF250-EJ146</f>
        <v>0</v>
      </c>
      <c r="AH359" s="57">
        <f ca="1">AG250-EK146</f>
        <v>0</v>
      </c>
      <c r="AI359" s="57">
        <f ca="1">AH250-EL146</f>
        <v>0</v>
      </c>
      <c r="AJ359" s="57">
        <f ca="1">AI250-EM146</f>
        <v>0</v>
      </c>
      <c r="AK359" s="57">
        <f ca="1">AJ250-EN146</f>
        <v>0</v>
      </c>
      <c r="AL359" s="57">
        <f ca="1">AK250-EO146</f>
        <v>0</v>
      </c>
      <c r="AM359" s="57">
        <f ca="1">AL250-EP146</f>
        <v>0</v>
      </c>
      <c r="AN359" s="57">
        <f ca="1">AM250-EQ146</f>
        <v>0</v>
      </c>
      <c r="AO359" s="57">
        <f ca="1">AN250-ER146</f>
        <v>0</v>
      </c>
      <c r="AP359" s="57">
        <f ca="1">AO250-ES146</f>
        <v>0</v>
      </c>
      <c r="AQ359" s="57">
        <f ca="1">AP250-ET146</f>
        <v>0</v>
      </c>
      <c r="AR359" s="57">
        <f ca="1">AQ250-EU146</f>
        <v>0</v>
      </c>
      <c r="AS359" s="57">
        <f ca="1">AR250-EV146</f>
        <v>0</v>
      </c>
      <c r="AT359" s="57">
        <f ca="1">AS250-EW146</f>
        <v>0</v>
      </c>
      <c r="AU359" s="57">
        <f ca="1">AT250-EX146</f>
        <v>0</v>
      </c>
      <c r="AV359" s="57">
        <f ca="1">AU250-EY146</f>
        <v>0</v>
      </c>
      <c r="AW359" s="57">
        <f ca="1">AV250-EZ146</f>
        <v>0</v>
      </c>
      <c r="AX359" s="57">
        <f ca="1">AW250-FA146</f>
        <v>0</v>
      </c>
      <c r="AY359" s="57">
        <f ca="1">AX250-FB146</f>
        <v>0</v>
      </c>
      <c r="AZ359" s="57">
        <f ca="1">AY250-FC146</f>
        <v>0</v>
      </c>
      <c r="BA359" s="57">
        <f ca="1">AZ250-FD146</f>
        <v>-3.9222100001179427E-7</v>
      </c>
      <c r="BB359" s="57">
        <f ca="1">BA250-FE146</f>
        <v>-4.6381999996292222E-7</v>
      </c>
      <c r="BC359" s="57">
        <f ca="1">BB250-FF146</f>
        <v>0.34764</v>
      </c>
    </row>
    <row r="360" spans="1:55">
      <c r="A360" s="27">
        <v>10</v>
      </c>
      <c r="B360" s="27" t="str">
        <f t="shared" si="441"/>
        <v>Sim</v>
      </c>
      <c r="C360" s="27">
        <f t="shared" si="442"/>
        <v>10</v>
      </c>
      <c r="D360" s="27">
        <f t="shared" ca="1" si="443"/>
        <v>27</v>
      </c>
      <c r="E360" s="34">
        <v>10</v>
      </c>
      <c r="F360" s="57">
        <f ca="1">E251-DI147</f>
        <v>0</v>
      </c>
      <c r="G360" s="57">
        <f ca="1">F251-DJ147</f>
        <v>0</v>
      </c>
      <c r="H360" s="57">
        <f ca="1">G251-DK147</f>
        <v>0</v>
      </c>
      <c r="I360" s="57">
        <f ca="1">H251-DL147</f>
        <v>0</v>
      </c>
      <c r="J360" s="57">
        <f ca="1">I251-DM147</f>
        <v>0</v>
      </c>
      <c r="K360" s="57">
        <f ca="1">J251-DN147</f>
        <v>0</v>
      </c>
      <c r="L360" s="57">
        <f ca="1">K251-DO147</f>
        <v>0</v>
      </c>
      <c r="M360" s="57">
        <f ca="1">L251-DP147</f>
        <v>0</v>
      </c>
      <c r="N360" s="57">
        <f ca="1">M251-DQ147</f>
        <v>0</v>
      </c>
      <c r="O360" s="57">
        <f ca="1">N251-DR147</f>
        <v>0</v>
      </c>
      <c r="P360" s="57">
        <f ca="1">O251-DS147</f>
        <v>5.3651700002155245E-7</v>
      </c>
      <c r="Q360" s="57">
        <f ca="1">P251-DT147</f>
        <v>-1.04721600002744E-6</v>
      </c>
      <c r="R360" s="57">
        <f ca="1">Q251-DU147</f>
        <v>6.553620000016025E-7</v>
      </c>
      <c r="S360" s="57">
        <f ca="1">R251-DV147</f>
        <v>8.6802600018920373E-7</v>
      </c>
      <c r="T360" s="57">
        <f ca="1">S251-DW147</f>
        <v>-3.4561800010823873E-7</v>
      </c>
      <c r="U360" s="57">
        <f ca="1">T251-DX147</f>
        <v>2.1622000023757693E-8</v>
      </c>
      <c r="V360" s="57">
        <f ca="1">U251-DY147</f>
        <v>4.3120500000867756E-7</v>
      </c>
      <c r="W360" s="57">
        <f ca="1">V251-DZ147</f>
        <v>-1.1869969999689367E-6</v>
      </c>
      <c r="X360" s="57">
        <f ca="1">W251-EA147</f>
        <v>3.4030600004619771E-7</v>
      </c>
      <c r="Y360" s="57">
        <f ca="1">X251-EB147</f>
        <v>4.9385500006104976E-7</v>
      </c>
      <c r="Z360" s="57">
        <f ca="1">Y251-EC147</f>
        <v>4.9772200000353095E-7</v>
      </c>
      <c r="AA360" s="57">
        <f ca="1">Z251-ED147</f>
        <v>5.9305999972059098E-8</v>
      </c>
      <c r="AB360" s="57">
        <f ca="1">AA251-EE147</f>
        <v>3.3982100000606863E-7</v>
      </c>
      <c r="AC360" s="57">
        <f ca="1">AB251-EF147</f>
        <v>-6.4753299988673518E-7</v>
      </c>
      <c r="AD360" s="57">
        <f ca="1">AC251-EG147</f>
        <v>6.8260000048170344E-9</v>
      </c>
      <c r="AE360" s="57">
        <f ca="1">AD251-EH147</f>
        <v>3.15830999991773E-7</v>
      </c>
      <c r="AF360" s="57">
        <f ca="1">AE251-EI147</f>
        <v>5.8127800001139818E-7</v>
      </c>
      <c r="AG360" s="57">
        <f ca="1">AF251-EJ147</f>
        <v>-9.5094999999999985E-2</v>
      </c>
      <c r="AH360" s="57">
        <f ca="1">AG251-EK147</f>
        <v>-3.8621000000000016E-2</v>
      </c>
      <c r="AI360" s="57">
        <f ca="1">AH251-EL147</f>
        <v>9.4220000000000026E-2</v>
      </c>
      <c r="AJ360" s="57">
        <f ca="1">AI251-EM147</f>
        <v>1.2286000000000005E-2</v>
      </c>
      <c r="AK360" s="57">
        <f ca="1">AJ251-EN147</f>
        <v>0.12346699999999999</v>
      </c>
      <c r="AL360" s="57">
        <f ca="1">AK251-EO147</f>
        <v>-3.8913000000000031E-2</v>
      </c>
      <c r="AM360" s="57">
        <f ca="1">AL251-EP147</f>
        <v>-0.14983100000000005</v>
      </c>
      <c r="AN360" s="57">
        <f ca="1">AM251-EQ147</f>
        <v>-5.8414000000000021E-2</v>
      </c>
      <c r="AO360" s="57">
        <f ca="1">AN251-ER147</f>
        <v>9.1131999999999991E-2</v>
      </c>
      <c r="AP360" s="57">
        <f ca="1">AO251-ES147</f>
        <v>0.11732500000000001</v>
      </c>
      <c r="AQ360" s="57">
        <f ca="1">AP251-ET147</f>
        <v>0.16570699999999999</v>
      </c>
      <c r="AR360" s="57">
        <f ca="1">AQ251-EU147</f>
        <v>3.4081000000000028E-2</v>
      </c>
      <c r="AS360" s="57">
        <f ca="1">AR251-EV147</f>
        <v>-7.2724999999999929E-2</v>
      </c>
      <c r="AT360" s="57">
        <f ca="1">AS251-EW147</f>
        <v>-6.2288999999999983E-2</v>
      </c>
      <c r="AU360" s="57">
        <f ca="1">AT251-EX147</f>
        <v>3.5993999999999998E-2</v>
      </c>
      <c r="AV360" s="57">
        <f ca="1">AU251-EY147</f>
        <v>-4.8002000000000045E-2</v>
      </c>
      <c r="AW360" s="57">
        <f ca="1">AV251-EZ147</f>
        <v>-6.3850000000000004E-2</v>
      </c>
      <c r="AX360" s="57">
        <f ca="1">AW251-FA147</f>
        <v>-4.476200000000001E-2</v>
      </c>
      <c r="AY360" s="57">
        <f ca="1">AX251-FB147</f>
        <v>8.0736000000000141E-2</v>
      </c>
      <c r="AZ360" s="57">
        <f ca="1">AY251-FC147</f>
        <v>1.0496999999999979E-2</v>
      </c>
      <c r="BA360" s="57">
        <f ca="1">AZ251-FD147</f>
        <v>0.14438300000000004</v>
      </c>
      <c r="BB360" s="57">
        <f ca="1">BA251-FE147</f>
        <v>-8.3363999999999994E-2</v>
      </c>
      <c r="BC360" s="57">
        <f ca="1">BB251-FF147</f>
        <v>3.8217000000000001E-2</v>
      </c>
    </row>
    <row r="361" spans="1:55">
      <c r="A361" s="27">
        <v>11</v>
      </c>
      <c r="B361" s="27" t="str">
        <f t="shared" si="441"/>
        <v>Sim</v>
      </c>
      <c r="C361" s="27">
        <f t="shared" si="442"/>
        <v>6</v>
      </c>
      <c r="D361" s="27">
        <f t="shared" ca="1" si="443"/>
        <v>49</v>
      </c>
      <c r="E361" s="34">
        <v>11</v>
      </c>
      <c r="F361" s="57">
        <f ca="1">E252-DI148</f>
        <v>0</v>
      </c>
      <c r="G361" s="57">
        <f ca="1">F252-DJ148</f>
        <v>0</v>
      </c>
      <c r="H361" s="57">
        <f ca="1">G252-DK148</f>
        <v>0</v>
      </c>
      <c r="I361" s="57">
        <f ca="1">H252-DL148</f>
        <v>0</v>
      </c>
      <c r="J361" s="57">
        <f ca="1">I252-DM148</f>
        <v>0</v>
      </c>
      <c r="K361" s="57">
        <f ca="1">J252-DN148</f>
        <v>0</v>
      </c>
      <c r="L361" s="57">
        <f ca="1">K252-DO148</f>
        <v>-4.3646400003927166E-7</v>
      </c>
      <c r="M361" s="57">
        <f ca="1">L252-DP148</f>
        <v>6.5507199997760779E-7</v>
      </c>
      <c r="N361" s="57">
        <f ca="1">M252-DQ148</f>
        <v>-3.1295999958214082E-8</v>
      </c>
      <c r="O361" s="57">
        <f ca="1">N252-DR148</f>
        <v>-3.7200000002624023E-7</v>
      </c>
      <c r="P361" s="57">
        <f ca="1">O252-DS148</f>
        <v>8.9740800013338173E-7</v>
      </c>
      <c r="Q361" s="57">
        <f ca="1">P252-DT148</f>
        <v>-1.4892799993226902E-7</v>
      </c>
      <c r="R361" s="57">
        <f ca="1">Q252-DU148</f>
        <v>-8.4976000236380855E-8</v>
      </c>
      <c r="S361" s="57">
        <f ca="1">R252-DV148</f>
        <v>6.7439999973384346E-8</v>
      </c>
      <c r="T361" s="57">
        <f ca="1">S252-DW148</f>
        <v>6.1166400004003529E-7</v>
      </c>
      <c r="U361" s="57">
        <f ca="1">T252-DX148</f>
        <v>-5.0856000000099044E-7</v>
      </c>
      <c r="V361" s="57">
        <f ca="1">U252-DY148</f>
        <v>1.0873920002207882E-6</v>
      </c>
      <c r="W361" s="57">
        <f ca="1">V252-DZ148</f>
        <v>-6.7088000010873117E-7</v>
      </c>
      <c r="X361" s="57">
        <f ca="1">W252-EA148</f>
        <v>5.2702399999660088E-7</v>
      </c>
      <c r="Y361" s="57">
        <f ca="1">X252-EB148</f>
        <v>5.5393599995845477E-7</v>
      </c>
      <c r="Z361" s="57">
        <f ca="1">Y252-EC148</f>
        <v>5.978400000605788E-7</v>
      </c>
      <c r="AA361" s="57">
        <f ca="1">Z252-ED148</f>
        <v>2.2153600010010877E-7</v>
      </c>
      <c r="AB361" s="57">
        <f ca="1">AA252-EE148</f>
        <v>3.4070399995700384E-7</v>
      </c>
      <c r="AC361" s="57">
        <f ca="1">AB252-EF148</f>
        <v>1.0064000002807383E-7</v>
      </c>
      <c r="AD361" s="57">
        <f ca="1">AC252-EG148</f>
        <v>-2.3534400001024025E-7</v>
      </c>
      <c r="AE361" s="57">
        <f ca="1">AD252-EH148</f>
        <v>-4.8638400007572358E-7</v>
      </c>
      <c r="AF361" s="57">
        <f ca="1">AE252-EI148</f>
        <v>4.2286399998259228E-7</v>
      </c>
      <c r="AG361" s="57">
        <f ca="1">AF252-EJ148</f>
        <v>-1.7345600000773231E-7</v>
      </c>
      <c r="AH361" s="57">
        <f ca="1">AG252-EK148</f>
        <v>-1.5932800001561276E-7</v>
      </c>
      <c r="AI361" s="57">
        <f ca="1">AH252-EL148</f>
        <v>2.9681600011155496E-7</v>
      </c>
      <c r="AJ361" s="57">
        <f ca="1">AI252-EM148</f>
        <v>1.8782400013073186E-7</v>
      </c>
      <c r="AK361" s="57">
        <f ca="1">AJ252-EN148</f>
        <v>8.228800008058812E-8</v>
      </c>
      <c r="AL361" s="57">
        <f ca="1">AK252-EO148</f>
        <v>3.5665599995571284E-7</v>
      </c>
      <c r="AM361" s="57">
        <f ca="1">AL252-EP148</f>
        <v>-1.5436480000907693E-6</v>
      </c>
      <c r="AN361" s="57">
        <f ca="1">AM252-EQ148</f>
        <v>1.5804799996521623E-7</v>
      </c>
      <c r="AO361" s="57">
        <f ca="1">AN252-ER148</f>
        <v>-2.0244800003066388E-7</v>
      </c>
      <c r="AP361" s="57">
        <f ca="1">AO252-ES148</f>
        <v>1.3084799999063534E-7</v>
      </c>
      <c r="AQ361" s="57">
        <f ca="1">AP252-ET148</f>
        <v>3.534079999756301E-7</v>
      </c>
      <c r="AR361" s="57">
        <f ca="1">AQ252-EU148</f>
        <v>-5.4384000004736865E-8</v>
      </c>
      <c r="AS361" s="57">
        <f ca="1">AR252-EV148</f>
        <v>-1.9337600001834154E-7</v>
      </c>
      <c r="AT361" s="57">
        <f ca="1">AS252-EW148</f>
        <v>2.0144000001387496E-7</v>
      </c>
      <c r="AU361" s="57">
        <f ca="1">AT252-EX148</f>
        <v>-1.4732800002192903E-7</v>
      </c>
      <c r="AV361" s="57">
        <f ca="1">AU252-EY148</f>
        <v>-8.3424000041354418E-8</v>
      </c>
      <c r="AW361" s="57">
        <f ca="1">AV252-EZ148</f>
        <v>-6.8654399998369087E-7</v>
      </c>
      <c r="AX361" s="57">
        <f ca="1">AW252-FA148</f>
        <v>2.2059199999979739E-7</v>
      </c>
      <c r="AY361" s="57">
        <f ca="1">AX252-FB148</f>
        <v>5.9886400000097595E-7</v>
      </c>
      <c r="AZ361" s="57">
        <f ca="1">AY252-FC148</f>
        <v>1.0002880000414827E-6</v>
      </c>
      <c r="BA361" s="57">
        <f ca="1">AZ252-FD148</f>
        <v>2.0355200014421371E-7</v>
      </c>
      <c r="BB361" s="57">
        <f ca="1">BA252-FE148</f>
        <v>-4.9862400003375384E-7</v>
      </c>
      <c r="BC361" s="57">
        <f ca="1">BB252-FF148</f>
        <v>-2.332500000000004E-2</v>
      </c>
    </row>
    <row r="362" spans="1:55">
      <c r="A362" s="27">
        <v>12</v>
      </c>
      <c r="B362" s="27" t="str">
        <f t="shared" si="441"/>
        <v>Não</v>
      </c>
      <c r="C362" s="27">
        <f t="shared" si="442"/>
        <v>14</v>
      </c>
      <c r="D362" s="27">
        <f t="shared" ca="1" si="443"/>
        <v>49</v>
      </c>
      <c r="E362" s="34">
        <v>12</v>
      </c>
      <c r="F362" s="57">
        <f ca="1">E253-DI149</f>
        <v>0</v>
      </c>
      <c r="G362" s="57">
        <f ca="1">F253-DJ149</f>
        <v>0</v>
      </c>
      <c r="H362" s="57">
        <f ca="1">G253-DK149</f>
        <v>0</v>
      </c>
      <c r="I362" s="57">
        <f ca="1">H253-DL149</f>
        <v>0</v>
      </c>
      <c r="J362" s="57">
        <f ca="1">I253-DM149</f>
        <v>0</v>
      </c>
      <c r="K362" s="57">
        <f ca="1">J253-DN149</f>
        <v>0</v>
      </c>
      <c r="L362" s="57">
        <f ca="1">K253-DO149</f>
        <v>0</v>
      </c>
      <c r="M362" s="57">
        <f ca="1">L253-DP149</f>
        <v>0</v>
      </c>
      <c r="N362" s="57">
        <f ca="1">M253-DQ149</f>
        <v>0</v>
      </c>
      <c r="O362" s="57">
        <f ca="1">N253-DR149</f>
        <v>0</v>
      </c>
      <c r="P362" s="57">
        <f ca="1">O253-DS149</f>
        <v>0</v>
      </c>
      <c r="Q362" s="57">
        <f ca="1">P253-DT149</f>
        <v>0</v>
      </c>
      <c r="R362" s="57">
        <f ca="1">Q253-DU149</f>
        <v>0</v>
      </c>
      <c r="S362" s="57">
        <f ca="1">R253-DV149</f>
        <v>0</v>
      </c>
      <c r="T362" s="57">
        <f ca="1">S253-DW149</f>
        <v>0</v>
      </c>
      <c r="U362" s="57">
        <f ca="1">T253-DX149</f>
        <v>0</v>
      </c>
      <c r="V362" s="57">
        <f ca="1">U253-DY149</f>
        <v>0</v>
      </c>
      <c r="W362" s="57">
        <f ca="1">V253-DZ149</f>
        <v>0</v>
      </c>
      <c r="X362" s="57">
        <f ca="1">W253-EA149</f>
        <v>0</v>
      </c>
      <c r="Y362" s="57">
        <f ca="1">X253-EB149</f>
        <v>0</v>
      </c>
      <c r="Z362" s="57">
        <f ca="1">Y253-EC149</f>
        <v>0</v>
      </c>
      <c r="AA362" s="57">
        <f ca="1">Z253-ED149</f>
        <v>0</v>
      </c>
      <c r="AB362" s="57">
        <f ca="1">AA253-EE149</f>
        <v>0</v>
      </c>
      <c r="AC362" s="57">
        <f ca="1">AB253-EF149</f>
        <v>0</v>
      </c>
      <c r="AD362" s="57">
        <f ca="1">AC253-EG149</f>
        <v>0</v>
      </c>
      <c r="AE362" s="57">
        <f ca="1">AD253-EH149</f>
        <v>0</v>
      </c>
      <c r="AF362" s="57">
        <f ca="1">AE253-EI149</f>
        <v>0</v>
      </c>
      <c r="AG362" s="57">
        <f ca="1">AF253-EJ149</f>
        <v>0</v>
      </c>
      <c r="AH362" s="57">
        <f ca="1">AG253-EK149</f>
        <v>0</v>
      </c>
      <c r="AI362" s="57">
        <f ca="1">AH253-EL149</f>
        <v>0</v>
      </c>
      <c r="AJ362" s="57">
        <f ca="1">AI253-EM149</f>
        <v>0</v>
      </c>
      <c r="AK362" s="57">
        <f ca="1">AJ253-EN149</f>
        <v>0</v>
      </c>
      <c r="AL362" s="57">
        <f ca="1">AK253-EO149</f>
        <v>0</v>
      </c>
      <c r="AM362" s="57">
        <f ca="1">AL253-EP149</f>
        <v>0</v>
      </c>
      <c r="AN362" s="57">
        <f ca="1">AM253-EQ149</f>
        <v>0</v>
      </c>
      <c r="AO362" s="57">
        <f ca="1">AN253-ER149</f>
        <v>0</v>
      </c>
      <c r="AP362" s="57">
        <f ca="1">AO253-ES149</f>
        <v>0</v>
      </c>
      <c r="AQ362" s="57">
        <f ca="1">AP253-ET149</f>
        <v>0</v>
      </c>
      <c r="AR362" s="57">
        <f ca="1">AQ253-EU149</f>
        <v>0</v>
      </c>
      <c r="AS362" s="57">
        <f ca="1">AR253-EV149</f>
        <v>0</v>
      </c>
      <c r="AT362" s="57">
        <f ca="1">AS253-EW149</f>
        <v>0</v>
      </c>
      <c r="AU362" s="57">
        <f ca="1">AT253-EX149</f>
        <v>0</v>
      </c>
      <c r="AV362" s="57">
        <f ca="1">AU253-EY149</f>
        <v>0</v>
      </c>
      <c r="AW362" s="57">
        <f ca="1">AV253-EZ149</f>
        <v>0</v>
      </c>
      <c r="AX362" s="57">
        <f ca="1">AW253-FA149</f>
        <v>0</v>
      </c>
      <c r="AY362" s="57">
        <f ca="1">AX253-FB149</f>
        <v>0</v>
      </c>
      <c r="AZ362" s="57">
        <f ca="1">AY253-FC149</f>
        <v>0</v>
      </c>
      <c r="BA362" s="57">
        <f ca="1">AZ253-FD149</f>
        <v>0</v>
      </c>
      <c r="BB362" s="57">
        <f ca="1">BA253-FE149</f>
        <v>0</v>
      </c>
      <c r="BC362" s="57">
        <f ca="1">BB253-FF149</f>
        <v>0</v>
      </c>
    </row>
    <row r="363" spans="1:55">
      <c r="A363" s="27">
        <v>13</v>
      </c>
      <c r="B363" s="27" t="str">
        <f t="shared" si="441"/>
        <v>Não</v>
      </c>
      <c r="C363" s="27">
        <f t="shared" si="442"/>
        <v>0</v>
      </c>
      <c r="D363" s="27">
        <f t="shared" ca="1" si="443"/>
        <v>10</v>
      </c>
      <c r="E363" s="34">
        <v>13</v>
      </c>
      <c r="F363" s="57">
        <f ca="1">E254-DI150</f>
        <v>0</v>
      </c>
      <c r="G363" s="57">
        <f ca="1">F254-DJ150</f>
        <v>0</v>
      </c>
      <c r="H363" s="57">
        <f ca="1">G254-DK150</f>
        <v>0</v>
      </c>
      <c r="I363" s="57">
        <f ca="1">H254-DL150</f>
        <v>0</v>
      </c>
      <c r="J363" s="57">
        <f ca="1">I254-DM150</f>
        <v>0</v>
      </c>
      <c r="K363" s="57">
        <f ca="1">J254-DN150</f>
        <v>0</v>
      </c>
      <c r="L363" s="57">
        <f ca="1">K254-DO150</f>
        <v>0</v>
      </c>
      <c r="M363" s="57">
        <f ca="1">L254-DP150</f>
        <v>0</v>
      </c>
      <c r="N363" s="57">
        <f ca="1">M254-DQ150</f>
        <v>0</v>
      </c>
      <c r="O363" s="57">
        <f ca="1">N254-DR150</f>
        <v>0</v>
      </c>
      <c r="P363" s="57">
        <f ca="1">O254-DS150</f>
        <v>0</v>
      </c>
      <c r="Q363" s="57">
        <f ca="1">P254-DT150</f>
        <v>0</v>
      </c>
      <c r="R363" s="57">
        <f ca="1">Q254-DU150</f>
        <v>0</v>
      </c>
      <c r="S363" s="57">
        <f ca="1">R254-DV150</f>
        <v>0</v>
      </c>
      <c r="T363" s="57">
        <f ca="1">S254-DW150</f>
        <v>0</v>
      </c>
      <c r="U363" s="57">
        <f ca="1">T254-DX150</f>
        <v>0</v>
      </c>
      <c r="V363" s="57">
        <f ca="1">U254-DY150</f>
        <v>0</v>
      </c>
      <c r="W363" s="57">
        <f ca="1">V254-DZ150</f>
        <v>0</v>
      </c>
      <c r="X363" s="57">
        <f ca="1">W254-EA150</f>
        <v>0</v>
      </c>
      <c r="Y363" s="57">
        <f ca="1">X254-EB150</f>
        <v>0</v>
      </c>
      <c r="Z363" s="57">
        <f ca="1">Y254-EC150</f>
        <v>0</v>
      </c>
      <c r="AA363" s="57">
        <f ca="1">Z254-ED150</f>
        <v>0</v>
      </c>
      <c r="AB363" s="57">
        <f ca="1">AA254-EE150</f>
        <v>0</v>
      </c>
      <c r="AC363" s="57">
        <f ca="1">AB254-EF150</f>
        <v>0</v>
      </c>
      <c r="AD363" s="57">
        <f ca="1">AC254-EG150</f>
        <v>0</v>
      </c>
      <c r="AE363" s="57">
        <f ca="1">AD254-EH150</f>
        <v>0</v>
      </c>
      <c r="AF363" s="57">
        <f ca="1">AE254-EI150</f>
        <v>0</v>
      </c>
      <c r="AG363" s="57">
        <f ca="1">AF254-EJ150</f>
        <v>0</v>
      </c>
      <c r="AH363" s="57">
        <f ca="1">AG254-EK150</f>
        <v>0</v>
      </c>
      <c r="AI363" s="57">
        <f ca="1">AH254-EL150</f>
        <v>0</v>
      </c>
      <c r="AJ363" s="57">
        <f ca="1">AI254-EM150</f>
        <v>0</v>
      </c>
      <c r="AK363" s="57">
        <f ca="1">AJ254-EN150</f>
        <v>0</v>
      </c>
      <c r="AL363" s="57">
        <f ca="1">AK254-EO150</f>
        <v>0</v>
      </c>
      <c r="AM363" s="57">
        <f ca="1">AL254-EP150</f>
        <v>0</v>
      </c>
      <c r="AN363" s="57">
        <f ca="1">AM254-EQ150</f>
        <v>0</v>
      </c>
      <c r="AO363" s="57">
        <f ca="1">AN254-ER150</f>
        <v>0</v>
      </c>
      <c r="AP363" s="57">
        <f ca="1">AO254-ES150</f>
        <v>0</v>
      </c>
      <c r="AQ363" s="57">
        <f ca="1">AP254-ET150</f>
        <v>0</v>
      </c>
      <c r="AR363" s="57">
        <f ca="1">AQ254-EU150</f>
        <v>0</v>
      </c>
      <c r="AS363" s="57">
        <f ca="1">AR254-EV150</f>
        <v>0</v>
      </c>
      <c r="AT363" s="57">
        <f ca="1">AS254-EW150</f>
        <v>0</v>
      </c>
      <c r="AU363" s="57">
        <f ca="1">AT254-EX150</f>
        <v>0</v>
      </c>
      <c r="AV363" s="57">
        <f ca="1">AU254-EY150</f>
        <v>0</v>
      </c>
      <c r="AW363" s="57">
        <f ca="1">AV254-EZ150</f>
        <v>0</v>
      </c>
      <c r="AX363" s="57">
        <f ca="1">AW254-FA150</f>
        <v>0</v>
      </c>
      <c r="AY363" s="57">
        <f ca="1">AX254-FB150</f>
        <v>0</v>
      </c>
      <c r="AZ363" s="57">
        <f ca="1">AY254-FC150</f>
        <v>0</v>
      </c>
      <c r="BA363" s="57">
        <f ca="1">AZ254-FD150</f>
        <v>0</v>
      </c>
      <c r="BB363" s="57">
        <f ca="1">BA254-FE150</f>
        <v>0</v>
      </c>
      <c r="BC363" s="57">
        <f ca="1">BB254-FF150</f>
        <v>0</v>
      </c>
    </row>
    <row r="364" spans="1:55">
      <c r="A364" s="27">
        <v>14</v>
      </c>
      <c r="B364" s="27" t="str">
        <f t="shared" si="441"/>
        <v>Sim</v>
      </c>
      <c r="C364" s="27">
        <f t="shared" si="442"/>
        <v>46</v>
      </c>
      <c r="D364" s="27">
        <f t="shared" ca="1" si="443"/>
        <v>47</v>
      </c>
      <c r="E364" s="34">
        <v>14</v>
      </c>
      <c r="F364" s="57">
        <f ca="1">E255-DI151</f>
        <v>0</v>
      </c>
      <c r="G364" s="57">
        <f ca="1">F255-DJ151</f>
        <v>0</v>
      </c>
      <c r="H364" s="57">
        <f ca="1">G255-DK151</f>
        <v>0</v>
      </c>
      <c r="I364" s="57">
        <f ca="1">H255-DL151</f>
        <v>0</v>
      </c>
      <c r="J364" s="57">
        <f ca="1">I255-DM151</f>
        <v>0</v>
      </c>
      <c r="K364" s="57">
        <f ca="1">J255-DN151</f>
        <v>0</v>
      </c>
      <c r="L364" s="57">
        <f ca="1">K255-DO151</f>
        <v>0</v>
      </c>
      <c r="M364" s="57">
        <f ca="1">L255-DP151</f>
        <v>0</v>
      </c>
      <c r="N364" s="57">
        <f ca="1">M255-DQ151</f>
        <v>0</v>
      </c>
      <c r="O364" s="57">
        <f ca="1">N255-DR151</f>
        <v>0</v>
      </c>
      <c r="P364" s="57">
        <f ca="1">O255-DS151</f>
        <v>0</v>
      </c>
      <c r="Q364" s="57">
        <f ca="1">P255-DT151</f>
        <v>0</v>
      </c>
      <c r="R364" s="57">
        <f ca="1">Q255-DU151</f>
        <v>0</v>
      </c>
      <c r="S364" s="57">
        <f ca="1">R255-DV151</f>
        <v>0</v>
      </c>
      <c r="T364" s="57">
        <f ca="1">S255-DW151</f>
        <v>0</v>
      </c>
      <c r="U364" s="57">
        <f ca="1">T255-DX151</f>
        <v>0</v>
      </c>
      <c r="V364" s="57">
        <f ca="1">U255-DY151</f>
        <v>0</v>
      </c>
      <c r="W364" s="57">
        <f ca="1">V255-DZ151</f>
        <v>0</v>
      </c>
      <c r="X364" s="57">
        <f ca="1">W255-EA151</f>
        <v>0</v>
      </c>
      <c r="Y364" s="57">
        <f ca="1">X255-EB151</f>
        <v>0</v>
      </c>
      <c r="Z364" s="57">
        <f ca="1">Y255-EC151</f>
        <v>0</v>
      </c>
      <c r="AA364" s="57">
        <f ca="1">Z255-ED151</f>
        <v>0</v>
      </c>
      <c r="AB364" s="57">
        <f ca="1">AA255-EE151</f>
        <v>0</v>
      </c>
      <c r="AC364" s="57">
        <f ca="1">AB255-EF151</f>
        <v>0</v>
      </c>
      <c r="AD364" s="57">
        <f ca="1">AC255-EG151</f>
        <v>0</v>
      </c>
      <c r="AE364" s="57">
        <f ca="1">AD255-EH151</f>
        <v>0</v>
      </c>
      <c r="AF364" s="57">
        <f ca="1">AE255-EI151</f>
        <v>0</v>
      </c>
      <c r="AG364" s="57">
        <f ca="1">AF255-EJ151</f>
        <v>0</v>
      </c>
      <c r="AH364" s="57">
        <f ca="1">AG255-EK151</f>
        <v>0</v>
      </c>
      <c r="AI364" s="57">
        <f ca="1">AH255-EL151</f>
        <v>0</v>
      </c>
      <c r="AJ364" s="57">
        <f ca="1">AI255-EM151</f>
        <v>0</v>
      </c>
      <c r="AK364" s="57">
        <f ca="1">AJ255-EN151</f>
        <v>0</v>
      </c>
      <c r="AL364" s="57">
        <f ca="1">AK255-EO151</f>
        <v>0</v>
      </c>
      <c r="AM364" s="57">
        <f ca="1">AL255-EP151</f>
        <v>0</v>
      </c>
      <c r="AN364" s="57">
        <f ca="1">AM255-EQ151</f>
        <v>0</v>
      </c>
      <c r="AO364" s="57">
        <f ca="1">AN255-ER151</f>
        <v>0</v>
      </c>
      <c r="AP364" s="57">
        <f ca="1">AO255-ES151</f>
        <v>0</v>
      </c>
      <c r="AQ364" s="57">
        <f ca="1">AP255-ET151</f>
        <v>0</v>
      </c>
      <c r="AR364" s="57">
        <f ca="1">AQ255-EU151</f>
        <v>0</v>
      </c>
      <c r="AS364" s="57">
        <f ca="1">AR255-EV151</f>
        <v>0</v>
      </c>
      <c r="AT364" s="57">
        <f ca="1">AS255-EW151</f>
        <v>0</v>
      </c>
      <c r="AU364" s="57">
        <f ca="1">AT255-EX151</f>
        <v>0</v>
      </c>
      <c r="AV364" s="57">
        <f ca="1">AU255-EY151</f>
        <v>0</v>
      </c>
      <c r="AW364" s="57">
        <f ca="1">AV255-EZ151</f>
        <v>0</v>
      </c>
      <c r="AX364" s="57">
        <f ca="1">AW255-FA151</f>
        <v>0</v>
      </c>
      <c r="AY364" s="57">
        <f ca="1">AX255-FB151</f>
        <v>0</v>
      </c>
      <c r="AZ364" s="57">
        <f ca="1">AY255-FC151</f>
        <v>-1.4814400006724071E-7</v>
      </c>
      <c r="BA364" s="57">
        <f ca="1">AZ255-FD151</f>
        <v>-0.21323700000000001</v>
      </c>
      <c r="BB364" s="57">
        <f ca="1">BA255-FE151</f>
        <v>0.30777599999999994</v>
      </c>
      <c r="BC364" s="57">
        <f ca="1">BB255-FF151</f>
        <v>-1.428353</v>
      </c>
    </row>
    <row r="365" spans="1:55">
      <c r="A365" s="27">
        <v>15</v>
      </c>
      <c r="B365" s="27" t="str">
        <f t="shared" si="441"/>
        <v>Não</v>
      </c>
      <c r="C365" s="27">
        <f t="shared" si="442"/>
        <v>32</v>
      </c>
      <c r="D365" s="27">
        <f t="shared" ca="1" si="443"/>
        <v>45</v>
      </c>
      <c r="E365" s="34">
        <v>15</v>
      </c>
      <c r="F365" s="57">
        <f ca="1">E256-DI152</f>
        <v>0</v>
      </c>
      <c r="G365" s="57">
        <f ca="1">F256-DJ152</f>
        <v>0</v>
      </c>
      <c r="H365" s="57">
        <f ca="1">G256-DK152</f>
        <v>0</v>
      </c>
      <c r="I365" s="57">
        <f ca="1">H256-DL152</f>
        <v>0</v>
      </c>
      <c r="J365" s="57">
        <f ca="1">I256-DM152</f>
        <v>0</v>
      </c>
      <c r="K365" s="57">
        <f ca="1">J256-DN152</f>
        <v>0</v>
      </c>
      <c r="L365" s="57">
        <f ca="1">K256-DO152</f>
        <v>0</v>
      </c>
      <c r="M365" s="57">
        <f ca="1">L256-DP152</f>
        <v>0</v>
      </c>
      <c r="N365" s="57">
        <f ca="1">M256-DQ152</f>
        <v>0</v>
      </c>
      <c r="O365" s="57">
        <f ca="1">N256-DR152</f>
        <v>0</v>
      </c>
      <c r="P365" s="57">
        <f ca="1">O256-DS152</f>
        <v>0</v>
      </c>
      <c r="Q365" s="57">
        <f ca="1">P256-DT152</f>
        <v>0</v>
      </c>
      <c r="R365" s="57">
        <f ca="1">Q256-DU152</f>
        <v>0</v>
      </c>
      <c r="S365" s="57">
        <f ca="1">R256-DV152</f>
        <v>0</v>
      </c>
      <c r="T365" s="57">
        <f ca="1">S256-DW152</f>
        <v>0</v>
      </c>
      <c r="U365" s="57">
        <f ca="1">T256-DX152</f>
        <v>0</v>
      </c>
      <c r="V365" s="57">
        <f ca="1">U256-DY152</f>
        <v>0</v>
      </c>
      <c r="W365" s="57">
        <f ca="1">V256-DZ152</f>
        <v>0</v>
      </c>
      <c r="X365" s="57">
        <f ca="1">W256-EA152</f>
        <v>0</v>
      </c>
      <c r="Y365" s="57">
        <f ca="1">X256-EB152</f>
        <v>0</v>
      </c>
      <c r="Z365" s="57">
        <f ca="1">Y256-EC152</f>
        <v>0</v>
      </c>
      <c r="AA365" s="57">
        <f ca="1">Z256-ED152</f>
        <v>0</v>
      </c>
      <c r="AB365" s="57">
        <f ca="1">AA256-EE152</f>
        <v>0</v>
      </c>
      <c r="AC365" s="57">
        <f ca="1">AB256-EF152</f>
        <v>0</v>
      </c>
      <c r="AD365" s="57">
        <f ca="1">AC256-EG152</f>
        <v>0</v>
      </c>
      <c r="AE365" s="57">
        <f ca="1">AD256-EH152</f>
        <v>0</v>
      </c>
      <c r="AF365" s="57">
        <f ca="1">AE256-EI152</f>
        <v>0</v>
      </c>
      <c r="AG365" s="57">
        <f ca="1">AF256-EJ152</f>
        <v>0</v>
      </c>
      <c r="AH365" s="57">
        <f ca="1">AG256-EK152</f>
        <v>0</v>
      </c>
      <c r="AI365" s="57">
        <f ca="1">AH256-EL152</f>
        <v>0</v>
      </c>
      <c r="AJ365" s="57">
        <f ca="1">AI256-EM152</f>
        <v>0</v>
      </c>
      <c r="AK365" s="57">
        <f ca="1">AJ256-EN152</f>
        <v>0</v>
      </c>
      <c r="AL365" s="57">
        <f ca="1">AK256-EO152</f>
        <v>0</v>
      </c>
      <c r="AM365" s="57">
        <f ca="1">AL256-EP152</f>
        <v>0</v>
      </c>
      <c r="AN365" s="57">
        <f ca="1">AM256-EQ152</f>
        <v>0</v>
      </c>
      <c r="AO365" s="57">
        <f ca="1">AN256-ER152</f>
        <v>0</v>
      </c>
      <c r="AP365" s="57">
        <f ca="1">AO256-ES152</f>
        <v>0</v>
      </c>
      <c r="AQ365" s="57">
        <f ca="1">AP256-ET152</f>
        <v>0</v>
      </c>
      <c r="AR365" s="57">
        <f ca="1">AQ256-EU152</f>
        <v>0</v>
      </c>
      <c r="AS365" s="57">
        <f ca="1">AR256-EV152</f>
        <v>0</v>
      </c>
      <c r="AT365" s="57">
        <f ca="1">AS256-EW152</f>
        <v>0</v>
      </c>
      <c r="AU365" s="57">
        <f ca="1">AT256-EX152</f>
        <v>0</v>
      </c>
      <c r="AV365" s="57">
        <f ca="1">AU256-EY152</f>
        <v>0</v>
      </c>
      <c r="AW365" s="57">
        <f ca="1">AV256-EZ152</f>
        <v>0</v>
      </c>
      <c r="AX365" s="57">
        <f ca="1">AW256-FA152</f>
        <v>0</v>
      </c>
      <c r="AY365" s="57">
        <f ca="1">AX256-FB152</f>
        <v>0</v>
      </c>
      <c r="AZ365" s="57">
        <f ca="1">AY256-FC152</f>
        <v>0</v>
      </c>
      <c r="BA365" s="57">
        <f ca="1">AZ256-FD152</f>
        <v>0</v>
      </c>
      <c r="BB365" s="57">
        <f ca="1">BA256-FE152</f>
        <v>0</v>
      </c>
      <c r="BC365" s="57">
        <f ca="1">BB256-FF152</f>
        <v>0</v>
      </c>
    </row>
    <row r="366" spans="1:55">
      <c r="A366" s="27">
        <v>16</v>
      </c>
      <c r="B366" s="27" t="str">
        <f t="shared" si="441"/>
        <v>Não</v>
      </c>
      <c r="C366" s="27">
        <f t="shared" si="442"/>
        <v>13</v>
      </c>
      <c r="D366" s="27">
        <f t="shared" ca="1" si="443"/>
        <v>27</v>
      </c>
      <c r="E366" s="34">
        <v>16</v>
      </c>
      <c r="F366" s="57">
        <f ca="1">E257-DI153</f>
        <v>0</v>
      </c>
      <c r="G366" s="57">
        <f ca="1">F257-DJ153</f>
        <v>0</v>
      </c>
      <c r="H366" s="57">
        <f ca="1">G257-DK153</f>
        <v>0</v>
      </c>
      <c r="I366" s="57">
        <f ca="1">H257-DL153</f>
        <v>0</v>
      </c>
      <c r="J366" s="57">
        <f ca="1">I257-DM153</f>
        <v>0</v>
      </c>
      <c r="K366" s="57">
        <f ca="1">J257-DN153</f>
        <v>0</v>
      </c>
      <c r="L366" s="57">
        <f ca="1">K257-DO153</f>
        <v>0</v>
      </c>
      <c r="M366" s="57">
        <f ca="1">L257-DP153</f>
        <v>0</v>
      </c>
      <c r="N366" s="57">
        <f ca="1">M257-DQ153</f>
        <v>0</v>
      </c>
      <c r="O366" s="57">
        <f ca="1">N257-DR153</f>
        <v>0</v>
      </c>
      <c r="P366" s="57">
        <f ca="1">O257-DS153</f>
        <v>0</v>
      </c>
      <c r="Q366" s="57">
        <f ca="1">P257-DT153</f>
        <v>0</v>
      </c>
      <c r="R366" s="57">
        <f ca="1">Q257-DU153</f>
        <v>0</v>
      </c>
      <c r="S366" s="57">
        <f ca="1">R257-DV153</f>
        <v>0</v>
      </c>
      <c r="T366" s="57">
        <f ca="1">S257-DW153</f>
        <v>0</v>
      </c>
      <c r="U366" s="57">
        <f ca="1">T257-DX153</f>
        <v>0</v>
      </c>
      <c r="V366" s="57">
        <f ca="1">U257-DY153</f>
        <v>0</v>
      </c>
      <c r="W366" s="57">
        <f ca="1">V257-DZ153</f>
        <v>0</v>
      </c>
      <c r="X366" s="57">
        <f ca="1">W257-EA153</f>
        <v>0</v>
      </c>
      <c r="Y366" s="57">
        <f ca="1">X257-EB153</f>
        <v>0</v>
      </c>
      <c r="Z366" s="57">
        <f ca="1">Y257-EC153</f>
        <v>0</v>
      </c>
      <c r="AA366" s="57">
        <f ca="1">Z257-ED153</f>
        <v>0</v>
      </c>
      <c r="AB366" s="57">
        <f ca="1">AA257-EE153</f>
        <v>0</v>
      </c>
      <c r="AC366" s="57">
        <f ca="1">AB257-EF153</f>
        <v>0</v>
      </c>
      <c r="AD366" s="57">
        <f ca="1">AC257-EG153</f>
        <v>0</v>
      </c>
      <c r="AE366" s="57">
        <f ca="1">AD257-EH153</f>
        <v>0</v>
      </c>
      <c r="AF366" s="57">
        <f ca="1">AE257-EI153</f>
        <v>0</v>
      </c>
      <c r="AG366" s="57">
        <f ca="1">AF257-EJ153</f>
        <v>0</v>
      </c>
      <c r="AH366" s="57">
        <f ca="1">AG257-EK153</f>
        <v>0</v>
      </c>
      <c r="AI366" s="57">
        <f ca="1">AH257-EL153</f>
        <v>0</v>
      </c>
      <c r="AJ366" s="57">
        <f ca="1">AI257-EM153</f>
        <v>0</v>
      </c>
      <c r="AK366" s="57">
        <f ca="1">AJ257-EN153</f>
        <v>0</v>
      </c>
      <c r="AL366" s="57">
        <f ca="1">AK257-EO153</f>
        <v>0</v>
      </c>
      <c r="AM366" s="57">
        <f ca="1">AL257-EP153</f>
        <v>0</v>
      </c>
      <c r="AN366" s="57">
        <f ca="1">AM257-EQ153</f>
        <v>0</v>
      </c>
      <c r="AO366" s="57">
        <f ca="1">AN257-ER153</f>
        <v>0</v>
      </c>
      <c r="AP366" s="57">
        <f ca="1">AO257-ES153</f>
        <v>0</v>
      </c>
      <c r="AQ366" s="57">
        <f ca="1">AP257-ET153</f>
        <v>0</v>
      </c>
      <c r="AR366" s="57">
        <f ca="1">AQ257-EU153</f>
        <v>0</v>
      </c>
      <c r="AS366" s="57">
        <f ca="1">AR257-EV153</f>
        <v>0</v>
      </c>
      <c r="AT366" s="57">
        <f ca="1">AS257-EW153</f>
        <v>0</v>
      </c>
      <c r="AU366" s="57">
        <f ca="1">AT257-EX153</f>
        <v>0</v>
      </c>
      <c r="AV366" s="57">
        <f ca="1">AU257-EY153</f>
        <v>0</v>
      </c>
      <c r="AW366" s="57">
        <f ca="1">AV257-EZ153</f>
        <v>0</v>
      </c>
      <c r="AX366" s="57">
        <f ca="1">AW257-FA153</f>
        <v>0</v>
      </c>
      <c r="AY366" s="57">
        <f ca="1">AX257-FB153</f>
        <v>0</v>
      </c>
      <c r="AZ366" s="57">
        <f ca="1">AY257-FC153</f>
        <v>0</v>
      </c>
      <c r="BA366" s="57">
        <f ca="1">AZ257-FD153</f>
        <v>0</v>
      </c>
      <c r="BB366" s="57">
        <f ca="1">BA257-FE153</f>
        <v>0</v>
      </c>
      <c r="BC366" s="57">
        <f ca="1">BB257-FF153</f>
        <v>0</v>
      </c>
    </row>
    <row r="367" spans="1:55">
      <c r="A367" s="27">
        <v>17</v>
      </c>
      <c r="B367" s="27" t="str">
        <f t="shared" si="441"/>
        <v>Sim</v>
      </c>
      <c r="C367" s="27">
        <f t="shared" si="442"/>
        <v>46</v>
      </c>
      <c r="D367" s="27">
        <f t="shared" ca="1" si="443"/>
        <v>49</v>
      </c>
      <c r="E367" s="34">
        <v>17</v>
      </c>
      <c r="F367" s="57">
        <f ca="1">E258-DI154</f>
        <v>0</v>
      </c>
      <c r="G367" s="57">
        <f ca="1">F258-DJ154</f>
        <v>0</v>
      </c>
      <c r="H367" s="57">
        <f ca="1">G258-DK154</f>
        <v>0</v>
      </c>
      <c r="I367" s="57">
        <f ca="1">H258-DL154</f>
        <v>0</v>
      </c>
      <c r="J367" s="57">
        <f ca="1">I258-DM154</f>
        <v>0</v>
      </c>
      <c r="K367" s="57">
        <f ca="1">J258-DN154</f>
        <v>0</v>
      </c>
      <c r="L367" s="57">
        <f ca="1">K258-DO154</f>
        <v>0</v>
      </c>
      <c r="M367" s="57">
        <f ca="1">L258-DP154</f>
        <v>0</v>
      </c>
      <c r="N367" s="57">
        <f ca="1">M258-DQ154</f>
        <v>0</v>
      </c>
      <c r="O367" s="57">
        <f ca="1">N258-DR154</f>
        <v>0</v>
      </c>
      <c r="P367" s="57">
        <f ca="1">O258-DS154</f>
        <v>0</v>
      </c>
      <c r="Q367" s="57">
        <f ca="1">P258-DT154</f>
        <v>0</v>
      </c>
      <c r="R367" s="57">
        <f ca="1">Q258-DU154</f>
        <v>0</v>
      </c>
      <c r="S367" s="57">
        <f ca="1">R258-DV154</f>
        <v>0</v>
      </c>
      <c r="T367" s="57">
        <f ca="1">S258-DW154</f>
        <v>0</v>
      </c>
      <c r="U367" s="57">
        <f ca="1">T258-DX154</f>
        <v>0</v>
      </c>
      <c r="V367" s="57">
        <f ca="1">U258-DY154</f>
        <v>0</v>
      </c>
      <c r="W367" s="57">
        <f ca="1">V258-DZ154</f>
        <v>0</v>
      </c>
      <c r="X367" s="57">
        <f ca="1">W258-EA154</f>
        <v>0</v>
      </c>
      <c r="Y367" s="57">
        <f ca="1">X258-EB154</f>
        <v>0</v>
      </c>
      <c r="Z367" s="57">
        <f ca="1">Y258-EC154</f>
        <v>0</v>
      </c>
      <c r="AA367" s="57">
        <f ca="1">Z258-ED154</f>
        <v>0</v>
      </c>
      <c r="AB367" s="57">
        <f ca="1">AA258-EE154</f>
        <v>0</v>
      </c>
      <c r="AC367" s="57">
        <f ca="1">AB258-EF154</f>
        <v>0</v>
      </c>
      <c r="AD367" s="57">
        <f ca="1">AC258-EG154</f>
        <v>0</v>
      </c>
      <c r="AE367" s="57">
        <f ca="1">AD258-EH154</f>
        <v>0</v>
      </c>
      <c r="AF367" s="57">
        <f ca="1">AE258-EI154</f>
        <v>0</v>
      </c>
      <c r="AG367" s="57">
        <f ca="1">AF258-EJ154</f>
        <v>0</v>
      </c>
      <c r="AH367" s="57">
        <f ca="1">AG258-EK154</f>
        <v>0</v>
      </c>
      <c r="AI367" s="57">
        <f ca="1">AH258-EL154</f>
        <v>0</v>
      </c>
      <c r="AJ367" s="57">
        <f ca="1">AI258-EM154</f>
        <v>0</v>
      </c>
      <c r="AK367" s="57">
        <f ca="1">AJ258-EN154</f>
        <v>0</v>
      </c>
      <c r="AL367" s="57">
        <f ca="1">AK258-EO154</f>
        <v>0</v>
      </c>
      <c r="AM367" s="57">
        <f ca="1">AL258-EP154</f>
        <v>0</v>
      </c>
      <c r="AN367" s="57">
        <f ca="1">AM258-EQ154</f>
        <v>0</v>
      </c>
      <c r="AO367" s="57">
        <f ca="1">AN258-ER154</f>
        <v>0</v>
      </c>
      <c r="AP367" s="57">
        <f ca="1">AO258-ES154</f>
        <v>0</v>
      </c>
      <c r="AQ367" s="57">
        <f ca="1">AP258-ET154</f>
        <v>0</v>
      </c>
      <c r="AR367" s="57">
        <f ca="1">AQ258-EU154</f>
        <v>0</v>
      </c>
      <c r="AS367" s="57">
        <f ca="1">AR258-EV154</f>
        <v>0</v>
      </c>
      <c r="AT367" s="57">
        <f ca="1">AS258-EW154</f>
        <v>0</v>
      </c>
      <c r="AU367" s="57">
        <f ca="1">AT258-EX154</f>
        <v>0</v>
      </c>
      <c r="AV367" s="57">
        <f ca="1">AU258-EY154</f>
        <v>0</v>
      </c>
      <c r="AW367" s="57">
        <f ca="1">AV258-EZ154</f>
        <v>0</v>
      </c>
      <c r="AX367" s="57">
        <f ca="1">AW258-FA154</f>
        <v>0</v>
      </c>
      <c r="AY367" s="57">
        <f ca="1">AX258-FB154</f>
        <v>0</v>
      </c>
      <c r="AZ367" s="57">
        <f ca="1">AY258-FC154</f>
        <v>-2.6781200000020045E-7</v>
      </c>
      <c r="BA367" s="57">
        <f ca="1">AZ258-FD154</f>
        <v>6.1093600001171922E-7</v>
      </c>
      <c r="BB367" s="57">
        <f ca="1">BA258-FE154</f>
        <v>6.3521199999971856E-7</v>
      </c>
      <c r="BC367" s="57">
        <f ca="1">BB258-FF154</f>
        <v>0.91039700000000001</v>
      </c>
    </row>
    <row r="368" spans="1:55">
      <c r="A368" s="27">
        <v>18</v>
      </c>
      <c r="B368" s="27" t="str">
        <f t="shared" si="441"/>
        <v>Não</v>
      </c>
      <c r="C368" s="27">
        <f t="shared" si="442"/>
        <v>44</v>
      </c>
      <c r="D368" s="27">
        <f t="shared" ca="1" si="443"/>
        <v>45</v>
      </c>
      <c r="E368" s="34">
        <v>18</v>
      </c>
      <c r="F368" s="57">
        <f ca="1">E259-DI155</f>
        <v>0</v>
      </c>
      <c r="G368" s="57">
        <f ca="1">F259-DJ155</f>
        <v>0</v>
      </c>
      <c r="H368" s="57">
        <f ca="1">G259-DK155</f>
        <v>0</v>
      </c>
      <c r="I368" s="57">
        <f ca="1">H259-DL155</f>
        <v>0</v>
      </c>
      <c r="J368" s="57">
        <f ca="1">I259-DM155</f>
        <v>0</v>
      </c>
      <c r="K368" s="57">
        <f ca="1">J259-DN155</f>
        <v>0</v>
      </c>
      <c r="L368" s="57">
        <f ca="1">K259-DO155</f>
        <v>0</v>
      </c>
      <c r="M368" s="57">
        <f ca="1">L259-DP155</f>
        <v>0</v>
      </c>
      <c r="N368" s="57">
        <f ca="1">M259-DQ155</f>
        <v>0</v>
      </c>
      <c r="O368" s="57">
        <f ca="1">N259-DR155</f>
        <v>0</v>
      </c>
      <c r="P368" s="57">
        <f ca="1">O259-DS155</f>
        <v>0</v>
      </c>
      <c r="Q368" s="57">
        <f ca="1">P259-DT155</f>
        <v>0</v>
      </c>
      <c r="R368" s="57">
        <f ca="1">Q259-DU155</f>
        <v>0</v>
      </c>
      <c r="S368" s="57">
        <f ca="1">R259-DV155</f>
        <v>0</v>
      </c>
      <c r="T368" s="57">
        <f ca="1">S259-DW155</f>
        <v>0</v>
      </c>
      <c r="U368" s="57">
        <f ca="1">T259-DX155</f>
        <v>0</v>
      </c>
      <c r="V368" s="57">
        <f ca="1">U259-DY155</f>
        <v>0</v>
      </c>
      <c r="W368" s="57">
        <f ca="1">V259-DZ155</f>
        <v>0</v>
      </c>
      <c r="X368" s="57">
        <f ca="1">W259-EA155</f>
        <v>0</v>
      </c>
      <c r="Y368" s="57">
        <f ca="1">X259-EB155</f>
        <v>0</v>
      </c>
      <c r="Z368" s="57">
        <f ca="1">Y259-EC155</f>
        <v>0</v>
      </c>
      <c r="AA368" s="57">
        <f ca="1">Z259-ED155</f>
        <v>0</v>
      </c>
      <c r="AB368" s="57">
        <f ca="1">AA259-EE155</f>
        <v>0</v>
      </c>
      <c r="AC368" s="57">
        <f ca="1">AB259-EF155</f>
        <v>0</v>
      </c>
      <c r="AD368" s="57">
        <f ca="1">AC259-EG155</f>
        <v>0</v>
      </c>
      <c r="AE368" s="57">
        <f ca="1">AD259-EH155</f>
        <v>0</v>
      </c>
      <c r="AF368" s="57">
        <f ca="1">AE259-EI155</f>
        <v>0</v>
      </c>
      <c r="AG368" s="57">
        <f ca="1">AF259-EJ155</f>
        <v>0</v>
      </c>
      <c r="AH368" s="57">
        <f ca="1">AG259-EK155</f>
        <v>0</v>
      </c>
      <c r="AI368" s="57">
        <f ca="1">AH259-EL155</f>
        <v>0</v>
      </c>
      <c r="AJ368" s="57">
        <f ca="1">AI259-EM155</f>
        <v>0</v>
      </c>
      <c r="AK368" s="57">
        <f ca="1">AJ259-EN155</f>
        <v>0</v>
      </c>
      <c r="AL368" s="57">
        <f ca="1">AK259-EO155</f>
        <v>0</v>
      </c>
      <c r="AM368" s="57">
        <f ca="1">AL259-EP155</f>
        <v>0</v>
      </c>
      <c r="AN368" s="57">
        <f ca="1">AM259-EQ155</f>
        <v>0</v>
      </c>
      <c r="AO368" s="57">
        <f ca="1">AN259-ER155</f>
        <v>0</v>
      </c>
      <c r="AP368" s="57">
        <f ca="1">AO259-ES155</f>
        <v>0</v>
      </c>
      <c r="AQ368" s="57">
        <f ca="1">AP259-ET155</f>
        <v>0</v>
      </c>
      <c r="AR368" s="57">
        <f ca="1">AQ259-EU155</f>
        <v>0</v>
      </c>
      <c r="AS368" s="57">
        <f ca="1">AR259-EV155</f>
        <v>0</v>
      </c>
      <c r="AT368" s="57">
        <f ca="1">AS259-EW155</f>
        <v>0</v>
      </c>
      <c r="AU368" s="57">
        <f ca="1">AT259-EX155</f>
        <v>0</v>
      </c>
      <c r="AV368" s="57">
        <f ca="1">AU259-EY155</f>
        <v>0</v>
      </c>
      <c r="AW368" s="57">
        <f ca="1">AV259-EZ155</f>
        <v>0</v>
      </c>
      <c r="AX368" s="57">
        <f ca="1">AW259-FA155</f>
        <v>0</v>
      </c>
      <c r="AY368" s="57">
        <f ca="1">AX259-FB155</f>
        <v>0</v>
      </c>
      <c r="AZ368" s="57">
        <f ca="1">AY259-FC155</f>
        <v>0</v>
      </c>
      <c r="BA368" s="57">
        <f ca="1">AZ259-FD155</f>
        <v>0</v>
      </c>
      <c r="BB368" s="57">
        <f ca="1">BA259-FE155</f>
        <v>0</v>
      </c>
      <c r="BC368" s="57">
        <f ca="1">BB259-FF155</f>
        <v>0</v>
      </c>
    </row>
    <row r="369" spans="1:55">
      <c r="A369" s="27">
        <v>19</v>
      </c>
      <c r="B369" s="27" t="str">
        <f t="shared" si="441"/>
        <v>Sim</v>
      </c>
      <c r="C369" s="27">
        <f t="shared" si="442"/>
        <v>25</v>
      </c>
      <c r="D369" s="27">
        <f t="shared" ca="1" si="443"/>
        <v>36</v>
      </c>
      <c r="E369" s="34">
        <v>19</v>
      </c>
      <c r="F369" s="57">
        <f ca="1">E260-DI156</f>
        <v>0</v>
      </c>
      <c r="G369" s="57">
        <f ca="1">F260-DJ156</f>
        <v>0</v>
      </c>
      <c r="H369" s="57">
        <f ca="1">G260-DK156</f>
        <v>0</v>
      </c>
      <c r="I369" s="57">
        <f ca="1">H260-DL156</f>
        <v>0</v>
      </c>
      <c r="J369" s="57">
        <f ca="1">I260-DM156</f>
        <v>0</v>
      </c>
      <c r="K369" s="57">
        <f ca="1">J260-DN156</f>
        <v>0</v>
      </c>
      <c r="L369" s="57">
        <f ca="1">K260-DO156</f>
        <v>0</v>
      </c>
      <c r="M369" s="57">
        <f ca="1">L260-DP156</f>
        <v>0</v>
      </c>
      <c r="N369" s="57">
        <f ca="1">M260-DQ156</f>
        <v>0</v>
      </c>
      <c r="O369" s="57">
        <f ca="1">N260-DR156</f>
        <v>0</v>
      </c>
      <c r="P369" s="57">
        <f ca="1">O260-DS156</f>
        <v>0</v>
      </c>
      <c r="Q369" s="57">
        <f ca="1">P260-DT156</f>
        <v>0</v>
      </c>
      <c r="R369" s="57">
        <f ca="1">Q260-DU156</f>
        <v>0</v>
      </c>
      <c r="S369" s="57">
        <f ca="1">R260-DV156</f>
        <v>0</v>
      </c>
      <c r="T369" s="57">
        <f ca="1">S260-DW156</f>
        <v>0</v>
      </c>
      <c r="U369" s="57">
        <f ca="1">T260-DX156</f>
        <v>0</v>
      </c>
      <c r="V369" s="57">
        <f ca="1">U260-DY156</f>
        <v>0</v>
      </c>
      <c r="W369" s="57">
        <f ca="1">V260-DZ156</f>
        <v>0</v>
      </c>
      <c r="X369" s="57">
        <f ca="1">W260-EA156</f>
        <v>0</v>
      </c>
      <c r="Y369" s="57">
        <f ca="1">X260-EB156</f>
        <v>0</v>
      </c>
      <c r="Z369" s="57">
        <f ca="1">Y260-EC156</f>
        <v>0</v>
      </c>
      <c r="AA369" s="57">
        <f ca="1">Z260-ED156</f>
        <v>0</v>
      </c>
      <c r="AB369" s="57">
        <f ca="1">AA260-EE156</f>
        <v>0</v>
      </c>
      <c r="AC369" s="57">
        <f ca="1">AB260-EF156</f>
        <v>0</v>
      </c>
      <c r="AD369" s="57">
        <f ca="1">AC260-EG156</f>
        <v>0</v>
      </c>
      <c r="AE369" s="57">
        <f ca="1">AD260-EH156</f>
        <v>-3.0169599996021645E-7</v>
      </c>
      <c r="AF369" s="57">
        <f ca="1">AE260-EI156</f>
        <v>5.2804000005846063E-7</v>
      </c>
      <c r="AG369" s="57">
        <f ca="1">AF260-EJ156</f>
        <v>-5.3199600003051017E-7</v>
      </c>
      <c r="AH369" s="57">
        <f ca="1">AG260-EK156</f>
        <v>2.6654399998271572E-7</v>
      </c>
      <c r="AI369" s="57">
        <f ca="1">AH260-EL156</f>
        <v>1.4255600006007896E-7</v>
      </c>
      <c r="AJ369" s="57">
        <f ca="1">AI260-EM156</f>
        <v>6.5526399994908502E-7</v>
      </c>
      <c r="AK369" s="57">
        <f ca="1">AJ260-EN156</f>
        <v>3.13363999859817E-7</v>
      </c>
      <c r="AL369" s="57">
        <f ca="1">AK260-EO156</f>
        <v>-4.6727999997164815E-7</v>
      </c>
      <c r="AM369" s="57">
        <f ca="1">AL260-EP156</f>
        <v>-2.0515999998860224E-7</v>
      </c>
      <c r="AN369" s="57">
        <f ca="1">AM260-EQ156</f>
        <v>-3.7208000069899327E-8</v>
      </c>
      <c r="AO369" s="57">
        <f ca="1">AN260-ER156</f>
        <v>1.74096000005175E-7</v>
      </c>
      <c r="AP369" s="57">
        <f ca="1">AO260-ES156</f>
        <v>-7.5272000000000006E-2</v>
      </c>
      <c r="AQ369" s="57">
        <f ca="1">AP260-ET156</f>
        <v>-4.9834000000000045E-2</v>
      </c>
      <c r="AR369" s="57">
        <f ca="1">AQ260-EU156</f>
        <v>2.8685000000000072E-2</v>
      </c>
      <c r="AS369" s="57">
        <f ca="1">AR260-EV156</f>
        <v>1.1023000000000005E-2</v>
      </c>
      <c r="AT369" s="57">
        <f ca="1">AS260-EW156</f>
        <v>-1.9429999999999725E-3</v>
      </c>
      <c r="AU369" s="57">
        <f ca="1">AT260-EX156</f>
        <v>-1.5557999999999989E-2</v>
      </c>
      <c r="AV369" s="57">
        <f ca="1">AU260-EY156</f>
        <v>6.7978000000000038E-2</v>
      </c>
      <c r="AW369" s="57">
        <f ca="1">AV260-EZ156</f>
        <v>-1.7605000000000037E-2</v>
      </c>
      <c r="AX369" s="57">
        <f ca="1">AW260-FA156</f>
        <v>1.2275000000000036E-2</v>
      </c>
      <c r="AY369" s="57">
        <f ca="1">AX260-FB156</f>
        <v>9.589100000000006E-2</v>
      </c>
      <c r="AZ369" s="57">
        <f ca="1">AY260-FC156</f>
        <v>3.2230000000000036E-3</v>
      </c>
      <c r="BA369" s="57">
        <f ca="1">AZ260-FD156</f>
        <v>-2.292000000000001E-2</v>
      </c>
      <c r="BB369" s="57">
        <f ca="1">BA260-FE156</f>
        <v>-3.2436000000000006E-2</v>
      </c>
      <c r="BC369" s="57">
        <f ca="1">BB260-FF156</f>
        <v>-3.2196000000000002E-2</v>
      </c>
    </row>
    <row r="370" spans="1:55">
      <c r="A370" s="27">
        <v>20</v>
      </c>
      <c r="B370" s="27" t="str">
        <f t="shared" si="441"/>
        <v>Não</v>
      </c>
      <c r="C370" s="27">
        <f t="shared" si="442"/>
        <v>2</v>
      </c>
      <c r="D370" s="27">
        <f t="shared" ca="1" si="443"/>
        <v>28</v>
      </c>
      <c r="E370" s="34">
        <v>20</v>
      </c>
      <c r="F370" s="57">
        <f ca="1">E261-DI157</f>
        <v>0</v>
      </c>
      <c r="G370" s="57">
        <f ca="1">F261-DJ157</f>
        <v>0</v>
      </c>
      <c r="H370" s="57">
        <f ca="1">G261-DK157</f>
        <v>0</v>
      </c>
      <c r="I370" s="57">
        <f ca="1">H261-DL157</f>
        <v>0</v>
      </c>
      <c r="J370" s="57">
        <f ca="1">I261-DM157</f>
        <v>0</v>
      </c>
      <c r="K370" s="57">
        <f ca="1">J261-DN157</f>
        <v>0</v>
      </c>
      <c r="L370" s="57">
        <f ca="1">K261-DO157</f>
        <v>0</v>
      </c>
      <c r="M370" s="57">
        <f ca="1">L261-DP157</f>
        <v>0</v>
      </c>
      <c r="N370" s="57">
        <f ca="1">M261-DQ157</f>
        <v>0</v>
      </c>
      <c r="O370" s="57">
        <f ca="1">N261-DR157</f>
        <v>0</v>
      </c>
      <c r="P370" s="57">
        <f ca="1">O261-DS157</f>
        <v>0</v>
      </c>
      <c r="Q370" s="57">
        <f ca="1">P261-DT157</f>
        <v>0</v>
      </c>
      <c r="R370" s="57">
        <f ca="1">Q261-DU157</f>
        <v>0</v>
      </c>
      <c r="S370" s="57">
        <f ca="1">R261-DV157</f>
        <v>0</v>
      </c>
      <c r="T370" s="57">
        <f ca="1">S261-DW157</f>
        <v>0</v>
      </c>
      <c r="U370" s="57">
        <f ca="1">T261-DX157</f>
        <v>0</v>
      </c>
      <c r="V370" s="57">
        <f ca="1">U261-DY157</f>
        <v>0</v>
      </c>
      <c r="W370" s="57">
        <f ca="1">V261-DZ157</f>
        <v>0</v>
      </c>
      <c r="X370" s="57">
        <f ca="1">W261-EA157</f>
        <v>0</v>
      </c>
      <c r="Y370" s="57">
        <f ca="1">X261-EB157</f>
        <v>0</v>
      </c>
      <c r="Z370" s="57">
        <f ca="1">Y261-EC157</f>
        <v>0</v>
      </c>
      <c r="AA370" s="57">
        <f ca="1">Z261-ED157</f>
        <v>0</v>
      </c>
      <c r="AB370" s="57">
        <f ca="1">AA261-EE157</f>
        <v>0</v>
      </c>
      <c r="AC370" s="57">
        <f ca="1">AB261-EF157</f>
        <v>0</v>
      </c>
      <c r="AD370" s="57">
        <f ca="1">AC261-EG157</f>
        <v>0</v>
      </c>
      <c r="AE370" s="57">
        <f ca="1">AD261-EH157</f>
        <v>0</v>
      </c>
      <c r="AF370" s="57">
        <f ca="1">AE261-EI157</f>
        <v>0</v>
      </c>
      <c r="AG370" s="57">
        <f ca="1">AF261-EJ157</f>
        <v>0</v>
      </c>
      <c r="AH370" s="57">
        <f ca="1">AG261-EK157</f>
        <v>0</v>
      </c>
      <c r="AI370" s="57">
        <f ca="1">AH261-EL157</f>
        <v>0</v>
      </c>
      <c r="AJ370" s="57">
        <f ca="1">AI261-EM157</f>
        <v>0</v>
      </c>
      <c r="AK370" s="57">
        <f ca="1">AJ261-EN157</f>
        <v>0</v>
      </c>
      <c r="AL370" s="57">
        <f ca="1">AK261-EO157</f>
        <v>0</v>
      </c>
      <c r="AM370" s="57">
        <f ca="1">AL261-EP157</f>
        <v>0</v>
      </c>
      <c r="AN370" s="57">
        <f ca="1">AM261-EQ157</f>
        <v>0</v>
      </c>
      <c r="AO370" s="57">
        <f ca="1">AN261-ER157</f>
        <v>0</v>
      </c>
      <c r="AP370" s="57">
        <f ca="1">AO261-ES157</f>
        <v>0</v>
      </c>
      <c r="AQ370" s="57">
        <f ca="1">AP261-ET157</f>
        <v>0</v>
      </c>
      <c r="AR370" s="57">
        <f ca="1">AQ261-EU157</f>
        <v>0</v>
      </c>
      <c r="AS370" s="57">
        <f ca="1">AR261-EV157</f>
        <v>0</v>
      </c>
      <c r="AT370" s="57">
        <f ca="1">AS261-EW157</f>
        <v>0</v>
      </c>
      <c r="AU370" s="57">
        <f ca="1">AT261-EX157</f>
        <v>0</v>
      </c>
      <c r="AV370" s="57">
        <f ca="1">AU261-EY157</f>
        <v>0</v>
      </c>
      <c r="AW370" s="57">
        <f ca="1">AV261-EZ157</f>
        <v>0</v>
      </c>
      <c r="AX370" s="57">
        <f ca="1">AW261-FA157</f>
        <v>0</v>
      </c>
      <c r="AY370" s="57">
        <f ca="1">AX261-FB157</f>
        <v>0</v>
      </c>
      <c r="AZ370" s="57">
        <f ca="1">AY261-FC157</f>
        <v>0</v>
      </c>
      <c r="BA370" s="57">
        <f ca="1">AZ261-FD157</f>
        <v>0</v>
      </c>
      <c r="BB370" s="57">
        <f ca="1">BA261-FE157</f>
        <v>0</v>
      </c>
      <c r="BC370" s="57">
        <f ca="1">BB261-FF157</f>
        <v>0</v>
      </c>
    </row>
    <row r="371" spans="1:55">
      <c r="A371" s="27">
        <v>21</v>
      </c>
      <c r="B371" s="27" t="str">
        <f t="shared" si="441"/>
        <v>Sim</v>
      </c>
      <c r="C371" s="27">
        <f t="shared" si="442"/>
        <v>29</v>
      </c>
      <c r="D371" s="27">
        <f t="shared" ca="1" si="443"/>
        <v>35</v>
      </c>
      <c r="E371" s="34">
        <v>21</v>
      </c>
      <c r="F371" s="57">
        <f ca="1">E262-DI158</f>
        <v>0</v>
      </c>
      <c r="G371" s="57">
        <f ca="1">F262-DJ158</f>
        <v>0</v>
      </c>
      <c r="H371" s="57">
        <f ca="1">G262-DK158</f>
        <v>0</v>
      </c>
      <c r="I371" s="57">
        <f ca="1">H262-DL158</f>
        <v>0</v>
      </c>
      <c r="J371" s="57">
        <f ca="1">I262-DM158</f>
        <v>0</v>
      </c>
      <c r="K371" s="57">
        <f ca="1">J262-DN158</f>
        <v>0</v>
      </c>
      <c r="L371" s="57">
        <f ca="1">K262-DO158</f>
        <v>0</v>
      </c>
      <c r="M371" s="57">
        <f ca="1">L262-DP158</f>
        <v>0</v>
      </c>
      <c r="N371" s="57">
        <f ca="1">M262-DQ158</f>
        <v>0</v>
      </c>
      <c r="O371" s="57">
        <f ca="1">N262-DR158</f>
        <v>0</v>
      </c>
      <c r="P371" s="57">
        <f ca="1">O262-DS158</f>
        <v>0</v>
      </c>
      <c r="Q371" s="57">
        <f ca="1">P262-DT158</f>
        <v>0</v>
      </c>
      <c r="R371" s="57">
        <f ca="1">Q262-DU158</f>
        <v>0</v>
      </c>
      <c r="S371" s="57">
        <f ca="1">R262-DV158</f>
        <v>0</v>
      </c>
      <c r="T371" s="57">
        <f ca="1">S262-DW158</f>
        <v>0</v>
      </c>
      <c r="U371" s="57">
        <f ca="1">T262-DX158</f>
        <v>0</v>
      </c>
      <c r="V371" s="57">
        <f ca="1">U262-DY158</f>
        <v>0</v>
      </c>
      <c r="W371" s="57">
        <f ca="1">V262-DZ158</f>
        <v>0</v>
      </c>
      <c r="X371" s="57">
        <f ca="1">W262-EA158</f>
        <v>0</v>
      </c>
      <c r="Y371" s="57">
        <f ca="1">X262-EB158</f>
        <v>0</v>
      </c>
      <c r="Z371" s="57">
        <f ca="1">Y262-EC158</f>
        <v>0</v>
      </c>
      <c r="AA371" s="57">
        <f ca="1">Z262-ED158</f>
        <v>0</v>
      </c>
      <c r="AB371" s="57">
        <f ca="1">AA262-EE158</f>
        <v>0</v>
      </c>
      <c r="AC371" s="57">
        <f ca="1">AB262-EF158</f>
        <v>0</v>
      </c>
      <c r="AD371" s="57">
        <f ca="1">AC262-EG158</f>
        <v>0</v>
      </c>
      <c r="AE371" s="57">
        <f ca="1">AD262-EH158</f>
        <v>0</v>
      </c>
      <c r="AF371" s="57">
        <f ca="1">AE262-EI158</f>
        <v>0</v>
      </c>
      <c r="AG371" s="57">
        <f ca="1">AF262-EJ158</f>
        <v>0</v>
      </c>
      <c r="AH371" s="57">
        <f ca="1">AG262-EK158</f>
        <v>0</v>
      </c>
      <c r="AI371" s="57">
        <f ca="1">AH262-EL158</f>
        <v>-7.0523200001310071E-7</v>
      </c>
      <c r="AJ371" s="57">
        <f ca="1">AI262-EM158</f>
        <v>1.3783200003558704E-7</v>
      </c>
      <c r="AK371" s="57">
        <f ca="1">AJ262-EN158</f>
        <v>-2.1708399999820216E-7</v>
      </c>
      <c r="AL371" s="57">
        <f ca="1">AK262-EO158</f>
        <v>-3.9264800000271549E-7</v>
      </c>
      <c r="AM371" s="57">
        <f ca="1">AL262-EP158</f>
        <v>-2.4874000004171393E-7</v>
      </c>
      <c r="AN371" s="57">
        <f ca="1">AM262-EQ158</f>
        <v>-3.5155599997782616E-7</v>
      </c>
      <c r="AO371" s="57">
        <f ca="1">AN262-ER158</f>
        <v>-0.68476899999999996</v>
      </c>
      <c r="AP371" s="57">
        <f ca="1">AO262-ES158</f>
        <v>-0.28766599999999998</v>
      </c>
      <c r="AQ371" s="57">
        <f ca="1">AP262-ET158</f>
        <v>-0.66876199999999997</v>
      </c>
      <c r="AR371" s="57">
        <f ca="1">AQ262-EU158</f>
        <v>1.077966</v>
      </c>
      <c r="AS371" s="57">
        <f ca="1">AR262-EV158</f>
        <v>1.024035</v>
      </c>
      <c r="AT371" s="57">
        <f ca="1">AS262-EW158</f>
        <v>-0.32369199999999998</v>
      </c>
      <c r="AU371" s="57">
        <f ca="1">AT262-EX158</f>
        <v>-0.87467799999999984</v>
      </c>
      <c r="AV371" s="57">
        <f ca="1">AU262-EY158</f>
        <v>0.86040300000000003</v>
      </c>
      <c r="AW371" s="57">
        <f ca="1">AV262-EZ158</f>
        <v>-0.40030699999999997</v>
      </c>
      <c r="AX371" s="57">
        <f ca="1">AW262-FA158</f>
        <v>-1.290235</v>
      </c>
      <c r="AY371" s="57">
        <f ca="1">AX262-FB158</f>
        <v>-2.5944000000000023E-2</v>
      </c>
      <c r="AZ371" s="57">
        <f ca="1">AY262-FC158</f>
        <v>-4.2598000000000025E-2</v>
      </c>
      <c r="BA371" s="57">
        <f ca="1">AZ262-FD158</f>
        <v>0.46887900000000005</v>
      </c>
      <c r="BB371" s="57">
        <f ca="1">BA262-FE158</f>
        <v>0.36165999999999987</v>
      </c>
      <c r="BC371" s="57">
        <f ca="1">BB262-FF158</f>
        <v>1.324039</v>
      </c>
    </row>
    <row r="372" spans="1:55">
      <c r="A372" s="27">
        <v>22</v>
      </c>
      <c r="B372" s="27" t="str">
        <f t="shared" si="441"/>
        <v>Sim</v>
      </c>
      <c r="C372" s="27">
        <f t="shared" si="442"/>
        <v>44</v>
      </c>
      <c r="D372" s="27">
        <f t="shared" ca="1" si="443"/>
        <v>47</v>
      </c>
      <c r="E372" s="34">
        <v>22</v>
      </c>
      <c r="F372" s="57">
        <f ca="1">E263-DI159</f>
        <v>0</v>
      </c>
      <c r="G372" s="57">
        <f ca="1">F263-DJ159</f>
        <v>0</v>
      </c>
      <c r="H372" s="57">
        <f ca="1">G263-DK159</f>
        <v>0</v>
      </c>
      <c r="I372" s="57">
        <f ca="1">H263-DL159</f>
        <v>0</v>
      </c>
      <c r="J372" s="57">
        <f ca="1">I263-DM159</f>
        <v>0</v>
      </c>
      <c r="K372" s="57">
        <f ca="1">J263-DN159</f>
        <v>0</v>
      </c>
      <c r="L372" s="57">
        <f ca="1">K263-DO159</f>
        <v>0</v>
      </c>
      <c r="M372" s="57">
        <f ca="1">L263-DP159</f>
        <v>0</v>
      </c>
      <c r="N372" s="57">
        <f ca="1">M263-DQ159</f>
        <v>0</v>
      </c>
      <c r="O372" s="57">
        <f ca="1">N263-DR159</f>
        <v>0</v>
      </c>
      <c r="P372" s="57">
        <f ca="1">O263-DS159</f>
        <v>0</v>
      </c>
      <c r="Q372" s="57">
        <f ca="1">P263-DT159</f>
        <v>0</v>
      </c>
      <c r="R372" s="57">
        <f ca="1">Q263-DU159</f>
        <v>0</v>
      </c>
      <c r="S372" s="57">
        <f ca="1">R263-DV159</f>
        <v>0</v>
      </c>
      <c r="T372" s="57">
        <f ca="1">S263-DW159</f>
        <v>0</v>
      </c>
      <c r="U372" s="57">
        <f ca="1">T263-DX159</f>
        <v>0</v>
      </c>
      <c r="V372" s="57">
        <f ca="1">U263-DY159</f>
        <v>0</v>
      </c>
      <c r="W372" s="57">
        <f ca="1">V263-DZ159</f>
        <v>0</v>
      </c>
      <c r="X372" s="57">
        <f ca="1">W263-EA159</f>
        <v>0</v>
      </c>
      <c r="Y372" s="57">
        <f ca="1">X263-EB159</f>
        <v>0</v>
      </c>
      <c r="Z372" s="57">
        <f ca="1">Y263-EC159</f>
        <v>0</v>
      </c>
      <c r="AA372" s="57">
        <f ca="1">Z263-ED159</f>
        <v>0</v>
      </c>
      <c r="AB372" s="57">
        <f ca="1">AA263-EE159</f>
        <v>0</v>
      </c>
      <c r="AC372" s="57">
        <f ca="1">AB263-EF159</f>
        <v>0</v>
      </c>
      <c r="AD372" s="57">
        <f ca="1">AC263-EG159</f>
        <v>0</v>
      </c>
      <c r="AE372" s="57">
        <f ca="1">AD263-EH159</f>
        <v>0</v>
      </c>
      <c r="AF372" s="57">
        <f ca="1">AE263-EI159</f>
        <v>0</v>
      </c>
      <c r="AG372" s="57">
        <f ca="1">AF263-EJ159</f>
        <v>0</v>
      </c>
      <c r="AH372" s="57">
        <f ca="1">AG263-EK159</f>
        <v>0</v>
      </c>
      <c r="AI372" s="57">
        <f ca="1">AH263-EL159</f>
        <v>0</v>
      </c>
      <c r="AJ372" s="57">
        <f ca="1">AI263-EM159</f>
        <v>0</v>
      </c>
      <c r="AK372" s="57">
        <f ca="1">AJ263-EN159</f>
        <v>0</v>
      </c>
      <c r="AL372" s="57">
        <f ca="1">AK263-EO159</f>
        <v>0</v>
      </c>
      <c r="AM372" s="57">
        <f ca="1">AL263-EP159</f>
        <v>0</v>
      </c>
      <c r="AN372" s="57">
        <f ca="1">AM263-EQ159</f>
        <v>0</v>
      </c>
      <c r="AO372" s="57">
        <f ca="1">AN263-ER159</f>
        <v>0</v>
      </c>
      <c r="AP372" s="57">
        <f ca="1">AO263-ES159</f>
        <v>0</v>
      </c>
      <c r="AQ372" s="57">
        <f ca="1">AP263-ET159</f>
        <v>0</v>
      </c>
      <c r="AR372" s="57">
        <f ca="1">AQ263-EU159</f>
        <v>0</v>
      </c>
      <c r="AS372" s="57">
        <f ca="1">AR263-EV159</f>
        <v>0</v>
      </c>
      <c r="AT372" s="57">
        <f ca="1">AS263-EW159</f>
        <v>0</v>
      </c>
      <c r="AU372" s="57">
        <f ca="1">AT263-EX159</f>
        <v>0</v>
      </c>
      <c r="AV372" s="57">
        <f ca="1">AU263-EY159</f>
        <v>0</v>
      </c>
      <c r="AW372" s="57">
        <f ca="1">AV263-EZ159</f>
        <v>0</v>
      </c>
      <c r="AX372" s="57">
        <f ca="1">AW263-FA159</f>
        <v>-4.4716100000563586E-7</v>
      </c>
      <c r="AY372" s="57">
        <f ca="1">AX263-FB159</f>
        <v>2.7937500002295224E-7</v>
      </c>
      <c r="AZ372" s="57">
        <f ca="1">AY263-FC159</f>
        <v>5.3399995536551614E-10</v>
      </c>
      <c r="BA372" s="57">
        <f ca="1">AZ263-FD159</f>
        <v>-0.36087900000000001</v>
      </c>
      <c r="BB372" s="57">
        <f ca="1">BA263-FE159</f>
        <v>0.52227900000000005</v>
      </c>
      <c r="BC372" s="57">
        <f ca="1">BB263-FF159</f>
        <v>0.52105000000000001</v>
      </c>
    </row>
    <row r="373" spans="1:55">
      <c r="A373" s="27">
        <v>23</v>
      </c>
      <c r="B373" s="27" t="str">
        <f t="shared" si="441"/>
        <v>Sim</v>
      </c>
      <c r="C373" s="27">
        <f t="shared" si="442"/>
        <v>45</v>
      </c>
      <c r="D373" s="27">
        <f t="shared" ca="1" si="443"/>
        <v>49</v>
      </c>
      <c r="E373" s="34">
        <v>23</v>
      </c>
      <c r="F373" s="57">
        <f ca="1">E264-DI160</f>
        <v>0</v>
      </c>
      <c r="G373" s="57">
        <f ca="1">F264-DJ160</f>
        <v>0</v>
      </c>
      <c r="H373" s="57">
        <f ca="1">G264-DK160</f>
        <v>0</v>
      </c>
      <c r="I373" s="57">
        <f ca="1">H264-DL160</f>
        <v>0</v>
      </c>
      <c r="J373" s="57">
        <f ca="1">I264-DM160</f>
        <v>0</v>
      </c>
      <c r="K373" s="57">
        <f ca="1">J264-DN160</f>
        <v>0</v>
      </c>
      <c r="L373" s="57">
        <f ca="1">K264-DO160</f>
        <v>0</v>
      </c>
      <c r="M373" s="57">
        <f ca="1">L264-DP160</f>
        <v>0</v>
      </c>
      <c r="N373" s="57">
        <f ca="1">M264-DQ160</f>
        <v>0</v>
      </c>
      <c r="O373" s="57">
        <f ca="1">N264-DR160</f>
        <v>0</v>
      </c>
      <c r="P373" s="57">
        <f ca="1">O264-DS160</f>
        <v>0</v>
      </c>
      <c r="Q373" s="57">
        <f ca="1">P264-DT160</f>
        <v>0</v>
      </c>
      <c r="R373" s="57">
        <f ca="1">Q264-DU160</f>
        <v>0</v>
      </c>
      <c r="S373" s="57">
        <f ca="1">R264-DV160</f>
        <v>0</v>
      </c>
      <c r="T373" s="57">
        <f ca="1">S264-DW160</f>
        <v>0</v>
      </c>
      <c r="U373" s="57">
        <f ca="1">T264-DX160</f>
        <v>0</v>
      </c>
      <c r="V373" s="57">
        <f ca="1">U264-DY160</f>
        <v>0</v>
      </c>
      <c r="W373" s="57">
        <f ca="1">V264-DZ160</f>
        <v>0</v>
      </c>
      <c r="X373" s="57">
        <f ca="1">W264-EA160</f>
        <v>0</v>
      </c>
      <c r="Y373" s="57">
        <f ca="1">X264-EB160</f>
        <v>0</v>
      </c>
      <c r="Z373" s="57">
        <f ca="1">Y264-EC160</f>
        <v>0</v>
      </c>
      <c r="AA373" s="57">
        <f ca="1">Z264-ED160</f>
        <v>0</v>
      </c>
      <c r="AB373" s="57">
        <f ca="1">AA264-EE160</f>
        <v>0</v>
      </c>
      <c r="AC373" s="57">
        <f ca="1">AB264-EF160</f>
        <v>0</v>
      </c>
      <c r="AD373" s="57">
        <f ca="1">AC264-EG160</f>
        <v>0</v>
      </c>
      <c r="AE373" s="57">
        <f ca="1">AD264-EH160</f>
        <v>0</v>
      </c>
      <c r="AF373" s="57">
        <f ca="1">AE264-EI160</f>
        <v>0</v>
      </c>
      <c r="AG373" s="57">
        <f ca="1">AF264-EJ160</f>
        <v>0</v>
      </c>
      <c r="AH373" s="57">
        <f ca="1">AG264-EK160</f>
        <v>0</v>
      </c>
      <c r="AI373" s="57">
        <f ca="1">AH264-EL160</f>
        <v>0</v>
      </c>
      <c r="AJ373" s="57">
        <f ca="1">AI264-EM160</f>
        <v>0</v>
      </c>
      <c r="AK373" s="57">
        <f ca="1">AJ264-EN160</f>
        <v>0</v>
      </c>
      <c r="AL373" s="57">
        <f ca="1">AK264-EO160</f>
        <v>0</v>
      </c>
      <c r="AM373" s="57">
        <f ca="1">AL264-EP160</f>
        <v>0</v>
      </c>
      <c r="AN373" s="57">
        <f ca="1">AM264-EQ160</f>
        <v>0</v>
      </c>
      <c r="AO373" s="57">
        <f ca="1">AN264-ER160</f>
        <v>0</v>
      </c>
      <c r="AP373" s="57">
        <f ca="1">AO264-ES160</f>
        <v>0</v>
      </c>
      <c r="AQ373" s="57">
        <f ca="1">AP264-ET160</f>
        <v>0</v>
      </c>
      <c r="AR373" s="57">
        <f ca="1">AQ264-EU160</f>
        <v>0</v>
      </c>
      <c r="AS373" s="57">
        <f ca="1">AR264-EV160</f>
        <v>0</v>
      </c>
      <c r="AT373" s="57">
        <f ca="1">AS264-EW160</f>
        <v>0</v>
      </c>
      <c r="AU373" s="57">
        <f ca="1">AT264-EX160</f>
        <v>0</v>
      </c>
      <c r="AV373" s="57">
        <f ca="1">AU264-EY160</f>
        <v>0</v>
      </c>
      <c r="AW373" s="57">
        <f ca="1">AV264-EZ160</f>
        <v>0</v>
      </c>
      <c r="AX373" s="57">
        <f ca="1">AW264-FA160</f>
        <v>0</v>
      </c>
      <c r="AY373" s="57">
        <f ca="1">AX264-FB160</f>
        <v>1.4457500002729162E-7</v>
      </c>
      <c r="AZ373" s="57">
        <f ca="1">AY264-FC160</f>
        <v>2.0693500002444409E-7</v>
      </c>
      <c r="BA373" s="57">
        <f ca="1">AZ264-FD160</f>
        <v>6.8323999999342355E-7</v>
      </c>
      <c r="BB373" s="57">
        <f ca="1">BA264-FE160</f>
        <v>6.3556500007333483E-7</v>
      </c>
      <c r="BC373" s="57">
        <f ca="1">BB264-FF160</f>
        <v>-4.1229999999999878E-3</v>
      </c>
    </row>
    <row r="374" spans="1:55">
      <c r="A374" s="27">
        <v>24</v>
      </c>
      <c r="B374" s="27" t="str">
        <f t="shared" si="441"/>
        <v>Sim</v>
      </c>
      <c r="C374" s="27">
        <f t="shared" si="442"/>
        <v>42</v>
      </c>
      <c r="D374" s="27">
        <f t="shared" ca="1" si="443"/>
        <v>46</v>
      </c>
      <c r="E374" s="34">
        <v>24</v>
      </c>
      <c r="F374" s="57">
        <f ca="1">E265-DI161</f>
        <v>0</v>
      </c>
      <c r="G374" s="57">
        <f ca="1">F265-DJ161</f>
        <v>0</v>
      </c>
      <c r="H374" s="57">
        <f ca="1">G265-DK161</f>
        <v>0</v>
      </c>
      <c r="I374" s="57">
        <f ca="1">H265-DL161</f>
        <v>0</v>
      </c>
      <c r="J374" s="57">
        <f ca="1">I265-DM161</f>
        <v>0</v>
      </c>
      <c r="K374" s="57">
        <f ca="1">J265-DN161</f>
        <v>0</v>
      </c>
      <c r="L374" s="57">
        <f ca="1">K265-DO161</f>
        <v>0</v>
      </c>
      <c r="M374" s="57">
        <f ca="1">L265-DP161</f>
        <v>0</v>
      </c>
      <c r="N374" s="57">
        <f ca="1">M265-DQ161</f>
        <v>0</v>
      </c>
      <c r="O374" s="57">
        <f ca="1">N265-DR161</f>
        <v>0</v>
      </c>
      <c r="P374" s="57">
        <f ca="1">O265-DS161</f>
        <v>0</v>
      </c>
      <c r="Q374" s="57">
        <f ca="1">P265-DT161</f>
        <v>0</v>
      </c>
      <c r="R374" s="57">
        <f ca="1">Q265-DU161</f>
        <v>0</v>
      </c>
      <c r="S374" s="57">
        <f ca="1">R265-DV161</f>
        <v>0</v>
      </c>
      <c r="T374" s="57">
        <f ca="1">S265-DW161</f>
        <v>0</v>
      </c>
      <c r="U374" s="57">
        <f ca="1">T265-DX161</f>
        <v>0</v>
      </c>
      <c r="V374" s="57">
        <f ca="1">U265-DY161</f>
        <v>0</v>
      </c>
      <c r="W374" s="57">
        <f ca="1">V265-DZ161</f>
        <v>0</v>
      </c>
      <c r="X374" s="57">
        <f ca="1">W265-EA161</f>
        <v>0</v>
      </c>
      <c r="Y374" s="57">
        <f ca="1">X265-EB161</f>
        <v>0</v>
      </c>
      <c r="Z374" s="57">
        <f ca="1">Y265-EC161</f>
        <v>0</v>
      </c>
      <c r="AA374" s="57">
        <f ca="1">Z265-ED161</f>
        <v>0</v>
      </c>
      <c r="AB374" s="57">
        <f ca="1">AA265-EE161</f>
        <v>0</v>
      </c>
      <c r="AC374" s="57">
        <f ca="1">AB265-EF161</f>
        <v>0</v>
      </c>
      <c r="AD374" s="57">
        <f ca="1">AC265-EG161</f>
        <v>0</v>
      </c>
      <c r="AE374" s="57">
        <f ca="1">AD265-EH161</f>
        <v>0</v>
      </c>
      <c r="AF374" s="57">
        <f ca="1">AE265-EI161</f>
        <v>0</v>
      </c>
      <c r="AG374" s="57">
        <f ca="1">AF265-EJ161</f>
        <v>0</v>
      </c>
      <c r="AH374" s="57">
        <f ca="1">AG265-EK161</f>
        <v>0</v>
      </c>
      <c r="AI374" s="57">
        <f ca="1">AH265-EL161</f>
        <v>0</v>
      </c>
      <c r="AJ374" s="57">
        <f ca="1">AI265-EM161</f>
        <v>0</v>
      </c>
      <c r="AK374" s="57">
        <f ca="1">AJ265-EN161</f>
        <v>0</v>
      </c>
      <c r="AL374" s="57">
        <f ca="1">AK265-EO161</f>
        <v>0</v>
      </c>
      <c r="AM374" s="57">
        <f ca="1">AL265-EP161</f>
        <v>0</v>
      </c>
      <c r="AN374" s="57">
        <f ca="1">AM265-EQ161</f>
        <v>0</v>
      </c>
      <c r="AO374" s="57">
        <f ca="1">AN265-ER161</f>
        <v>0</v>
      </c>
      <c r="AP374" s="57">
        <f ca="1">AO265-ES161</f>
        <v>0</v>
      </c>
      <c r="AQ374" s="57">
        <f ca="1">AP265-ET161</f>
        <v>0</v>
      </c>
      <c r="AR374" s="57">
        <f ca="1">AQ265-EU161</f>
        <v>0</v>
      </c>
      <c r="AS374" s="57">
        <f ca="1">AR265-EV161</f>
        <v>0</v>
      </c>
      <c r="AT374" s="57">
        <f ca="1">AS265-EW161</f>
        <v>0</v>
      </c>
      <c r="AU374" s="57">
        <f ca="1">AT265-EX161</f>
        <v>0</v>
      </c>
      <c r="AV374" s="57">
        <f ca="1">AU265-EY161</f>
        <v>7.877709999881688E-7</v>
      </c>
      <c r="AW374" s="57">
        <f ca="1">AV265-EZ161</f>
        <v>-2.1094600000104435E-7</v>
      </c>
      <c r="AX374" s="57">
        <f ca="1">AW265-FA161</f>
        <v>-9.1925599998710084E-7</v>
      </c>
      <c r="AY374" s="57">
        <f ca="1">AX265-FB161</f>
        <v>5.5610799998273563E-7</v>
      </c>
      <c r="AZ374" s="57">
        <f ca="1">AY265-FC161</f>
        <v>-6.7759000000000014E-2</v>
      </c>
      <c r="BA374" s="57">
        <f ca="1">AZ265-FD161</f>
        <v>7.8286999999999995E-2</v>
      </c>
      <c r="BB374" s="57">
        <f ca="1">BA265-FE161</f>
        <v>-3.555400000000003E-2</v>
      </c>
      <c r="BC374" s="57">
        <f ca="1">BB265-FF161</f>
        <v>-4.2101E-2</v>
      </c>
    </row>
    <row r="375" spans="1:55">
      <c r="A375" s="27">
        <v>25</v>
      </c>
      <c r="B375" s="27" t="str">
        <f t="shared" si="441"/>
        <v>Sim</v>
      </c>
      <c r="C375" s="27">
        <f t="shared" si="442"/>
        <v>8</v>
      </c>
      <c r="D375" s="27">
        <f t="shared" ca="1" si="443"/>
        <v>37</v>
      </c>
      <c r="E375" s="34">
        <v>25</v>
      </c>
      <c r="F375" s="57">
        <f ca="1">E266-DI162</f>
        <v>0</v>
      </c>
      <c r="G375" s="57">
        <f ca="1">F266-DJ162</f>
        <v>0</v>
      </c>
      <c r="H375" s="57">
        <f ca="1">G266-DK162</f>
        <v>0</v>
      </c>
      <c r="I375" s="57">
        <f ca="1">H266-DL162</f>
        <v>0</v>
      </c>
      <c r="J375" s="57">
        <f ca="1">I266-DM162</f>
        <v>0</v>
      </c>
      <c r="K375" s="57">
        <f ca="1">J266-DN162</f>
        <v>0</v>
      </c>
      <c r="L375" s="57">
        <f ca="1">K266-DO162</f>
        <v>0</v>
      </c>
      <c r="M375" s="57">
        <f ca="1">L266-DP162</f>
        <v>0</v>
      </c>
      <c r="N375" s="57">
        <f ca="1">M266-DQ162</f>
        <v>-1.0038199999562458E-6</v>
      </c>
      <c r="O375" s="57">
        <f ca="1">N266-DR162</f>
        <v>0</v>
      </c>
      <c r="P375" s="57">
        <f ca="1">O266-DS162</f>
        <v>-1.0000000000287557E-6</v>
      </c>
      <c r="Q375" s="57">
        <f ca="1">P266-DT162</f>
        <v>5.1983600002358799E-7</v>
      </c>
      <c r="R375" s="57">
        <f ca="1">Q266-DU162</f>
        <v>-3.2774400005042281E-7</v>
      </c>
      <c r="S375" s="57">
        <f ca="1">R266-DV162</f>
        <v>6.429679999531146E-7</v>
      </c>
      <c r="T375" s="57">
        <f ca="1">S266-DW162</f>
        <v>-5.3212400008550986E-7</v>
      </c>
      <c r="U375" s="57">
        <f ca="1">T266-DX162</f>
        <v>-1.1370399988219759E-7</v>
      </c>
      <c r="V375" s="57">
        <f ca="1">U266-DY162</f>
        <v>0</v>
      </c>
      <c r="W375" s="57">
        <f ca="1">V266-DZ162</f>
        <v>1.4359999855884098E-9</v>
      </c>
      <c r="X375" s="57">
        <f ca="1">W266-EA162</f>
        <v>-2.3006600013975032E-7</v>
      </c>
      <c r="Y375" s="57">
        <f ca="1">X266-EB162</f>
        <v>1.1725000004236819E-7</v>
      </c>
      <c r="Z375" s="57">
        <f ca="1">Y266-EC162</f>
        <v>-2.2950199984883568E-7</v>
      </c>
      <c r="AA375" s="57">
        <f ca="1">Z266-ED162</f>
        <v>0</v>
      </c>
      <c r="AB375" s="57">
        <f ca="1">AA266-EE162</f>
        <v>4.6361199990130331E-7</v>
      </c>
      <c r="AC375" s="57">
        <f ca="1">AB266-EF162</f>
        <v>-5.8822000004177255E-7</v>
      </c>
      <c r="AD375" s="57">
        <f ca="1">AC266-EG162</f>
        <v>6.0716399996607606E-7</v>
      </c>
      <c r="AE375" s="57">
        <f ca="1">AD266-EH162</f>
        <v>7.4360399998640858E-7</v>
      </c>
      <c r="AF375" s="57">
        <f ca="1">AE266-EI162</f>
        <v>3.6391799995705298E-7</v>
      </c>
      <c r="AG375" s="57">
        <f ca="1">AF266-EJ162</f>
        <v>-1.885960000391762E-7</v>
      </c>
      <c r="AH375" s="57">
        <f ca="1">AG266-EK162</f>
        <v>-4.2322799992389193E-7</v>
      </c>
      <c r="AI375" s="57">
        <f ca="1">AH266-EL162</f>
        <v>3.2193400001379047E-7</v>
      </c>
      <c r="AJ375" s="57">
        <f ca="1">AI266-EM162</f>
        <v>-3.7988599999039252E-7</v>
      </c>
      <c r="AK375" s="57">
        <f ca="1">AJ266-EN162</f>
        <v>6.7438599996028081E-7</v>
      </c>
      <c r="AL375" s="57">
        <f ca="1">AK266-EO162</f>
        <v>-2.3716399988327197E-7</v>
      </c>
      <c r="AM375" s="57">
        <f ca="1">AL266-EP162</f>
        <v>-2.1315599996185597E-7</v>
      </c>
      <c r="AN375" s="57">
        <f ca="1">AM266-EQ162</f>
        <v>-1.7803800000937287E-7</v>
      </c>
      <c r="AO375" s="57">
        <f ca="1">AN266-ER162</f>
        <v>-2.6862000013228027E-8</v>
      </c>
      <c r="AP375" s="57">
        <f ca="1">AO266-ES162</f>
        <v>-1.0124200000571904E-7</v>
      </c>
      <c r="AQ375" s="57">
        <f ca="1">AP266-ET162</f>
        <v>-0.41968499999999997</v>
      </c>
      <c r="AR375" s="57">
        <f ca="1">AQ266-EU162</f>
        <v>0.301792</v>
      </c>
      <c r="AS375" s="57">
        <f ca="1">AR266-EV162</f>
        <v>0.129888</v>
      </c>
      <c r="AT375" s="57">
        <f ca="1">AS266-EW162</f>
        <v>0.20872199999999996</v>
      </c>
      <c r="AU375" s="57">
        <f ca="1">AT266-EX162</f>
        <v>0.18202900000000005</v>
      </c>
      <c r="AV375" s="57">
        <f ca="1">AU266-EY162</f>
        <v>-0.27556600000000003</v>
      </c>
      <c r="AW375" s="57">
        <f ca="1">AV266-EZ162</f>
        <v>0.36943499999999996</v>
      </c>
      <c r="AX375" s="57">
        <f ca="1">AW266-FA162</f>
        <v>0.866228</v>
      </c>
      <c r="AY375" s="57">
        <f ca="1">AX266-FB162</f>
        <v>-0.43317800000000001</v>
      </c>
      <c r="AZ375" s="57">
        <f ca="1">AY266-FC162</f>
        <v>-0.380718</v>
      </c>
      <c r="BA375" s="57">
        <f ca="1">AZ266-FD162</f>
        <v>0.50420399999999999</v>
      </c>
      <c r="BB375" s="57">
        <f ca="1">BA266-FE162</f>
        <v>-0.15474400000000005</v>
      </c>
      <c r="BC375" s="57">
        <f ca="1">BB266-FF162</f>
        <v>-0.17421600000000001</v>
      </c>
    </row>
    <row r="376" spans="1:55">
      <c r="A376" s="27">
        <v>26</v>
      </c>
      <c r="B376" s="27" t="str">
        <f t="shared" si="441"/>
        <v>Sim</v>
      </c>
      <c r="C376" s="27">
        <f t="shared" si="442"/>
        <v>7</v>
      </c>
      <c r="D376" s="27">
        <f t="shared" ca="1" si="443"/>
        <v>29</v>
      </c>
      <c r="E376" s="34">
        <v>26</v>
      </c>
      <c r="F376" s="57">
        <f ca="1">E267-DI163</f>
        <v>0</v>
      </c>
      <c r="G376" s="57">
        <f ca="1">F267-DJ163</f>
        <v>0</v>
      </c>
      <c r="H376" s="57">
        <f ca="1">G267-DK163</f>
        <v>0</v>
      </c>
      <c r="I376" s="57">
        <f ca="1">H267-DL163</f>
        <v>0</v>
      </c>
      <c r="J376" s="57">
        <f ca="1">I267-DM163</f>
        <v>0</v>
      </c>
      <c r="K376" s="57">
        <f ca="1">J267-DN163</f>
        <v>0</v>
      </c>
      <c r="L376" s="57">
        <f ca="1">K267-DO163</f>
        <v>0</v>
      </c>
      <c r="M376" s="57">
        <f ca="1">L267-DP163</f>
        <v>-3.0764600000843245E-7</v>
      </c>
      <c r="N376" s="57">
        <f ca="1">M267-DQ163</f>
        <v>-2.9218000002773081E-7</v>
      </c>
      <c r="O376" s="57">
        <f ca="1">N267-DR163</f>
        <v>2.2785600001240525E-7</v>
      </c>
      <c r="P376" s="57">
        <f ca="1">O267-DS163</f>
        <v>8.2310000024121699E-8</v>
      </c>
      <c r="Q376" s="57">
        <f ca="1">P267-DT163</f>
        <v>-5.4593800002944448E-7</v>
      </c>
      <c r="R376" s="57">
        <f ca="1">Q267-DU163</f>
        <v>5.5286399991416602E-7</v>
      </c>
      <c r="S376" s="57">
        <f ca="1">R267-DV163</f>
        <v>-8.9784399992520747E-7</v>
      </c>
      <c r="T376" s="57">
        <f ca="1">S267-DW163</f>
        <v>-5.0552599997755188E-7</v>
      </c>
      <c r="U376" s="57">
        <f ca="1">T267-DX163</f>
        <v>1.1932800000891142E-7</v>
      </c>
      <c r="V376" s="57">
        <f ca="1">U267-DY163</f>
        <v>-8.1262400009052271E-7</v>
      </c>
      <c r="W376" s="57">
        <f ca="1">V267-DZ163</f>
        <v>-8.926059998914937E-7</v>
      </c>
      <c r="X376" s="57">
        <f ca="1">W267-EA163</f>
        <v>-6.9122000001531347E-7</v>
      </c>
      <c r="Y376" s="57">
        <f ca="1">X267-EB163</f>
        <v>1.9202199999512892E-7</v>
      </c>
      <c r="Z376" s="57">
        <f ca="1">Y267-EC163</f>
        <v>-5.2963199997924093E-7</v>
      </c>
      <c r="AA376" s="57">
        <f ca="1">Z267-ED163</f>
        <v>2.9989399996654953E-7</v>
      </c>
      <c r="AB376" s="57">
        <f ca="1">AA267-EE163</f>
        <v>7.7398000009054613E-8</v>
      </c>
      <c r="AC376" s="57">
        <f ca="1">AB267-EF163</f>
        <v>3.4650400002056436E-7</v>
      </c>
      <c r="AD376" s="57">
        <f ca="1">AC267-EG163</f>
        <v>5.8908399999668681E-7</v>
      </c>
      <c r="AE376" s="57">
        <f ca="1">AD267-EH163</f>
        <v>2.9431999996887281E-7</v>
      </c>
      <c r="AF376" s="57">
        <f ca="1">AE267-EI163</f>
        <v>-3.8628199999779511E-7</v>
      </c>
      <c r="AG376" s="57">
        <f ca="1">AF267-EJ163</f>
        <v>1.5258600005729761E-7</v>
      </c>
      <c r="AH376" s="57">
        <f ca="1">AG267-EK163</f>
        <v>6.0485000002996614E-7</v>
      </c>
      <c r="AI376" s="57">
        <f ca="1">AH267-EL163</f>
        <v>-0.13178999999999996</v>
      </c>
      <c r="AJ376" s="57">
        <f ca="1">AI267-EM163</f>
        <v>-0.262934</v>
      </c>
      <c r="AK376" s="57">
        <f ca="1">AJ267-EN163</f>
        <v>-0.13966599999999996</v>
      </c>
      <c r="AL376" s="57">
        <f ca="1">AK267-EO163</f>
        <v>-0.19023500000000002</v>
      </c>
      <c r="AM376" s="57">
        <f ca="1">AL267-EP163</f>
        <v>3.3674999999999997E-2</v>
      </c>
      <c r="AN376" s="57">
        <f ca="1">AM267-EQ163</f>
        <v>5.3095999999999997E-2</v>
      </c>
      <c r="AO376" s="57">
        <f ca="1">AN267-ER163</f>
        <v>-0.21393400000000001</v>
      </c>
      <c r="AP376" s="57">
        <f ca="1">AO267-ES163</f>
        <v>9.5471E-2</v>
      </c>
      <c r="AQ376" s="57">
        <f ca="1">AP267-ET163</f>
        <v>8.7111000000000008E-2</v>
      </c>
      <c r="AR376" s="57">
        <f ca="1">AQ267-EU163</f>
        <v>3.929100000000002E-2</v>
      </c>
      <c r="AS376" s="57">
        <f ca="1">AR267-EV163</f>
        <v>-0.27029300000000001</v>
      </c>
      <c r="AT376" s="57">
        <f ca="1">AS267-EW163</f>
        <v>0.10795500000000001</v>
      </c>
      <c r="AU376" s="57">
        <f ca="1">AT267-EX163</f>
        <v>-0.31725300000000012</v>
      </c>
      <c r="AV376" s="57">
        <f ca="1">AU267-EY163</f>
        <v>0.26887300000000003</v>
      </c>
      <c r="AW376" s="57">
        <f ca="1">AV267-EZ163</f>
        <v>0.12831599999999999</v>
      </c>
      <c r="AX376" s="57">
        <f ca="1">AW267-FA163</f>
        <v>7.6871999999999996E-2</v>
      </c>
      <c r="AY376" s="57">
        <f ca="1">AX267-FB163</f>
        <v>0.18660399999999999</v>
      </c>
      <c r="AZ376" s="57">
        <f ca="1">AY267-FC163</f>
        <v>0.284605</v>
      </c>
      <c r="BA376" s="57">
        <f ca="1">AZ267-FD163</f>
        <v>-0.20017099999999999</v>
      </c>
      <c r="BB376" s="57">
        <f ca="1">BA267-FE163</f>
        <v>3.5794999999999966E-2</v>
      </c>
      <c r="BC376" s="57">
        <f ca="1">BB267-FF163</f>
        <v>-0.41907300000000003</v>
      </c>
    </row>
    <row r="377" spans="1:55">
      <c r="A377" s="27">
        <v>27</v>
      </c>
      <c r="B377" s="27" t="str">
        <f t="shared" si="441"/>
        <v>Sim</v>
      </c>
      <c r="C377" s="27">
        <f t="shared" si="442"/>
        <v>23</v>
      </c>
      <c r="D377" s="27">
        <f t="shared" ca="1" si="443"/>
        <v>26</v>
      </c>
      <c r="E377" s="34">
        <v>27</v>
      </c>
      <c r="F377" s="57">
        <f ca="1">E268-DI164</f>
        <v>0</v>
      </c>
      <c r="G377" s="57">
        <f ca="1">F268-DJ164</f>
        <v>0</v>
      </c>
      <c r="H377" s="57">
        <f ca="1">G268-DK164</f>
        <v>0</v>
      </c>
      <c r="I377" s="57">
        <f ca="1">H268-DL164</f>
        <v>0</v>
      </c>
      <c r="J377" s="57">
        <f ca="1">I268-DM164</f>
        <v>0</v>
      </c>
      <c r="K377" s="57">
        <f ca="1">J268-DN164</f>
        <v>0</v>
      </c>
      <c r="L377" s="57">
        <f ca="1">K268-DO164</f>
        <v>0</v>
      </c>
      <c r="M377" s="57">
        <f ca="1">L268-DP164</f>
        <v>0</v>
      </c>
      <c r="N377" s="57">
        <f ca="1">M268-DQ164</f>
        <v>0</v>
      </c>
      <c r="O377" s="57">
        <f ca="1">N268-DR164</f>
        <v>0</v>
      </c>
      <c r="P377" s="57">
        <f ca="1">O268-DS164</f>
        <v>0</v>
      </c>
      <c r="Q377" s="57">
        <f ca="1">P268-DT164</f>
        <v>0</v>
      </c>
      <c r="R377" s="57">
        <f ca="1">Q268-DU164</f>
        <v>0</v>
      </c>
      <c r="S377" s="57">
        <f ca="1">R268-DV164</f>
        <v>0</v>
      </c>
      <c r="T377" s="57">
        <f ca="1">S268-DW164</f>
        <v>0</v>
      </c>
      <c r="U377" s="57">
        <f ca="1">T268-DX164</f>
        <v>0</v>
      </c>
      <c r="V377" s="57">
        <f ca="1">U268-DY164</f>
        <v>0</v>
      </c>
      <c r="W377" s="57">
        <f ca="1">V268-DZ164</f>
        <v>0</v>
      </c>
      <c r="X377" s="57">
        <f ca="1">W268-EA164</f>
        <v>0</v>
      </c>
      <c r="Y377" s="57">
        <f ca="1">X268-EB164</f>
        <v>0</v>
      </c>
      <c r="Z377" s="57">
        <f ca="1">Y268-EC164</f>
        <v>0</v>
      </c>
      <c r="AA377" s="57">
        <f ca="1">Z268-ED164</f>
        <v>0</v>
      </c>
      <c r="AB377" s="57">
        <f ca="1">AA268-EE164</f>
        <v>0</v>
      </c>
      <c r="AC377" s="57">
        <f ca="1">AB268-EF164</f>
        <v>-2.434229997572146E-7</v>
      </c>
      <c r="AD377" s="57">
        <f ca="1">AC268-EG164</f>
        <v>-6.2875799988759695E-7</v>
      </c>
      <c r="AE377" s="57">
        <f ca="1">AD268-EH164</f>
        <v>-6.9207499997503419E-7</v>
      </c>
      <c r="AF377" s="57">
        <f ca="1">AE268-EI164</f>
        <v>0.97954499999999989</v>
      </c>
      <c r="AG377" s="57">
        <f ca="1">AF268-EJ164</f>
        <v>0.61439699999999997</v>
      </c>
      <c r="AH377" s="57">
        <f ca="1">AG268-EK164</f>
        <v>-0.60478600000000005</v>
      </c>
      <c r="AI377" s="57">
        <f ca="1">AH268-EL164</f>
        <v>-1.2321309999999999</v>
      </c>
      <c r="AJ377" s="57">
        <f ca="1">AI268-EM164</f>
        <v>0.12976400000000002</v>
      </c>
      <c r="AK377" s="57">
        <f ca="1">AJ268-EN164</f>
        <v>-0.58857699999999991</v>
      </c>
      <c r="AL377" s="57">
        <f ca="1">AK268-EO164</f>
        <v>-0.47239999999999993</v>
      </c>
      <c r="AM377" s="57">
        <f ca="1">AL268-EP164</f>
        <v>-0.10358800000000001</v>
      </c>
      <c r="AN377" s="57">
        <f ca="1">AM268-EQ164</f>
        <v>-0.57419100000000001</v>
      </c>
      <c r="AO377" s="57">
        <f ca="1">AN268-ER164</f>
        <v>0.880776</v>
      </c>
      <c r="AP377" s="57">
        <f ca="1">AO268-ES164</f>
        <v>-1.046152</v>
      </c>
      <c r="AQ377" s="57">
        <f ca="1">AP268-ET164</f>
        <v>-0.57769799999999993</v>
      </c>
      <c r="AR377" s="57">
        <f ca="1">AQ268-EU164</f>
        <v>-0.94447300000000001</v>
      </c>
      <c r="AS377" s="57">
        <f ca="1">AR268-EV164</f>
        <v>-0.205763</v>
      </c>
      <c r="AT377" s="57">
        <f ca="1">AS268-EW164</f>
        <v>-0.51024500000000006</v>
      </c>
      <c r="AU377" s="57">
        <f ca="1">AT268-EX164</f>
        <v>-0.59775400000000012</v>
      </c>
      <c r="AV377" s="57">
        <f ca="1">AU268-EY164</f>
        <v>2.175678</v>
      </c>
      <c r="AW377" s="57">
        <f ca="1">AV268-EZ164</f>
        <v>0.26899099999999998</v>
      </c>
      <c r="AX377" s="57">
        <f ca="1">AW268-FA164</f>
        <v>1.274537</v>
      </c>
      <c r="AY377" s="57">
        <f ca="1">AX268-FB164</f>
        <v>0.67489099999999991</v>
      </c>
      <c r="AZ377" s="57">
        <f ca="1">AY268-FC164</f>
        <v>-1.0095689999999999</v>
      </c>
      <c r="BA377" s="57">
        <f ca="1">AZ268-FD164</f>
        <v>3.3990999999999993E-2</v>
      </c>
      <c r="BB377" s="57">
        <f ca="1">BA268-FE164</f>
        <v>-0.35786599999999996</v>
      </c>
      <c r="BC377" s="57">
        <f ca="1">BB268-FF164</f>
        <v>-0.10543800000000003</v>
      </c>
    </row>
    <row r="378" spans="1:55">
      <c r="A378" s="27">
        <v>28</v>
      </c>
      <c r="B378" s="27" t="str">
        <f t="shared" si="441"/>
        <v>Sim</v>
      </c>
      <c r="C378" s="27">
        <f t="shared" si="442"/>
        <v>44</v>
      </c>
      <c r="D378" s="27">
        <f t="shared" ca="1" si="443"/>
        <v>49</v>
      </c>
      <c r="E378" s="34">
        <v>28</v>
      </c>
      <c r="F378" s="57">
        <f ca="1">E269-DI165</f>
        <v>0</v>
      </c>
      <c r="G378" s="57">
        <f ca="1">F269-DJ165</f>
        <v>0</v>
      </c>
      <c r="H378" s="57">
        <f ca="1">G269-DK165</f>
        <v>0</v>
      </c>
      <c r="I378" s="57">
        <f ca="1">H269-DL165</f>
        <v>0</v>
      </c>
      <c r="J378" s="57">
        <f ca="1">I269-DM165</f>
        <v>0</v>
      </c>
      <c r="K378" s="57">
        <f ca="1">J269-DN165</f>
        <v>0</v>
      </c>
      <c r="L378" s="57">
        <f ca="1">K269-DO165</f>
        <v>0</v>
      </c>
      <c r="M378" s="57">
        <f ca="1">L269-DP165</f>
        <v>0</v>
      </c>
      <c r="N378" s="57">
        <f ca="1">M269-DQ165</f>
        <v>0</v>
      </c>
      <c r="O378" s="57">
        <f ca="1">N269-DR165</f>
        <v>0</v>
      </c>
      <c r="P378" s="57">
        <f ca="1">O269-DS165</f>
        <v>0</v>
      </c>
      <c r="Q378" s="57">
        <f ca="1">P269-DT165</f>
        <v>0</v>
      </c>
      <c r="R378" s="57">
        <f ca="1">Q269-DU165</f>
        <v>0</v>
      </c>
      <c r="S378" s="57">
        <f ca="1">R269-DV165</f>
        <v>0</v>
      </c>
      <c r="T378" s="57">
        <f ca="1">S269-DW165</f>
        <v>0</v>
      </c>
      <c r="U378" s="57">
        <f ca="1">T269-DX165</f>
        <v>0</v>
      </c>
      <c r="V378" s="57">
        <f ca="1">U269-DY165</f>
        <v>0</v>
      </c>
      <c r="W378" s="57">
        <f ca="1">V269-DZ165</f>
        <v>0</v>
      </c>
      <c r="X378" s="57">
        <f ca="1">W269-EA165</f>
        <v>0</v>
      </c>
      <c r="Y378" s="57">
        <f ca="1">X269-EB165</f>
        <v>0</v>
      </c>
      <c r="Z378" s="57">
        <f ca="1">Y269-EC165</f>
        <v>0</v>
      </c>
      <c r="AA378" s="57">
        <f ca="1">Z269-ED165</f>
        <v>0</v>
      </c>
      <c r="AB378" s="57">
        <f ca="1">AA269-EE165</f>
        <v>0</v>
      </c>
      <c r="AC378" s="57">
        <f ca="1">AB269-EF165</f>
        <v>0</v>
      </c>
      <c r="AD378" s="57">
        <f ca="1">AC269-EG165</f>
        <v>0</v>
      </c>
      <c r="AE378" s="57">
        <f ca="1">AD269-EH165</f>
        <v>0</v>
      </c>
      <c r="AF378" s="57">
        <f ca="1">AE269-EI165</f>
        <v>0</v>
      </c>
      <c r="AG378" s="57">
        <f ca="1">AF269-EJ165</f>
        <v>0</v>
      </c>
      <c r="AH378" s="57">
        <f ca="1">AG269-EK165</f>
        <v>0</v>
      </c>
      <c r="AI378" s="57">
        <f ca="1">AH269-EL165</f>
        <v>0</v>
      </c>
      <c r="AJ378" s="57">
        <f ca="1">AI269-EM165</f>
        <v>0</v>
      </c>
      <c r="AK378" s="57">
        <f ca="1">AJ269-EN165</f>
        <v>0</v>
      </c>
      <c r="AL378" s="57">
        <f ca="1">AK269-EO165</f>
        <v>0</v>
      </c>
      <c r="AM378" s="57">
        <f ca="1">AL269-EP165</f>
        <v>0</v>
      </c>
      <c r="AN378" s="57">
        <f ca="1">AM269-EQ165</f>
        <v>0</v>
      </c>
      <c r="AO378" s="57">
        <f ca="1">AN269-ER165</f>
        <v>0</v>
      </c>
      <c r="AP378" s="57">
        <f ca="1">AO269-ES165</f>
        <v>0</v>
      </c>
      <c r="AQ378" s="57">
        <f ca="1">AP269-ET165</f>
        <v>0</v>
      </c>
      <c r="AR378" s="57">
        <f ca="1">AQ269-EU165</f>
        <v>0</v>
      </c>
      <c r="AS378" s="57">
        <f ca="1">AR269-EV165</f>
        <v>0</v>
      </c>
      <c r="AT378" s="57">
        <f ca="1">AS269-EW165</f>
        <v>0</v>
      </c>
      <c r="AU378" s="57">
        <f ca="1">AT269-EX165</f>
        <v>0</v>
      </c>
      <c r="AV378" s="57">
        <f ca="1">AU269-EY165</f>
        <v>0</v>
      </c>
      <c r="AW378" s="57">
        <f ca="1">AV269-EZ165</f>
        <v>0</v>
      </c>
      <c r="AX378" s="57">
        <f ca="1">AW269-FA165</f>
        <v>-2.7223999993220005E-7</v>
      </c>
      <c r="AY378" s="57">
        <f ca="1">AX269-FB165</f>
        <v>-9.862299999718882E-7</v>
      </c>
      <c r="AZ378" s="57">
        <f ca="1">AY269-FC165</f>
        <v>-4.4602499998935841E-7</v>
      </c>
      <c r="BA378" s="57">
        <f ca="1">AZ269-FD165</f>
        <v>3.5121499997181616E-7</v>
      </c>
      <c r="BB378" s="57">
        <f ca="1">BA269-FE165</f>
        <v>-9.7938999996127242E-7</v>
      </c>
      <c r="BC378" s="57">
        <f ca="1">BB269-FF165</f>
        <v>0.34060999999999997</v>
      </c>
    </row>
    <row r="379" spans="1:55">
      <c r="A379" s="27">
        <v>29</v>
      </c>
      <c r="B379" s="27" t="str">
        <f t="shared" si="441"/>
        <v>Sim</v>
      </c>
      <c r="C379" s="27">
        <f t="shared" si="442"/>
        <v>13</v>
      </c>
      <c r="D379" s="27">
        <f t="shared" ca="1" si="443"/>
        <v>39</v>
      </c>
      <c r="E379" s="34">
        <v>29</v>
      </c>
      <c r="F379" s="57">
        <f ca="1">E270-DI166</f>
        <v>0</v>
      </c>
      <c r="G379" s="57">
        <f ca="1">F270-DJ166</f>
        <v>0</v>
      </c>
      <c r="H379" s="57">
        <f ca="1">G270-DK166</f>
        <v>0</v>
      </c>
      <c r="I379" s="57">
        <f ca="1">H270-DL166</f>
        <v>0</v>
      </c>
      <c r="J379" s="57">
        <f ca="1">I270-DM166</f>
        <v>0</v>
      </c>
      <c r="K379" s="57">
        <f ca="1">J270-DN166</f>
        <v>0</v>
      </c>
      <c r="L379" s="57">
        <f ca="1">K270-DO166</f>
        <v>0</v>
      </c>
      <c r="M379" s="57">
        <f ca="1">L270-DP166</f>
        <v>0</v>
      </c>
      <c r="N379" s="57">
        <f ca="1">M270-DQ166</f>
        <v>0</v>
      </c>
      <c r="O379" s="57">
        <f ca="1">N270-DR166</f>
        <v>0</v>
      </c>
      <c r="P379" s="57">
        <f ca="1">O270-DS166</f>
        <v>0</v>
      </c>
      <c r="Q379" s="57">
        <f ca="1">P270-DT166</f>
        <v>0</v>
      </c>
      <c r="R379" s="57">
        <f ca="1">Q270-DU166</f>
        <v>0</v>
      </c>
      <c r="S379" s="57">
        <f ca="1">R270-DV166</f>
        <v>1.4381099994187352E-7</v>
      </c>
      <c r="T379" s="57">
        <f ca="1">S270-DW166</f>
        <v>3.821360000100249E-7</v>
      </c>
      <c r="U379" s="57">
        <f ca="1">T270-DX166</f>
        <v>-3.3169599999993693E-7</v>
      </c>
      <c r="V379" s="57">
        <f ca="1">U270-DY166</f>
        <v>7.8310799989100843E-7</v>
      </c>
      <c r="W379" s="57">
        <f ca="1">V270-DZ166</f>
        <v>-2.4015799995891207E-7</v>
      </c>
      <c r="X379" s="57">
        <f ca="1">W270-EA166</f>
        <v>-3.4032899992597621E-7</v>
      </c>
      <c r="Y379" s="57">
        <f ca="1">X270-EB166</f>
        <v>-1.0717680000160712E-6</v>
      </c>
      <c r="Z379" s="57">
        <f ca="1">Y270-EC166</f>
        <v>2.2427499996036104E-7</v>
      </c>
      <c r="AA379" s="57">
        <f ca="1">Z270-ED166</f>
        <v>-4.3518599998626506E-7</v>
      </c>
      <c r="AB379" s="57">
        <f ca="1">AA270-EE166</f>
        <v>-2.2254600001714309E-7</v>
      </c>
      <c r="AC379" s="57">
        <f ca="1">AB270-EF166</f>
        <v>-2.3125799986090101E-7</v>
      </c>
      <c r="AD379" s="57">
        <f ca="1">AC270-EG166</f>
        <v>-5.3811999967123825E-8</v>
      </c>
      <c r="AE379" s="57">
        <f ca="1">AD270-EH166</f>
        <v>8.9566100003324323E-7</v>
      </c>
      <c r="AF379" s="57">
        <f ca="1">AE270-EI166</f>
        <v>4.3669400001666858E-7</v>
      </c>
      <c r="AG379" s="57">
        <f ca="1">AF270-EJ166</f>
        <v>-9.308470000357616E-7</v>
      </c>
      <c r="AH379" s="57">
        <f ca="1">AG270-EK166</f>
        <v>-9.7932499987241073E-7</v>
      </c>
      <c r="AI379" s="57">
        <f ca="1">AH270-EL166</f>
        <v>-6.4756600001714126E-7</v>
      </c>
      <c r="AJ379" s="57">
        <f ca="1">AI270-EM166</f>
        <v>3.4389500003229045E-7</v>
      </c>
      <c r="AK379" s="57">
        <f ca="1">AJ270-EN166</f>
        <v>1.3301199999760094E-7</v>
      </c>
      <c r="AL379" s="57">
        <f ca="1">AK270-EO166</f>
        <v>-1.1790999995819895E-8</v>
      </c>
      <c r="AM379" s="57">
        <f ca="1">AL270-EP166</f>
        <v>4.6515099998145626E-7</v>
      </c>
      <c r="AN379" s="57">
        <f ca="1">AM270-EQ166</f>
        <v>3.5304700007898759E-7</v>
      </c>
      <c r="AO379" s="57">
        <f ca="1">AN270-ER166</f>
        <v>-1.120429999890149E-7</v>
      </c>
      <c r="AP379" s="57">
        <f ca="1">AO270-ES166</f>
        <v>1.2917300001857868E-7</v>
      </c>
      <c r="AQ379" s="57">
        <f ca="1">AP270-ET166</f>
        <v>-1.3618099992118715E-7</v>
      </c>
      <c r="AR379" s="57">
        <f ca="1">AQ270-EU166</f>
        <v>7.4167799998803297E-7</v>
      </c>
      <c r="AS379" s="57">
        <f ca="1">AR270-EV166</f>
        <v>0.45155000000000012</v>
      </c>
      <c r="AT379" s="57">
        <f ca="1">AS270-EW166</f>
        <v>-0.11664200000000001</v>
      </c>
      <c r="AU379" s="57">
        <f ca="1">AT270-EX166</f>
        <v>2.2282000000000024E-2</v>
      </c>
      <c r="AV379" s="57">
        <f ca="1">AU270-EY166</f>
        <v>-6.4140000000000003E-2</v>
      </c>
      <c r="AW379" s="57">
        <f ca="1">AV270-EZ166</f>
        <v>5.4009000000000001E-2</v>
      </c>
      <c r="AX379" s="57">
        <f ca="1">AW270-FA166</f>
        <v>-0.18147399999999997</v>
      </c>
      <c r="AY379" s="57">
        <f ca="1">AX270-FB166</f>
        <v>0.16636099999999998</v>
      </c>
      <c r="AZ379" s="57">
        <f ca="1">AY270-FC166</f>
        <v>7.4457999999999996E-2</v>
      </c>
      <c r="BA379" s="57">
        <f ca="1">AZ270-FD166</f>
        <v>5.2285000000000012E-2</v>
      </c>
      <c r="BB379" s="57">
        <f ca="1">BA270-FE166</f>
        <v>-3.8718000000000016E-2</v>
      </c>
      <c r="BC379" s="57">
        <f ca="1">BB270-FF166</f>
        <v>5.9979000000000005E-2</v>
      </c>
    </row>
    <row r="380" spans="1:55">
      <c r="A380" s="27">
        <v>30</v>
      </c>
      <c r="B380" s="27" t="str">
        <f t="shared" si="441"/>
        <v>Sim</v>
      </c>
      <c r="C380" s="27">
        <f t="shared" si="442"/>
        <v>16</v>
      </c>
      <c r="D380" s="27">
        <f t="shared" ca="1" si="443"/>
        <v>46</v>
      </c>
      <c r="E380" s="34">
        <v>30</v>
      </c>
      <c r="F380" s="57">
        <f ca="1">E271-DI167</f>
        <v>0</v>
      </c>
      <c r="G380" s="57">
        <f ca="1">F271-DJ167</f>
        <v>0</v>
      </c>
      <c r="H380" s="57">
        <f ca="1">G271-DK167</f>
        <v>0</v>
      </c>
      <c r="I380" s="57">
        <f ca="1">H271-DL167</f>
        <v>0</v>
      </c>
      <c r="J380" s="57">
        <f ca="1">I271-DM167</f>
        <v>0</v>
      </c>
      <c r="K380" s="57">
        <f ca="1">J271-DN167</f>
        <v>0</v>
      </c>
      <c r="L380" s="57">
        <f ca="1">K271-DO167</f>
        <v>0</v>
      </c>
      <c r="M380" s="57">
        <f ca="1">L271-DP167</f>
        <v>0</v>
      </c>
      <c r="N380" s="57">
        <f ca="1">M271-DQ167</f>
        <v>0</v>
      </c>
      <c r="O380" s="57">
        <f ca="1">N271-DR167</f>
        <v>0</v>
      </c>
      <c r="P380" s="57">
        <f ca="1">O271-DS167</f>
        <v>0</v>
      </c>
      <c r="Q380" s="57">
        <f ca="1">P271-DT167</f>
        <v>0</v>
      </c>
      <c r="R380" s="57">
        <f ca="1">Q271-DU167</f>
        <v>0</v>
      </c>
      <c r="S380" s="57">
        <f ca="1">R271-DV167</f>
        <v>0</v>
      </c>
      <c r="T380" s="57">
        <f ca="1">S271-DW167</f>
        <v>0</v>
      </c>
      <c r="U380" s="57">
        <f ca="1">T271-DX167</f>
        <v>0</v>
      </c>
      <c r="V380" s="57">
        <f ca="1">U271-DY167</f>
        <v>3.8717799988319257E-7</v>
      </c>
      <c r="W380" s="57">
        <f ca="1">V271-DZ167</f>
        <v>7.9523199997266758E-7</v>
      </c>
      <c r="X380" s="57">
        <f ca="1">W271-EA167</f>
        <v>-2.2853800001054747E-7</v>
      </c>
      <c r="Y380" s="57">
        <f ca="1">X271-EB167</f>
        <v>1.5999400004851339E-7</v>
      </c>
      <c r="Z380" s="57">
        <f ca="1">Y271-EC167</f>
        <v>-1.5498000001390455E-8</v>
      </c>
      <c r="AA380" s="57">
        <f ca="1">Z271-ED167</f>
        <v>-4.998459999239202E-7</v>
      </c>
      <c r="AB380" s="57">
        <f ca="1">AA271-EE167</f>
        <v>-4.73499999979754E-7</v>
      </c>
      <c r="AC380" s="57">
        <f ca="1">AB271-EF167</f>
        <v>8.1600399992609596E-7</v>
      </c>
      <c r="AD380" s="57">
        <f ca="1">AC271-EG167</f>
        <v>1.6785599998847545E-7</v>
      </c>
      <c r="AE380" s="57">
        <f ca="1">AD271-EH167</f>
        <v>5.0143000000779647E-7</v>
      </c>
      <c r="AF380" s="57">
        <f ca="1">AE271-EI167</f>
        <v>2.2466799998177578E-7</v>
      </c>
      <c r="AG380" s="57">
        <f ca="1">AF271-EJ167</f>
        <v>7.4499000002337112E-7</v>
      </c>
      <c r="AH380" s="57">
        <f ca="1">AG271-EK167</f>
        <v>-1.7915999999881804E-7</v>
      </c>
      <c r="AI380" s="57">
        <f ca="1">AH271-EL167</f>
        <v>3.8796000007002007E-7</v>
      </c>
      <c r="AJ380" s="57">
        <f ca="1">AI271-EM167</f>
        <v>4.2674400002606916E-7</v>
      </c>
      <c r="AK380" s="57">
        <f ca="1">AJ271-EN167</f>
        <v>-1.7243599992333714E-7</v>
      </c>
      <c r="AL380" s="57">
        <f ca="1">AK271-EO167</f>
        <v>1.6133399993734088E-7</v>
      </c>
      <c r="AM380" s="57">
        <f ca="1">AL271-EP167</f>
        <v>5.7783999998783919E-7</v>
      </c>
      <c r="AN380" s="57">
        <f ca="1">AM271-EQ167</f>
        <v>1.3665799999951211E-7</v>
      </c>
      <c r="AO380" s="57">
        <f ca="1">AN271-ER167</f>
        <v>-5.9880000069512107E-8</v>
      </c>
      <c r="AP380" s="57">
        <f ca="1">AO271-ES167</f>
        <v>6.0704000010708414E-8</v>
      </c>
      <c r="AQ380" s="57">
        <f ca="1">AP271-ET167</f>
        <v>1.0432540000770985E-6</v>
      </c>
      <c r="AR380" s="57">
        <f ca="1">AQ271-EU167</f>
        <v>1.5263600000592348E-7</v>
      </c>
      <c r="AS380" s="57">
        <f ca="1">AR271-EV167</f>
        <v>-2.8404000000301077E-7</v>
      </c>
      <c r="AT380" s="57">
        <f ca="1">AS271-EW167</f>
        <v>6.8201199998618733E-7</v>
      </c>
      <c r="AU380" s="57">
        <f ca="1">AT271-EX167</f>
        <v>5.6803999998883414E-7</v>
      </c>
      <c r="AV380" s="57">
        <f ca="1">AU271-EY167</f>
        <v>1.1898599999726756E-7</v>
      </c>
      <c r="AW380" s="57">
        <f ca="1">AV271-EZ167</f>
        <v>-4.4578600000289015E-7</v>
      </c>
      <c r="AX380" s="57">
        <f ca="1">AW271-FA167</f>
        <v>6.8213400006289504E-7</v>
      </c>
      <c r="AY380" s="57">
        <f ca="1">AX271-FB167</f>
        <v>-2.4542400001159592E-7</v>
      </c>
      <c r="AZ380" s="57">
        <f ca="1">AY271-FC167</f>
        <v>0.28760200000000002</v>
      </c>
      <c r="BA380" s="57">
        <f ca="1">AZ271-FD167</f>
        <v>-0.23847200000000002</v>
      </c>
      <c r="BB380" s="57">
        <f ca="1">BA271-FE167</f>
        <v>0.64663099999999996</v>
      </c>
      <c r="BC380" s="57">
        <f ca="1">BB271-FF167</f>
        <v>0.38825799999999999</v>
      </c>
    </row>
    <row r="381" spans="1:55">
      <c r="A381" s="27">
        <v>31</v>
      </c>
      <c r="B381" s="27" t="str">
        <f t="shared" si="441"/>
        <v>Sim</v>
      </c>
      <c r="C381" s="27">
        <f t="shared" si="442"/>
        <v>15</v>
      </c>
      <c r="D381" s="27">
        <f t="shared" ca="1" si="443"/>
        <v>45</v>
      </c>
      <c r="E381" s="34">
        <v>31</v>
      </c>
      <c r="F381" s="57">
        <f ca="1">E272-DI168</f>
        <v>0</v>
      </c>
      <c r="G381" s="57">
        <f ca="1">F272-DJ168</f>
        <v>0</v>
      </c>
      <c r="H381" s="57">
        <f ca="1">G272-DK168</f>
        <v>0</v>
      </c>
      <c r="I381" s="57">
        <f ca="1">H272-DL168</f>
        <v>0</v>
      </c>
      <c r="J381" s="57">
        <f ca="1">I272-DM168</f>
        <v>0</v>
      </c>
      <c r="K381" s="57">
        <f ca="1">J272-DN168</f>
        <v>0</v>
      </c>
      <c r="L381" s="57">
        <f ca="1">K272-DO168</f>
        <v>0</v>
      </c>
      <c r="M381" s="57">
        <f ca="1">L272-DP168</f>
        <v>0</v>
      </c>
      <c r="N381" s="57">
        <f ca="1">M272-DQ168</f>
        <v>0</v>
      </c>
      <c r="O381" s="57">
        <f ca="1">N272-DR168</f>
        <v>0</v>
      </c>
      <c r="P381" s="57">
        <f ca="1">O272-DS168</f>
        <v>0</v>
      </c>
      <c r="Q381" s="57">
        <f ca="1">P272-DT168</f>
        <v>0</v>
      </c>
      <c r="R381" s="57">
        <f ca="1">Q272-DU168</f>
        <v>0</v>
      </c>
      <c r="S381" s="57">
        <f ca="1">R272-DV168</f>
        <v>0</v>
      </c>
      <c r="T381" s="57">
        <f ca="1">S272-DW168</f>
        <v>0</v>
      </c>
      <c r="U381" s="57">
        <f ca="1">T272-DX168</f>
        <v>-6.1011999999416311E-7</v>
      </c>
      <c r="V381" s="57">
        <f ca="1">U272-DY168</f>
        <v>2.8504400007012265E-7</v>
      </c>
      <c r="W381" s="57">
        <f ca="1">V272-DZ168</f>
        <v>8.3189800004213055E-7</v>
      </c>
      <c r="X381" s="57">
        <f ca="1">W272-EA168</f>
        <v>5.0672000040385967E-8</v>
      </c>
      <c r="Y381" s="57">
        <f ca="1">X272-EB168</f>
        <v>5.1298999999825103E-7</v>
      </c>
      <c r="Z381" s="57">
        <f ca="1">Y272-EC168</f>
        <v>3.4344400007269016E-7</v>
      </c>
      <c r="AA381" s="57">
        <f ca="1">Z272-ED168</f>
        <v>-5.9868399998608268E-7</v>
      </c>
      <c r="AB381" s="57">
        <f ca="1">AA272-EE168</f>
        <v>-2.1924399995487676E-7</v>
      </c>
      <c r="AC381" s="57">
        <f ca="1">AB272-EF168</f>
        <v>2.3409799998486136E-7</v>
      </c>
      <c r="AD381" s="57">
        <f ca="1">AC272-EG168</f>
        <v>1.0745999978745147E-8</v>
      </c>
      <c r="AE381" s="57">
        <f ca="1">AD272-EH168</f>
        <v>-4.9342999985935165E-7</v>
      </c>
      <c r="AF381" s="57">
        <f ca="1">AE272-EI168</f>
        <v>6.8103999995017261E-8</v>
      </c>
      <c r="AG381" s="57">
        <f ca="1">AF272-EJ168</f>
        <v>3.9180600008847932E-7</v>
      </c>
      <c r="AH381" s="57">
        <f ca="1">AG272-EK168</f>
        <v>6.4160200000107359E-7</v>
      </c>
      <c r="AI381" s="57">
        <f ca="1">AH272-EL168</f>
        <v>2.1289799997936676E-7</v>
      </c>
      <c r="AJ381" s="57">
        <f ca="1">AI272-EM168</f>
        <v>8.2833999992537599E-8</v>
      </c>
      <c r="AK381" s="57">
        <f ca="1">AJ272-EN168</f>
        <v>-9.7332000015271092E-8</v>
      </c>
      <c r="AL381" s="57">
        <f ca="1">AK272-EO168</f>
        <v>-5.7747400001445515E-7</v>
      </c>
      <c r="AM381" s="57">
        <f ca="1">AL272-EP168</f>
        <v>7.1838599990936558E-7</v>
      </c>
      <c r="AN381" s="57">
        <f ca="1">AM272-EQ168</f>
        <v>7.779799998663961E-8</v>
      </c>
      <c r="AO381" s="57">
        <f ca="1">AN272-ER168</f>
        <v>6.9391999923951175E-8</v>
      </c>
      <c r="AP381" s="57">
        <f ca="1">AO272-ES168</f>
        <v>1.0825999996466606E-7</v>
      </c>
      <c r="AQ381" s="57">
        <f ca="1">AP272-ET168</f>
        <v>6.5065799992325424E-7</v>
      </c>
      <c r="AR381" s="57">
        <f ca="1">AQ272-EU168</f>
        <v>1.9545800002129798E-7</v>
      </c>
      <c r="AS381" s="57">
        <f ca="1">AR272-EV168</f>
        <v>4.5932799996872831E-7</v>
      </c>
      <c r="AT381" s="57">
        <f ca="1">AS272-EW168</f>
        <v>-6.1300400000519062E-7</v>
      </c>
      <c r="AU381" s="57">
        <f ca="1">AT272-EX168</f>
        <v>1.4182999993894718E-7</v>
      </c>
      <c r="AV381" s="57">
        <f ca="1">AU272-EY168</f>
        <v>-8.3311999965474115E-8</v>
      </c>
      <c r="AW381" s="57">
        <f ca="1">AV272-EZ168</f>
        <v>-1.5083200011201114E-7</v>
      </c>
      <c r="AX381" s="57">
        <f ca="1">AW272-FA168</f>
        <v>4.9985399996899105E-7</v>
      </c>
      <c r="AY381" s="57">
        <f ca="1">AX272-FB168</f>
        <v>-0.21323999999999999</v>
      </c>
      <c r="AZ381" s="57">
        <f ca="1">AY272-FC168</f>
        <v>-2.1789000000000003E-2</v>
      </c>
      <c r="BA381" s="57">
        <f ca="1">AZ272-FD168</f>
        <v>0.10164899999999993</v>
      </c>
      <c r="BB381" s="57">
        <f ca="1">BA272-FE168</f>
        <v>1.7453000000000052E-2</v>
      </c>
      <c r="BC381" s="57">
        <f ca="1">BB272-FF168</f>
        <v>5.9871000000000008E-2</v>
      </c>
    </row>
    <row r="382" spans="1:55">
      <c r="A382" s="27">
        <v>32</v>
      </c>
      <c r="B382" s="27" t="str">
        <f t="shared" ref="B382:B413" si="444">H169</f>
        <v>Não</v>
      </c>
      <c r="C382" s="27">
        <f t="shared" si="442"/>
        <v>3</v>
      </c>
      <c r="D382" s="27">
        <f t="shared" ca="1" si="443"/>
        <v>28</v>
      </c>
      <c r="E382" s="34">
        <v>32</v>
      </c>
      <c r="F382" s="57">
        <f ca="1">E273-DI169</f>
        <v>0</v>
      </c>
      <c r="G382" s="57">
        <f ca="1">F273-DJ169</f>
        <v>0</v>
      </c>
      <c r="H382" s="57">
        <f ca="1">G273-DK169</f>
        <v>0</v>
      </c>
      <c r="I382" s="57">
        <f ca="1">H273-DL169</f>
        <v>0</v>
      </c>
      <c r="J382" s="57">
        <f ca="1">I273-DM169</f>
        <v>0</v>
      </c>
      <c r="K382" s="57">
        <f ca="1">J273-DN169</f>
        <v>0</v>
      </c>
      <c r="L382" s="57">
        <f ca="1">K273-DO169</f>
        <v>0</v>
      </c>
      <c r="M382" s="57">
        <f ca="1">L273-DP169</f>
        <v>0</v>
      </c>
      <c r="N382" s="57">
        <f ca="1">M273-DQ169</f>
        <v>0</v>
      </c>
      <c r="O382" s="57">
        <f ca="1">N273-DR169</f>
        <v>0</v>
      </c>
      <c r="P382" s="57">
        <f ca="1">O273-DS169</f>
        <v>0</v>
      </c>
      <c r="Q382" s="57">
        <f ca="1">P273-DT169</f>
        <v>0</v>
      </c>
      <c r="R382" s="57">
        <f ca="1">Q273-DU169</f>
        <v>0</v>
      </c>
      <c r="S382" s="57">
        <f ca="1">R273-DV169</f>
        <v>0</v>
      </c>
      <c r="T382" s="57">
        <f ca="1">S273-DW169</f>
        <v>0</v>
      </c>
      <c r="U382" s="57">
        <f ca="1">T273-DX169</f>
        <v>0</v>
      </c>
      <c r="V382" s="57">
        <f ca="1">U273-DY169</f>
        <v>0</v>
      </c>
      <c r="W382" s="57">
        <f ca="1">V273-DZ169</f>
        <v>0</v>
      </c>
      <c r="X382" s="57">
        <f ca="1">W273-EA169</f>
        <v>0</v>
      </c>
      <c r="Y382" s="57">
        <f ca="1">X273-EB169</f>
        <v>0</v>
      </c>
      <c r="Z382" s="57">
        <f ca="1">Y273-EC169</f>
        <v>0</v>
      </c>
      <c r="AA382" s="57">
        <f ca="1">Z273-ED169</f>
        <v>0</v>
      </c>
      <c r="AB382" s="57">
        <f ca="1">AA273-EE169</f>
        <v>0</v>
      </c>
      <c r="AC382" s="57">
        <f ca="1">AB273-EF169</f>
        <v>0</v>
      </c>
      <c r="AD382" s="57">
        <f ca="1">AC273-EG169</f>
        <v>0</v>
      </c>
      <c r="AE382" s="57">
        <f ca="1">AD273-EH169</f>
        <v>0</v>
      </c>
      <c r="AF382" s="57">
        <f ca="1">AE273-EI169</f>
        <v>0</v>
      </c>
      <c r="AG382" s="57">
        <f ca="1">AF273-EJ169</f>
        <v>0</v>
      </c>
      <c r="AH382" s="57">
        <f ca="1">AG273-EK169</f>
        <v>0</v>
      </c>
      <c r="AI382" s="57">
        <f ca="1">AH273-EL169</f>
        <v>0</v>
      </c>
      <c r="AJ382" s="57">
        <f ca="1">AI273-EM169</f>
        <v>0</v>
      </c>
      <c r="AK382" s="57">
        <f ca="1">AJ273-EN169</f>
        <v>0</v>
      </c>
      <c r="AL382" s="57">
        <f ca="1">AK273-EO169</f>
        <v>0</v>
      </c>
      <c r="AM382" s="57">
        <f ca="1">AL273-EP169</f>
        <v>0</v>
      </c>
      <c r="AN382" s="57">
        <f ca="1">AM273-EQ169</f>
        <v>0</v>
      </c>
      <c r="AO382" s="57">
        <f ca="1">AN273-ER169</f>
        <v>0</v>
      </c>
      <c r="AP382" s="57">
        <f ca="1">AO273-ES169</f>
        <v>0</v>
      </c>
      <c r="AQ382" s="57">
        <f ca="1">AP273-ET169</f>
        <v>0</v>
      </c>
      <c r="AR382" s="57">
        <f ca="1">AQ273-EU169</f>
        <v>0</v>
      </c>
      <c r="AS382" s="57">
        <f ca="1">AR273-EV169</f>
        <v>0</v>
      </c>
      <c r="AT382" s="57">
        <f ca="1">AS273-EW169</f>
        <v>0</v>
      </c>
      <c r="AU382" s="57">
        <f ca="1">AT273-EX169</f>
        <v>0</v>
      </c>
      <c r="AV382" s="57">
        <f ca="1">AU273-EY169</f>
        <v>0</v>
      </c>
      <c r="AW382" s="57">
        <f ca="1">AV273-EZ169</f>
        <v>0</v>
      </c>
      <c r="AX382" s="57">
        <f ca="1">AW273-FA169</f>
        <v>0</v>
      </c>
      <c r="AY382" s="57">
        <f ca="1">AX273-FB169</f>
        <v>0</v>
      </c>
      <c r="AZ382" s="57">
        <f ca="1">AY273-FC169</f>
        <v>0</v>
      </c>
      <c r="BA382" s="57">
        <f ca="1">AZ273-FD169</f>
        <v>0</v>
      </c>
      <c r="BB382" s="57">
        <f ca="1">BA273-FE169</f>
        <v>0</v>
      </c>
      <c r="BC382" s="57">
        <f ca="1">BB273-FF169</f>
        <v>0</v>
      </c>
    </row>
    <row r="383" spans="1:55">
      <c r="A383" s="27">
        <v>33</v>
      </c>
      <c r="B383" s="27" t="str">
        <f t="shared" si="444"/>
        <v>Sim</v>
      </c>
      <c r="C383" s="27">
        <f t="shared" si="442"/>
        <v>16</v>
      </c>
      <c r="D383" s="27">
        <f t="shared" ca="1" si="443"/>
        <v>26</v>
      </c>
      <c r="E383" s="34">
        <v>33</v>
      </c>
      <c r="F383" s="57">
        <f ca="1">E274-DI170</f>
        <v>0</v>
      </c>
      <c r="G383" s="57">
        <f ca="1">F274-DJ170</f>
        <v>0</v>
      </c>
      <c r="H383" s="57">
        <f ca="1">G274-DK170</f>
        <v>0</v>
      </c>
      <c r="I383" s="57">
        <f ca="1">H274-DL170</f>
        <v>0</v>
      </c>
      <c r="J383" s="57">
        <f ca="1">I274-DM170</f>
        <v>0</v>
      </c>
      <c r="K383" s="57">
        <f ca="1">J274-DN170</f>
        <v>0</v>
      </c>
      <c r="L383" s="57">
        <f ca="1">K274-DO170</f>
        <v>0</v>
      </c>
      <c r="M383" s="57">
        <f ca="1">L274-DP170</f>
        <v>0</v>
      </c>
      <c r="N383" s="57">
        <f ca="1">M274-DQ170</f>
        <v>0</v>
      </c>
      <c r="O383" s="57">
        <f ca="1">N274-DR170</f>
        <v>0</v>
      </c>
      <c r="P383" s="57">
        <f ca="1">O274-DS170</f>
        <v>0</v>
      </c>
      <c r="Q383" s="57">
        <f ca="1">P274-DT170</f>
        <v>0</v>
      </c>
      <c r="R383" s="57">
        <f ca="1">Q274-DU170</f>
        <v>0</v>
      </c>
      <c r="S383" s="57">
        <f ca="1">R274-DV170</f>
        <v>0</v>
      </c>
      <c r="T383" s="57">
        <f ca="1">S274-DW170</f>
        <v>0</v>
      </c>
      <c r="U383" s="57">
        <f ca="1">T274-DX170</f>
        <v>0</v>
      </c>
      <c r="V383" s="57">
        <f ca="1">U274-DY170</f>
        <v>-4.610910000479862E-7</v>
      </c>
      <c r="W383" s="57">
        <f ca="1">V274-DZ170</f>
        <v>-5.3466099991794636E-7</v>
      </c>
      <c r="X383" s="57">
        <f ca="1">W274-EA170</f>
        <v>-3.6823700010069071E-7</v>
      </c>
      <c r="Y383" s="57">
        <f ca="1">X274-EB170</f>
        <v>-1.5283099991103555E-7</v>
      </c>
      <c r="Z383" s="57">
        <f ca="1">Y274-EC170</f>
        <v>4.6295200006873927E-7</v>
      </c>
      <c r="AA383" s="57">
        <f ca="1">Z274-ED170</f>
        <v>-1.3695499997967708E-7</v>
      </c>
      <c r="AB383" s="57">
        <f ca="1">AA274-EE170</f>
        <v>-3.7867000091118541E-8</v>
      </c>
      <c r="AC383" s="57">
        <f ca="1">AB274-EF170</f>
        <v>-4.439190000038451E-7</v>
      </c>
      <c r="AD383" s="57">
        <f ca="1">AC274-EG170</f>
        <v>1.3372599994010415E-7</v>
      </c>
      <c r="AE383" s="57">
        <f ca="1">AD274-EH170</f>
        <v>9.6342000016624851E-8</v>
      </c>
      <c r="AF383" s="57">
        <f ca="1">AE274-EI170</f>
        <v>-0.16921900000000001</v>
      </c>
      <c r="AG383" s="57">
        <f ca="1">AF274-EJ170</f>
        <v>-1.0111240000000001</v>
      </c>
      <c r="AH383" s="57">
        <f ca="1">AG274-EK170</f>
        <v>9.1289999999999982E-3</v>
      </c>
      <c r="AI383" s="57">
        <f ca="1">AH274-EL170</f>
        <v>0.16196200000000005</v>
      </c>
      <c r="AJ383" s="57">
        <f ca="1">AI274-EM170</f>
        <v>-0.48392400000000002</v>
      </c>
      <c r="AK383" s="57">
        <f ca="1">AJ274-EN170</f>
        <v>0.7090280000000001</v>
      </c>
      <c r="AL383" s="57">
        <f ca="1">AK274-EO170</f>
        <v>0.57388700000000004</v>
      </c>
      <c r="AM383" s="57">
        <f ca="1">AL274-EP170</f>
        <v>1.3931480000000001</v>
      </c>
      <c r="AN383" s="57">
        <f ca="1">AM274-EQ170</f>
        <v>0.902285</v>
      </c>
      <c r="AO383" s="57">
        <f ca="1">AN274-ER170</f>
        <v>0.24517900000000001</v>
      </c>
      <c r="AP383" s="57">
        <f ca="1">AO274-ES170</f>
        <v>0.13765900000000003</v>
      </c>
      <c r="AQ383" s="57">
        <f ca="1">AP274-ET170</f>
        <v>-0.16440399999999999</v>
      </c>
      <c r="AR383" s="57">
        <f ca="1">AQ274-EU170</f>
        <v>-0.57522099999999998</v>
      </c>
      <c r="AS383" s="57">
        <f ca="1">AR274-EV170</f>
        <v>-0.19362099999999999</v>
      </c>
      <c r="AT383" s="57">
        <f ca="1">AS274-EW170</f>
        <v>9.6281999999999979E-2</v>
      </c>
      <c r="AU383" s="57">
        <f ca="1">AT274-EX170</f>
        <v>0.16380900000000001</v>
      </c>
      <c r="AV383" s="57">
        <f ca="1">AU274-EY170</f>
        <v>0.44728000000000001</v>
      </c>
      <c r="AW383" s="57">
        <f ca="1">AV274-EZ170</f>
        <v>-0.15398100000000003</v>
      </c>
      <c r="AX383" s="57">
        <f ca="1">AW274-FA170</f>
        <v>-0.52898900000000004</v>
      </c>
      <c r="AY383" s="57">
        <f ca="1">AX274-FB170</f>
        <v>7.423200000000002E-2</v>
      </c>
      <c r="AZ383" s="57">
        <f ca="1">AY274-FC170</f>
        <v>1.3588000000000044E-2</v>
      </c>
      <c r="BA383" s="57">
        <f ca="1">AZ274-FD170</f>
        <v>0.21153100000000002</v>
      </c>
      <c r="BB383" s="57">
        <f ca="1">BA274-FE170</f>
        <v>0.37359300000000001</v>
      </c>
      <c r="BC383" s="57">
        <f ca="1">BB274-FF170</f>
        <v>0.68302400000000008</v>
      </c>
    </row>
    <row r="384" spans="1:55">
      <c r="A384" s="27">
        <v>34</v>
      </c>
      <c r="B384" s="27" t="str">
        <f t="shared" si="444"/>
        <v>Sim</v>
      </c>
      <c r="C384" s="27">
        <f t="shared" si="442"/>
        <v>23</v>
      </c>
      <c r="D384" s="27">
        <f t="shared" ca="1" si="443"/>
        <v>43</v>
      </c>
      <c r="E384" s="34">
        <v>34</v>
      </c>
      <c r="F384" s="57">
        <f ca="1">E275-DI171</f>
        <v>0</v>
      </c>
      <c r="G384" s="57">
        <f ca="1">F275-DJ171</f>
        <v>0</v>
      </c>
      <c r="H384" s="57">
        <f ca="1">G275-DK171</f>
        <v>0</v>
      </c>
      <c r="I384" s="57">
        <f ca="1">H275-DL171</f>
        <v>0</v>
      </c>
      <c r="J384" s="57">
        <f ca="1">I275-DM171</f>
        <v>0</v>
      </c>
      <c r="K384" s="57">
        <f ca="1">J275-DN171</f>
        <v>0</v>
      </c>
      <c r="L384" s="57">
        <f ca="1">K275-DO171</f>
        <v>0</v>
      </c>
      <c r="M384" s="57">
        <f ca="1">L275-DP171</f>
        <v>0</v>
      </c>
      <c r="N384" s="57">
        <f ca="1">M275-DQ171</f>
        <v>0</v>
      </c>
      <c r="O384" s="57">
        <f ca="1">N275-DR171</f>
        <v>0</v>
      </c>
      <c r="P384" s="57">
        <f ca="1">O275-DS171</f>
        <v>0</v>
      </c>
      <c r="Q384" s="57">
        <f ca="1">P275-DT171</f>
        <v>0</v>
      </c>
      <c r="R384" s="57">
        <f ca="1">Q275-DU171</f>
        <v>0</v>
      </c>
      <c r="S384" s="57">
        <f ca="1">R275-DV171</f>
        <v>0</v>
      </c>
      <c r="T384" s="57">
        <f ca="1">S275-DW171</f>
        <v>0</v>
      </c>
      <c r="U384" s="57">
        <f ca="1">T275-DX171</f>
        <v>0</v>
      </c>
      <c r="V384" s="57">
        <f ca="1">U275-DY171</f>
        <v>0</v>
      </c>
      <c r="W384" s="57">
        <f ca="1">V275-DZ171</f>
        <v>0</v>
      </c>
      <c r="X384" s="57">
        <f ca="1">W275-EA171</f>
        <v>0</v>
      </c>
      <c r="Y384" s="57">
        <f ca="1">X275-EB171</f>
        <v>0</v>
      </c>
      <c r="Z384" s="57">
        <f ca="1">Y275-EC171</f>
        <v>0</v>
      </c>
      <c r="AA384" s="57">
        <f ca="1">Z275-ED171</f>
        <v>0</v>
      </c>
      <c r="AB384" s="57">
        <f ca="1">AA275-EE171</f>
        <v>0</v>
      </c>
      <c r="AC384" s="57">
        <f ca="1">AB275-EF171</f>
        <v>-6.4833999999236447E-7</v>
      </c>
      <c r="AD384" s="57">
        <f ca="1">AC275-EG171</f>
        <v>4.3749199996057087E-7</v>
      </c>
      <c r="AE384" s="57">
        <f ca="1">AD275-EH171</f>
        <v>-4.8010799996722753E-7</v>
      </c>
      <c r="AF384" s="57">
        <f ca="1">AE275-EI171</f>
        <v>7.5075999972362695E-8</v>
      </c>
      <c r="AG384" s="57">
        <f ca="1">AF275-EJ171</f>
        <v>-3.1034400005403029E-7</v>
      </c>
      <c r="AH384" s="57">
        <f ca="1">AG275-EK171</f>
        <v>1.9043599996937388E-7</v>
      </c>
      <c r="AI384" s="57">
        <f ca="1">AH275-EL171</f>
        <v>-4.6376399998049322E-7</v>
      </c>
      <c r="AJ384" s="57">
        <f ca="1">AI275-EM171</f>
        <v>3.6875600006869291E-7</v>
      </c>
      <c r="AK384" s="57">
        <f ca="1">AJ275-EN171</f>
        <v>-7.687599999917083E-7</v>
      </c>
      <c r="AL384" s="57">
        <f ca="1">AK275-EO171</f>
        <v>-2.5739600001406515E-7</v>
      </c>
      <c r="AM384" s="57">
        <f ca="1">AL275-EP171</f>
        <v>-3.1003999978462815E-8</v>
      </c>
      <c r="AN384" s="57">
        <f ca="1">AM275-EQ171</f>
        <v>2.4599600001451449E-7</v>
      </c>
      <c r="AO384" s="57">
        <f ca="1">AN275-ER171</f>
        <v>9.3152000113505551E-8</v>
      </c>
      <c r="AP384" s="57">
        <f ca="1">AO275-ES171</f>
        <v>1.0957639999809032E-6</v>
      </c>
      <c r="AQ384" s="57">
        <f ca="1">AP275-ET171</f>
        <v>5.1617199999659524E-7</v>
      </c>
      <c r="AR384" s="57">
        <f ca="1">AQ275-EU171</f>
        <v>7.4971999997064387E-8</v>
      </c>
      <c r="AS384" s="57">
        <f ca="1">AR275-EV171</f>
        <v>-1.9952000052114727E-8</v>
      </c>
      <c r="AT384" s="57">
        <f ca="1">AS275-EW171</f>
        <v>-8.6280000033411852E-8</v>
      </c>
      <c r="AU384" s="57">
        <f ca="1">AT275-EX171</f>
        <v>-7.3429199998198413E-7</v>
      </c>
      <c r="AV384" s="57">
        <f ca="1">AU275-EY171</f>
        <v>6.6365199997975299E-7</v>
      </c>
      <c r="AW384" s="57">
        <f ca="1">AV275-EZ171</f>
        <v>-0.70436399999999999</v>
      </c>
      <c r="AX384" s="57">
        <f ca="1">AW275-FA171</f>
        <v>0.17250600000000005</v>
      </c>
      <c r="AY384" s="57">
        <f ca="1">AX275-FB171</f>
        <v>-0.81576000000000004</v>
      </c>
      <c r="AZ384" s="57">
        <f ca="1">AY275-FC171</f>
        <v>-1.486596</v>
      </c>
      <c r="BA384" s="57">
        <f ca="1">AZ275-FD171</f>
        <v>-0.26643100000000003</v>
      </c>
      <c r="BB384" s="57">
        <f ca="1">BA275-FE171</f>
        <v>0.45089399999999991</v>
      </c>
      <c r="BC384" s="57">
        <f ca="1">BB275-FF171</f>
        <v>0.72991299999999992</v>
      </c>
    </row>
    <row r="385" spans="1:55">
      <c r="A385" s="27">
        <v>35</v>
      </c>
      <c r="B385" s="27" t="str">
        <f t="shared" si="444"/>
        <v>Sim</v>
      </c>
      <c r="C385" s="27">
        <f t="shared" si="442"/>
        <v>48</v>
      </c>
      <c r="D385" s="27">
        <f t="shared" ca="1" si="443"/>
        <v>48</v>
      </c>
      <c r="E385" s="34">
        <v>35</v>
      </c>
      <c r="F385" s="57">
        <f ca="1">E276-DI172</f>
        <v>0</v>
      </c>
      <c r="G385" s="57">
        <f ca="1">F276-DJ172</f>
        <v>0</v>
      </c>
      <c r="H385" s="57">
        <f ca="1">G276-DK172</f>
        <v>0</v>
      </c>
      <c r="I385" s="57">
        <f ca="1">H276-DL172</f>
        <v>0</v>
      </c>
      <c r="J385" s="57">
        <f ca="1">I276-DM172</f>
        <v>0</v>
      </c>
      <c r="K385" s="57">
        <f ca="1">J276-DN172</f>
        <v>0</v>
      </c>
      <c r="L385" s="57">
        <f ca="1">K276-DO172</f>
        <v>0</v>
      </c>
      <c r="M385" s="57">
        <f ca="1">L276-DP172</f>
        <v>0</v>
      </c>
      <c r="N385" s="57">
        <f ca="1">M276-DQ172</f>
        <v>0</v>
      </c>
      <c r="O385" s="57">
        <f ca="1">N276-DR172</f>
        <v>0</v>
      </c>
      <c r="P385" s="57">
        <f ca="1">O276-DS172</f>
        <v>0</v>
      </c>
      <c r="Q385" s="57">
        <f ca="1">P276-DT172</f>
        <v>0</v>
      </c>
      <c r="R385" s="57">
        <f ca="1">Q276-DU172</f>
        <v>0</v>
      </c>
      <c r="S385" s="57">
        <f ca="1">R276-DV172</f>
        <v>0</v>
      </c>
      <c r="T385" s="57">
        <f ca="1">S276-DW172</f>
        <v>0</v>
      </c>
      <c r="U385" s="57">
        <f ca="1">T276-DX172</f>
        <v>0</v>
      </c>
      <c r="V385" s="57">
        <f ca="1">U276-DY172</f>
        <v>0</v>
      </c>
      <c r="W385" s="57">
        <f ca="1">V276-DZ172</f>
        <v>0</v>
      </c>
      <c r="X385" s="57">
        <f ca="1">W276-EA172</f>
        <v>0</v>
      </c>
      <c r="Y385" s="57">
        <f ca="1">X276-EB172</f>
        <v>0</v>
      </c>
      <c r="Z385" s="57">
        <f ca="1">Y276-EC172</f>
        <v>0</v>
      </c>
      <c r="AA385" s="57">
        <f ca="1">Z276-ED172</f>
        <v>0</v>
      </c>
      <c r="AB385" s="57">
        <f ca="1">AA276-EE172</f>
        <v>0</v>
      </c>
      <c r="AC385" s="57">
        <f ca="1">AB276-EF172</f>
        <v>0</v>
      </c>
      <c r="AD385" s="57">
        <f ca="1">AC276-EG172</f>
        <v>0</v>
      </c>
      <c r="AE385" s="57">
        <f ca="1">AD276-EH172</f>
        <v>0</v>
      </c>
      <c r="AF385" s="57">
        <f ca="1">AE276-EI172</f>
        <v>0</v>
      </c>
      <c r="AG385" s="57">
        <f ca="1">AF276-EJ172</f>
        <v>0</v>
      </c>
      <c r="AH385" s="57">
        <f ca="1">AG276-EK172</f>
        <v>0</v>
      </c>
      <c r="AI385" s="57">
        <f ca="1">AH276-EL172</f>
        <v>0</v>
      </c>
      <c r="AJ385" s="57">
        <f ca="1">AI276-EM172</f>
        <v>0</v>
      </c>
      <c r="AK385" s="57">
        <f ca="1">AJ276-EN172</f>
        <v>0</v>
      </c>
      <c r="AL385" s="57">
        <f ca="1">AK276-EO172</f>
        <v>0</v>
      </c>
      <c r="AM385" s="57">
        <f ca="1">AL276-EP172</f>
        <v>0</v>
      </c>
      <c r="AN385" s="57">
        <f ca="1">AM276-EQ172</f>
        <v>0</v>
      </c>
      <c r="AO385" s="57">
        <f ca="1">AN276-ER172</f>
        <v>0</v>
      </c>
      <c r="AP385" s="57">
        <f ca="1">AO276-ES172</f>
        <v>0</v>
      </c>
      <c r="AQ385" s="57">
        <f ca="1">AP276-ET172</f>
        <v>0</v>
      </c>
      <c r="AR385" s="57">
        <f ca="1">AQ276-EU172</f>
        <v>0</v>
      </c>
      <c r="AS385" s="57">
        <f ca="1">AR276-EV172</f>
        <v>0</v>
      </c>
      <c r="AT385" s="57">
        <f ca="1">AS276-EW172</f>
        <v>0</v>
      </c>
      <c r="AU385" s="57">
        <f ca="1">AT276-EX172</f>
        <v>0</v>
      </c>
      <c r="AV385" s="57">
        <f ca="1">AU276-EY172</f>
        <v>0</v>
      </c>
      <c r="AW385" s="57">
        <f ca="1">AV276-EZ172</f>
        <v>0</v>
      </c>
      <c r="AX385" s="57">
        <f ca="1">AW276-FA172</f>
        <v>0</v>
      </c>
      <c r="AY385" s="57">
        <f ca="1">AX276-FB172</f>
        <v>0</v>
      </c>
      <c r="AZ385" s="57">
        <f ca="1">AY276-FC172</f>
        <v>0</v>
      </c>
      <c r="BA385" s="57">
        <f ca="1">AZ276-FD172</f>
        <v>0</v>
      </c>
      <c r="BB385" s="57">
        <f ca="1">BA276-FE172</f>
        <v>0.33604600000000001</v>
      </c>
      <c r="BC385" s="57">
        <f ca="1">BB276-FF172</f>
        <v>-7.5058E-2</v>
      </c>
    </row>
    <row r="386" spans="1:55">
      <c r="A386" s="27">
        <v>36</v>
      </c>
      <c r="B386" s="27" t="str">
        <f t="shared" si="444"/>
        <v>Não</v>
      </c>
      <c r="C386" s="27">
        <f t="shared" si="442"/>
        <v>3</v>
      </c>
      <c r="D386" s="27">
        <f t="shared" ca="1" si="443"/>
        <v>8</v>
      </c>
      <c r="E386" s="34">
        <v>36</v>
      </c>
      <c r="F386" s="57">
        <f ca="1">E277-DI173</f>
        <v>0</v>
      </c>
      <c r="G386" s="57">
        <f ca="1">F277-DJ173</f>
        <v>0</v>
      </c>
      <c r="H386" s="57">
        <f ca="1">G277-DK173</f>
        <v>0</v>
      </c>
      <c r="I386" s="57">
        <f ca="1">H277-DL173</f>
        <v>0</v>
      </c>
      <c r="J386" s="57">
        <f ca="1">I277-DM173</f>
        <v>0</v>
      </c>
      <c r="K386" s="57">
        <f ca="1">J277-DN173</f>
        <v>0</v>
      </c>
      <c r="L386" s="57">
        <f ca="1">K277-DO173</f>
        <v>0</v>
      </c>
      <c r="M386" s="57">
        <f ca="1">L277-DP173</f>
        <v>0</v>
      </c>
      <c r="N386" s="57">
        <f ca="1">M277-DQ173</f>
        <v>0</v>
      </c>
      <c r="O386" s="57">
        <f ca="1">N277-DR173</f>
        <v>0</v>
      </c>
      <c r="P386" s="57">
        <f ca="1">O277-DS173</f>
        <v>0</v>
      </c>
      <c r="Q386" s="57">
        <f ca="1">P277-DT173</f>
        <v>0</v>
      </c>
      <c r="R386" s="57">
        <f ca="1">Q277-DU173</f>
        <v>0</v>
      </c>
      <c r="S386" s="57">
        <f ca="1">R277-DV173</f>
        <v>0</v>
      </c>
      <c r="T386" s="57">
        <f ca="1">S277-DW173</f>
        <v>0</v>
      </c>
      <c r="U386" s="57">
        <f ca="1">T277-DX173</f>
        <v>0</v>
      </c>
      <c r="V386" s="57">
        <f ca="1">U277-DY173</f>
        <v>0</v>
      </c>
      <c r="W386" s="57">
        <f ca="1">V277-DZ173</f>
        <v>0</v>
      </c>
      <c r="X386" s="57">
        <f ca="1">W277-EA173</f>
        <v>0</v>
      </c>
      <c r="Y386" s="57">
        <f ca="1">X277-EB173</f>
        <v>0</v>
      </c>
      <c r="Z386" s="57">
        <f ca="1">Y277-EC173</f>
        <v>0</v>
      </c>
      <c r="AA386" s="57">
        <f ca="1">Z277-ED173</f>
        <v>0</v>
      </c>
      <c r="AB386" s="57">
        <f ca="1">AA277-EE173</f>
        <v>0</v>
      </c>
      <c r="AC386" s="57">
        <f ca="1">AB277-EF173</f>
        <v>0</v>
      </c>
      <c r="AD386" s="57">
        <f ca="1">AC277-EG173</f>
        <v>0</v>
      </c>
      <c r="AE386" s="57">
        <f ca="1">AD277-EH173</f>
        <v>0</v>
      </c>
      <c r="AF386" s="57">
        <f ca="1">AE277-EI173</f>
        <v>0</v>
      </c>
      <c r="AG386" s="57">
        <f ca="1">AF277-EJ173</f>
        <v>0</v>
      </c>
      <c r="AH386" s="57">
        <f ca="1">AG277-EK173</f>
        <v>0</v>
      </c>
      <c r="AI386" s="57">
        <f ca="1">AH277-EL173</f>
        <v>0</v>
      </c>
      <c r="AJ386" s="57">
        <f ca="1">AI277-EM173</f>
        <v>0</v>
      </c>
      <c r="AK386" s="57">
        <f ca="1">AJ277-EN173</f>
        <v>0</v>
      </c>
      <c r="AL386" s="57">
        <f ca="1">AK277-EO173</f>
        <v>0</v>
      </c>
      <c r="AM386" s="57">
        <f ca="1">AL277-EP173</f>
        <v>0</v>
      </c>
      <c r="AN386" s="57">
        <f ca="1">AM277-EQ173</f>
        <v>0</v>
      </c>
      <c r="AO386" s="57">
        <f ca="1">AN277-ER173</f>
        <v>0</v>
      </c>
      <c r="AP386" s="57">
        <f ca="1">AO277-ES173</f>
        <v>0</v>
      </c>
      <c r="AQ386" s="57">
        <f ca="1">AP277-ET173</f>
        <v>0</v>
      </c>
      <c r="AR386" s="57">
        <f ca="1">AQ277-EU173</f>
        <v>0</v>
      </c>
      <c r="AS386" s="57">
        <f ca="1">AR277-EV173</f>
        <v>0</v>
      </c>
      <c r="AT386" s="57">
        <f ca="1">AS277-EW173</f>
        <v>0</v>
      </c>
      <c r="AU386" s="57">
        <f ca="1">AT277-EX173</f>
        <v>0</v>
      </c>
      <c r="AV386" s="57">
        <f ca="1">AU277-EY173</f>
        <v>0</v>
      </c>
      <c r="AW386" s="57">
        <f ca="1">AV277-EZ173</f>
        <v>0</v>
      </c>
      <c r="AX386" s="57">
        <f ca="1">AW277-FA173</f>
        <v>0</v>
      </c>
      <c r="AY386" s="57">
        <f ca="1">AX277-FB173</f>
        <v>0</v>
      </c>
      <c r="AZ386" s="57">
        <f ca="1">AY277-FC173</f>
        <v>0</v>
      </c>
      <c r="BA386" s="57">
        <f ca="1">AZ277-FD173</f>
        <v>0</v>
      </c>
      <c r="BB386" s="57">
        <f ca="1">BA277-FE173</f>
        <v>0</v>
      </c>
      <c r="BC386" s="57">
        <f ca="1">BB277-FF173</f>
        <v>0</v>
      </c>
    </row>
    <row r="387" spans="1:55">
      <c r="A387" s="27">
        <v>37</v>
      </c>
      <c r="B387" s="27" t="str">
        <f t="shared" si="444"/>
        <v>Não</v>
      </c>
      <c r="C387" s="27">
        <f t="shared" si="442"/>
        <v>13</v>
      </c>
      <c r="D387" s="27">
        <f t="shared" ca="1" si="443"/>
        <v>37</v>
      </c>
      <c r="E387" s="34">
        <v>37</v>
      </c>
      <c r="F387" s="57">
        <f ca="1">E278-DI174</f>
        <v>0</v>
      </c>
      <c r="G387" s="57">
        <f ca="1">F278-DJ174</f>
        <v>0</v>
      </c>
      <c r="H387" s="57">
        <f ca="1">G278-DK174</f>
        <v>0</v>
      </c>
      <c r="I387" s="57">
        <f ca="1">H278-DL174</f>
        <v>0</v>
      </c>
      <c r="J387" s="57">
        <f ca="1">I278-DM174</f>
        <v>0</v>
      </c>
      <c r="K387" s="57">
        <f ca="1">J278-DN174</f>
        <v>0</v>
      </c>
      <c r="L387" s="57">
        <f ca="1">K278-DO174</f>
        <v>0</v>
      </c>
      <c r="M387" s="57">
        <f ca="1">L278-DP174</f>
        <v>0</v>
      </c>
      <c r="N387" s="57">
        <f ca="1">M278-DQ174</f>
        <v>0</v>
      </c>
      <c r="O387" s="57">
        <f ca="1">N278-DR174</f>
        <v>0</v>
      </c>
      <c r="P387" s="57">
        <f ca="1">O278-DS174</f>
        <v>0</v>
      </c>
      <c r="Q387" s="57">
        <f ca="1">P278-DT174</f>
        <v>0</v>
      </c>
      <c r="R387" s="57">
        <f ca="1">Q278-DU174</f>
        <v>0</v>
      </c>
      <c r="S387" s="57">
        <f ca="1">R278-DV174</f>
        <v>0</v>
      </c>
      <c r="T387" s="57">
        <f ca="1">S278-DW174</f>
        <v>0</v>
      </c>
      <c r="U387" s="57">
        <f ca="1">T278-DX174</f>
        <v>0</v>
      </c>
      <c r="V387" s="57">
        <f ca="1">U278-DY174</f>
        <v>0</v>
      </c>
      <c r="W387" s="57">
        <f ca="1">V278-DZ174</f>
        <v>0</v>
      </c>
      <c r="X387" s="57">
        <f ca="1">W278-EA174</f>
        <v>0</v>
      </c>
      <c r="Y387" s="57">
        <f ca="1">X278-EB174</f>
        <v>0</v>
      </c>
      <c r="Z387" s="57">
        <f ca="1">Y278-EC174</f>
        <v>0</v>
      </c>
      <c r="AA387" s="57">
        <f ca="1">Z278-ED174</f>
        <v>0</v>
      </c>
      <c r="AB387" s="57">
        <f ca="1">AA278-EE174</f>
        <v>0</v>
      </c>
      <c r="AC387" s="57">
        <f ca="1">AB278-EF174</f>
        <v>0</v>
      </c>
      <c r="AD387" s="57">
        <f ca="1">AC278-EG174</f>
        <v>0</v>
      </c>
      <c r="AE387" s="57">
        <f ca="1">AD278-EH174</f>
        <v>0</v>
      </c>
      <c r="AF387" s="57">
        <f ca="1">AE278-EI174</f>
        <v>0</v>
      </c>
      <c r="AG387" s="57">
        <f ca="1">AF278-EJ174</f>
        <v>0</v>
      </c>
      <c r="AH387" s="57">
        <f ca="1">AG278-EK174</f>
        <v>0</v>
      </c>
      <c r="AI387" s="57">
        <f ca="1">AH278-EL174</f>
        <v>0</v>
      </c>
      <c r="AJ387" s="57">
        <f ca="1">AI278-EM174</f>
        <v>0</v>
      </c>
      <c r="AK387" s="57">
        <f ca="1">AJ278-EN174</f>
        <v>0</v>
      </c>
      <c r="AL387" s="57">
        <f ca="1">AK278-EO174</f>
        <v>0</v>
      </c>
      <c r="AM387" s="57">
        <f ca="1">AL278-EP174</f>
        <v>0</v>
      </c>
      <c r="AN387" s="57">
        <f ca="1">AM278-EQ174</f>
        <v>0</v>
      </c>
      <c r="AO387" s="57">
        <f ca="1">AN278-ER174</f>
        <v>0</v>
      </c>
      <c r="AP387" s="57">
        <f ca="1">AO278-ES174</f>
        <v>0</v>
      </c>
      <c r="AQ387" s="57">
        <f ca="1">AP278-ET174</f>
        <v>0</v>
      </c>
      <c r="AR387" s="57">
        <f ca="1">AQ278-EU174</f>
        <v>0</v>
      </c>
      <c r="AS387" s="57">
        <f ca="1">AR278-EV174</f>
        <v>0</v>
      </c>
      <c r="AT387" s="57">
        <f ca="1">AS278-EW174</f>
        <v>0</v>
      </c>
      <c r="AU387" s="57">
        <f ca="1">AT278-EX174</f>
        <v>0</v>
      </c>
      <c r="AV387" s="57">
        <f ca="1">AU278-EY174</f>
        <v>0</v>
      </c>
      <c r="AW387" s="57">
        <f ca="1">AV278-EZ174</f>
        <v>0</v>
      </c>
      <c r="AX387" s="57">
        <f ca="1">AW278-FA174</f>
        <v>0</v>
      </c>
      <c r="AY387" s="57">
        <f ca="1">AX278-FB174</f>
        <v>0</v>
      </c>
      <c r="AZ387" s="57">
        <f ca="1">AY278-FC174</f>
        <v>0</v>
      </c>
      <c r="BA387" s="57">
        <f ca="1">AZ278-FD174</f>
        <v>0</v>
      </c>
      <c r="BB387" s="57">
        <f ca="1">BA278-FE174</f>
        <v>0</v>
      </c>
      <c r="BC387" s="57">
        <f ca="1">BB278-FF174</f>
        <v>0</v>
      </c>
    </row>
    <row r="388" spans="1:55">
      <c r="A388" s="27">
        <v>38</v>
      </c>
      <c r="B388" s="27" t="str">
        <f t="shared" si="444"/>
        <v>Não</v>
      </c>
      <c r="C388" s="27">
        <f t="shared" si="442"/>
        <v>25</v>
      </c>
      <c r="D388" s="27">
        <f t="shared" ca="1" si="443"/>
        <v>31</v>
      </c>
      <c r="E388" s="34">
        <v>38</v>
      </c>
      <c r="F388" s="57">
        <f ca="1">E279-DI175</f>
        <v>0</v>
      </c>
      <c r="G388" s="57">
        <f ca="1">F279-DJ175</f>
        <v>0</v>
      </c>
      <c r="H388" s="57">
        <f ca="1">G279-DK175</f>
        <v>0</v>
      </c>
      <c r="I388" s="57">
        <f ca="1">H279-DL175</f>
        <v>0</v>
      </c>
      <c r="J388" s="57">
        <f ca="1">I279-DM175</f>
        <v>0</v>
      </c>
      <c r="K388" s="57">
        <f ca="1">J279-DN175</f>
        <v>0</v>
      </c>
      <c r="L388" s="57">
        <f ca="1">K279-DO175</f>
        <v>0</v>
      </c>
      <c r="M388" s="57">
        <f ca="1">L279-DP175</f>
        <v>0</v>
      </c>
      <c r="N388" s="57">
        <f ca="1">M279-DQ175</f>
        <v>0</v>
      </c>
      <c r="O388" s="57">
        <f ca="1">N279-DR175</f>
        <v>0</v>
      </c>
      <c r="P388" s="57">
        <f ca="1">O279-DS175</f>
        <v>0</v>
      </c>
      <c r="Q388" s="57">
        <f ca="1">P279-DT175</f>
        <v>0</v>
      </c>
      <c r="R388" s="57">
        <f ca="1">Q279-DU175</f>
        <v>0</v>
      </c>
      <c r="S388" s="57">
        <f ca="1">R279-DV175</f>
        <v>0</v>
      </c>
      <c r="T388" s="57">
        <f ca="1">S279-DW175</f>
        <v>0</v>
      </c>
      <c r="U388" s="57">
        <f ca="1">T279-DX175</f>
        <v>0</v>
      </c>
      <c r="V388" s="57">
        <f ca="1">U279-DY175</f>
        <v>0</v>
      </c>
      <c r="W388" s="57">
        <f ca="1">V279-DZ175</f>
        <v>0</v>
      </c>
      <c r="X388" s="57">
        <f ca="1">W279-EA175</f>
        <v>0</v>
      </c>
      <c r="Y388" s="57">
        <f ca="1">X279-EB175</f>
        <v>0</v>
      </c>
      <c r="Z388" s="57">
        <f ca="1">Y279-EC175</f>
        <v>0</v>
      </c>
      <c r="AA388" s="57">
        <f ca="1">Z279-ED175</f>
        <v>0</v>
      </c>
      <c r="AB388" s="57">
        <f ca="1">AA279-EE175</f>
        <v>0</v>
      </c>
      <c r="AC388" s="57">
        <f ca="1">AB279-EF175</f>
        <v>0</v>
      </c>
      <c r="AD388" s="57">
        <f ca="1">AC279-EG175</f>
        <v>0</v>
      </c>
      <c r="AE388" s="57">
        <f ca="1">AD279-EH175</f>
        <v>0</v>
      </c>
      <c r="AF388" s="57">
        <f ca="1">AE279-EI175</f>
        <v>0</v>
      </c>
      <c r="AG388" s="57">
        <f ca="1">AF279-EJ175</f>
        <v>0</v>
      </c>
      <c r="AH388" s="57">
        <f ca="1">AG279-EK175</f>
        <v>0</v>
      </c>
      <c r="AI388" s="57">
        <f ca="1">AH279-EL175</f>
        <v>0</v>
      </c>
      <c r="AJ388" s="57">
        <f ca="1">AI279-EM175</f>
        <v>0</v>
      </c>
      <c r="AK388" s="57">
        <f ca="1">AJ279-EN175</f>
        <v>0</v>
      </c>
      <c r="AL388" s="57">
        <f ca="1">AK279-EO175</f>
        <v>0</v>
      </c>
      <c r="AM388" s="57">
        <f ca="1">AL279-EP175</f>
        <v>0</v>
      </c>
      <c r="AN388" s="57">
        <f ca="1">AM279-EQ175</f>
        <v>0</v>
      </c>
      <c r="AO388" s="57">
        <f ca="1">AN279-ER175</f>
        <v>0</v>
      </c>
      <c r="AP388" s="57">
        <f ca="1">AO279-ES175</f>
        <v>0</v>
      </c>
      <c r="AQ388" s="57">
        <f ca="1">AP279-ET175</f>
        <v>0</v>
      </c>
      <c r="AR388" s="57">
        <f ca="1">AQ279-EU175</f>
        <v>0</v>
      </c>
      <c r="AS388" s="57">
        <f ca="1">AR279-EV175</f>
        <v>0</v>
      </c>
      <c r="AT388" s="57">
        <f ca="1">AS279-EW175</f>
        <v>0</v>
      </c>
      <c r="AU388" s="57">
        <f ca="1">AT279-EX175</f>
        <v>0</v>
      </c>
      <c r="AV388" s="57">
        <f ca="1">AU279-EY175</f>
        <v>0</v>
      </c>
      <c r="AW388" s="57">
        <f ca="1">AV279-EZ175</f>
        <v>0</v>
      </c>
      <c r="AX388" s="57">
        <f ca="1">AW279-FA175</f>
        <v>0</v>
      </c>
      <c r="AY388" s="57">
        <f ca="1">AX279-FB175</f>
        <v>0</v>
      </c>
      <c r="AZ388" s="57">
        <f ca="1">AY279-FC175</f>
        <v>0</v>
      </c>
      <c r="BA388" s="57">
        <f ca="1">AZ279-FD175</f>
        <v>0</v>
      </c>
      <c r="BB388" s="57">
        <f ca="1">BA279-FE175</f>
        <v>0</v>
      </c>
      <c r="BC388" s="57">
        <f ca="1">BB279-FF175</f>
        <v>0</v>
      </c>
    </row>
    <row r="389" spans="1:55">
      <c r="A389" s="27">
        <v>39</v>
      </c>
      <c r="B389" s="27" t="str">
        <f t="shared" si="444"/>
        <v>Sim</v>
      </c>
      <c r="C389" s="27">
        <f t="shared" si="442"/>
        <v>28</v>
      </c>
      <c r="D389" s="27">
        <f t="shared" ca="1" si="443"/>
        <v>37</v>
      </c>
      <c r="E389" s="34">
        <v>39</v>
      </c>
      <c r="F389" s="57">
        <f ca="1">E280-DI176</f>
        <v>0</v>
      </c>
      <c r="G389" s="57">
        <f ca="1">F280-DJ176</f>
        <v>0</v>
      </c>
      <c r="H389" s="57">
        <f ca="1">G280-DK176</f>
        <v>0</v>
      </c>
      <c r="I389" s="57">
        <f ca="1">H280-DL176</f>
        <v>0</v>
      </c>
      <c r="J389" s="57">
        <f ca="1">I280-DM176</f>
        <v>0</v>
      </c>
      <c r="K389" s="57">
        <f ca="1">J280-DN176</f>
        <v>0</v>
      </c>
      <c r="L389" s="57">
        <f ca="1">K280-DO176</f>
        <v>0</v>
      </c>
      <c r="M389" s="57">
        <f ca="1">L280-DP176</f>
        <v>0</v>
      </c>
      <c r="N389" s="57">
        <f ca="1">M280-DQ176</f>
        <v>0</v>
      </c>
      <c r="O389" s="57">
        <f ca="1">N280-DR176</f>
        <v>0</v>
      </c>
      <c r="P389" s="57">
        <f ca="1">O280-DS176</f>
        <v>0</v>
      </c>
      <c r="Q389" s="57">
        <f ca="1">P280-DT176</f>
        <v>0</v>
      </c>
      <c r="R389" s="57">
        <f ca="1">Q280-DU176</f>
        <v>0</v>
      </c>
      <c r="S389" s="57">
        <f ca="1">R280-DV176</f>
        <v>0</v>
      </c>
      <c r="T389" s="57">
        <f ca="1">S280-DW176</f>
        <v>0</v>
      </c>
      <c r="U389" s="57">
        <f ca="1">T280-DX176</f>
        <v>0</v>
      </c>
      <c r="V389" s="57">
        <f ca="1">U280-DY176</f>
        <v>0</v>
      </c>
      <c r="W389" s="57">
        <f ca="1">V280-DZ176</f>
        <v>0</v>
      </c>
      <c r="X389" s="57">
        <f ca="1">W280-EA176</f>
        <v>0</v>
      </c>
      <c r="Y389" s="57">
        <f ca="1">X280-EB176</f>
        <v>0</v>
      </c>
      <c r="Z389" s="57">
        <f ca="1">Y280-EC176</f>
        <v>0</v>
      </c>
      <c r="AA389" s="57">
        <f ca="1">Z280-ED176</f>
        <v>0</v>
      </c>
      <c r="AB389" s="57">
        <f ca="1">AA280-EE176</f>
        <v>0</v>
      </c>
      <c r="AC389" s="57">
        <f ca="1">AB280-EF176</f>
        <v>0</v>
      </c>
      <c r="AD389" s="57">
        <f ca="1">AC280-EG176</f>
        <v>0</v>
      </c>
      <c r="AE389" s="57">
        <f ca="1">AD280-EH176</f>
        <v>0</v>
      </c>
      <c r="AF389" s="57">
        <f ca="1">AE280-EI176</f>
        <v>0</v>
      </c>
      <c r="AG389" s="57">
        <f ca="1">AF280-EJ176</f>
        <v>0</v>
      </c>
      <c r="AH389" s="57">
        <f ca="1">AG280-EK176</f>
        <v>3.5503999995523117E-7</v>
      </c>
      <c r="AI389" s="57">
        <f ca="1">AH280-EL176</f>
        <v>-2.367599999386627E-7</v>
      </c>
      <c r="AJ389" s="57">
        <f ca="1">AI280-EM176</f>
        <v>-1.820299999621966E-7</v>
      </c>
      <c r="AK389" s="57">
        <f ca="1">AJ280-EN176</f>
        <v>4.189299999679541E-7</v>
      </c>
      <c r="AL389" s="57">
        <f ca="1">AK280-EO176</f>
        <v>-2.6209999992587996E-7</v>
      </c>
      <c r="AM389" s="57">
        <f ca="1">AL280-EP176</f>
        <v>-2.695999989921205E-8</v>
      </c>
      <c r="AN389" s="57">
        <f ca="1">AM280-EQ176</f>
        <v>1.698400000638145E-7</v>
      </c>
      <c r="AO389" s="57">
        <f ca="1">AN280-ER176</f>
        <v>2.9360000008971099E-7</v>
      </c>
      <c r="AP389" s="57">
        <f ca="1">AO280-ES176</f>
        <v>-6.1401999999072254E-7</v>
      </c>
      <c r="AQ389" s="57">
        <f ca="1">AP280-ET176</f>
        <v>-3.0154999999999987E-2</v>
      </c>
      <c r="AR389" s="57">
        <f ca="1">AQ280-EU176</f>
        <v>-7.4449999999999933E-3</v>
      </c>
      <c r="AS389" s="57">
        <f ca="1">AR280-EV176</f>
        <v>3.8325999999999971E-2</v>
      </c>
      <c r="AT389" s="57">
        <f ca="1">AS280-EW176</f>
        <v>-1.7715000000000036E-2</v>
      </c>
      <c r="AU389" s="57">
        <f ca="1">AT280-EX176</f>
        <v>4.2320000000000135E-3</v>
      </c>
      <c r="AV389" s="57">
        <f ca="1">AU280-EY176</f>
        <v>9.7600000000000464E-4</v>
      </c>
      <c r="AW389" s="57">
        <f ca="1">AV280-EZ176</f>
        <v>4.7906000000000004E-2</v>
      </c>
      <c r="AX389" s="57">
        <f ca="1">AW280-FA176</f>
        <v>-7.8077999999999981E-2</v>
      </c>
      <c r="AY389" s="57">
        <f ca="1">AX280-FB176</f>
        <v>6.407999999999997E-3</v>
      </c>
      <c r="AZ389" s="57">
        <f ca="1">AY280-FC176</f>
        <v>2.3092000000000015E-2</v>
      </c>
      <c r="BA389" s="57">
        <f ca="1">AZ280-FD176</f>
        <v>-2.2504999999999997E-2</v>
      </c>
      <c r="BB389" s="57">
        <f ca="1">BA280-FE176</f>
        <v>2.1347000000000005E-2</v>
      </c>
      <c r="BC389" s="57">
        <f ca="1">BB280-FF176</f>
        <v>2.8200000000000031E-3</v>
      </c>
    </row>
    <row r="390" spans="1:55">
      <c r="A390" s="27">
        <v>40</v>
      </c>
      <c r="B390" s="27" t="str">
        <f t="shared" si="444"/>
        <v>Sim</v>
      </c>
      <c r="C390" s="27">
        <f t="shared" si="442"/>
        <v>6</v>
      </c>
      <c r="D390" s="27">
        <f t="shared" ca="1" si="443"/>
        <v>39</v>
      </c>
      <c r="E390" s="34">
        <v>40</v>
      </c>
      <c r="F390" s="57">
        <f ca="1">E281-DI177</f>
        <v>0</v>
      </c>
      <c r="G390" s="57">
        <f ca="1">F281-DJ177</f>
        <v>0</v>
      </c>
      <c r="H390" s="57">
        <f ca="1">G281-DK177</f>
        <v>0</v>
      </c>
      <c r="I390" s="57">
        <f ca="1">H281-DL177</f>
        <v>0</v>
      </c>
      <c r="J390" s="57">
        <f ca="1">I281-DM177</f>
        <v>0</v>
      </c>
      <c r="K390" s="57">
        <f ca="1">J281-DN177</f>
        <v>0</v>
      </c>
      <c r="L390" s="57">
        <f ca="1">K281-DO177</f>
        <v>2.3429999995716599E-7</v>
      </c>
      <c r="M390" s="57">
        <f ca="1">L281-DP177</f>
        <v>-2.1984999998281296E-7</v>
      </c>
      <c r="N390" s="57">
        <f ca="1">M281-DQ177</f>
        <v>-5.176499999759443E-7</v>
      </c>
      <c r="O390" s="57">
        <f ca="1">N281-DR177</f>
        <v>-6.3199999997265444E-8</v>
      </c>
      <c r="P390" s="57">
        <f ca="1">O281-DS177</f>
        <v>-6.7320000007864422E-7</v>
      </c>
      <c r="Q390" s="57">
        <f ca="1">P281-DT177</f>
        <v>-3.4849999985819835E-7</v>
      </c>
      <c r="R390" s="57">
        <f ca="1">Q281-DU177</f>
        <v>-5.1100000009185464E-8</v>
      </c>
      <c r="S390" s="57">
        <f ca="1">R281-DV177</f>
        <v>-2.0265000000296851E-7</v>
      </c>
      <c r="T390" s="57">
        <f ca="1">S281-DW177</f>
        <v>2.9629999998004308E-7</v>
      </c>
      <c r="U390" s="57">
        <f ca="1">T281-DX177</f>
        <v>3.7939999997238516E-7</v>
      </c>
      <c r="V390" s="57">
        <f ca="1">U281-DY177</f>
        <v>4.2954999990296727E-7</v>
      </c>
      <c r="W390" s="57">
        <f ca="1">V281-DZ177</f>
        <v>1.2329999998783592E-7</v>
      </c>
      <c r="X390" s="57">
        <f ca="1">W281-EA177</f>
        <v>-6.430000010215764E-8</v>
      </c>
      <c r="Y390" s="57">
        <f ca="1">X281-EB177</f>
        <v>8.3174999987445375E-7</v>
      </c>
      <c r="Z390" s="57">
        <f ca="1">Y281-EC177</f>
        <v>-2.6469999991896032E-7</v>
      </c>
      <c r="AA390" s="57">
        <f ca="1">Z281-ED177</f>
        <v>-1.6405000002883696E-7</v>
      </c>
      <c r="AB390" s="57">
        <f ca="1">AA281-EE177</f>
        <v>5.7575000000920085E-7</v>
      </c>
      <c r="AC390" s="57">
        <f ca="1">AB281-EF177</f>
        <v>-7.3400000000223287E-7</v>
      </c>
      <c r="AD390" s="57">
        <f ca="1">AC281-EG177</f>
        <v>6.3219999990593578E-7</v>
      </c>
      <c r="AE390" s="57">
        <f ca="1">AD281-EH177</f>
        <v>3.6390000002217704E-7</v>
      </c>
      <c r="AF390" s="57">
        <f ca="1">AE281-EI177</f>
        <v>-4.2449999999860655E-7</v>
      </c>
      <c r="AG390" s="57">
        <f ca="1">AF281-EJ177</f>
        <v>3.8600000001887125E-8</v>
      </c>
      <c r="AH390" s="57">
        <f ca="1">AG281-EK177</f>
        <v>6.0104999999310849E-7</v>
      </c>
      <c r="AI390" s="57">
        <f ca="1">AH281-EL177</f>
        <v>3.6294999999908484E-7</v>
      </c>
      <c r="AJ390" s="57">
        <f ca="1">AI281-EM177</f>
        <v>2.8884999997424998E-7</v>
      </c>
      <c r="AK390" s="57">
        <f ca="1">AJ281-EN177</f>
        <v>5.8400000002567509E-8</v>
      </c>
      <c r="AL390" s="57">
        <f ca="1">AK281-EO177</f>
        <v>2.6425000002050503E-7</v>
      </c>
      <c r="AM390" s="57">
        <f ca="1">AL281-EP177</f>
        <v>-5.0254999994781002E-7</v>
      </c>
      <c r="AN390" s="57">
        <f ca="1">AM281-EQ177</f>
        <v>-2.5215000010181399E-7</v>
      </c>
      <c r="AO390" s="57">
        <f ca="1">AN281-ER177</f>
        <v>1.9814999996370375E-7</v>
      </c>
      <c r="AP390" s="57">
        <f ca="1">AO281-ES177</f>
        <v>-2.4114999998270381E-7</v>
      </c>
      <c r="AQ390" s="57">
        <f ca="1">AP281-ET177</f>
        <v>1.7900000037762709E-8</v>
      </c>
      <c r="AR390" s="57">
        <f ca="1">AQ281-EU177</f>
        <v>-7.5785000003270042E-7</v>
      </c>
      <c r="AS390" s="57">
        <f ca="1">AR281-EV177</f>
        <v>-3.0436999999999992E-2</v>
      </c>
      <c r="AT390" s="57">
        <f ca="1">AS281-EW177</f>
        <v>-0.31414399999999998</v>
      </c>
      <c r="AU390" s="57">
        <f ca="1">AT281-EX177</f>
        <v>-0.17128099999999991</v>
      </c>
      <c r="AV390" s="57">
        <f ca="1">AU281-EY177</f>
        <v>0.25118000000000007</v>
      </c>
      <c r="AW390" s="57">
        <f ca="1">AV281-EZ177</f>
        <v>-0.36212099999999997</v>
      </c>
      <c r="AX390" s="57">
        <f ca="1">AW281-FA177</f>
        <v>7.5999999999964984E-5</v>
      </c>
      <c r="AY390" s="57">
        <f ca="1">AX281-FB177</f>
        <v>-9.2670000000000252E-3</v>
      </c>
      <c r="AZ390" s="57">
        <f ca="1">AY281-FC177</f>
        <v>0.22402499999999997</v>
      </c>
      <c r="BA390" s="57">
        <f ca="1">AZ281-FD177</f>
        <v>-9.8762000000000016E-2</v>
      </c>
      <c r="BB390" s="57">
        <f ca="1">BA281-FE177</f>
        <v>-0.23287099999999999</v>
      </c>
      <c r="BC390" s="57">
        <f ca="1">BB281-FF177</f>
        <v>0.14014199999999999</v>
      </c>
    </row>
    <row r="391" spans="1:55">
      <c r="A391" s="27">
        <v>41</v>
      </c>
      <c r="B391" s="27" t="str">
        <f t="shared" si="444"/>
        <v>Sim</v>
      </c>
      <c r="C391" s="27">
        <f t="shared" si="442"/>
        <v>1</v>
      </c>
      <c r="D391" s="27">
        <f t="shared" ca="1" si="443"/>
        <v>47</v>
      </c>
      <c r="E391" s="34">
        <v>41</v>
      </c>
      <c r="F391" s="57">
        <f ca="1">E282-DI178</f>
        <v>0</v>
      </c>
      <c r="G391" s="57">
        <f ca="1">F282-DJ178</f>
        <v>1.9484000024494463E-8</v>
      </c>
      <c r="H391" s="57">
        <f ca="1">G282-DK178</f>
        <v>-4.351419999881756E-7</v>
      </c>
      <c r="I391" s="57">
        <f ca="1">H282-DL178</f>
        <v>5.9289700005127344E-7</v>
      </c>
      <c r="J391" s="57">
        <f ca="1">I282-DM178</f>
        <v>-1.0543949999775037E-6</v>
      </c>
      <c r="K391" s="57">
        <f ca="1">J282-DN178</f>
        <v>-3.8374899999360501E-7</v>
      </c>
      <c r="L391" s="57">
        <f ca="1">K282-DO178</f>
        <v>-1.8513099997452542E-7</v>
      </c>
      <c r="M391" s="57">
        <f ca="1">L282-DP178</f>
        <v>-4.2689999989967836E-7</v>
      </c>
      <c r="N391" s="57">
        <f ca="1">M282-DQ178</f>
        <v>-1.9803499995418861E-7</v>
      </c>
      <c r="O391" s="57">
        <f ca="1">N282-DR178</f>
        <v>4.995050001399548E-7</v>
      </c>
      <c r="P391" s="57">
        <f ca="1">O282-DS178</f>
        <v>2.5912000001238056E-7</v>
      </c>
      <c r="Q391" s="57">
        <f ca="1">P282-DT178</f>
        <v>2.6564999977551906E-8</v>
      </c>
      <c r="R391" s="57">
        <f ca="1">Q282-DU178</f>
        <v>6.6245699992251161E-7</v>
      </c>
      <c r="S391" s="57">
        <f ca="1">R282-DV178</f>
        <v>1.4701799999627951E-7</v>
      </c>
      <c r="T391" s="57">
        <f ca="1">S282-DW178</f>
        <v>-3.8269000024460098E-8</v>
      </c>
      <c r="U391" s="57">
        <f ca="1">T282-DX178</f>
        <v>2.7731099994099395E-7</v>
      </c>
      <c r="V391" s="57">
        <f ca="1">U282-DY178</f>
        <v>6.6050999975031388E-8</v>
      </c>
      <c r="W391" s="57">
        <f ca="1">V282-DZ178</f>
        <v>6.4278500000458649E-7</v>
      </c>
      <c r="X391" s="57">
        <f ca="1">W282-EA178</f>
        <v>2.568920000056707E-7</v>
      </c>
      <c r="Y391" s="57">
        <f ca="1">X282-EB178</f>
        <v>-1.8920700006752611E-7</v>
      </c>
      <c r="Z391" s="57">
        <f ca="1">Y282-EC178</f>
        <v>3.0344300006035496E-7</v>
      </c>
      <c r="AA391" s="57">
        <f ca="1">Z282-ED178</f>
        <v>6.4629800000659543E-7</v>
      </c>
      <c r="AB391" s="57">
        <f ca="1">AA282-EE178</f>
        <v>6.358209999612896E-7</v>
      </c>
      <c r="AC391" s="57">
        <f ca="1">AB282-EF178</f>
        <v>-1.172950000460915E-7</v>
      </c>
      <c r="AD391" s="57">
        <f ca="1">AC282-EG178</f>
        <v>-4.1976999998194486E-7</v>
      </c>
      <c r="AE391" s="57">
        <f ca="1">AD282-EH178</f>
        <v>-4.4963899997751966E-7</v>
      </c>
      <c r="AF391" s="57">
        <f ca="1">AE282-EI178</f>
        <v>-6.2057799998793683E-7</v>
      </c>
      <c r="AG391" s="57">
        <f ca="1">AF282-EJ178</f>
        <v>2.0438799996913559E-7</v>
      </c>
      <c r="AH391" s="57">
        <f ca="1">AG282-EK178</f>
        <v>-3.1284000001630119E-7</v>
      </c>
      <c r="AI391" s="57">
        <f ca="1">AH282-EL178</f>
        <v>-1.0792900004275019E-7</v>
      </c>
      <c r="AJ391" s="57">
        <f ca="1">AI282-EM178</f>
        <v>-2.4468100001673321E-7</v>
      </c>
      <c r="AK391" s="57">
        <f ca="1">AJ282-EN178</f>
        <v>-5.8147599996116739E-7</v>
      </c>
      <c r="AL391" s="57">
        <f ca="1">AK282-EO178</f>
        <v>5.8253399998209332E-7</v>
      </c>
      <c r="AM391" s="57">
        <f ca="1">AL282-EP178</f>
        <v>-2.8667799998813304E-7</v>
      </c>
      <c r="AN391" s="57">
        <f ca="1">AM282-EQ178</f>
        <v>4.4684399999085633E-7</v>
      </c>
      <c r="AO391" s="57">
        <f ca="1">AN282-ER178</f>
        <v>8.2693600006455981E-7</v>
      </c>
      <c r="AP391" s="57">
        <f ca="1">AO282-ES178</f>
        <v>-4.2889699997106234E-7</v>
      </c>
      <c r="AQ391" s="57">
        <f ca="1">AP282-ET178</f>
        <v>9.4061999966754684E-8</v>
      </c>
      <c r="AR391" s="57">
        <f ca="1">AQ282-EU178</f>
        <v>-1.3617500000534521E-7</v>
      </c>
      <c r="AS391" s="57">
        <f ca="1">AR282-EV178</f>
        <v>1.7621500000841728E-7</v>
      </c>
      <c r="AT391" s="57">
        <f ca="1">AS282-EW178</f>
        <v>1.6700600002916843E-7</v>
      </c>
      <c r="AU391" s="57">
        <f ca="1">AT282-EX178</f>
        <v>5.0213999958081956E-8</v>
      </c>
      <c r="AV391" s="57">
        <f ca="1">AU282-EY178</f>
        <v>1.245640000036019E-7</v>
      </c>
      <c r="AW391" s="57">
        <f ca="1">AV282-EZ178</f>
        <v>1.3515999985891369E-8</v>
      </c>
      <c r="AX391" s="57">
        <f ca="1">AW282-FA178</f>
        <v>6.1525300000184191E-7</v>
      </c>
      <c r="AY391" s="57">
        <f ca="1">AX282-FB178</f>
        <v>3.2200899996448484E-7</v>
      </c>
      <c r="AZ391" s="57">
        <f ca="1">AY282-FC178</f>
        <v>-4.35151999989003E-7</v>
      </c>
      <c r="BA391" s="57">
        <f ca="1">AZ282-FD178</f>
        <v>-1.3618520000000001</v>
      </c>
      <c r="BB391" s="57">
        <f ca="1">BA282-FE178</f>
        <v>0.43658799999999998</v>
      </c>
      <c r="BC391" s="57">
        <f ca="1">BB282-FF178</f>
        <v>-5.1473999999999909E-2</v>
      </c>
    </row>
    <row r="392" spans="1:55">
      <c r="A392" s="27">
        <v>42</v>
      </c>
      <c r="B392" s="27" t="str">
        <f t="shared" si="444"/>
        <v>Sim</v>
      </c>
      <c r="C392" s="27">
        <f t="shared" si="442"/>
        <v>35</v>
      </c>
      <c r="D392" s="27">
        <f t="shared" ca="1" si="443"/>
        <v>46</v>
      </c>
      <c r="E392" s="34">
        <v>42</v>
      </c>
      <c r="F392" s="57">
        <f ca="1">E283-DI179</f>
        <v>0</v>
      </c>
      <c r="G392" s="57">
        <f ca="1">F283-DJ179</f>
        <v>0</v>
      </c>
      <c r="H392" s="57">
        <f ca="1">G283-DK179</f>
        <v>0</v>
      </c>
      <c r="I392" s="57">
        <f ca="1">H283-DL179</f>
        <v>0</v>
      </c>
      <c r="J392" s="57">
        <f ca="1">I283-DM179</f>
        <v>0</v>
      </c>
      <c r="K392" s="57">
        <f ca="1">J283-DN179</f>
        <v>0</v>
      </c>
      <c r="L392" s="57">
        <f ca="1">K283-DO179</f>
        <v>0</v>
      </c>
      <c r="M392" s="57">
        <f ca="1">L283-DP179</f>
        <v>0</v>
      </c>
      <c r="N392" s="57">
        <f ca="1">M283-DQ179</f>
        <v>0</v>
      </c>
      <c r="O392" s="57">
        <f ca="1">N283-DR179</f>
        <v>0</v>
      </c>
      <c r="P392" s="57">
        <f ca="1">O283-DS179</f>
        <v>0</v>
      </c>
      <c r="Q392" s="57">
        <f ca="1">P283-DT179</f>
        <v>0</v>
      </c>
      <c r="R392" s="57">
        <f ca="1">Q283-DU179</f>
        <v>0</v>
      </c>
      <c r="S392" s="57">
        <f ca="1">R283-DV179</f>
        <v>0</v>
      </c>
      <c r="T392" s="57">
        <f ca="1">S283-DW179</f>
        <v>0</v>
      </c>
      <c r="U392" s="57">
        <f ca="1">T283-DX179</f>
        <v>0</v>
      </c>
      <c r="V392" s="57">
        <f ca="1">U283-DY179</f>
        <v>0</v>
      </c>
      <c r="W392" s="57">
        <f ca="1">V283-DZ179</f>
        <v>0</v>
      </c>
      <c r="X392" s="57">
        <f ca="1">W283-EA179</f>
        <v>0</v>
      </c>
      <c r="Y392" s="57">
        <f ca="1">X283-EB179</f>
        <v>0</v>
      </c>
      <c r="Z392" s="57">
        <f ca="1">Y283-EC179</f>
        <v>0</v>
      </c>
      <c r="AA392" s="57">
        <f ca="1">Z283-ED179</f>
        <v>0</v>
      </c>
      <c r="AB392" s="57">
        <f ca="1">AA283-EE179</f>
        <v>0</v>
      </c>
      <c r="AC392" s="57">
        <f ca="1">AB283-EF179</f>
        <v>0</v>
      </c>
      <c r="AD392" s="57">
        <f ca="1">AC283-EG179</f>
        <v>0</v>
      </c>
      <c r="AE392" s="57">
        <f ca="1">AD283-EH179</f>
        <v>0</v>
      </c>
      <c r="AF392" s="57">
        <f ca="1">AE283-EI179</f>
        <v>0</v>
      </c>
      <c r="AG392" s="57">
        <f ca="1">AF283-EJ179</f>
        <v>0</v>
      </c>
      <c r="AH392" s="57">
        <f ca="1">AG283-EK179</f>
        <v>0</v>
      </c>
      <c r="AI392" s="57">
        <f ca="1">AH283-EL179</f>
        <v>0</v>
      </c>
      <c r="AJ392" s="57">
        <f ca="1">AI283-EM179</f>
        <v>0</v>
      </c>
      <c r="AK392" s="57">
        <f ca="1">AJ283-EN179</f>
        <v>0</v>
      </c>
      <c r="AL392" s="57">
        <f ca="1">AK283-EO179</f>
        <v>0</v>
      </c>
      <c r="AM392" s="57">
        <f ca="1">AL283-EP179</f>
        <v>0</v>
      </c>
      <c r="AN392" s="57">
        <f ca="1">AM283-EQ179</f>
        <v>0</v>
      </c>
      <c r="AO392" s="57">
        <f ca="1">AN283-ER179</f>
        <v>9.8560200001429621E-7</v>
      </c>
      <c r="AP392" s="57">
        <f ca="1">AO283-ES179</f>
        <v>6.7810900009068753E-7</v>
      </c>
      <c r="AQ392" s="57">
        <f ca="1">AP283-ET179</f>
        <v>3.5784500000690667E-7</v>
      </c>
      <c r="AR392" s="57">
        <f ca="1">AQ283-EU179</f>
        <v>1.1781099999996769E-6</v>
      </c>
      <c r="AS392" s="57">
        <f ca="1">AR283-EV179</f>
        <v>-3.8144799996420176E-7</v>
      </c>
      <c r="AT392" s="57">
        <f ca="1">AS283-EW179</f>
        <v>-9.6141399999472021E-7</v>
      </c>
      <c r="AU392" s="57">
        <f ca="1">AT283-EX179</f>
        <v>1.4081399998810973E-7</v>
      </c>
      <c r="AV392" s="57">
        <f ca="1">AU283-EY179</f>
        <v>5.5199000004169108E-7</v>
      </c>
      <c r="AW392" s="57">
        <f ca="1">AV283-EZ179</f>
        <v>3.7025799999590436E-7</v>
      </c>
      <c r="AX392" s="57">
        <f ca="1">AW283-FA179</f>
        <v>6.1205300000422014E-7</v>
      </c>
      <c r="AY392" s="57">
        <f ca="1">AX283-FB179</f>
        <v>2.1242699999035608E-7</v>
      </c>
      <c r="AZ392" s="57">
        <f ca="1">AY283-FC179</f>
        <v>0.13867000000000002</v>
      </c>
      <c r="BA392" s="57">
        <f ca="1">AZ283-FD179</f>
        <v>0.243371</v>
      </c>
      <c r="BB392" s="57">
        <f ca="1">BA283-FE179</f>
        <v>-0.65229000000000004</v>
      </c>
      <c r="BC392" s="57">
        <f ca="1">BB283-FF179</f>
        <v>-0.21510599999999996</v>
      </c>
    </row>
    <row r="393" spans="1:55">
      <c r="A393" s="27">
        <v>43</v>
      </c>
      <c r="B393" s="27" t="str">
        <f t="shared" si="444"/>
        <v>Sim</v>
      </c>
      <c r="C393" s="27">
        <f t="shared" si="442"/>
        <v>22</v>
      </c>
      <c r="D393" s="27">
        <f t="shared" ca="1" si="443"/>
        <v>39</v>
      </c>
      <c r="E393" s="34">
        <v>43</v>
      </c>
      <c r="F393" s="57">
        <f ca="1">E284-DI180</f>
        <v>0</v>
      </c>
      <c r="G393" s="57">
        <f ca="1">F284-DJ180</f>
        <v>0</v>
      </c>
      <c r="H393" s="57">
        <f ca="1">G284-DK180</f>
        <v>0</v>
      </c>
      <c r="I393" s="57">
        <f ca="1">H284-DL180</f>
        <v>0</v>
      </c>
      <c r="J393" s="57">
        <f ca="1">I284-DM180</f>
        <v>0</v>
      </c>
      <c r="K393" s="57">
        <f ca="1">J284-DN180</f>
        <v>0</v>
      </c>
      <c r="L393" s="57">
        <f ca="1">K284-DO180</f>
        <v>0</v>
      </c>
      <c r="M393" s="57">
        <f ca="1">L284-DP180</f>
        <v>0</v>
      </c>
      <c r="N393" s="57">
        <f ca="1">M284-DQ180</f>
        <v>0</v>
      </c>
      <c r="O393" s="57">
        <f ca="1">N284-DR180</f>
        <v>0</v>
      </c>
      <c r="P393" s="57">
        <f ca="1">O284-DS180</f>
        <v>0</v>
      </c>
      <c r="Q393" s="57">
        <f ca="1">P284-DT180</f>
        <v>0</v>
      </c>
      <c r="R393" s="57">
        <f ca="1">Q284-DU180</f>
        <v>0</v>
      </c>
      <c r="S393" s="57">
        <f ca="1">R284-DV180</f>
        <v>0</v>
      </c>
      <c r="T393" s="57">
        <f ca="1">S284-DW180</f>
        <v>0</v>
      </c>
      <c r="U393" s="57">
        <f ca="1">T284-DX180</f>
        <v>0</v>
      </c>
      <c r="V393" s="57">
        <f ca="1">U284-DY180</f>
        <v>0</v>
      </c>
      <c r="W393" s="57">
        <f ca="1">V284-DZ180</f>
        <v>0</v>
      </c>
      <c r="X393" s="57">
        <f ca="1">W284-EA180</f>
        <v>0</v>
      </c>
      <c r="Y393" s="57">
        <f ca="1">X284-EB180</f>
        <v>0</v>
      </c>
      <c r="Z393" s="57">
        <f ca="1">Y284-EC180</f>
        <v>0</v>
      </c>
      <c r="AA393" s="57">
        <f ca="1">Z284-ED180</f>
        <v>0</v>
      </c>
      <c r="AB393" s="57">
        <f ca="1">AA284-EE180</f>
        <v>-4.1382399984524199E-7</v>
      </c>
      <c r="AC393" s="57">
        <f ca="1">AB284-EF180</f>
        <v>6.4205400002181889E-7</v>
      </c>
      <c r="AD393" s="57">
        <f ca="1">AC284-EG180</f>
        <v>-2.2663599998085093E-7</v>
      </c>
      <c r="AE393" s="57">
        <f ca="1">AD284-EH180</f>
        <v>3.071600002124697E-8</v>
      </c>
      <c r="AF393" s="57">
        <f ca="1">AE284-EI180</f>
        <v>8.2600001838351034E-10</v>
      </c>
      <c r="AG393" s="57">
        <f ca="1">AF284-EJ180</f>
        <v>3.0033599995871185E-7</v>
      </c>
      <c r="AH393" s="57">
        <f ca="1">AG284-EK180</f>
        <v>2.4287799998967685E-7</v>
      </c>
      <c r="AI393" s="57">
        <f ca="1">AH284-EL180</f>
        <v>-1.9260000039267311E-8</v>
      </c>
      <c r="AJ393" s="57">
        <f ca="1">AI284-EM180</f>
        <v>2.7739600000353803E-7</v>
      </c>
      <c r="AK393" s="57">
        <f ca="1">AJ284-EN180</f>
        <v>-3.0601999989610107E-8</v>
      </c>
      <c r="AL393" s="57">
        <f ca="1">AK284-EO180</f>
        <v>1.2438199997744093E-7</v>
      </c>
      <c r="AM393" s="57">
        <f ca="1">AL284-EP180</f>
        <v>3.4137200000117218E-7</v>
      </c>
      <c r="AN393" s="57">
        <f ca="1">AM284-EQ180</f>
        <v>1.1785400005903668E-7</v>
      </c>
      <c r="AO393" s="57">
        <f ca="1">AN284-ER180</f>
        <v>-3.2846400004060694E-7</v>
      </c>
      <c r="AP393" s="57">
        <f ca="1">AO284-ES180</f>
        <v>-5.3582799999785102E-7</v>
      </c>
      <c r="AQ393" s="57">
        <f ca="1">AP284-ET180</f>
        <v>-3.3024400003522913E-7</v>
      </c>
      <c r="AR393" s="57">
        <f ca="1">AQ284-EU180</f>
        <v>4.6899600000815944E-7</v>
      </c>
      <c r="AS393" s="57">
        <f ca="1">AR284-EV180</f>
        <v>-0.75994799999999996</v>
      </c>
      <c r="AT393" s="57">
        <f ca="1">AS284-EW180</f>
        <v>0.33201000000000003</v>
      </c>
      <c r="AU393" s="57">
        <f ca="1">AT284-EX180</f>
        <v>-4.6937000000000006E-2</v>
      </c>
      <c r="AV393" s="57">
        <f ca="1">AU284-EY180</f>
        <v>-1.5182000000000029E-2</v>
      </c>
      <c r="AW393" s="57">
        <f ca="1">AV284-EZ180</f>
        <v>0.23885699999999999</v>
      </c>
      <c r="AX393" s="57">
        <f ca="1">AW284-FA180</f>
        <v>-0.87291700000000005</v>
      </c>
      <c r="AY393" s="57">
        <f ca="1">AX284-FB180</f>
        <v>-1.1925479999999999</v>
      </c>
      <c r="AZ393" s="57">
        <f ca="1">AY284-FC180</f>
        <v>0.28553000000000001</v>
      </c>
      <c r="BA393" s="57">
        <f ca="1">AZ284-FD180</f>
        <v>0.28162399999999999</v>
      </c>
      <c r="BB393" s="57">
        <f ca="1">BA284-FE180</f>
        <v>1.4397000000000104E-2</v>
      </c>
      <c r="BC393" s="57">
        <f ca="1">BB284-FF180</f>
        <v>-5.8408999999999989E-2</v>
      </c>
    </row>
    <row r="394" spans="1:55">
      <c r="A394" s="27">
        <v>44</v>
      </c>
      <c r="B394" s="27" t="str">
        <f t="shared" si="444"/>
        <v>Não</v>
      </c>
      <c r="C394" s="27">
        <f t="shared" si="442"/>
        <v>22</v>
      </c>
      <c r="D394" s="27">
        <f t="shared" ca="1" si="443"/>
        <v>46</v>
      </c>
      <c r="E394" s="34">
        <v>44</v>
      </c>
      <c r="F394" s="57">
        <f ca="1">E285-DI181</f>
        <v>0</v>
      </c>
      <c r="G394" s="57">
        <f ca="1">F285-DJ181</f>
        <v>0</v>
      </c>
      <c r="H394" s="57">
        <f ca="1">G285-DK181</f>
        <v>0</v>
      </c>
      <c r="I394" s="57">
        <f ca="1">H285-DL181</f>
        <v>0</v>
      </c>
      <c r="J394" s="57">
        <f ca="1">I285-DM181</f>
        <v>0</v>
      </c>
      <c r="K394" s="57">
        <f ca="1">J285-DN181</f>
        <v>0</v>
      </c>
      <c r="L394" s="57">
        <f ca="1">K285-DO181</f>
        <v>0</v>
      </c>
      <c r="M394" s="57">
        <f ca="1">L285-DP181</f>
        <v>0</v>
      </c>
      <c r="N394" s="57">
        <f ca="1">M285-DQ181</f>
        <v>0</v>
      </c>
      <c r="O394" s="57">
        <f ca="1">N285-DR181</f>
        <v>0</v>
      </c>
      <c r="P394" s="57">
        <f ca="1">O285-DS181</f>
        <v>0</v>
      </c>
      <c r="Q394" s="57">
        <f ca="1">P285-DT181</f>
        <v>0</v>
      </c>
      <c r="R394" s="57">
        <f ca="1">Q285-DU181</f>
        <v>0</v>
      </c>
      <c r="S394" s="57">
        <f ca="1">R285-DV181</f>
        <v>0</v>
      </c>
      <c r="T394" s="57">
        <f ca="1">S285-DW181</f>
        <v>0</v>
      </c>
      <c r="U394" s="57">
        <f ca="1">T285-DX181</f>
        <v>0</v>
      </c>
      <c r="V394" s="57">
        <f ca="1">U285-DY181</f>
        <v>0</v>
      </c>
      <c r="W394" s="57">
        <f ca="1">V285-DZ181</f>
        <v>0</v>
      </c>
      <c r="X394" s="57">
        <f ca="1">W285-EA181</f>
        <v>0</v>
      </c>
      <c r="Y394" s="57">
        <f ca="1">X285-EB181</f>
        <v>0</v>
      </c>
      <c r="Z394" s="57">
        <f ca="1">Y285-EC181</f>
        <v>0</v>
      </c>
      <c r="AA394" s="57">
        <f ca="1">Z285-ED181</f>
        <v>0</v>
      </c>
      <c r="AB394" s="57">
        <f ca="1">AA285-EE181</f>
        <v>0</v>
      </c>
      <c r="AC394" s="57">
        <f ca="1">AB285-EF181</f>
        <v>0</v>
      </c>
      <c r="AD394" s="57">
        <f ca="1">AC285-EG181</f>
        <v>0</v>
      </c>
      <c r="AE394" s="57">
        <f ca="1">AD285-EH181</f>
        <v>0</v>
      </c>
      <c r="AF394" s="57">
        <f ca="1">AE285-EI181</f>
        <v>0</v>
      </c>
      <c r="AG394" s="57">
        <f ca="1">AF285-EJ181</f>
        <v>0</v>
      </c>
      <c r="AH394" s="57">
        <f ca="1">AG285-EK181</f>
        <v>0</v>
      </c>
      <c r="AI394" s="57">
        <f ca="1">AH285-EL181</f>
        <v>0</v>
      </c>
      <c r="AJ394" s="57">
        <f ca="1">AI285-EM181</f>
        <v>0</v>
      </c>
      <c r="AK394" s="57">
        <f ca="1">AJ285-EN181</f>
        <v>0</v>
      </c>
      <c r="AL394" s="57">
        <f ca="1">AK285-EO181</f>
        <v>0</v>
      </c>
      <c r="AM394" s="57">
        <f ca="1">AL285-EP181</f>
        <v>0</v>
      </c>
      <c r="AN394" s="57">
        <f ca="1">AM285-EQ181</f>
        <v>0</v>
      </c>
      <c r="AO394" s="57">
        <f ca="1">AN285-ER181</f>
        <v>0</v>
      </c>
      <c r="AP394" s="57">
        <f ca="1">AO285-ES181</f>
        <v>0</v>
      </c>
      <c r="AQ394" s="57">
        <f ca="1">AP285-ET181</f>
        <v>0</v>
      </c>
      <c r="AR394" s="57">
        <f ca="1">AQ285-EU181</f>
        <v>0</v>
      </c>
      <c r="AS394" s="57">
        <f ca="1">AR285-EV181</f>
        <v>0</v>
      </c>
      <c r="AT394" s="57">
        <f ca="1">AS285-EW181</f>
        <v>0</v>
      </c>
      <c r="AU394" s="57">
        <f ca="1">AT285-EX181</f>
        <v>0</v>
      </c>
      <c r="AV394" s="57">
        <f ca="1">AU285-EY181</f>
        <v>0</v>
      </c>
      <c r="AW394" s="57">
        <f ca="1">AV285-EZ181</f>
        <v>0</v>
      </c>
      <c r="AX394" s="57">
        <f ca="1">AW285-FA181</f>
        <v>0</v>
      </c>
      <c r="AY394" s="57">
        <f ca="1">AX285-FB181</f>
        <v>0</v>
      </c>
      <c r="AZ394" s="57">
        <f ca="1">AY285-FC181</f>
        <v>0</v>
      </c>
      <c r="BA394" s="57">
        <f ca="1">AZ285-FD181</f>
        <v>0</v>
      </c>
      <c r="BB394" s="57">
        <f ca="1">BA285-FE181</f>
        <v>0</v>
      </c>
      <c r="BC394" s="57">
        <f ca="1">BB285-FF181</f>
        <v>0</v>
      </c>
    </row>
    <row r="395" spans="1:55">
      <c r="A395" s="27">
        <v>45</v>
      </c>
      <c r="B395" s="27" t="str">
        <f t="shared" si="444"/>
        <v>Sim</v>
      </c>
      <c r="C395" s="27">
        <f t="shared" si="442"/>
        <v>11</v>
      </c>
      <c r="D395" s="27">
        <f t="shared" ca="1" si="443"/>
        <v>31</v>
      </c>
      <c r="E395" s="34">
        <v>45</v>
      </c>
      <c r="F395" s="57">
        <f ca="1">E286-DI182</f>
        <v>0</v>
      </c>
      <c r="G395" s="57">
        <f ca="1">F286-DJ182</f>
        <v>0</v>
      </c>
      <c r="H395" s="57">
        <f ca="1">G286-DK182</f>
        <v>0</v>
      </c>
      <c r="I395" s="57">
        <f ca="1">H286-DL182</f>
        <v>0</v>
      </c>
      <c r="J395" s="57">
        <f ca="1">I286-DM182</f>
        <v>0</v>
      </c>
      <c r="K395" s="57">
        <f ca="1">J286-DN182</f>
        <v>0</v>
      </c>
      <c r="L395" s="57">
        <f ca="1">K286-DO182</f>
        <v>0</v>
      </c>
      <c r="M395" s="57">
        <f ca="1">L286-DP182</f>
        <v>0</v>
      </c>
      <c r="N395" s="57">
        <f ca="1">M286-DQ182</f>
        <v>0</v>
      </c>
      <c r="O395" s="57">
        <f ca="1">N286-DR182</f>
        <v>0</v>
      </c>
      <c r="P395" s="57">
        <f ca="1">O286-DS182</f>
        <v>0</v>
      </c>
      <c r="Q395" s="57">
        <f ca="1">P286-DT182</f>
        <v>0</v>
      </c>
      <c r="R395" s="57">
        <f ca="1">Q286-DU182</f>
        <v>0</v>
      </c>
      <c r="S395" s="57">
        <f ca="1">R286-DV182</f>
        <v>0</v>
      </c>
      <c r="T395" s="57">
        <f ca="1">S286-DW182</f>
        <v>0</v>
      </c>
      <c r="U395" s="57">
        <f ca="1">T286-DX182</f>
        <v>0</v>
      </c>
      <c r="V395" s="57">
        <f ca="1">U286-DY182</f>
        <v>0</v>
      </c>
      <c r="W395" s="57">
        <f ca="1">V286-DZ182</f>
        <v>0</v>
      </c>
      <c r="X395" s="57">
        <f ca="1">W286-EA182</f>
        <v>0</v>
      </c>
      <c r="Y395" s="57">
        <f ca="1">X286-EB182</f>
        <v>0</v>
      </c>
      <c r="Z395" s="57">
        <f ca="1">Y286-EC182</f>
        <v>0</v>
      </c>
      <c r="AA395" s="57">
        <f ca="1">Z286-ED182</f>
        <v>0</v>
      </c>
      <c r="AB395" s="57">
        <f ca="1">AA286-EE182</f>
        <v>0</v>
      </c>
      <c r="AC395" s="57">
        <f ca="1">AB286-EF182</f>
        <v>0</v>
      </c>
      <c r="AD395" s="57">
        <f ca="1">AC286-EG182</f>
        <v>0</v>
      </c>
      <c r="AE395" s="57">
        <f ca="1">AD286-EH182</f>
        <v>0</v>
      </c>
      <c r="AF395" s="57">
        <f ca="1">AE286-EI182</f>
        <v>0</v>
      </c>
      <c r="AG395" s="57">
        <f ca="1">AF286-EJ182</f>
        <v>0</v>
      </c>
      <c r="AH395" s="57">
        <f ca="1">AG286-EK182</f>
        <v>0</v>
      </c>
      <c r="AI395" s="57">
        <f ca="1">AH286-EL182</f>
        <v>0</v>
      </c>
      <c r="AJ395" s="57">
        <f ca="1">AI286-EM182</f>
        <v>0</v>
      </c>
      <c r="AK395" s="57">
        <f ca="1">AJ286-EN182</f>
        <v>0</v>
      </c>
      <c r="AL395" s="57">
        <f ca="1">AK286-EO182</f>
        <v>0</v>
      </c>
      <c r="AM395" s="57">
        <f ca="1">AL286-EP182</f>
        <v>0</v>
      </c>
      <c r="AN395" s="57">
        <f ca="1">AM286-EQ182</f>
        <v>0</v>
      </c>
      <c r="AO395" s="57">
        <f ca="1">AN286-ER182</f>
        <v>0</v>
      </c>
      <c r="AP395" s="57">
        <f ca="1">AO286-ES182</f>
        <v>0</v>
      </c>
      <c r="AQ395" s="57">
        <f ca="1">AP286-ET182</f>
        <v>0</v>
      </c>
      <c r="AR395" s="57">
        <f ca="1">AQ286-EU182</f>
        <v>0</v>
      </c>
      <c r="AS395" s="57">
        <f ca="1">AR286-EV182</f>
        <v>0</v>
      </c>
      <c r="AT395" s="57">
        <f ca="1">AS286-EW182</f>
        <v>0</v>
      </c>
      <c r="AU395" s="57">
        <f ca="1">AT286-EX182</f>
        <v>0</v>
      </c>
      <c r="AV395" s="57">
        <f ca="1">AU286-EY182</f>
        <v>0</v>
      </c>
      <c r="AW395" s="57">
        <f ca="1">AV286-EZ182</f>
        <v>0</v>
      </c>
      <c r="AX395" s="57">
        <f ca="1">AW286-FA182</f>
        <v>0</v>
      </c>
      <c r="AY395" s="57">
        <f ca="1">AX286-FB182</f>
        <v>0</v>
      </c>
      <c r="AZ395" s="57">
        <f ca="1">AY286-FC182</f>
        <v>0</v>
      </c>
      <c r="BA395" s="57">
        <f ca="1">AZ286-FD182</f>
        <v>0</v>
      </c>
      <c r="BB395" s="57">
        <f ca="1">BA286-FE182</f>
        <v>0</v>
      </c>
      <c r="BC395" s="57">
        <f ca="1">BB286-FF182</f>
        <v>0</v>
      </c>
    </row>
    <row r="396" spans="1:55">
      <c r="A396" s="27">
        <v>46</v>
      </c>
      <c r="B396" s="27" t="str">
        <f t="shared" si="444"/>
        <v>Sim</v>
      </c>
      <c r="C396" s="27">
        <f t="shared" si="442"/>
        <v>2</v>
      </c>
      <c r="D396" s="27">
        <f t="shared" ca="1" si="443"/>
        <v>7</v>
      </c>
      <c r="E396" s="34">
        <v>46</v>
      </c>
      <c r="F396" s="57">
        <f ca="1">E287-DI183</f>
        <v>0</v>
      </c>
      <c r="G396" s="57">
        <f ca="1">F287-DJ183</f>
        <v>0</v>
      </c>
      <c r="H396" s="57">
        <f ca="1">G287-DK183</f>
        <v>-4.0790000002677296E-7</v>
      </c>
      <c r="I396" s="57">
        <f ca="1">H287-DL183</f>
        <v>2.1039999964500566E-8</v>
      </c>
      <c r="J396" s="57">
        <f ca="1">I287-DM183</f>
        <v>6.5706000001997111E-7</v>
      </c>
      <c r="K396" s="57">
        <f ca="1">J287-DN183</f>
        <v>4.4989999947731008E-8</v>
      </c>
      <c r="L396" s="57">
        <f ca="1">K287-DO183</f>
        <v>6.277800000398237E-7</v>
      </c>
      <c r="M396" s="57">
        <f ca="1">L287-DP183</f>
        <v>-5.0722999999999963E-2</v>
      </c>
      <c r="N396" s="57">
        <f ca="1">M287-DQ183</f>
        <v>-0.12813300000000005</v>
      </c>
      <c r="O396" s="57">
        <f ca="1">N287-DR183</f>
        <v>7.9545000000000005E-2</v>
      </c>
      <c r="P396" s="57">
        <f ca="1">O287-DS183</f>
        <v>0.88268800000000003</v>
      </c>
      <c r="Q396" s="57">
        <f ca="1">P287-DT183</f>
        <v>6.967000000000001E-2</v>
      </c>
      <c r="R396" s="57">
        <f ca="1">Q287-DU183</f>
        <v>-1.3972610000000001</v>
      </c>
      <c r="S396" s="57">
        <f ca="1">R287-DV183</f>
        <v>0.38983799999999996</v>
      </c>
      <c r="T396" s="57">
        <f ca="1">S287-DW183</f>
        <v>0.72542399999999996</v>
      </c>
      <c r="U396" s="57">
        <f ca="1">T287-DX183</f>
        <v>0.67787199999999992</v>
      </c>
      <c r="V396" s="57">
        <f ca="1">U287-DY183</f>
        <v>0.81289499999999992</v>
      </c>
      <c r="W396" s="57">
        <f ca="1">V287-DZ183</f>
        <v>-0.10305800000000001</v>
      </c>
      <c r="X396" s="57">
        <f ca="1">W287-EA183</f>
        <v>0.63580399999999992</v>
      </c>
      <c r="Y396" s="57">
        <f ca="1">X287-EB183</f>
        <v>0.82482300000000008</v>
      </c>
      <c r="Z396" s="57">
        <f ca="1">Y287-EC183</f>
        <v>0.77178900000000006</v>
      </c>
      <c r="AA396" s="57">
        <f ca="1">Z287-ED183</f>
        <v>1.510321</v>
      </c>
      <c r="AB396" s="57">
        <f ca="1">AA287-EE183</f>
        <v>3.886400000000001E-2</v>
      </c>
      <c r="AC396" s="57">
        <f ca="1">AB287-EF183</f>
        <v>-0.23239000000000001</v>
      </c>
      <c r="AD396" s="57">
        <f ca="1">AC287-EG183</f>
        <v>-0.615483</v>
      </c>
      <c r="AE396" s="57">
        <f ca="1">AD287-EH183</f>
        <v>-0.93345999999999996</v>
      </c>
      <c r="AF396" s="57">
        <f ca="1">AE287-EI183</f>
        <v>0.551983</v>
      </c>
      <c r="AG396" s="57">
        <f ca="1">AF287-EJ183</f>
        <v>0.48677300000000001</v>
      </c>
      <c r="AH396" s="57">
        <f ca="1">AG287-EK183</f>
        <v>-0.23618500000000003</v>
      </c>
      <c r="AI396" s="57">
        <f ca="1">AH287-EL183</f>
        <v>-0.92380600000000002</v>
      </c>
      <c r="AJ396" s="57">
        <f ca="1">AI287-EM183</f>
        <v>1.607923</v>
      </c>
      <c r="AK396" s="57">
        <f ca="1">AJ287-EN183</f>
        <v>-0.31552699999999989</v>
      </c>
      <c r="AL396" s="57">
        <f ca="1">AK287-EO183</f>
        <v>0.54294200000000004</v>
      </c>
      <c r="AM396" s="57">
        <f ca="1">AL287-EP183</f>
        <v>-1.126107</v>
      </c>
      <c r="AN396" s="57">
        <f ca="1">AM287-EQ183</f>
        <v>0.36086999999999997</v>
      </c>
      <c r="AO396" s="57">
        <f ca="1">AN287-ER183</f>
        <v>-0.166548</v>
      </c>
      <c r="AP396" s="57">
        <f ca="1">AO287-ES183</f>
        <v>0.114369</v>
      </c>
      <c r="AQ396" s="57">
        <f ca="1">AP287-ET183</f>
        <v>9.4177999999999984E-2</v>
      </c>
      <c r="AR396" s="57">
        <f ca="1">AQ287-EU183</f>
        <v>-0.50492700000000001</v>
      </c>
      <c r="AS396" s="57">
        <f ca="1">AR287-EV183</f>
        <v>-1.2779E-2</v>
      </c>
      <c r="AT396" s="57">
        <f ca="1">AS287-EW183</f>
        <v>-0.11319799999999991</v>
      </c>
      <c r="AU396" s="57">
        <f ca="1">AT287-EX183</f>
        <v>-0.42610399999999998</v>
      </c>
      <c r="AV396" s="57">
        <f ca="1">AU287-EY183</f>
        <v>-1.295269</v>
      </c>
      <c r="AW396" s="57">
        <f ca="1">AV287-EZ183</f>
        <v>-6.1778E-2</v>
      </c>
      <c r="AX396" s="57">
        <f ca="1">AW287-FA183</f>
        <v>-0.42834899999999998</v>
      </c>
      <c r="AY396" s="57">
        <f ca="1">AX287-FB183</f>
        <v>-4.6355000000000035E-2</v>
      </c>
      <c r="AZ396" s="57">
        <f ca="1">AY287-FC183</f>
        <v>0.61016499999999996</v>
      </c>
      <c r="BA396" s="57">
        <f ca="1">AZ287-FD183</f>
        <v>-0.13832700000000001</v>
      </c>
      <c r="BB396" s="57">
        <f ca="1">BA287-FE183</f>
        <v>0.82342499999999985</v>
      </c>
      <c r="BC396" s="57">
        <f ca="1">BB287-FF183</f>
        <v>-0.56429700000000005</v>
      </c>
    </row>
    <row r="397" spans="1:55">
      <c r="A397" s="27">
        <v>47</v>
      </c>
      <c r="B397" s="27" t="str">
        <f t="shared" si="444"/>
        <v>Sim</v>
      </c>
      <c r="C397" s="27">
        <f t="shared" si="442"/>
        <v>28</v>
      </c>
      <c r="D397" s="27">
        <f t="shared" ca="1" si="443"/>
        <v>36</v>
      </c>
      <c r="E397" s="34">
        <v>47</v>
      </c>
      <c r="F397" s="57">
        <f ca="1">E288-DI184</f>
        <v>0</v>
      </c>
      <c r="G397" s="57">
        <f ca="1">F288-DJ184</f>
        <v>0</v>
      </c>
      <c r="H397" s="57">
        <f ca="1">G288-DK184</f>
        <v>0</v>
      </c>
      <c r="I397" s="57">
        <f ca="1">H288-DL184</f>
        <v>0</v>
      </c>
      <c r="J397" s="57">
        <f ca="1">I288-DM184</f>
        <v>0</v>
      </c>
      <c r="K397" s="57">
        <f ca="1">J288-DN184</f>
        <v>0</v>
      </c>
      <c r="L397" s="57">
        <f ca="1">K288-DO184</f>
        <v>0</v>
      </c>
      <c r="M397" s="57">
        <f ca="1">L288-DP184</f>
        <v>0</v>
      </c>
      <c r="N397" s="57">
        <f ca="1">M288-DQ184</f>
        <v>0</v>
      </c>
      <c r="O397" s="57">
        <f ca="1">N288-DR184</f>
        <v>0</v>
      </c>
      <c r="P397" s="57">
        <f ca="1">O288-DS184</f>
        <v>0</v>
      </c>
      <c r="Q397" s="57">
        <f ca="1">P288-DT184</f>
        <v>0</v>
      </c>
      <c r="R397" s="57">
        <f ca="1">Q288-DU184</f>
        <v>0</v>
      </c>
      <c r="S397" s="57">
        <f ca="1">R288-DV184</f>
        <v>0</v>
      </c>
      <c r="T397" s="57">
        <f ca="1">S288-DW184</f>
        <v>0</v>
      </c>
      <c r="U397" s="57">
        <f ca="1">T288-DX184</f>
        <v>0</v>
      </c>
      <c r="V397" s="57">
        <f ca="1">U288-DY184</f>
        <v>0</v>
      </c>
      <c r="W397" s="57">
        <f ca="1">V288-DZ184</f>
        <v>0</v>
      </c>
      <c r="X397" s="57">
        <f ca="1">W288-EA184</f>
        <v>0</v>
      </c>
      <c r="Y397" s="57">
        <f ca="1">X288-EB184</f>
        <v>0</v>
      </c>
      <c r="Z397" s="57">
        <f ca="1">Y288-EC184</f>
        <v>0</v>
      </c>
      <c r="AA397" s="57">
        <f ca="1">Z288-ED184</f>
        <v>0</v>
      </c>
      <c r="AB397" s="57">
        <f ca="1">AA288-EE184</f>
        <v>0</v>
      </c>
      <c r="AC397" s="57">
        <f ca="1">AB288-EF184</f>
        <v>0</v>
      </c>
      <c r="AD397" s="57">
        <f ca="1">AC288-EG184</f>
        <v>0</v>
      </c>
      <c r="AE397" s="57">
        <f ca="1">AD288-EH184</f>
        <v>0</v>
      </c>
      <c r="AF397" s="57">
        <f ca="1">AE288-EI184</f>
        <v>0</v>
      </c>
      <c r="AG397" s="57">
        <f ca="1">AF288-EJ184</f>
        <v>0</v>
      </c>
      <c r="AH397" s="57">
        <f ca="1">AG288-EK184</f>
        <v>7.4904800004271799E-7</v>
      </c>
      <c r="AI397" s="57">
        <f ca="1">AH288-EL184</f>
        <v>3.6343200010557908E-7</v>
      </c>
      <c r="AJ397" s="57">
        <f ca="1">AI288-EM184</f>
        <v>4.1912799997323447E-7</v>
      </c>
      <c r="AK397" s="57">
        <f ca="1">AJ288-EN184</f>
        <v>-1.1920399978215812E-7</v>
      </c>
      <c r="AL397" s="57">
        <f ca="1">AK288-EO184</f>
        <v>-3.6297600003454278E-7</v>
      </c>
      <c r="AM397" s="57">
        <f ca="1">AL288-EP184</f>
        <v>-9.6283600015123483E-7</v>
      </c>
      <c r="AN397" s="57">
        <f ca="1">AM288-EQ184</f>
        <v>7.288400016847163E-8</v>
      </c>
      <c r="AO397" s="57">
        <f ca="1">AN288-ER184</f>
        <v>-3.7003599995255598E-7</v>
      </c>
      <c r="AP397" s="57">
        <f ca="1">AO288-ES184</f>
        <v>0.19022499999999998</v>
      </c>
      <c r="AQ397" s="57">
        <f ca="1">AP288-ET184</f>
        <v>9.8640000000000005E-2</v>
      </c>
      <c r="AR397" s="57">
        <f ca="1">AQ288-EU184</f>
        <v>-0.58676799999999996</v>
      </c>
      <c r="AS397" s="57">
        <f ca="1">AR288-EV184</f>
        <v>-0.47516199999999997</v>
      </c>
      <c r="AT397" s="57">
        <f ca="1">AS288-EW184</f>
        <v>-3.3214999999999995E-2</v>
      </c>
      <c r="AU397" s="57">
        <f ca="1">AT288-EX184</f>
        <v>-0.40886800000000001</v>
      </c>
      <c r="AV397" s="57">
        <f ca="1">AU288-EY184</f>
        <v>-0.152393</v>
      </c>
      <c r="AW397" s="57">
        <f ca="1">AV288-EZ184</f>
        <v>-0.27535100000000001</v>
      </c>
      <c r="AX397" s="57">
        <f ca="1">AW288-FA184</f>
        <v>6.5284999999999982E-2</v>
      </c>
      <c r="AY397" s="57">
        <f ca="1">AX288-FB184</f>
        <v>-0.42984800000000001</v>
      </c>
      <c r="AZ397" s="57">
        <f ca="1">AY288-FC184</f>
        <v>-7.8181E-2</v>
      </c>
      <c r="BA397" s="57">
        <f ca="1">AZ288-FD184</f>
        <v>0.73843599999999998</v>
      </c>
      <c r="BB397" s="57">
        <f ca="1">BA288-FE184</f>
        <v>0.54022499999999996</v>
      </c>
      <c r="BC397" s="57">
        <f ca="1">BB288-FF184</f>
        <v>0.5328480000000001</v>
      </c>
    </row>
    <row r="398" spans="1:55">
      <c r="A398" s="27">
        <v>48</v>
      </c>
      <c r="B398" s="27" t="str">
        <f t="shared" si="444"/>
        <v>Sim</v>
      </c>
      <c r="C398" s="27">
        <f t="shared" si="442"/>
        <v>1</v>
      </c>
      <c r="D398" s="27">
        <f t="shared" ca="1" si="443"/>
        <v>41</v>
      </c>
      <c r="E398" s="34">
        <v>48</v>
      </c>
      <c r="F398" s="57">
        <f ca="1">E289-DI185</f>
        <v>0</v>
      </c>
      <c r="G398" s="57">
        <f ca="1">F289-DJ185</f>
        <v>-6.1248000084862531E-8</v>
      </c>
      <c r="H398" s="57">
        <f ca="1">G289-DK185</f>
        <v>2.6752000004126586E-8</v>
      </c>
      <c r="I398" s="57">
        <f ca="1">H289-DL185</f>
        <v>-8.4224000052035564E-8</v>
      </c>
      <c r="J398" s="57">
        <f ca="1">I289-DM185</f>
        <v>-1.5142399995005107E-7</v>
      </c>
      <c r="K398" s="57">
        <f ca="1">J289-DN185</f>
        <v>-4.6911999999899034E-7</v>
      </c>
      <c r="L398" s="57">
        <f ca="1">K289-DO185</f>
        <v>5.2992000010299023E-8</v>
      </c>
      <c r="M398" s="57">
        <f ca="1">L289-DP185</f>
        <v>-7.9935999985902839E-8</v>
      </c>
      <c r="N398" s="57">
        <f ca="1">M289-DQ185</f>
        <v>5.5270399990092756E-7</v>
      </c>
      <c r="O398" s="57">
        <f ca="1">N289-DR185</f>
        <v>4.3116800008125011E-7</v>
      </c>
      <c r="P398" s="57">
        <f ca="1">O289-DS185</f>
        <v>5.4284800000969913E-7</v>
      </c>
      <c r="Q398" s="57">
        <f ca="1">P289-DT185</f>
        <v>3.4662399998885984E-7</v>
      </c>
      <c r="R398" s="57">
        <f ca="1">Q289-DU185</f>
        <v>6.5267199994556435E-7</v>
      </c>
      <c r="S398" s="57">
        <f ca="1">R289-DV185</f>
        <v>5.2863999999708255E-7</v>
      </c>
      <c r="T398" s="57">
        <f ca="1">S289-DW185</f>
        <v>-1.4374400009176114E-7</v>
      </c>
      <c r="U398" s="57">
        <f ca="1">T289-DX185</f>
        <v>5.4380799996422979E-7</v>
      </c>
      <c r="V398" s="57">
        <f ca="1">U289-DY185</f>
        <v>-4.6681600000125778E-7</v>
      </c>
      <c r="W398" s="57">
        <f ca="1">V289-DZ185</f>
        <v>-1.4374399998073883E-7</v>
      </c>
      <c r="X398" s="57">
        <f ca="1">W289-EA185</f>
        <v>-6.5446399999391502E-7</v>
      </c>
      <c r="Y398" s="57">
        <f ca="1">X289-EB185</f>
        <v>3.8822400000304569E-7</v>
      </c>
      <c r="Z398" s="57">
        <f ca="1">Y289-EC185</f>
        <v>8.1337599999731225E-7</v>
      </c>
      <c r="AA398" s="57">
        <f ca="1">Z289-ED185</f>
        <v>5.6256000080523449E-8</v>
      </c>
      <c r="AB398" s="57">
        <f ca="1">AA289-EE185</f>
        <v>-5.4284799999582134E-7</v>
      </c>
      <c r="AC398" s="57">
        <f ca="1">AB289-EF185</f>
        <v>-9.4681600001922384E-7</v>
      </c>
      <c r="AD398" s="57">
        <f ca="1">AC289-EG185</f>
        <v>-2.1209599998517348E-7</v>
      </c>
      <c r="AE398" s="57">
        <f ca="1">AD289-EH185</f>
        <v>-2.9190399999934336E-7</v>
      </c>
      <c r="AF398" s="57">
        <f ca="1">AE289-EI185</f>
        <v>5.7279999993165021E-8</v>
      </c>
      <c r="AG398" s="57">
        <f ca="1">AF289-EJ185</f>
        <v>-7.5680000011235649E-7</v>
      </c>
      <c r="AH398" s="57">
        <f ca="1">AG289-EK185</f>
        <v>1.6928000001747989E-7</v>
      </c>
      <c r="AI398" s="57">
        <f ca="1">AH289-EL185</f>
        <v>-5.0214399993642189E-7</v>
      </c>
      <c r="AJ398" s="57">
        <f ca="1">AI289-EM185</f>
        <v>-3.2806399996587743E-7</v>
      </c>
      <c r="AK398" s="57">
        <f ca="1">AJ289-EN185</f>
        <v>2.7468800001262395E-7</v>
      </c>
      <c r="AL398" s="57">
        <f ca="1">AK289-EO185</f>
        <v>-5.4924799999800378E-7</v>
      </c>
      <c r="AM398" s="57">
        <f ca="1">AL289-EP185</f>
        <v>-2.2720000014686548E-7</v>
      </c>
      <c r="AN398" s="57">
        <f ca="1">AM289-EQ185</f>
        <v>4.3155200002420457E-7</v>
      </c>
      <c r="AO398" s="57">
        <f ca="1">AN289-ER185</f>
        <v>4.0160000000510898E-7</v>
      </c>
      <c r="AP398" s="57">
        <f ca="1">AO289-ES185</f>
        <v>-2.9235199999755324E-7</v>
      </c>
      <c r="AQ398" s="57">
        <f ca="1">AP289-ET185</f>
        <v>-3.3158399999344557E-7</v>
      </c>
      <c r="AR398" s="57">
        <f ca="1">AQ289-EU185</f>
        <v>3.3913600000490263E-7</v>
      </c>
      <c r="AS398" s="57">
        <f ca="1">AR289-EV185</f>
        <v>-1.9488000002620964E-7</v>
      </c>
      <c r="AT398" s="57">
        <f ca="1">AS289-EW185</f>
        <v>2.7270400000320438E-7</v>
      </c>
      <c r="AU398" s="57">
        <f ca="1">AT289-EX185</f>
        <v>0.31230999999999998</v>
      </c>
      <c r="AV398" s="57">
        <f ca="1">AU289-EY185</f>
        <v>0.14764499999999992</v>
      </c>
      <c r="AW398" s="57">
        <f ca="1">AV289-EZ185</f>
        <v>0.19280200000000003</v>
      </c>
      <c r="AX398" s="57">
        <f ca="1">AW289-FA185</f>
        <v>0.30178099999999997</v>
      </c>
      <c r="AY398" s="57">
        <f ca="1">AX289-FB185</f>
        <v>-4.2550999999999978E-2</v>
      </c>
      <c r="AZ398" s="57">
        <f ca="1">AY289-FC185</f>
        <v>0.13064799999999999</v>
      </c>
      <c r="BA398" s="57">
        <f ca="1">AZ289-FD185</f>
        <v>-0.55217399999999994</v>
      </c>
      <c r="BB398" s="57">
        <f ca="1">BA289-FE185</f>
        <v>0.11995500000000003</v>
      </c>
      <c r="BC398" s="57">
        <f ca="1">BB289-FF185</f>
        <v>-0.79800499999999996</v>
      </c>
    </row>
    <row r="399" spans="1:55">
      <c r="A399" s="27">
        <v>49</v>
      </c>
      <c r="B399" s="27" t="str">
        <f t="shared" si="444"/>
        <v>Sim</v>
      </c>
      <c r="C399" s="27">
        <f t="shared" si="442"/>
        <v>7</v>
      </c>
      <c r="D399" s="27">
        <f t="shared" ca="1" si="443"/>
        <v>17</v>
      </c>
      <c r="E399" s="34">
        <v>49</v>
      </c>
      <c r="F399" s="57">
        <f ca="1">E290-DI186</f>
        <v>0</v>
      </c>
      <c r="G399" s="57">
        <f ca="1">F290-DJ186</f>
        <v>0</v>
      </c>
      <c r="H399" s="57">
        <f ca="1">G290-DK186</f>
        <v>0</v>
      </c>
      <c r="I399" s="57">
        <f ca="1">H290-DL186</f>
        <v>0</v>
      </c>
      <c r="J399" s="57">
        <f ca="1">I290-DM186</f>
        <v>0</v>
      </c>
      <c r="K399" s="57">
        <f ca="1">J290-DN186</f>
        <v>0</v>
      </c>
      <c r="L399" s="57">
        <f ca="1">K290-DO186</f>
        <v>0</v>
      </c>
      <c r="M399" s="57">
        <f ca="1">L290-DP186</f>
        <v>-5.3491000001626432E-7</v>
      </c>
      <c r="N399" s="57">
        <f ca="1">M290-DQ186</f>
        <v>5.7576000012105055E-7</v>
      </c>
      <c r="O399" s="57">
        <f ca="1">N290-DR186</f>
        <v>3.5451000002240107E-7</v>
      </c>
      <c r="P399" s="57">
        <f ca="1">O290-DS186</f>
        <v>-4.3357999990334406E-7</v>
      </c>
      <c r="Q399" s="57">
        <f ca="1">P290-DT186</f>
        <v>-6.9879000008654657E-7</v>
      </c>
      <c r="R399" s="57">
        <f ca="1">Q290-DU186</f>
        <v>-1.7909999994181192E-7</v>
      </c>
      <c r="S399" s="57">
        <f ca="1">R290-DV186</f>
        <v>-3.2588000009603491E-7</v>
      </c>
      <c r="T399" s="57">
        <f ca="1">S290-DW186</f>
        <v>-1.5639999961791773E-8</v>
      </c>
      <c r="U399" s="57">
        <f ca="1">T290-DX186</f>
        <v>8.5690000006799494E-7</v>
      </c>
      <c r="V399" s="57">
        <f ca="1">U290-DY186</f>
        <v>-1.1575000002927993E-7</v>
      </c>
      <c r="W399" s="57">
        <f ca="1">V290-DZ186</f>
        <v>0.168682</v>
      </c>
      <c r="X399" s="57">
        <f ca="1">W290-EA186</f>
        <v>0.23635100000000003</v>
      </c>
      <c r="Y399" s="57">
        <f ca="1">X290-EB186</f>
        <v>0.18259000000000003</v>
      </c>
      <c r="Z399" s="57">
        <f ca="1">Y290-EC186</f>
        <v>0.21523399999999993</v>
      </c>
      <c r="AA399" s="57">
        <f ca="1">Z290-ED186</f>
        <v>-0.13248799999999999</v>
      </c>
      <c r="AB399" s="57">
        <f ca="1">AA290-EE186</f>
        <v>-0.36123699999999992</v>
      </c>
      <c r="AC399" s="57">
        <f ca="1">AB290-EF186</f>
        <v>-1.6925999999999997E-2</v>
      </c>
      <c r="AD399" s="57">
        <f ca="1">AC290-EG186</f>
        <v>-0.23093099999999997</v>
      </c>
      <c r="AE399" s="57">
        <f ca="1">AD290-EH186</f>
        <v>-0.122004</v>
      </c>
      <c r="AF399" s="57">
        <f ca="1">AE290-EI186</f>
        <v>-0.518011</v>
      </c>
      <c r="AG399" s="57">
        <f ca="1">AF290-EJ186</f>
        <v>-8.0656999999999979E-2</v>
      </c>
      <c r="AH399" s="57">
        <f ca="1">AG290-EK186</f>
        <v>0.45989799999999997</v>
      </c>
      <c r="AI399" s="57">
        <f ca="1">AH290-EL186</f>
        <v>0.38832899999999992</v>
      </c>
      <c r="AJ399" s="57">
        <f ca="1">AI290-EM186</f>
        <v>-0.38192500000000007</v>
      </c>
      <c r="AK399" s="57">
        <f ca="1">AJ290-EN186</f>
        <v>5.5142000000000024E-2</v>
      </c>
      <c r="AL399" s="57">
        <f ca="1">AK290-EO186</f>
        <v>0.29968099999999998</v>
      </c>
      <c r="AM399" s="57">
        <f ca="1">AL290-EP186</f>
        <v>-0.12977899999999998</v>
      </c>
      <c r="AN399" s="57">
        <f ca="1">AM290-EQ186</f>
        <v>4.4224000000000041E-2</v>
      </c>
      <c r="AO399" s="57">
        <f ca="1">AN290-ER186</f>
        <v>0.14068999999999998</v>
      </c>
      <c r="AP399" s="57">
        <f ca="1">AO290-ES186</f>
        <v>-0.40528900000000007</v>
      </c>
      <c r="AQ399" s="57">
        <f ca="1">AP290-ET186</f>
        <v>-0.13026000000000004</v>
      </c>
      <c r="AR399" s="57">
        <f ca="1">AQ290-EU186</f>
        <v>0.413997</v>
      </c>
      <c r="AS399" s="57">
        <f ca="1">AR290-EV186</f>
        <v>0.312722</v>
      </c>
      <c r="AT399" s="57">
        <f ca="1">AS290-EW186</f>
        <v>-0.167521</v>
      </c>
      <c r="AU399" s="57">
        <f ca="1">AT290-EX186</f>
        <v>0.24421399999999999</v>
      </c>
      <c r="AV399" s="57">
        <f ca="1">AU290-EY186</f>
        <v>-9.4732000000000038E-2</v>
      </c>
      <c r="AW399" s="57">
        <f ca="1">AV290-EZ186</f>
        <v>0.239338</v>
      </c>
      <c r="AX399" s="57">
        <f ca="1">AW290-FA186</f>
        <v>6.2661999999999995E-2</v>
      </c>
      <c r="AY399" s="57">
        <f ca="1">AX290-FB186</f>
        <v>0.26915599999999995</v>
      </c>
      <c r="AZ399" s="57">
        <f ca="1">AY290-FC186</f>
        <v>0.12805800000000001</v>
      </c>
      <c r="BA399" s="57">
        <f ca="1">AZ290-FD186</f>
        <v>-7.6089999999999991E-2</v>
      </c>
      <c r="BB399" s="57">
        <f ca="1">BA290-FE186</f>
        <v>0.31070700000000007</v>
      </c>
      <c r="BC399" s="57">
        <f ca="1">BB290-FF186</f>
        <v>-7.6469999999999996E-2</v>
      </c>
    </row>
    <row r="400" spans="1:55">
      <c r="A400" s="27">
        <v>50</v>
      </c>
      <c r="B400" s="27" t="str">
        <f t="shared" si="444"/>
        <v>Sim</v>
      </c>
      <c r="C400" s="27">
        <f t="shared" si="442"/>
        <v>0</v>
      </c>
      <c r="D400" s="27">
        <f t="shared" ca="1" si="443"/>
        <v>7</v>
      </c>
      <c r="E400" s="34">
        <v>50</v>
      </c>
      <c r="F400" s="57">
        <f ca="1">E291-DI187</f>
        <v>3.6093900024347647E-7</v>
      </c>
      <c r="G400" s="57">
        <f ca="1">F291-DJ187</f>
        <v>-3.1510000053636134E-8</v>
      </c>
      <c r="H400" s="57">
        <f ca="1">G291-DK187</f>
        <v>-9.5499199997961526E-7</v>
      </c>
      <c r="I400" s="57">
        <f ca="1">H291-DL187</f>
        <v>-1.5906700001622198E-7</v>
      </c>
      <c r="J400" s="57">
        <f ca="1">I291-DM187</f>
        <v>-3.9727700001934707E-7</v>
      </c>
      <c r="K400" s="57">
        <f ca="1">J291-DN187</f>
        <v>6.0289999659346449E-9</v>
      </c>
      <c r="L400" s="57">
        <f ca="1">K291-DO187</f>
        <v>8.8276800003228573E-7</v>
      </c>
      <c r="M400" s="57">
        <f ca="1">L291-DP187</f>
        <v>5.4330000000000003E-2</v>
      </c>
      <c r="N400" s="57">
        <f ca="1">M291-DQ187</f>
        <v>-9.1708000000000012E-2</v>
      </c>
      <c r="O400" s="57">
        <f ca="1">N291-DR187</f>
        <v>1.2461E-2</v>
      </c>
      <c r="P400" s="57">
        <f ca="1">O291-DS187</f>
        <v>-2.9591000000000034E-2</v>
      </c>
      <c r="Q400" s="57">
        <f ca="1">P291-DT187</f>
        <v>-1.4961000000000002E-2</v>
      </c>
      <c r="R400" s="57">
        <f ca="1">Q291-DU187</f>
        <v>2.2730000000000805E-3</v>
      </c>
      <c r="S400" s="57">
        <f ca="1">R291-DV187</f>
        <v>0.12742399999999998</v>
      </c>
      <c r="T400" s="57">
        <f ca="1">S291-DW187</f>
        <v>-4.9703000000000053E-2</v>
      </c>
      <c r="U400" s="57">
        <f ca="1">T291-DX187</f>
        <v>5.3739999999999899E-3</v>
      </c>
      <c r="V400" s="57">
        <f ca="1">U291-DY187</f>
        <v>-2.459699999999998E-2</v>
      </c>
      <c r="W400" s="57">
        <f ca="1">V291-DZ187</f>
        <v>-2.5722000000000023E-2</v>
      </c>
      <c r="X400" s="57">
        <f ca="1">W291-EA187</f>
        <v>-0.16087200000000013</v>
      </c>
      <c r="Y400" s="57">
        <f ca="1">X291-EB187</f>
        <v>-1.3900999999999997E-2</v>
      </c>
      <c r="Z400" s="57">
        <f ca="1">Y291-EC187</f>
        <v>-6.1528000000000027E-2</v>
      </c>
      <c r="AA400" s="57">
        <f ca="1">Z291-ED187</f>
        <v>8.9969999999999217E-3</v>
      </c>
      <c r="AB400" s="57">
        <f ca="1">AA291-EE187</f>
        <v>-0.10188799999999998</v>
      </c>
      <c r="AC400" s="57">
        <f ca="1">AB291-EF187</f>
        <v>-6.8860000000000032E-3</v>
      </c>
      <c r="AD400" s="57">
        <f ca="1">AC291-EG187</f>
        <v>0.13641099999999995</v>
      </c>
      <c r="AE400" s="57">
        <f ca="1">AD291-EH187</f>
        <v>1.6374E-2</v>
      </c>
      <c r="AF400" s="57">
        <f ca="1">AE291-EI187</f>
        <v>0.100657</v>
      </c>
      <c r="AG400" s="57">
        <f ca="1">AF291-EJ187</f>
        <v>-0.12102599999999986</v>
      </c>
      <c r="AH400" s="57">
        <f ca="1">AG291-EK187</f>
        <v>0.100101</v>
      </c>
      <c r="AI400" s="57">
        <f ca="1">AH291-EL187</f>
        <v>-1.4062000000000019E-2</v>
      </c>
      <c r="AJ400" s="57">
        <f ca="1">AI291-EM187</f>
        <v>3.4421000000000035E-2</v>
      </c>
      <c r="AK400" s="57">
        <f ca="1">AJ291-EN187</f>
        <v>-1.822899999999994E-2</v>
      </c>
      <c r="AL400" s="57">
        <f ca="1">AK291-EO187</f>
        <v>-9.1653000000000012E-2</v>
      </c>
      <c r="AM400" s="57">
        <f ca="1">AL291-EP187</f>
        <v>0.1580879999999999</v>
      </c>
      <c r="AN400" s="57">
        <f ca="1">AM291-EQ187</f>
        <v>-0.11286000000000007</v>
      </c>
      <c r="AO400" s="57">
        <f ca="1">AN291-ER187</f>
        <v>0.10869700000000004</v>
      </c>
      <c r="AP400" s="57">
        <f ca="1">AO291-ES187</f>
        <v>-7.2313000000000016E-2</v>
      </c>
      <c r="AQ400" s="57">
        <f ca="1">AP291-ET187</f>
        <v>0.10869300000000001</v>
      </c>
      <c r="AR400" s="57">
        <f ca="1">AQ291-EU187</f>
        <v>-2.8141000000000083E-2</v>
      </c>
      <c r="AS400" s="57">
        <f ca="1">AR291-EV187</f>
        <v>-5.233199999999999E-2</v>
      </c>
      <c r="AT400" s="57">
        <f ca="1">AS291-EW187</f>
        <v>-2.4931999999999954E-2</v>
      </c>
      <c r="AU400" s="57">
        <f ca="1">AT291-EX187</f>
        <v>-4.5483999999999997E-2</v>
      </c>
      <c r="AV400" s="57">
        <f ca="1">AU291-EY187</f>
        <v>-9.2198000000000002E-2</v>
      </c>
      <c r="AW400" s="57">
        <f ca="1">AV291-EZ187</f>
        <v>-4.7393999999999992E-2</v>
      </c>
      <c r="AX400" s="57">
        <f ca="1">AW291-FA187</f>
        <v>0.12228000000000006</v>
      </c>
      <c r="AY400" s="57">
        <f ca="1">AX291-FB187</f>
        <v>-1.9439999999999874E-3</v>
      </c>
      <c r="AZ400" s="57">
        <f ca="1">AY291-FC187</f>
        <v>1.1249000000000009E-2</v>
      </c>
      <c r="BA400" s="57">
        <f ca="1">AZ291-FD187</f>
        <v>3.0311000000000032E-2</v>
      </c>
      <c r="BB400" s="57">
        <f ca="1">BA291-FE187</f>
        <v>-7.7975000000000017E-2</v>
      </c>
      <c r="BC400" s="57">
        <f ca="1">BB291-FF187</f>
        <v>-5.8734000000000008E-2</v>
      </c>
    </row>
    <row r="401" spans="1:55">
      <c r="A401" s="27">
        <v>51</v>
      </c>
      <c r="B401" s="27" t="str">
        <f t="shared" si="444"/>
        <v>Sim</v>
      </c>
      <c r="C401" s="27">
        <f t="shared" si="442"/>
        <v>8</v>
      </c>
      <c r="D401" s="27">
        <f t="shared" ca="1" si="443"/>
        <v>16</v>
      </c>
      <c r="E401" s="34">
        <v>51</v>
      </c>
      <c r="F401" s="57">
        <f ca="1">E292-DI188</f>
        <v>0</v>
      </c>
      <c r="G401" s="57">
        <f ca="1">F292-DJ188</f>
        <v>0</v>
      </c>
      <c r="H401" s="57">
        <f ca="1">G292-DK188</f>
        <v>0</v>
      </c>
      <c r="I401" s="57">
        <f ca="1">H292-DL188</f>
        <v>0</v>
      </c>
      <c r="J401" s="57">
        <f ca="1">I292-DM188</f>
        <v>0</v>
      </c>
      <c r="K401" s="57">
        <f ca="1">J292-DN188</f>
        <v>0</v>
      </c>
      <c r="L401" s="57">
        <f ca="1">K292-DO188</f>
        <v>0</v>
      </c>
      <c r="M401" s="57">
        <f ca="1">L292-DP188</f>
        <v>0</v>
      </c>
      <c r="N401" s="57">
        <f ca="1">M292-DQ188</f>
        <v>-3.4784000002563431E-7</v>
      </c>
      <c r="O401" s="57">
        <f ca="1">N292-DR188</f>
        <v>4.7912000000760457E-7</v>
      </c>
      <c r="P401" s="57">
        <f ca="1">O292-DS188</f>
        <v>-1.6356800003336502E-7</v>
      </c>
      <c r="Q401" s="57">
        <f ca="1">P292-DT188</f>
        <v>-2.603200000006467E-7</v>
      </c>
      <c r="R401" s="57">
        <f ca="1">Q292-DU188</f>
        <v>5.7551999999017056E-8</v>
      </c>
      <c r="S401" s="57">
        <f ca="1">R292-DV188</f>
        <v>1.1227200000241133E-7</v>
      </c>
      <c r="T401" s="57">
        <f ca="1">S292-DW188</f>
        <v>4.3199999999465888E-7</v>
      </c>
      <c r="U401" s="57">
        <f ca="1">T292-DX188</f>
        <v>-9.4463999983362967E-8</v>
      </c>
      <c r="V401" s="57">
        <f ca="1">U292-DY188</f>
        <v>-0.226658</v>
      </c>
      <c r="W401" s="57">
        <f ca="1">V292-DZ188</f>
        <v>-2.0621100000000001</v>
      </c>
      <c r="X401" s="57">
        <f ca="1">W292-EA188</f>
        <v>-0.94634200000000002</v>
      </c>
      <c r="Y401" s="57">
        <f ca="1">X292-EB188</f>
        <v>-5.3690000000000015E-2</v>
      </c>
      <c r="Z401" s="57">
        <f ca="1">Y292-EC188</f>
        <v>-0.79288899999999995</v>
      </c>
      <c r="AA401" s="57">
        <f ca="1">Z292-ED188</f>
        <v>-0.39583500000000005</v>
      </c>
      <c r="AB401" s="57">
        <f ca="1">AA292-EE188</f>
        <v>-0.30360199999999998</v>
      </c>
      <c r="AC401" s="57">
        <f ca="1">AB292-EF188</f>
        <v>-1.144323</v>
      </c>
      <c r="AD401" s="57">
        <f ca="1">AC292-EG188</f>
        <v>0.34365200000000001</v>
      </c>
      <c r="AE401" s="57">
        <f ca="1">AD292-EH188</f>
        <v>0.90912999999999999</v>
      </c>
      <c r="AF401" s="57">
        <f ca="1">AE292-EI188</f>
        <v>-1.3919630000000001</v>
      </c>
      <c r="AG401" s="57">
        <f ca="1">AF292-EJ188</f>
        <v>1.5417690000000002</v>
      </c>
      <c r="AH401" s="57">
        <f ca="1">AG292-EK188</f>
        <v>7.0042999999999966E-2</v>
      </c>
      <c r="AI401" s="57">
        <f ca="1">AH292-EL188</f>
        <v>-0.71728899999999984</v>
      </c>
      <c r="AJ401" s="57">
        <f ca="1">AI292-EM188</f>
        <v>-0.91652199999999995</v>
      </c>
      <c r="AK401" s="57">
        <f ca="1">AJ292-EN188</f>
        <v>1.2303729999999999</v>
      </c>
      <c r="AL401" s="57">
        <f ca="1">AK292-EO188</f>
        <v>-1.1897550000000001</v>
      </c>
      <c r="AM401" s="57">
        <f ca="1">AL292-EP188</f>
        <v>-0.51526500000000008</v>
      </c>
      <c r="AN401" s="57">
        <f ca="1">AM292-EQ188</f>
        <v>-0.65522600000000009</v>
      </c>
      <c r="AO401" s="57">
        <f ca="1">AN292-ER188</f>
        <v>-0.20737800000000003</v>
      </c>
      <c r="AP401" s="57">
        <f ca="1">AO292-ES188</f>
        <v>1.5172699999999999</v>
      </c>
      <c r="AQ401" s="57">
        <f ca="1">AP292-ET188</f>
        <v>0.263934</v>
      </c>
      <c r="AR401" s="57">
        <f ca="1">AQ292-EU188</f>
        <v>0.79258099999999998</v>
      </c>
      <c r="AS401" s="57">
        <f ca="1">AR292-EV188</f>
        <v>-0.47996399999999995</v>
      </c>
      <c r="AT401" s="57">
        <f ca="1">AS292-EW188</f>
        <v>-1.050181</v>
      </c>
      <c r="AU401" s="57">
        <f ca="1">AT292-EX188</f>
        <v>1.1407310000000002</v>
      </c>
      <c r="AV401" s="57">
        <f ca="1">AU292-EY188</f>
        <v>1.0409060000000001</v>
      </c>
      <c r="AW401" s="57">
        <f ca="1">AV292-EZ188</f>
        <v>0.11355900000000001</v>
      </c>
      <c r="AX401" s="57">
        <f ca="1">AW292-FA188</f>
        <v>-0.274032</v>
      </c>
      <c r="AY401" s="57">
        <f ca="1">AX292-FB188</f>
        <v>0.86937400000000009</v>
      </c>
      <c r="AZ401" s="57">
        <f ca="1">AY292-FC188</f>
        <v>0.51236300000000001</v>
      </c>
      <c r="BA401" s="57">
        <f ca="1">AZ292-FD188</f>
        <v>9.302100000000002E-2</v>
      </c>
      <c r="BB401" s="57">
        <f ca="1">BA292-FE188</f>
        <v>-1.4249689999999999</v>
      </c>
      <c r="BC401" s="57">
        <f ca="1">BB292-FF188</f>
        <v>-0.50428200000000001</v>
      </c>
    </row>
    <row r="402" spans="1:55">
      <c r="A402" s="27">
        <v>52</v>
      </c>
      <c r="B402" s="27" t="str">
        <f t="shared" si="444"/>
        <v>Sim</v>
      </c>
      <c r="C402" s="27">
        <f t="shared" si="442"/>
        <v>26</v>
      </c>
      <c r="D402" s="27">
        <f t="shared" ca="1" si="443"/>
        <v>45</v>
      </c>
      <c r="E402" s="34">
        <v>52</v>
      </c>
      <c r="F402" s="57">
        <f ca="1">E293-DI189</f>
        <v>0</v>
      </c>
      <c r="G402" s="57">
        <f ca="1">F293-DJ189</f>
        <v>0</v>
      </c>
      <c r="H402" s="57">
        <f ca="1">G293-DK189</f>
        <v>0</v>
      </c>
      <c r="I402" s="57">
        <f ca="1">H293-DL189</f>
        <v>0</v>
      </c>
      <c r="J402" s="57">
        <f ca="1">I293-DM189</f>
        <v>0</v>
      </c>
      <c r="K402" s="57">
        <f ca="1">J293-DN189</f>
        <v>0</v>
      </c>
      <c r="L402" s="57">
        <f ca="1">K293-DO189</f>
        <v>0</v>
      </c>
      <c r="M402" s="57">
        <f ca="1">L293-DP189</f>
        <v>0</v>
      </c>
      <c r="N402" s="57">
        <f ca="1">M293-DQ189</f>
        <v>0</v>
      </c>
      <c r="O402" s="57">
        <f ca="1">N293-DR189</f>
        <v>0</v>
      </c>
      <c r="P402" s="57">
        <f ca="1">O293-DS189</f>
        <v>0</v>
      </c>
      <c r="Q402" s="57">
        <f ca="1">P293-DT189</f>
        <v>0</v>
      </c>
      <c r="R402" s="57">
        <f ca="1">Q293-DU189</f>
        <v>0</v>
      </c>
      <c r="S402" s="57">
        <f ca="1">R293-DV189</f>
        <v>0</v>
      </c>
      <c r="T402" s="57">
        <f ca="1">S293-DW189</f>
        <v>0</v>
      </c>
      <c r="U402" s="57">
        <f ca="1">T293-DX189</f>
        <v>0</v>
      </c>
      <c r="V402" s="57">
        <f ca="1">U293-DY189</f>
        <v>0</v>
      </c>
      <c r="W402" s="57">
        <f ca="1">V293-DZ189</f>
        <v>0</v>
      </c>
      <c r="X402" s="57">
        <f ca="1">W293-EA189</f>
        <v>0</v>
      </c>
      <c r="Y402" s="57">
        <f ca="1">X293-EB189</f>
        <v>0</v>
      </c>
      <c r="Z402" s="57">
        <f ca="1">Y293-EC189</f>
        <v>0</v>
      </c>
      <c r="AA402" s="57">
        <f ca="1">Z293-ED189</f>
        <v>0</v>
      </c>
      <c r="AB402" s="57">
        <f ca="1">AA293-EE189</f>
        <v>0</v>
      </c>
      <c r="AC402" s="57">
        <f ca="1">AB293-EF189</f>
        <v>0</v>
      </c>
      <c r="AD402" s="57">
        <f ca="1">AC293-EG189</f>
        <v>0</v>
      </c>
      <c r="AE402" s="57">
        <f ca="1">AD293-EH189</f>
        <v>0</v>
      </c>
      <c r="AF402" s="57">
        <f ca="1">AE293-EI189</f>
        <v>3.1450000007038348E-7</v>
      </c>
      <c r="AG402" s="57">
        <f ca="1">AF293-EJ189</f>
        <v>1.0237499992182819E-7</v>
      </c>
      <c r="AH402" s="57">
        <f ca="1">AG293-EK189</f>
        <v>4.2950000000985256E-7</v>
      </c>
      <c r="AI402" s="57">
        <f ca="1">AH293-EL189</f>
        <v>-6.4874999997077687E-7</v>
      </c>
      <c r="AJ402" s="57">
        <f ca="1">AI293-EM189</f>
        <v>-8.4912500001622926E-7</v>
      </c>
      <c r="AK402" s="57">
        <f ca="1">AJ293-EN189</f>
        <v>3.0300000003480321E-7</v>
      </c>
      <c r="AL402" s="57">
        <f ca="1">AK293-EO189</f>
        <v>-2.4937499998323176E-7</v>
      </c>
      <c r="AM402" s="57">
        <f ca="1">AL293-EP189</f>
        <v>-2.3237500001993538E-7</v>
      </c>
      <c r="AN402" s="57">
        <f ca="1">AM293-EQ189</f>
        <v>-5.2200000003055358E-7</v>
      </c>
      <c r="AO402" s="57">
        <f ca="1">AN293-ER189</f>
        <v>4.5462499999315842E-7</v>
      </c>
      <c r="AP402" s="57">
        <f ca="1">AO293-ES189</f>
        <v>1.7037499996930272E-7</v>
      </c>
      <c r="AQ402" s="57">
        <f ca="1">AP293-ET189</f>
        <v>-3.5824999999878315E-7</v>
      </c>
      <c r="AR402" s="57">
        <f ca="1">AQ293-EU189</f>
        <v>-3.8374999997148329E-7</v>
      </c>
      <c r="AS402" s="57">
        <f ca="1">AR293-EV189</f>
        <v>2.6187500000787733E-7</v>
      </c>
      <c r="AT402" s="57">
        <f ca="1">AS293-EW189</f>
        <v>3.7400000005294309E-7</v>
      </c>
      <c r="AU402" s="57">
        <f ca="1">AT293-EX189</f>
        <v>-2.3099999996167853E-7</v>
      </c>
      <c r="AV402" s="57">
        <f ca="1">AU293-EY189</f>
        <v>1.4749999999175145E-7</v>
      </c>
      <c r="AW402" s="57">
        <f ca="1">AV293-EZ189</f>
        <v>2.3224999995408169E-7</v>
      </c>
      <c r="AX402" s="57">
        <f ca="1">AW293-FA189</f>
        <v>-2.1737500000007515E-7</v>
      </c>
      <c r="AY402" s="57">
        <f ca="1">AX293-FB189</f>
        <v>0.26606300000000005</v>
      </c>
      <c r="AZ402" s="57">
        <f ca="1">AY293-FC189</f>
        <v>0.47698499999999999</v>
      </c>
      <c r="BA402" s="57">
        <f ca="1">AZ293-FD189</f>
        <v>0.31484800000000002</v>
      </c>
      <c r="BB402" s="57">
        <f ca="1">BA293-FE189</f>
        <v>-0.26714399999999999</v>
      </c>
      <c r="BC402" s="57">
        <f ca="1">BB293-FF189</f>
        <v>-0.43520400000000004</v>
      </c>
    </row>
    <row r="403" spans="1:55">
      <c r="A403" s="27">
        <v>53</v>
      </c>
      <c r="B403" s="27" t="str">
        <f t="shared" si="444"/>
        <v>Sim</v>
      </c>
      <c r="C403" s="27">
        <f t="shared" si="442"/>
        <v>44</v>
      </c>
      <c r="D403" s="27">
        <f t="shared" ca="1" si="443"/>
        <v>44</v>
      </c>
      <c r="E403" s="34">
        <v>53</v>
      </c>
      <c r="F403" s="57">
        <f ca="1">E294-DI190</f>
        <v>0</v>
      </c>
      <c r="G403" s="57">
        <f ca="1">F294-DJ190</f>
        <v>0</v>
      </c>
      <c r="H403" s="57">
        <f ca="1">G294-DK190</f>
        <v>0</v>
      </c>
      <c r="I403" s="57">
        <f ca="1">H294-DL190</f>
        <v>0</v>
      </c>
      <c r="J403" s="57">
        <f ca="1">I294-DM190</f>
        <v>0</v>
      </c>
      <c r="K403" s="57">
        <f ca="1">J294-DN190</f>
        <v>0</v>
      </c>
      <c r="L403" s="57">
        <f ca="1">K294-DO190</f>
        <v>0</v>
      </c>
      <c r="M403" s="57">
        <f ca="1">L294-DP190</f>
        <v>0</v>
      </c>
      <c r="N403" s="57">
        <f ca="1">M294-DQ190</f>
        <v>0</v>
      </c>
      <c r="O403" s="57">
        <f ca="1">N294-DR190</f>
        <v>0</v>
      </c>
      <c r="P403" s="57">
        <f ca="1">O294-DS190</f>
        <v>0</v>
      </c>
      <c r="Q403" s="57">
        <f ca="1">P294-DT190</f>
        <v>0</v>
      </c>
      <c r="R403" s="57">
        <f ca="1">Q294-DU190</f>
        <v>0</v>
      </c>
      <c r="S403" s="57">
        <f ca="1">R294-DV190</f>
        <v>0</v>
      </c>
      <c r="T403" s="57">
        <f ca="1">S294-DW190</f>
        <v>0</v>
      </c>
      <c r="U403" s="57">
        <f ca="1">T294-DX190</f>
        <v>0</v>
      </c>
      <c r="V403" s="57">
        <f ca="1">U294-DY190</f>
        <v>0</v>
      </c>
      <c r="W403" s="57">
        <f ca="1">V294-DZ190</f>
        <v>0</v>
      </c>
      <c r="X403" s="57">
        <f ca="1">W294-EA190</f>
        <v>0</v>
      </c>
      <c r="Y403" s="57">
        <f ca="1">X294-EB190</f>
        <v>0</v>
      </c>
      <c r="Z403" s="57">
        <f ca="1">Y294-EC190</f>
        <v>0</v>
      </c>
      <c r="AA403" s="57">
        <f ca="1">Z294-ED190</f>
        <v>0</v>
      </c>
      <c r="AB403" s="57">
        <f ca="1">AA294-EE190</f>
        <v>0</v>
      </c>
      <c r="AC403" s="57">
        <f ca="1">AB294-EF190</f>
        <v>0</v>
      </c>
      <c r="AD403" s="57">
        <f ca="1">AC294-EG190</f>
        <v>0</v>
      </c>
      <c r="AE403" s="57">
        <f ca="1">AD294-EH190</f>
        <v>0</v>
      </c>
      <c r="AF403" s="57">
        <f ca="1">AE294-EI190</f>
        <v>0</v>
      </c>
      <c r="AG403" s="57">
        <f ca="1">AF294-EJ190</f>
        <v>0</v>
      </c>
      <c r="AH403" s="57">
        <f ca="1">AG294-EK190</f>
        <v>0</v>
      </c>
      <c r="AI403" s="57">
        <f ca="1">AH294-EL190</f>
        <v>0</v>
      </c>
      <c r="AJ403" s="57">
        <f ca="1">AI294-EM190</f>
        <v>0</v>
      </c>
      <c r="AK403" s="57">
        <f ca="1">AJ294-EN190</f>
        <v>0</v>
      </c>
      <c r="AL403" s="57">
        <f ca="1">AK294-EO190</f>
        <v>0</v>
      </c>
      <c r="AM403" s="57">
        <f ca="1">AL294-EP190</f>
        <v>0</v>
      </c>
      <c r="AN403" s="57">
        <f ca="1">AM294-EQ190</f>
        <v>0</v>
      </c>
      <c r="AO403" s="57">
        <f ca="1">AN294-ER190</f>
        <v>0</v>
      </c>
      <c r="AP403" s="57">
        <f ca="1">AO294-ES190</f>
        <v>0</v>
      </c>
      <c r="AQ403" s="57">
        <f ca="1">AP294-ET190</f>
        <v>0</v>
      </c>
      <c r="AR403" s="57">
        <f ca="1">AQ294-EU190</f>
        <v>0</v>
      </c>
      <c r="AS403" s="57">
        <f ca="1">AR294-EV190</f>
        <v>0</v>
      </c>
      <c r="AT403" s="57">
        <f ca="1">AS294-EW190</f>
        <v>0</v>
      </c>
      <c r="AU403" s="57">
        <f ca="1">AT294-EX190</f>
        <v>0</v>
      </c>
      <c r="AV403" s="57">
        <f ca="1">AU294-EY190</f>
        <v>0</v>
      </c>
      <c r="AW403" s="57">
        <f ca="1">AV294-EZ190</f>
        <v>0</v>
      </c>
      <c r="AX403" s="57">
        <f ca="1">AW294-FA190</f>
        <v>0.27159</v>
      </c>
      <c r="AY403" s="57">
        <f ca="1">AX294-FB190</f>
        <v>0.88108299999999995</v>
      </c>
      <c r="AZ403" s="57">
        <f ca="1">AY294-FC190</f>
        <v>0.28226899999999999</v>
      </c>
      <c r="BA403" s="57">
        <f ca="1">AZ294-FD190</f>
        <v>0.208013</v>
      </c>
      <c r="BB403" s="57">
        <f ca="1">BA294-FE190</f>
        <v>0.11889100000000008</v>
      </c>
      <c r="BC403" s="57">
        <f ca="1">BB294-FF190</f>
        <v>0.17625400000000013</v>
      </c>
    </row>
    <row r="404" spans="1:55">
      <c r="A404" s="27">
        <v>54</v>
      </c>
      <c r="B404" s="27" t="str">
        <f t="shared" si="444"/>
        <v>Sim</v>
      </c>
      <c r="C404" s="27">
        <f t="shared" si="442"/>
        <v>2</v>
      </c>
      <c r="D404" s="27">
        <f t="shared" ca="1" si="443"/>
        <v>27</v>
      </c>
      <c r="E404" s="34">
        <v>54</v>
      </c>
      <c r="F404" s="57">
        <f ca="1">E295-DI191</f>
        <v>0</v>
      </c>
      <c r="G404" s="57">
        <f ca="1">F295-DJ191</f>
        <v>0</v>
      </c>
      <c r="H404" s="57">
        <f ca="1">G295-DK191</f>
        <v>-1.1983499992318514E-7</v>
      </c>
      <c r="I404" s="57">
        <f ca="1">H295-DL191</f>
        <v>-6.5205999877360199E-8</v>
      </c>
      <c r="J404" s="57">
        <f ca="1">I295-DM191</f>
        <v>-1.2963000006749326E-8</v>
      </c>
      <c r="K404" s="57">
        <f ca="1">J295-DN191</f>
        <v>-1.6828500001061369E-7</v>
      </c>
      <c r="L404" s="57">
        <f ca="1">K295-DO191</f>
        <v>-5.6323499995902804E-7</v>
      </c>
      <c r="M404" s="57">
        <f ca="1">L295-DP191</f>
        <v>2.4378399998692402E-7</v>
      </c>
      <c r="N404" s="57">
        <f ca="1">M295-DQ191</f>
        <v>1.988599995783602E-8</v>
      </c>
      <c r="O404" s="57">
        <f ca="1">N295-DR191</f>
        <v>-5.6890099986439679E-7</v>
      </c>
      <c r="P404" s="57">
        <f ca="1">O295-DS191</f>
        <v>-2.1160000085451713E-8</v>
      </c>
      <c r="Q404" s="57">
        <f ca="1">P295-DT191</f>
        <v>-8.1712099997410803E-7</v>
      </c>
      <c r="R404" s="57">
        <f ca="1">Q295-DU191</f>
        <v>7.7064599995901872E-7</v>
      </c>
      <c r="S404" s="57">
        <f ca="1">R295-DV191</f>
        <v>-5.9518099992939E-7</v>
      </c>
      <c r="T404" s="57">
        <f ca="1">S295-DW191</f>
        <v>6.1939000026156599E-8</v>
      </c>
      <c r="U404" s="57">
        <f ca="1">T295-DX191</f>
        <v>3.9199000001488571E-7</v>
      </c>
      <c r="V404" s="57">
        <f ca="1">U295-DY191</f>
        <v>-8.085700003990226E-8</v>
      </c>
      <c r="W404" s="57">
        <f ca="1">V295-DZ191</f>
        <v>1.0857099996819386E-7</v>
      </c>
      <c r="X404" s="57">
        <f ca="1">W295-EA191</f>
        <v>9.7395000064892656E-8</v>
      </c>
      <c r="Y404" s="57">
        <f ca="1">X295-EB191</f>
        <v>-3.1711199999229223E-7</v>
      </c>
      <c r="Z404" s="57">
        <f ca="1">Y295-EC191</f>
        <v>5.6211299992448005E-7</v>
      </c>
      <c r="AA404" s="57">
        <f ca="1">Z295-ED191</f>
        <v>-1.5967899977264999E-7</v>
      </c>
      <c r="AB404" s="57">
        <f ca="1">AA295-EE191</f>
        <v>6.8995999913390449E-8</v>
      </c>
      <c r="AC404" s="57">
        <f ca="1">AB295-EF191</f>
        <v>-1.2890900003004191E-7</v>
      </c>
      <c r="AD404" s="57">
        <f ca="1">AC295-EG191</f>
        <v>-3.9490400002839543E-7</v>
      </c>
      <c r="AE404" s="57">
        <f ca="1">AD295-EH191</f>
        <v>-4.0944500001582895E-7</v>
      </c>
      <c r="AF404" s="57">
        <f ca="1">AE295-EI191</f>
        <v>2.8678599994780285E-7</v>
      </c>
      <c r="AG404" s="57">
        <f ca="1">AF295-EJ191</f>
        <v>-0.23706600000000003</v>
      </c>
      <c r="AH404" s="57">
        <f ca="1">AG295-EK191</f>
        <v>0.39902500000000002</v>
      </c>
      <c r="AI404" s="57">
        <f ca="1">AH295-EL191</f>
        <v>2.175100000000002E-2</v>
      </c>
      <c r="AJ404" s="57">
        <f ca="1">AI295-EM191</f>
        <v>-0.17465200000000003</v>
      </c>
      <c r="AK404" s="57">
        <f ca="1">AJ295-EN191</f>
        <v>-0.15068000000000001</v>
      </c>
      <c r="AL404" s="57">
        <f ca="1">AK295-EO191</f>
        <v>0.49980599999999997</v>
      </c>
      <c r="AM404" s="57">
        <f ca="1">AL295-EP191</f>
        <v>-0.47397600000000001</v>
      </c>
      <c r="AN404" s="57">
        <f ca="1">AM295-EQ191</f>
        <v>-5.2043999999999979E-2</v>
      </c>
      <c r="AO404" s="57">
        <f ca="1">AN295-ER191</f>
        <v>-0.15815100000000015</v>
      </c>
      <c r="AP404" s="57">
        <f ca="1">AO295-ES191</f>
        <v>-8.4925999999999946E-2</v>
      </c>
      <c r="AQ404" s="57">
        <f ca="1">AP295-ET191</f>
        <v>0.27353700000000003</v>
      </c>
      <c r="AR404" s="57">
        <f ca="1">AQ295-EU191</f>
        <v>-0.59067400000000003</v>
      </c>
      <c r="AS404" s="57">
        <f ca="1">AR295-EV191</f>
        <v>-0.50816700000000004</v>
      </c>
      <c r="AT404" s="57">
        <f ca="1">AS295-EW191</f>
        <v>0.11492100000000005</v>
      </c>
      <c r="AU404" s="57">
        <f ca="1">AT295-EX191</f>
        <v>-6.320199999999998E-2</v>
      </c>
      <c r="AV404" s="57">
        <f ca="1">AU295-EY191</f>
        <v>7.5362999999999958E-2</v>
      </c>
      <c r="AW404" s="57">
        <f ca="1">AV295-EZ191</f>
        <v>-0.27763300000000002</v>
      </c>
      <c r="AX404" s="57">
        <f ca="1">AW295-FA191</f>
        <v>-0.24248700000000001</v>
      </c>
      <c r="AY404" s="57">
        <f ca="1">AX295-FB191</f>
        <v>-0.26279599999999997</v>
      </c>
      <c r="AZ404" s="57">
        <f ca="1">AY295-FC191</f>
        <v>-0.23887700000000001</v>
      </c>
      <c r="BA404" s="57">
        <f ca="1">AZ295-FD191</f>
        <v>0.38850899999999999</v>
      </c>
      <c r="BB404" s="57">
        <f ca="1">BA295-FE191</f>
        <v>-0.31628400000000001</v>
      </c>
      <c r="BC404" s="57">
        <f ca="1">BB295-FF191</f>
        <v>-0.21019199999999999</v>
      </c>
    </row>
    <row r="405" spans="1:55">
      <c r="A405" s="27">
        <v>55</v>
      </c>
      <c r="B405" s="27" t="str">
        <f t="shared" si="444"/>
        <v>Sim</v>
      </c>
      <c r="C405" s="27">
        <f t="shared" si="442"/>
        <v>36</v>
      </c>
      <c r="D405" s="27">
        <f t="shared" ca="1" si="443"/>
        <v>42</v>
      </c>
      <c r="E405" s="34">
        <v>55</v>
      </c>
      <c r="F405" s="57">
        <f ca="1">E296-DI192</f>
        <v>0</v>
      </c>
      <c r="G405" s="57">
        <f ca="1">F296-DJ192</f>
        <v>0</v>
      </c>
      <c r="H405" s="57">
        <f ca="1">G296-DK192</f>
        <v>0</v>
      </c>
      <c r="I405" s="57">
        <f ca="1">H296-DL192</f>
        <v>0</v>
      </c>
      <c r="J405" s="57">
        <f ca="1">I296-DM192</f>
        <v>0</v>
      </c>
      <c r="K405" s="57">
        <f ca="1">J296-DN192</f>
        <v>0</v>
      </c>
      <c r="L405" s="57">
        <f ca="1">K296-DO192</f>
        <v>0</v>
      </c>
      <c r="M405" s="57">
        <f ca="1">L296-DP192</f>
        <v>0</v>
      </c>
      <c r="N405" s="57">
        <f ca="1">M296-DQ192</f>
        <v>0</v>
      </c>
      <c r="O405" s="57">
        <f ca="1">N296-DR192</f>
        <v>0</v>
      </c>
      <c r="P405" s="57">
        <f ca="1">O296-DS192</f>
        <v>0</v>
      </c>
      <c r="Q405" s="57">
        <f ca="1">P296-DT192</f>
        <v>0</v>
      </c>
      <c r="R405" s="57">
        <f ca="1">Q296-DU192</f>
        <v>0</v>
      </c>
      <c r="S405" s="57">
        <f ca="1">R296-DV192</f>
        <v>0</v>
      </c>
      <c r="T405" s="57">
        <f ca="1">S296-DW192</f>
        <v>0</v>
      </c>
      <c r="U405" s="57">
        <f ca="1">T296-DX192</f>
        <v>0</v>
      </c>
      <c r="V405" s="57">
        <f ca="1">U296-DY192</f>
        <v>0</v>
      </c>
      <c r="W405" s="57">
        <f ca="1">V296-DZ192</f>
        <v>0</v>
      </c>
      <c r="X405" s="57">
        <f ca="1">W296-EA192</f>
        <v>0</v>
      </c>
      <c r="Y405" s="57">
        <f ca="1">X296-EB192</f>
        <v>0</v>
      </c>
      <c r="Z405" s="57">
        <f ca="1">Y296-EC192</f>
        <v>0</v>
      </c>
      <c r="AA405" s="57">
        <f ca="1">Z296-ED192</f>
        <v>0</v>
      </c>
      <c r="AB405" s="57">
        <f ca="1">AA296-EE192</f>
        <v>0</v>
      </c>
      <c r="AC405" s="57">
        <f ca="1">AB296-EF192</f>
        <v>0</v>
      </c>
      <c r="AD405" s="57">
        <f ca="1">AC296-EG192</f>
        <v>0</v>
      </c>
      <c r="AE405" s="57">
        <f ca="1">AD296-EH192</f>
        <v>0</v>
      </c>
      <c r="AF405" s="57">
        <f ca="1">AE296-EI192</f>
        <v>0</v>
      </c>
      <c r="AG405" s="57">
        <f ca="1">AF296-EJ192</f>
        <v>0</v>
      </c>
      <c r="AH405" s="57">
        <f ca="1">AG296-EK192</f>
        <v>0</v>
      </c>
      <c r="AI405" s="57">
        <f ca="1">AH296-EL192</f>
        <v>0</v>
      </c>
      <c r="AJ405" s="57">
        <f ca="1">AI296-EM192</f>
        <v>0</v>
      </c>
      <c r="AK405" s="57">
        <f ca="1">AJ296-EN192</f>
        <v>0</v>
      </c>
      <c r="AL405" s="57">
        <f ca="1">AK296-EO192</f>
        <v>0</v>
      </c>
      <c r="AM405" s="57">
        <f ca="1">AL296-EP192</f>
        <v>0</v>
      </c>
      <c r="AN405" s="57">
        <f ca="1">AM296-EQ192</f>
        <v>0</v>
      </c>
      <c r="AO405" s="57">
        <f ca="1">AN296-ER192</f>
        <v>0</v>
      </c>
      <c r="AP405" s="57">
        <f ca="1">AO296-ES192</f>
        <v>-4.8195999968747572E-8</v>
      </c>
      <c r="AQ405" s="57">
        <f ca="1">AP296-ET192</f>
        <v>2.4121600000759358E-7</v>
      </c>
      <c r="AR405" s="57">
        <f ca="1">AQ296-EU192</f>
        <v>6.9017999981824119E-8</v>
      </c>
      <c r="AS405" s="57">
        <f ca="1">AR296-EV192</f>
        <v>4.276359999999535E-7</v>
      </c>
      <c r="AT405" s="57">
        <f ca="1">AS296-EW192</f>
        <v>-3.700200001954812E-8</v>
      </c>
      <c r="AU405" s="57">
        <f ca="1">AT296-EX192</f>
        <v>-4.8050599987803366E-7</v>
      </c>
      <c r="AV405" s="57">
        <f ca="1">AU296-EY192</f>
        <v>0.27518300000000001</v>
      </c>
      <c r="AW405" s="57">
        <f ca="1">AV296-EZ192</f>
        <v>-0.45849299999999998</v>
      </c>
      <c r="AX405" s="57">
        <f ca="1">AW296-FA192</f>
        <v>-0.41572100000000001</v>
      </c>
      <c r="AY405" s="57">
        <f ca="1">AX296-FB192</f>
        <v>-0.99496300000000004</v>
      </c>
      <c r="AZ405" s="57">
        <f ca="1">AY296-FC192</f>
        <v>-1.131731</v>
      </c>
      <c r="BA405" s="57">
        <f ca="1">AZ296-FD192</f>
        <v>-0.57396900000000006</v>
      </c>
      <c r="BB405" s="57">
        <f ca="1">BA296-FE192</f>
        <v>1.0938599999999998</v>
      </c>
      <c r="BC405" s="57">
        <f ca="1">BB296-FF192</f>
        <v>-8.7111000000000008E-2</v>
      </c>
    </row>
    <row r="406" spans="1:55">
      <c r="A406" s="27">
        <v>56</v>
      </c>
      <c r="B406" s="27" t="str">
        <f t="shared" si="444"/>
        <v>Sim</v>
      </c>
      <c r="C406" s="27">
        <f t="shared" si="442"/>
        <v>34</v>
      </c>
      <c r="D406" s="27">
        <f t="shared" ca="1" si="443"/>
        <v>48</v>
      </c>
      <c r="E406" s="34">
        <v>56</v>
      </c>
      <c r="F406" s="57">
        <f ca="1">E297-DI193</f>
        <v>0</v>
      </c>
      <c r="G406" s="57">
        <f ca="1">F297-DJ193</f>
        <v>0</v>
      </c>
      <c r="H406" s="57">
        <f ca="1">G297-DK193</f>
        <v>0</v>
      </c>
      <c r="I406" s="57">
        <f ca="1">H297-DL193</f>
        <v>0</v>
      </c>
      <c r="J406" s="57">
        <f ca="1">I297-DM193</f>
        <v>0</v>
      </c>
      <c r="K406" s="57">
        <f ca="1">J297-DN193</f>
        <v>0</v>
      </c>
      <c r="L406" s="57">
        <f ca="1">K297-DO193</f>
        <v>0</v>
      </c>
      <c r="M406" s="57">
        <f ca="1">L297-DP193</f>
        <v>0</v>
      </c>
      <c r="N406" s="57">
        <f ca="1">M297-DQ193</f>
        <v>0</v>
      </c>
      <c r="O406" s="57">
        <f ca="1">N297-DR193</f>
        <v>0</v>
      </c>
      <c r="P406" s="57">
        <f ca="1">O297-DS193</f>
        <v>0</v>
      </c>
      <c r="Q406" s="57">
        <f ca="1">P297-DT193</f>
        <v>0</v>
      </c>
      <c r="R406" s="57">
        <f ca="1">Q297-DU193</f>
        <v>0</v>
      </c>
      <c r="S406" s="57">
        <f ca="1">R297-DV193</f>
        <v>0</v>
      </c>
      <c r="T406" s="57">
        <f ca="1">S297-DW193</f>
        <v>0</v>
      </c>
      <c r="U406" s="57">
        <f ca="1">T297-DX193</f>
        <v>0</v>
      </c>
      <c r="V406" s="57">
        <f ca="1">U297-DY193</f>
        <v>0</v>
      </c>
      <c r="W406" s="57">
        <f ca="1">V297-DZ193</f>
        <v>0</v>
      </c>
      <c r="X406" s="57">
        <f ca="1">W297-EA193</f>
        <v>0</v>
      </c>
      <c r="Y406" s="57">
        <f ca="1">X297-EB193</f>
        <v>0</v>
      </c>
      <c r="Z406" s="57">
        <f ca="1">Y297-EC193</f>
        <v>0</v>
      </c>
      <c r="AA406" s="57">
        <f ca="1">Z297-ED193</f>
        <v>0</v>
      </c>
      <c r="AB406" s="57">
        <f ca="1">AA297-EE193</f>
        <v>0</v>
      </c>
      <c r="AC406" s="57">
        <f ca="1">AB297-EF193</f>
        <v>0</v>
      </c>
      <c r="AD406" s="57">
        <f ca="1">AC297-EG193</f>
        <v>0</v>
      </c>
      <c r="AE406" s="57">
        <f ca="1">AD297-EH193</f>
        <v>0</v>
      </c>
      <c r="AF406" s="57">
        <f ca="1">AE297-EI193</f>
        <v>0</v>
      </c>
      <c r="AG406" s="57">
        <f ca="1">AF297-EJ193</f>
        <v>0</v>
      </c>
      <c r="AH406" s="57">
        <f ca="1">AG297-EK193</f>
        <v>0</v>
      </c>
      <c r="AI406" s="57">
        <f ca="1">AH297-EL193</f>
        <v>0</v>
      </c>
      <c r="AJ406" s="57">
        <f ca="1">AI297-EM193</f>
        <v>0</v>
      </c>
      <c r="AK406" s="57">
        <f ca="1">AJ297-EN193</f>
        <v>0</v>
      </c>
      <c r="AL406" s="57">
        <f ca="1">AK297-EO193</f>
        <v>0</v>
      </c>
      <c r="AM406" s="57">
        <f ca="1">AL297-EP193</f>
        <v>0</v>
      </c>
      <c r="AN406" s="57">
        <f ca="1">AM297-EQ193</f>
        <v>4.8684099998586028E-7</v>
      </c>
      <c r="AO406" s="57">
        <f ca="1">AN297-ER193</f>
        <v>1.2953500005963292E-7</v>
      </c>
      <c r="AP406" s="57">
        <f ca="1">AO297-ES193</f>
        <v>7.2253799998645007E-7</v>
      </c>
      <c r="AQ406" s="57">
        <f ca="1">AP297-ET193</f>
        <v>-7.9477999959109979E-8</v>
      </c>
      <c r="AR406" s="57">
        <f ca="1">AQ297-EU193</f>
        <v>1.2155999984386767E-7</v>
      </c>
      <c r="AS406" s="57">
        <f ca="1">AR297-EV193</f>
        <v>2.1989998710836289E-9</v>
      </c>
      <c r="AT406" s="57">
        <f ca="1">AS297-EW193</f>
        <v>7.609480000003721E-7</v>
      </c>
      <c r="AU406" s="57">
        <f ca="1">AT297-EX193</f>
        <v>9.2877999957607926E-8</v>
      </c>
      <c r="AV406" s="57">
        <f ca="1">AU297-EY193</f>
        <v>-3.8648799998916572E-7</v>
      </c>
      <c r="AW406" s="57">
        <f ca="1">AV297-EZ193</f>
        <v>-3.0132799999638138E-7</v>
      </c>
      <c r="AX406" s="57">
        <f ca="1">AW297-FA193</f>
        <v>-4.7858000001843592E-7</v>
      </c>
      <c r="AY406" s="57">
        <f ca="1">AX297-FB193</f>
        <v>1.7509300004325823E-7</v>
      </c>
      <c r="AZ406" s="57">
        <f ca="1">AY297-FC193</f>
        <v>5.1269200007642013E-7</v>
      </c>
      <c r="BA406" s="57">
        <f ca="1">AZ297-FD193</f>
        <v>-1.1894800000522565E-7</v>
      </c>
      <c r="BB406" s="57">
        <f ca="1">BA297-FE193</f>
        <v>-0.14717600000000003</v>
      </c>
      <c r="BC406" s="57">
        <f ca="1">BB297-FF193</f>
        <v>7.5927000000000022E-2</v>
      </c>
    </row>
    <row r="407" spans="1:55">
      <c r="A407" s="27">
        <v>57</v>
      </c>
      <c r="B407" s="27" t="str">
        <f t="shared" si="444"/>
        <v>Não</v>
      </c>
      <c r="C407" s="27">
        <f t="shared" si="442"/>
        <v>17</v>
      </c>
      <c r="D407" s="27">
        <f t="shared" ca="1" si="443"/>
        <v>23</v>
      </c>
      <c r="E407" s="34">
        <v>57</v>
      </c>
      <c r="F407" s="57">
        <f ca="1">E298-DI194</f>
        <v>0</v>
      </c>
      <c r="G407" s="57">
        <f ca="1">F298-DJ194</f>
        <v>0</v>
      </c>
      <c r="H407" s="57">
        <f ca="1">G298-DK194</f>
        <v>0</v>
      </c>
      <c r="I407" s="57">
        <f ca="1">H298-DL194</f>
        <v>0</v>
      </c>
      <c r="J407" s="57">
        <f ca="1">I298-DM194</f>
        <v>0</v>
      </c>
      <c r="K407" s="57">
        <f ca="1">J298-DN194</f>
        <v>0</v>
      </c>
      <c r="L407" s="57">
        <f ca="1">K298-DO194</f>
        <v>0</v>
      </c>
      <c r="M407" s="57">
        <f ca="1">L298-DP194</f>
        <v>0</v>
      </c>
      <c r="N407" s="57">
        <f ca="1">M298-DQ194</f>
        <v>0</v>
      </c>
      <c r="O407" s="57">
        <f ca="1">N298-DR194</f>
        <v>0</v>
      </c>
      <c r="P407" s="57">
        <f ca="1">O298-DS194</f>
        <v>0</v>
      </c>
      <c r="Q407" s="57">
        <f ca="1">P298-DT194</f>
        <v>0</v>
      </c>
      <c r="R407" s="57">
        <f ca="1">Q298-DU194</f>
        <v>0</v>
      </c>
      <c r="S407" s="57">
        <f ca="1">R298-DV194</f>
        <v>0</v>
      </c>
      <c r="T407" s="57">
        <f ca="1">S298-DW194</f>
        <v>0</v>
      </c>
      <c r="U407" s="57">
        <f ca="1">T298-DX194</f>
        <v>0</v>
      </c>
      <c r="V407" s="57">
        <f ca="1">U298-DY194</f>
        <v>0</v>
      </c>
      <c r="W407" s="57">
        <f ca="1">V298-DZ194</f>
        <v>0</v>
      </c>
      <c r="X407" s="57">
        <f ca="1">W298-EA194</f>
        <v>0</v>
      </c>
      <c r="Y407" s="57">
        <f ca="1">X298-EB194</f>
        <v>0</v>
      </c>
      <c r="Z407" s="57">
        <f ca="1">Y298-EC194</f>
        <v>0</v>
      </c>
      <c r="AA407" s="57">
        <f ca="1">Z298-ED194</f>
        <v>0</v>
      </c>
      <c r="AB407" s="57">
        <f ca="1">AA298-EE194</f>
        <v>0</v>
      </c>
      <c r="AC407" s="57">
        <f ca="1">AB298-EF194</f>
        <v>0</v>
      </c>
      <c r="AD407" s="57">
        <f ca="1">AC298-EG194</f>
        <v>0</v>
      </c>
      <c r="AE407" s="57">
        <f ca="1">AD298-EH194</f>
        <v>0</v>
      </c>
      <c r="AF407" s="57">
        <f ca="1">AE298-EI194</f>
        <v>0</v>
      </c>
      <c r="AG407" s="57">
        <f ca="1">AF298-EJ194</f>
        <v>0</v>
      </c>
      <c r="AH407" s="57">
        <f ca="1">AG298-EK194</f>
        <v>0</v>
      </c>
      <c r="AI407" s="57">
        <f ca="1">AH298-EL194</f>
        <v>0</v>
      </c>
      <c r="AJ407" s="57">
        <f ca="1">AI298-EM194</f>
        <v>0</v>
      </c>
      <c r="AK407" s="57">
        <f ca="1">AJ298-EN194</f>
        <v>0</v>
      </c>
      <c r="AL407" s="57">
        <f ca="1">AK298-EO194</f>
        <v>0</v>
      </c>
      <c r="AM407" s="57">
        <f ca="1">AL298-EP194</f>
        <v>0</v>
      </c>
      <c r="AN407" s="57">
        <f ca="1">AM298-EQ194</f>
        <v>0</v>
      </c>
      <c r="AO407" s="57">
        <f ca="1">AN298-ER194</f>
        <v>0</v>
      </c>
      <c r="AP407" s="57">
        <f ca="1">AO298-ES194</f>
        <v>0</v>
      </c>
      <c r="AQ407" s="57">
        <f ca="1">AP298-ET194</f>
        <v>0</v>
      </c>
      <c r="AR407" s="57">
        <f ca="1">AQ298-EU194</f>
        <v>0</v>
      </c>
      <c r="AS407" s="57">
        <f ca="1">AR298-EV194</f>
        <v>0</v>
      </c>
      <c r="AT407" s="57">
        <f ca="1">AS298-EW194</f>
        <v>0</v>
      </c>
      <c r="AU407" s="57">
        <f ca="1">AT298-EX194</f>
        <v>0</v>
      </c>
      <c r="AV407" s="57">
        <f ca="1">AU298-EY194</f>
        <v>0</v>
      </c>
      <c r="AW407" s="57">
        <f ca="1">AV298-EZ194</f>
        <v>0</v>
      </c>
      <c r="AX407" s="57">
        <f ca="1">AW298-FA194</f>
        <v>0</v>
      </c>
      <c r="AY407" s="57">
        <f ca="1">AX298-FB194</f>
        <v>0</v>
      </c>
      <c r="AZ407" s="57">
        <f ca="1">AY298-FC194</f>
        <v>0</v>
      </c>
      <c r="BA407" s="57">
        <f ca="1">AZ298-FD194</f>
        <v>0</v>
      </c>
      <c r="BB407" s="57">
        <f ca="1">BA298-FE194</f>
        <v>0</v>
      </c>
      <c r="BC407" s="57">
        <f ca="1">BB298-FF194</f>
        <v>0</v>
      </c>
    </row>
    <row r="408" spans="1:55">
      <c r="A408" s="27">
        <v>58</v>
      </c>
      <c r="B408" s="27" t="str">
        <f t="shared" si="444"/>
        <v>Sim</v>
      </c>
      <c r="C408" s="27">
        <f t="shared" si="442"/>
        <v>32</v>
      </c>
      <c r="D408" s="27">
        <f t="shared" ca="1" si="443"/>
        <v>46</v>
      </c>
      <c r="E408" s="34">
        <v>58</v>
      </c>
      <c r="F408" s="57">
        <f ca="1">E299-DI195</f>
        <v>0</v>
      </c>
      <c r="G408" s="57">
        <f ca="1">F299-DJ195</f>
        <v>0</v>
      </c>
      <c r="H408" s="57">
        <f ca="1">G299-DK195</f>
        <v>0</v>
      </c>
      <c r="I408" s="57">
        <f ca="1">H299-DL195</f>
        <v>0</v>
      </c>
      <c r="J408" s="57">
        <f ca="1">I299-DM195</f>
        <v>0</v>
      </c>
      <c r="K408" s="57">
        <f ca="1">J299-DN195</f>
        <v>0</v>
      </c>
      <c r="L408" s="57">
        <f ca="1">K299-DO195</f>
        <v>0</v>
      </c>
      <c r="M408" s="57">
        <f ca="1">L299-DP195</f>
        <v>0</v>
      </c>
      <c r="N408" s="57">
        <f ca="1">M299-DQ195</f>
        <v>0</v>
      </c>
      <c r="O408" s="57">
        <f ca="1">N299-DR195</f>
        <v>0</v>
      </c>
      <c r="P408" s="57">
        <f ca="1">O299-DS195</f>
        <v>0</v>
      </c>
      <c r="Q408" s="57">
        <f ca="1">P299-DT195</f>
        <v>0</v>
      </c>
      <c r="R408" s="57">
        <f ca="1">Q299-DU195</f>
        <v>0</v>
      </c>
      <c r="S408" s="57">
        <f ca="1">R299-DV195</f>
        <v>0</v>
      </c>
      <c r="T408" s="57">
        <f ca="1">S299-DW195</f>
        <v>0</v>
      </c>
      <c r="U408" s="57">
        <f ca="1">T299-DX195</f>
        <v>0</v>
      </c>
      <c r="V408" s="57">
        <f ca="1">U299-DY195</f>
        <v>0</v>
      </c>
      <c r="W408" s="57">
        <f ca="1">V299-DZ195</f>
        <v>0</v>
      </c>
      <c r="X408" s="57">
        <f ca="1">W299-EA195</f>
        <v>0</v>
      </c>
      <c r="Y408" s="57">
        <f ca="1">X299-EB195</f>
        <v>0</v>
      </c>
      <c r="Z408" s="57">
        <f ca="1">Y299-EC195</f>
        <v>0</v>
      </c>
      <c r="AA408" s="57">
        <f ca="1">Z299-ED195</f>
        <v>0</v>
      </c>
      <c r="AB408" s="57">
        <f ca="1">AA299-EE195</f>
        <v>0</v>
      </c>
      <c r="AC408" s="57">
        <f ca="1">AB299-EF195</f>
        <v>0</v>
      </c>
      <c r="AD408" s="57">
        <f ca="1">AC299-EG195</f>
        <v>0</v>
      </c>
      <c r="AE408" s="57">
        <f ca="1">AD299-EH195</f>
        <v>0</v>
      </c>
      <c r="AF408" s="57">
        <f ca="1">AE299-EI195</f>
        <v>0</v>
      </c>
      <c r="AG408" s="57">
        <f ca="1">AF299-EJ195</f>
        <v>0</v>
      </c>
      <c r="AH408" s="57">
        <f ca="1">AG299-EK195</f>
        <v>0</v>
      </c>
      <c r="AI408" s="57">
        <f ca="1">AH299-EL195</f>
        <v>0</v>
      </c>
      <c r="AJ408" s="57">
        <f ca="1">AI299-EM195</f>
        <v>0</v>
      </c>
      <c r="AK408" s="57">
        <f ca="1">AJ299-EN195</f>
        <v>0</v>
      </c>
      <c r="AL408" s="57">
        <f ca="1">AK299-EO195</f>
        <v>-3.0227599995269472E-7</v>
      </c>
      <c r="AM408" s="57">
        <f ca="1">AL299-EP195</f>
        <v>4.566900002611618E-8</v>
      </c>
      <c r="AN408" s="57">
        <f ca="1">AM299-EQ195</f>
        <v>-2.2899699997358525E-7</v>
      </c>
      <c r="AO408" s="57">
        <f ca="1">AN299-ER195</f>
        <v>-3.387220000039548E-7</v>
      </c>
      <c r="AP408" s="57">
        <f ca="1">AO299-ES195</f>
        <v>-1.9675799994844922E-7</v>
      </c>
      <c r="AQ408" s="57">
        <f ca="1">AP299-ET195</f>
        <v>1.0328700002920632E-7</v>
      </c>
      <c r="AR408" s="57">
        <f ca="1">AQ299-EU195</f>
        <v>8.1136599995590419E-7</v>
      </c>
      <c r="AS408" s="57">
        <f ca="1">AR299-EV195</f>
        <v>-2.3624700001834142E-7</v>
      </c>
      <c r="AT408" s="57">
        <f ca="1">AS299-EW195</f>
        <v>5.2923000093407779E-8</v>
      </c>
      <c r="AU408" s="57">
        <f ca="1">AT299-EX195</f>
        <v>7.6678000060503848E-8</v>
      </c>
      <c r="AV408" s="57">
        <f ca="1">AU299-EY195</f>
        <v>3.6969799999120312E-7</v>
      </c>
      <c r="AW408" s="57">
        <f ca="1">AV299-EZ195</f>
        <v>-1.2060300003113866E-7</v>
      </c>
      <c r="AX408" s="57">
        <f ca="1">AW299-FA195</f>
        <v>1.4584999985522984E-8</v>
      </c>
      <c r="AY408" s="57">
        <f ca="1">AX299-FB195</f>
        <v>-7.0899000004231993E-8</v>
      </c>
      <c r="AZ408" s="57">
        <f ca="1">AY299-FC195</f>
        <v>0.37540699999999994</v>
      </c>
      <c r="BA408" s="57">
        <f ca="1">AZ299-FD195</f>
        <v>-1.7618999999999996E-2</v>
      </c>
      <c r="BB408" s="57">
        <f ca="1">BA299-FE195</f>
        <v>-0.2477069999999999</v>
      </c>
      <c r="BC408" s="57">
        <f ca="1">BB299-FF195</f>
        <v>-9.3737999999999988E-2</v>
      </c>
    </row>
    <row r="409" spans="1:55">
      <c r="A409" s="27">
        <v>59</v>
      </c>
      <c r="B409" s="27" t="str">
        <f t="shared" si="444"/>
        <v>Sim</v>
      </c>
      <c r="C409" s="27">
        <f t="shared" si="442"/>
        <v>25</v>
      </c>
      <c r="D409" s="27">
        <f t="shared" ca="1" si="443"/>
        <v>44</v>
      </c>
      <c r="E409" s="34">
        <v>59</v>
      </c>
      <c r="F409" s="57">
        <f ca="1">E300-DI196</f>
        <v>0</v>
      </c>
      <c r="G409" s="57">
        <f ca="1">F300-DJ196</f>
        <v>0</v>
      </c>
      <c r="H409" s="57">
        <f ca="1">G300-DK196</f>
        <v>0</v>
      </c>
      <c r="I409" s="57">
        <f ca="1">H300-DL196</f>
        <v>0</v>
      </c>
      <c r="J409" s="57">
        <f ca="1">I300-DM196</f>
        <v>0</v>
      </c>
      <c r="K409" s="57">
        <f ca="1">J300-DN196</f>
        <v>0</v>
      </c>
      <c r="L409" s="57">
        <f ca="1">K300-DO196</f>
        <v>0</v>
      </c>
      <c r="M409" s="57">
        <f ca="1">L300-DP196</f>
        <v>0</v>
      </c>
      <c r="N409" s="57">
        <f ca="1">M300-DQ196</f>
        <v>0</v>
      </c>
      <c r="O409" s="57">
        <f ca="1">N300-DR196</f>
        <v>0</v>
      </c>
      <c r="P409" s="57">
        <f ca="1">O300-DS196</f>
        <v>0</v>
      </c>
      <c r="Q409" s="57">
        <f ca="1">P300-DT196</f>
        <v>0</v>
      </c>
      <c r="R409" s="57">
        <f ca="1">Q300-DU196</f>
        <v>0</v>
      </c>
      <c r="S409" s="57">
        <f ca="1">R300-DV196</f>
        <v>0</v>
      </c>
      <c r="T409" s="57">
        <f ca="1">S300-DW196</f>
        <v>0</v>
      </c>
      <c r="U409" s="57">
        <f ca="1">T300-DX196</f>
        <v>0</v>
      </c>
      <c r="V409" s="57">
        <f ca="1">U300-DY196</f>
        <v>0</v>
      </c>
      <c r="W409" s="57">
        <f ca="1">V300-DZ196</f>
        <v>0</v>
      </c>
      <c r="X409" s="57">
        <f ca="1">W300-EA196</f>
        <v>0</v>
      </c>
      <c r="Y409" s="57">
        <f ca="1">X300-EB196</f>
        <v>0</v>
      </c>
      <c r="Z409" s="57">
        <f ca="1">Y300-EC196</f>
        <v>0</v>
      </c>
      <c r="AA409" s="57">
        <f ca="1">Z300-ED196</f>
        <v>0</v>
      </c>
      <c r="AB409" s="57">
        <f ca="1">AA300-EE196</f>
        <v>0</v>
      </c>
      <c r="AC409" s="57">
        <f ca="1">AB300-EF196</f>
        <v>0</v>
      </c>
      <c r="AD409" s="57">
        <f ca="1">AC300-EG196</f>
        <v>0</v>
      </c>
      <c r="AE409" s="57">
        <f ca="1">AD300-EH196</f>
        <v>1.4597000019822559E-7</v>
      </c>
      <c r="AF409" s="57">
        <f ca="1">AE300-EI196</f>
        <v>9.8509999935103565E-8</v>
      </c>
      <c r="AG409" s="57">
        <f ca="1">AF300-EJ196</f>
        <v>2.4826999989180365E-7</v>
      </c>
      <c r="AH409" s="57">
        <f ca="1">AG300-EK196</f>
        <v>2.5100000011768486E-7</v>
      </c>
      <c r="AI409" s="57">
        <f ca="1">AH300-EL196</f>
        <v>-9.9879999937435571E-8</v>
      </c>
      <c r="AJ409" s="57">
        <f ca="1">AI300-EM196</f>
        <v>2.8984999994596805E-7</v>
      </c>
      <c r="AK409" s="57">
        <f ca="1">AJ300-EN196</f>
        <v>-1.8205999996467881E-7</v>
      </c>
      <c r="AL409" s="57">
        <f ca="1">AK300-EO196</f>
        <v>-3.3825000012033257E-7</v>
      </c>
      <c r="AM409" s="57">
        <f ca="1">AL300-EP196</f>
        <v>3.3571000002119433E-7</v>
      </c>
      <c r="AN409" s="57">
        <f ca="1">AM300-EQ196</f>
        <v>4.5224000000398945E-7</v>
      </c>
      <c r="AO409" s="57">
        <f ca="1">AN300-ER196</f>
        <v>4.2667000010876421E-7</v>
      </c>
      <c r="AP409" s="57">
        <f ca="1">AO300-ES196</f>
        <v>-2.8800000162476636E-9</v>
      </c>
      <c r="AQ409" s="57">
        <f ca="1">AP300-ET196</f>
        <v>-6.7419999982831769E-7</v>
      </c>
      <c r="AR409" s="57">
        <f ca="1">AQ300-EU196</f>
        <v>-4.0771999987310181E-7</v>
      </c>
      <c r="AS409" s="57">
        <f ca="1">AR300-EV196</f>
        <v>-7.2677999998771448E-7</v>
      </c>
      <c r="AT409" s="57">
        <f ca="1">AS300-EW196</f>
        <v>-5.492900000125811E-7</v>
      </c>
      <c r="AU409" s="57">
        <f ca="1">AT300-EX196</f>
        <v>2.2017000000928988E-7</v>
      </c>
      <c r="AV409" s="57">
        <f ca="1">AU300-EY196</f>
        <v>-2.2078000001812814E-7</v>
      </c>
      <c r="AW409" s="57">
        <f ca="1">AV300-EZ196</f>
        <v>-2.7047999999474381E-7</v>
      </c>
      <c r="AX409" s="57">
        <f ca="1">AW300-FA196</f>
        <v>-0.83120899999999998</v>
      </c>
      <c r="AY409" s="57">
        <f ca="1">AX300-FB196</f>
        <v>-0.84551599999999993</v>
      </c>
      <c r="AZ409" s="57">
        <f ca="1">AY300-FC196</f>
        <v>-0.43212599999999995</v>
      </c>
      <c r="BA409" s="57">
        <f ca="1">AZ300-FD196</f>
        <v>-0.18625700000000001</v>
      </c>
      <c r="BB409" s="57">
        <f ca="1">BA300-FE196</f>
        <v>0.39005100000000004</v>
      </c>
      <c r="BC409" s="57">
        <f ca="1">BB300-FF196</f>
        <v>-1.3897059999999999</v>
      </c>
    </row>
    <row r="410" spans="1:55">
      <c r="A410" s="27">
        <v>60</v>
      </c>
      <c r="B410" s="27" t="str">
        <f t="shared" si="444"/>
        <v>Não</v>
      </c>
      <c r="C410" s="27">
        <f t="shared" si="442"/>
        <v>43</v>
      </c>
      <c r="D410" s="27">
        <f t="shared" ca="1" si="443"/>
        <v>44</v>
      </c>
      <c r="E410" s="34">
        <v>60</v>
      </c>
      <c r="F410" s="57">
        <f ca="1">E301-DI197</f>
        <v>0</v>
      </c>
      <c r="G410" s="57">
        <f ca="1">F301-DJ197</f>
        <v>0</v>
      </c>
      <c r="H410" s="57">
        <f ca="1">G301-DK197</f>
        <v>0</v>
      </c>
      <c r="I410" s="57">
        <f ca="1">H301-DL197</f>
        <v>0</v>
      </c>
      <c r="J410" s="57">
        <f ca="1">I301-DM197</f>
        <v>0</v>
      </c>
      <c r="K410" s="57">
        <f ca="1">J301-DN197</f>
        <v>0</v>
      </c>
      <c r="L410" s="57">
        <f ca="1">K301-DO197</f>
        <v>0</v>
      </c>
      <c r="M410" s="57">
        <f ca="1">L301-DP197</f>
        <v>0</v>
      </c>
      <c r="N410" s="57">
        <f ca="1">M301-DQ197</f>
        <v>0</v>
      </c>
      <c r="O410" s="57">
        <f ca="1">N301-DR197</f>
        <v>0</v>
      </c>
      <c r="P410" s="57">
        <f ca="1">O301-DS197</f>
        <v>0</v>
      </c>
      <c r="Q410" s="57">
        <f ca="1">P301-DT197</f>
        <v>0</v>
      </c>
      <c r="R410" s="57">
        <f ca="1">Q301-DU197</f>
        <v>0</v>
      </c>
      <c r="S410" s="57">
        <f ca="1">R301-DV197</f>
        <v>0</v>
      </c>
      <c r="T410" s="57">
        <f ca="1">S301-DW197</f>
        <v>0</v>
      </c>
      <c r="U410" s="57">
        <f ca="1">T301-DX197</f>
        <v>0</v>
      </c>
      <c r="V410" s="57">
        <f ca="1">U301-DY197</f>
        <v>0</v>
      </c>
      <c r="W410" s="57">
        <f ca="1">V301-DZ197</f>
        <v>0</v>
      </c>
      <c r="X410" s="57">
        <f ca="1">W301-EA197</f>
        <v>0</v>
      </c>
      <c r="Y410" s="57">
        <f ca="1">X301-EB197</f>
        <v>0</v>
      </c>
      <c r="Z410" s="57">
        <f ca="1">Y301-EC197</f>
        <v>0</v>
      </c>
      <c r="AA410" s="57">
        <f ca="1">Z301-ED197</f>
        <v>0</v>
      </c>
      <c r="AB410" s="57">
        <f ca="1">AA301-EE197</f>
        <v>0</v>
      </c>
      <c r="AC410" s="57">
        <f ca="1">AB301-EF197</f>
        <v>0</v>
      </c>
      <c r="AD410" s="57">
        <f ca="1">AC301-EG197</f>
        <v>0</v>
      </c>
      <c r="AE410" s="57">
        <f ca="1">AD301-EH197</f>
        <v>0</v>
      </c>
      <c r="AF410" s="57">
        <f ca="1">AE301-EI197</f>
        <v>0</v>
      </c>
      <c r="AG410" s="57">
        <f ca="1">AF301-EJ197</f>
        <v>0</v>
      </c>
      <c r="AH410" s="57">
        <f ca="1">AG301-EK197</f>
        <v>0</v>
      </c>
      <c r="AI410" s="57">
        <f ca="1">AH301-EL197</f>
        <v>0</v>
      </c>
      <c r="AJ410" s="57">
        <f ca="1">AI301-EM197</f>
        <v>0</v>
      </c>
      <c r="AK410" s="57">
        <f ca="1">AJ301-EN197</f>
        <v>0</v>
      </c>
      <c r="AL410" s="57">
        <f ca="1">AK301-EO197</f>
        <v>0</v>
      </c>
      <c r="AM410" s="57">
        <f ca="1">AL301-EP197</f>
        <v>0</v>
      </c>
      <c r="AN410" s="57">
        <f ca="1">AM301-EQ197</f>
        <v>0</v>
      </c>
      <c r="AO410" s="57">
        <f ca="1">AN301-ER197</f>
        <v>0</v>
      </c>
      <c r="AP410" s="57">
        <f ca="1">AO301-ES197</f>
        <v>0</v>
      </c>
      <c r="AQ410" s="57">
        <f ca="1">AP301-ET197</f>
        <v>0</v>
      </c>
      <c r="AR410" s="57">
        <f ca="1">AQ301-EU197</f>
        <v>0</v>
      </c>
      <c r="AS410" s="57">
        <f ca="1">AR301-EV197</f>
        <v>0</v>
      </c>
      <c r="AT410" s="57">
        <f ca="1">AS301-EW197</f>
        <v>0</v>
      </c>
      <c r="AU410" s="57">
        <f ca="1">AT301-EX197</f>
        <v>0</v>
      </c>
      <c r="AV410" s="57">
        <f ca="1">AU301-EY197</f>
        <v>0</v>
      </c>
      <c r="AW410" s="57">
        <f ca="1">AV301-EZ197</f>
        <v>0</v>
      </c>
      <c r="AX410" s="57">
        <f ca="1">AW301-FA197</f>
        <v>0</v>
      </c>
      <c r="AY410" s="57">
        <f ca="1">AX301-FB197</f>
        <v>0</v>
      </c>
      <c r="AZ410" s="57">
        <f ca="1">AY301-FC197</f>
        <v>0</v>
      </c>
      <c r="BA410" s="57">
        <f ca="1">AZ301-FD197</f>
        <v>0</v>
      </c>
      <c r="BB410" s="57">
        <f ca="1">BA301-FE197</f>
        <v>0</v>
      </c>
      <c r="BC410" s="57">
        <f ca="1">BB301-FF197</f>
        <v>0</v>
      </c>
    </row>
    <row r="411" spans="1:55">
      <c r="A411" s="27">
        <v>61</v>
      </c>
      <c r="B411" s="27" t="str">
        <f t="shared" si="444"/>
        <v>Sim</v>
      </c>
      <c r="C411" s="27">
        <f t="shared" si="442"/>
        <v>45</v>
      </c>
      <c r="D411" s="27">
        <f t="shared" ca="1" si="443"/>
        <v>46</v>
      </c>
      <c r="E411" s="34">
        <v>61</v>
      </c>
      <c r="F411" s="57">
        <f ca="1">E302-DI198</f>
        <v>0</v>
      </c>
      <c r="G411" s="57">
        <f ca="1">F302-DJ198</f>
        <v>0</v>
      </c>
      <c r="H411" s="57">
        <f ca="1">G302-DK198</f>
        <v>0</v>
      </c>
      <c r="I411" s="57">
        <f ca="1">H302-DL198</f>
        <v>0</v>
      </c>
      <c r="J411" s="57">
        <f ca="1">I302-DM198</f>
        <v>0</v>
      </c>
      <c r="K411" s="57">
        <f ca="1">J302-DN198</f>
        <v>0</v>
      </c>
      <c r="L411" s="57">
        <f ca="1">K302-DO198</f>
        <v>0</v>
      </c>
      <c r="M411" s="57">
        <f ca="1">L302-DP198</f>
        <v>0</v>
      </c>
      <c r="N411" s="57">
        <f ca="1">M302-DQ198</f>
        <v>0</v>
      </c>
      <c r="O411" s="57">
        <f ca="1">N302-DR198</f>
        <v>0</v>
      </c>
      <c r="P411" s="57">
        <f ca="1">O302-DS198</f>
        <v>0</v>
      </c>
      <c r="Q411" s="57">
        <f ca="1">P302-DT198</f>
        <v>0</v>
      </c>
      <c r="R411" s="57">
        <f ca="1">Q302-DU198</f>
        <v>0</v>
      </c>
      <c r="S411" s="57">
        <f ca="1">R302-DV198</f>
        <v>0</v>
      </c>
      <c r="T411" s="57">
        <f ca="1">S302-DW198</f>
        <v>0</v>
      </c>
      <c r="U411" s="57">
        <f ca="1">T302-DX198</f>
        <v>0</v>
      </c>
      <c r="V411" s="57">
        <f ca="1">U302-DY198</f>
        <v>0</v>
      </c>
      <c r="W411" s="57">
        <f ca="1">V302-DZ198</f>
        <v>0</v>
      </c>
      <c r="X411" s="57">
        <f ca="1">W302-EA198</f>
        <v>0</v>
      </c>
      <c r="Y411" s="57">
        <f ca="1">X302-EB198</f>
        <v>0</v>
      </c>
      <c r="Z411" s="57">
        <f ca="1">Y302-EC198</f>
        <v>0</v>
      </c>
      <c r="AA411" s="57">
        <f ca="1">Z302-ED198</f>
        <v>0</v>
      </c>
      <c r="AB411" s="57">
        <f ca="1">AA302-EE198</f>
        <v>0</v>
      </c>
      <c r="AC411" s="57">
        <f ca="1">AB302-EF198</f>
        <v>0</v>
      </c>
      <c r="AD411" s="57">
        <f ca="1">AC302-EG198</f>
        <v>0</v>
      </c>
      <c r="AE411" s="57">
        <f ca="1">AD302-EH198</f>
        <v>0</v>
      </c>
      <c r="AF411" s="57">
        <f ca="1">AE302-EI198</f>
        <v>0</v>
      </c>
      <c r="AG411" s="57">
        <f ca="1">AF302-EJ198</f>
        <v>0</v>
      </c>
      <c r="AH411" s="57">
        <f ca="1">AG302-EK198</f>
        <v>0</v>
      </c>
      <c r="AI411" s="57">
        <f ca="1">AH302-EL198</f>
        <v>0</v>
      </c>
      <c r="AJ411" s="57">
        <f ca="1">AI302-EM198</f>
        <v>0</v>
      </c>
      <c r="AK411" s="57">
        <f ca="1">AJ302-EN198</f>
        <v>0</v>
      </c>
      <c r="AL411" s="57">
        <f ca="1">AK302-EO198</f>
        <v>0</v>
      </c>
      <c r="AM411" s="57">
        <f ca="1">AL302-EP198</f>
        <v>0</v>
      </c>
      <c r="AN411" s="57">
        <f ca="1">AM302-EQ198</f>
        <v>0</v>
      </c>
      <c r="AO411" s="57">
        <f ca="1">AN302-ER198</f>
        <v>0</v>
      </c>
      <c r="AP411" s="57">
        <f ca="1">AO302-ES198</f>
        <v>0</v>
      </c>
      <c r="AQ411" s="57">
        <f ca="1">AP302-ET198</f>
        <v>0</v>
      </c>
      <c r="AR411" s="57">
        <f ca="1">AQ302-EU198</f>
        <v>0</v>
      </c>
      <c r="AS411" s="57">
        <f ca="1">AR302-EV198</f>
        <v>0</v>
      </c>
      <c r="AT411" s="57">
        <f ca="1">AS302-EW198</f>
        <v>0</v>
      </c>
      <c r="AU411" s="57">
        <f ca="1">AT302-EX198</f>
        <v>0</v>
      </c>
      <c r="AV411" s="57">
        <f ca="1">AU302-EY198</f>
        <v>0</v>
      </c>
      <c r="AW411" s="57">
        <f ca="1">AV302-EZ198</f>
        <v>0</v>
      </c>
      <c r="AX411" s="57">
        <f ca="1">AW302-FA198</f>
        <v>0</v>
      </c>
      <c r="AY411" s="57">
        <f ca="1">AX302-FB198</f>
        <v>2.0828999997002384E-7</v>
      </c>
      <c r="AZ411" s="57">
        <f ca="1">AY302-FC198</f>
        <v>0.14680199999999999</v>
      </c>
      <c r="BA411" s="57">
        <f ca="1">AZ302-FD198</f>
        <v>0.65231799999999995</v>
      </c>
      <c r="BB411" s="57">
        <f ca="1">BA302-FE198</f>
        <v>0.35928700000000002</v>
      </c>
      <c r="BC411" s="57">
        <f ca="1">BB302-FF198</f>
        <v>0.71081099999999997</v>
      </c>
    </row>
    <row r="412" spans="1:55">
      <c r="A412" s="27">
        <v>62</v>
      </c>
      <c r="B412" s="27" t="str">
        <f t="shared" si="444"/>
        <v>Sim</v>
      </c>
      <c r="C412" s="27">
        <f t="shared" si="442"/>
        <v>22</v>
      </c>
      <c r="D412" s="27">
        <f t="shared" ca="1" si="443"/>
        <v>40</v>
      </c>
      <c r="E412" s="34">
        <v>62</v>
      </c>
      <c r="F412" s="57">
        <f ca="1">E303-DI199</f>
        <v>0</v>
      </c>
      <c r="G412" s="57">
        <f ca="1">F303-DJ199</f>
        <v>0</v>
      </c>
      <c r="H412" s="57">
        <f ca="1">G303-DK199</f>
        <v>0</v>
      </c>
      <c r="I412" s="57">
        <f ca="1">H303-DL199</f>
        <v>0</v>
      </c>
      <c r="J412" s="57">
        <f ca="1">I303-DM199</f>
        <v>0</v>
      </c>
      <c r="K412" s="57">
        <f ca="1">J303-DN199</f>
        <v>0</v>
      </c>
      <c r="L412" s="57">
        <f ca="1">K303-DO199</f>
        <v>0</v>
      </c>
      <c r="M412" s="57">
        <f ca="1">L303-DP199</f>
        <v>0</v>
      </c>
      <c r="N412" s="57">
        <f ca="1">M303-DQ199</f>
        <v>0</v>
      </c>
      <c r="O412" s="57">
        <f ca="1">N303-DR199</f>
        <v>0</v>
      </c>
      <c r="P412" s="57">
        <f ca="1">O303-DS199</f>
        <v>0</v>
      </c>
      <c r="Q412" s="57">
        <f ca="1">P303-DT199</f>
        <v>0</v>
      </c>
      <c r="R412" s="57">
        <f ca="1">Q303-DU199</f>
        <v>0</v>
      </c>
      <c r="S412" s="57">
        <f ca="1">R303-DV199</f>
        <v>0</v>
      </c>
      <c r="T412" s="57">
        <f ca="1">S303-DW199</f>
        <v>0</v>
      </c>
      <c r="U412" s="57">
        <f ca="1">T303-DX199</f>
        <v>0</v>
      </c>
      <c r="V412" s="57">
        <f ca="1">U303-DY199</f>
        <v>0</v>
      </c>
      <c r="W412" s="57">
        <f ca="1">V303-DZ199</f>
        <v>0</v>
      </c>
      <c r="X412" s="57">
        <f ca="1">W303-EA199</f>
        <v>0</v>
      </c>
      <c r="Y412" s="57">
        <f ca="1">X303-EB199</f>
        <v>0</v>
      </c>
      <c r="Z412" s="57">
        <f ca="1">Y303-EC199</f>
        <v>0</v>
      </c>
      <c r="AA412" s="57">
        <f ca="1">Z303-ED199</f>
        <v>0</v>
      </c>
      <c r="AB412" s="57">
        <f ca="1">AA303-EE199</f>
        <v>-4.4925599995693233E-7</v>
      </c>
      <c r="AC412" s="57">
        <f ca="1">AB303-EF199</f>
        <v>-3.04972000042536E-7</v>
      </c>
      <c r="AD412" s="57">
        <f ca="1">AC303-EG199</f>
        <v>4.2271200006993581E-7</v>
      </c>
      <c r="AE412" s="57">
        <f ca="1">AD303-EH199</f>
        <v>-3.4085200002753613E-7</v>
      </c>
      <c r="AF412" s="57">
        <f ca="1">AE303-EI199</f>
        <v>5.2364000080462603E-8</v>
      </c>
      <c r="AG412" s="57">
        <f ca="1">AF303-EJ199</f>
        <v>2.0223999974700035E-8</v>
      </c>
      <c r="AH412" s="57">
        <f ca="1">AG303-EK199</f>
        <v>-6.5428800022360178E-7</v>
      </c>
      <c r="AI412" s="57">
        <f ca="1">AH303-EL199</f>
        <v>-3.1719999682433553E-9</v>
      </c>
      <c r="AJ412" s="57">
        <f ca="1">AI303-EM199</f>
        <v>1.0857600002411871E-7</v>
      </c>
      <c r="AK412" s="57">
        <f ca="1">AJ303-EN199</f>
        <v>1.1792000043087114E-8</v>
      </c>
      <c r="AL412" s="57">
        <f ca="1">AK303-EO199</f>
        <v>-7.4239199998604732E-7</v>
      </c>
      <c r="AM412" s="57">
        <f ca="1">AL303-EP199</f>
        <v>-3.506320001012142E-7</v>
      </c>
      <c r="AN412" s="57">
        <f ca="1">AM303-EQ199</f>
        <v>-3.3495999973709445E-8</v>
      </c>
      <c r="AO412" s="57">
        <f ca="1">AN303-ER199</f>
        <v>-4.9099199994628862E-7</v>
      </c>
      <c r="AP412" s="57">
        <f ca="1">AO303-ES199</f>
        <v>-7.6088000011687029E-8</v>
      </c>
      <c r="AQ412" s="57">
        <f ca="1">AP303-ET199</f>
        <v>-1.8495999998258128E-7</v>
      </c>
      <c r="AR412" s="57">
        <f ca="1">AQ303-EU199</f>
        <v>-7.1348000063586881E-8</v>
      </c>
      <c r="AS412" s="57">
        <f ca="1">AR303-EV199</f>
        <v>4.4445999997089203E-7</v>
      </c>
      <c r="AT412" s="57">
        <f ca="1">AS303-EW199</f>
        <v>-2.0088000000000002E-2</v>
      </c>
      <c r="AU412" s="57">
        <f ca="1">AT303-EX199</f>
        <v>8.3051999999999904E-2</v>
      </c>
      <c r="AV412" s="57">
        <f ca="1">AU303-EY199</f>
        <v>8.572000000000024E-3</v>
      </c>
      <c r="AW412" s="57">
        <f ca="1">AV303-EZ199</f>
        <v>-8.8430000000000453E-3</v>
      </c>
      <c r="AX412" s="57">
        <f ca="1">AW303-FA199</f>
        <v>3.2681999999999989E-2</v>
      </c>
      <c r="AY412" s="57">
        <f ca="1">AX303-FB199</f>
        <v>-1.7676999999999998E-2</v>
      </c>
      <c r="AZ412" s="57">
        <f ca="1">AY303-FC199</f>
        <v>-9.6429999999999572E-3</v>
      </c>
      <c r="BA412" s="57">
        <f ca="1">AZ303-FD199</f>
        <v>3.2753000000000004E-2</v>
      </c>
      <c r="BB412" s="57">
        <f ca="1">BA303-FE199</f>
        <v>-3.800199999999998E-2</v>
      </c>
      <c r="BC412" s="57">
        <f ca="1">BB303-FF199</f>
        <v>-8.6920999999999915E-2</v>
      </c>
    </row>
    <row r="413" spans="1:55">
      <c r="A413" s="27">
        <v>63</v>
      </c>
      <c r="B413" s="27" t="str">
        <f t="shared" si="444"/>
        <v>Sim</v>
      </c>
      <c r="C413" s="27">
        <f t="shared" si="442"/>
        <v>15</v>
      </c>
      <c r="D413" s="27">
        <f t="shared" ca="1" si="443"/>
        <v>32</v>
      </c>
      <c r="E413" s="34">
        <v>63</v>
      </c>
      <c r="F413" s="57">
        <f ca="1">E304-DI200</f>
        <v>0</v>
      </c>
      <c r="G413" s="57">
        <f ca="1">F304-DJ200</f>
        <v>0</v>
      </c>
      <c r="H413" s="57">
        <f ca="1">G304-DK200</f>
        <v>0</v>
      </c>
      <c r="I413" s="57">
        <f ca="1">H304-DL200</f>
        <v>0</v>
      </c>
      <c r="J413" s="57">
        <f ca="1">I304-DM200</f>
        <v>0</v>
      </c>
      <c r="K413" s="57">
        <f ca="1">J304-DN200</f>
        <v>0</v>
      </c>
      <c r="L413" s="57">
        <f ca="1">K304-DO200</f>
        <v>0</v>
      </c>
      <c r="M413" s="57">
        <f ca="1">L304-DP200</f>
        <v>0</v>
      </c>
      <c r="N413" s="57">
        <f ca="1">M304-DQ200</f>
        <v>0</v>
      </c>
      <c r="O413" s="57">
        <f ca="1">N304-DR200</f>
        <v>0</v>
      </c>
      <c r="P413" s="57">
        <f ca="1">O304-DS200</f>
        <v>0</v>
      </c>
      <c r="Q413" s="57">
        <f ca="1">P304-DT200</f>
        <v>0</v>
      </c>
      <c r="R413" s="57">
        <f ca="1">Q304-DU200</f>
        <v>0</v>
      </c>
      <c r="S413" s="57">
        <f ca="1">R304-DV200</f>
        <v>0</v>
      </c>
      <c r="T413" s="57">
        <f ca="1">S304-DW200</f>
        <v>0</v>
      </c>
      <c r="U413" s="57">
        <f ca="1">T304-DX200</f>
        <v>-1.7396900003907589E-7</v>
      </c>
      <c r="V413" s="57">
        <f ca="1">U304-DY200</f>
        <v>-1.3194899994850573E-7</v>
      </c>
      <c r="W413" s="57">
        <f ca="1">V304-DZ200</f>
        <v>-6.090420000548491E-7</v>
      </c>
      <c r="X413" s="57">
        <f ca="1">W304-EA200</f>
        <v>6.0785599997892348E-7</v>
      </c>
      <c r="Y413" s="57">
        <f ca="1">X304-EB200</f>
        <v>7.9015300002982514E-7</v>
      </c>
      <c r="Z413" s="57">
        <f ca="1">Y304-EC200</f>
        <v>7.1622900005285928E-7</v>
      </c>
      <c r="AA413" s="57">
        <f ca="1">Z304-ED200</f>
        <v>-3.5548900002846384E-7</v>
      </c>
      <c r="AB413" s="57">
        <f ca="1">AA304-EE200</f>
        <v>1.7016500002825508E-7</v>
      </c>
      <c r="AC413" s="57">
        <f ca="1">AB304-EF200</f>
        <v>-2.3878999999560335E-7</v>
      </c>
      <c r="AD413" s="57">
        <f ca="1">AC304-EG200</f>
        <v>-3.6432799999097654E-7</v>
      </c>
      <c r="AE413" s="57">
        <f ca="1">AD304-EH200</f>
        <v>-1.7446700001366722E-7</v>
      </c>
      <c r="AF413" s="57">
        <f ca="1">AE304-EI200</f>
        <v>-4.7908699996046522E-7</v>
      </c>
      <c r="AG413" s="57">
        <f ca="1">AF304-EJ200</f>
        <v>-4.5448100016720616E-7</v>
      </c>
      <c r="AH413" s="57">
        <f ca="1">AG304-EK200</f>
        <v>-6.2563400005100078E-7</v>
      </c>
      <c r="AI413" s="57">
        <f ca="1">AH304-EL200</f>
        <v>2.642219999460238E-7</v>
      </c>
      <c r="AJ413" s="57">
        <f ca="1">AI304-EM200</f>
        <v>1.6465400001774988E-7</v>
      </c>
      <c r="AK413" s="57">
        <f ca="1">AJ304-EN200</f>
        <v>1.9617500002233612E-7</v>
      </c>
      <c r="AL413" s="57">
        <f ca="1">AK304-EO200</f>
        <v>9.7536999999999985E-2</v>
      </c>
      <c r="AM413" s="57">
        <f ca="1">AL304-EP200</f>
        <v>-1.1110370000000001</v>
      </c>
      <c r="AN413" s="57">
        <f ca="1">AM304-EQ200</f>
        <v>0.12990699999999999</v>
      </c>
      <c r="AO413" s="57">
        <f ca="1">AN304-ER200</f>
        <v>0.12363400000000002</v>
      </c>
      <c r="AP413" s="57">
        <f ca="1">AO304-ES200</f>
        <v>0.76529400000000003</v>
      </c>
      <c r="AQ413" s="57">
        <f ca="1">AP304-ET200</f>
        <v>0.47282299999999999</v>
      </c>
      <c r="AR413" s="57">
        <f ca="1">AQ304-EU200</f>
        <v>0.74411799999999995</v>
      </c>
      <c r="AS413" s="57">
        <f ca="1">AR304-EV200</f>
        <v>0.15782800000000002</v>
      </c>
      <c r="AT413" s="57">
        <f ca="1">AS304-EW200</f>
        <v>-0.43344299999999997</v>
      </c>
      <c r="AU413" s="57">
        <f ca="1">AT304-EX200</f>
        <v>0.57746799999999998</v>
      </c>
      <c r="AV413" s="57">
        <f ca="1">AU304-EY200</f>
        <v>0.735317</v>
      </c>
      <c r="AW413" s="57">
        <f ca="1">AV304-EZ200</f>
        <v>0.15403200000000006</v>
      </c>
      <c r="AX413" s="57">
        <f ca="1">AW304-FA200</f>
        <v>-0.89327699999999999</v>
      </c>
      <c r="AY413" s="57">
        <f ca="1">AX304-FB200</f>
        <v>-0.213473</v>
      </c>
      <c r="AZ413" s="57">
        <f ca="1">AY304-FC200</f>
        <v>-0.53789100000000001</v>
      </c>
      <c r="BA413" s="57">
        <f ca="1">AZ304-FD200</f>
        <v>0.71188899999999999</v>
      </c>
      <c r="BB413" s="57">
        <f ca="1">BA304-FE200</f>
        <v>-0.20006100000000002</v>
      </c>
      <c r="BC413" s="57">
        <f ca="1">BB304-FF200</f>
        <v>1.0080549999999999</v>
      </c>
    </row>
    <row r="414" spans="1:55">
      <c r="A414" s="27">
        <v>64</v>
      </c>
      <c r="B414" s="27" t="str">
        <f t="shared" ref="B414:B445" si="445">H201</f>
        <v>Sim</v>
      </c>
      <c r="C414" s="27">
        <f t="shared" si="442"/>
        <v>30</v>
      </c>
      <c r="D414" s="27">
        <f t="shared" ca="1" si="443"/>
        <v>36</v>
      </c>
      <c r="E414" s="34">
        <v>64</v>
      </c>
      <c r="F414" s="57">
        <f ca="1">E305-DI201</f>
        <v>0</v>
      </c>
      <c r="G414" s="57">
        <f ca="1">F305-DJ201</f>
        <v>0</v>
      </c>
      <c r="H414" s="57">
        <f ca="1">G305-DK201</f>
        <v>0</v>
      </c>
      <c r="I414" s="57">
        <f ca="1">H305-DL201</f>
        <v>0</v>
      </c>
      <c r="J414" s="57">
        <f ca="1">I305-DM201</f>
        <v>0</v>
      </c>
      <c r="K414" s="57">
        <f ca="1">J305-DN201</f>
        <v>0</v>
      </c>
      <c r="L414" s="57">
        <f ca="1">K305-DO201</f>
        <v>0</v>
      </c>
      <c r="M414" s="57">
        <f ca="1">L305-DP201</f>
        <v>0</v>
      </c>
      <c r="N414" s="57">
        <f ca="1">M305-DQ201</f>
        <v>0</v>
      </c>
      <c r="O414" s="57">
        <f ca="1">N305-DR201</f>
        <v>0</v>
      </c>
      <c r="P414" s="57">
        <f ca="1">O305-DS201</f>
        <v>0</v>
      </c>
      <c r="Q414" s="57">
        <f ca="1">P305-DT201</f>
        <v>0</v>
      </c>
      <c r="R414" s="57">
        <f ca="1">Q305-DU201</f>
        <v>0</v>
      </c>
      <c r="S414" s="57">
        <f ca="1">R305-DV201</f>
        <v>0</v>
      </c>
      <c r="T414" s="57">
        <f ca="1">S305-DW201</f>
        <v>0</v>
      </c>
      <c r="U414" s="57">
        <f ca="1">T305-DX201</f>
        <v>0</v>
      </c>
      <c r="V414" s="57">
        <f ca="1">U305-DY201</f>
        <v>0</v>
      </c>
      <c r="W414" s="57">
        <f ca="1">V305-DZ201</f>
        <v>0</v>
      </c>
      <c r="X414" s="57">
        <f ca="1">W305-EA201</f>
        <v>0</v>
      </c>
      <c r="Y414" s="57">
        <f ca="1">X305-EB201</f>
        <v>0</v>
      </c>
      <c r="Z414" s="57">
        <f ca="1">Y305-EC201</f>
        <v>0</v>
      </c>
      <c r="AA414" s="57">
        <f ca="1">Z305-ED201</f>
        <v>0</v>
      </c>
      <c r="AB414" s="57">
        <f ca="1">AA305-EE201</f>
        <v>0</v>
      </c>
      <c r="AC414" s="57">
        <f ca="1">AB305-EF201</f>
        <v>0</v>
      </c>
      <c r="AD414" s="57">
        <f ca="1">AC305-EG201</f>
        <v>0</v>
      </c>
      <c r="AE414" s="57">
        <f ca="1">AD305-EH201</f>
        <v>0</v>
      </c>
      <c r="AF414" s="57">
        <f ca="1">AE305-EI201</f>
        <v>0</v>
      </c>
      <c r="AG414" s="57">
        <f ca="1">AF305-EJ201</f>
        <v>0</v>
      </c>
      <c r="AH414" s="57">
        <f ca="1">AG305-EK201</f>
        <v>0</v>
      </c>
      <c r="AI414" s="57">
        <f ca="1">AH305-EL201</f>
        <v>0</v>
      </c>
      <c r="AJ414" s="57">
        <f ca="1">AI305-EM201</f>
        <v>3.6802399999702473E-7</v>
      </c>
      <c r="AK414" s="57">
        <f ca="1">AJ305-EN201</f>
        <v>-1.5593600000141095E-7</v>
      </c>
      <c r="AL414" s="57">
        <f ca="1">AK305-EO201</f>
        <v>-1.3179199997992441E-7</v>
      </c>
      <c r="AM414" s="57">
        <f ca="1">AL305-EP201</f>
        <v>-1.6969599997418428E-7</v>
      </c>
      <c r="AN414" s="57">
        <f ca="1">AM305-EQ201</f>
        <v>1.6349599996079434E-7</v>
      </c>
      <c r="AO414" s="57">
        <f ca="1">AN305-ER201</f>
        <v>-1.4716000001913088E-7</v>
      </c>
      <c r="AP414" s="57">
        <f ca="1">AO305-ES201</f>
        <v>1.9226999999999994E-2</v>
      </c>
      <c r="AQ414" s="57">
        <f ca="1">AP305-ET201</f>
        <v>0.885903</v>
      </c>
      <c r="AR414" s="57">
        <f ca="1">AQ305-EU201</f>
        <v>0.77006200000000002</v>
      </c>
      <c r="AS414" s="57">
        <f ca="1">AR305-EV201</f>
        <v>0.40053499999999997</v>
      </c>
      <c r="AT414" s="57">
        <f ca="1">AS305-EW201</f>
        <v>0.35134100000000001</v>
      </c>
      <c r="AU414" s="57">
        <f ca="1">AT305-EX201</f>
        <v>0.129827</v>
      </c>
      <c r="AV414" s="57">
        <f ca="1">AU305-EY201</f>
        <v>-0.48089899999999997</v>
      </c>
      <c r="AW414" s="57">
        <f ca="1">AV305-EZ201</f>
        <v>-3.4859000000000001E-2</v>
      </c>
      <c r="AX414" s="57">
        <f ca="1">AW305-FA201</f>
        <v>-0.12901599999999999</v>
      </c>
      <c r="AY414" s="57">
        <f ca="1">AX305-FB201</f>
        <v>0.47996299999999997</v>
      </c>
      <c r="AZ414" s="57">
        <f ca="1">AY305-FC201</f>
        <v>0.91644799999999993</v>
      </c>
      <c r="BA414" s="57">
        <f ca="1">AZ305-FD201</f>
        <v>0.18758900000000001</v>
      </c>
      <c r="BB414" s="57">
        <f ca="1">BA305-FE201</f>
        <v>-0.20895</v>
      </c>
      <c r="BC414" s="57">
        <f ca="1">BB305-FF201</f>
        <v>0.23349000000000003</v>
      </c>
    </row>
    <row r="415" spans="1:55">
      <c r="A415" s="27">
        <v>65</v>
      </c>
      <c r="B415" s="27" t="str">
        <f t="shared" si="445"/>
        <v>Sim</v>
      </c>
      <c r="C415" s="27">
        <f t="shared" ref="C415:C449" si="446">E202</f>
        <v>9</v>
      </c>
      <c r="D415" s="27">
        <f t="shared" ref="D415:D449" ca="1" si="447">F202</f>
        <v>25</v>
      </c>
      <c r="E415" s="34">
        <v>65</v>
      </c>
      <c r="F415" s="57">
        <f ca="1">E306-DI202</f>
        <v>0</v>
      </c>
      <c r="G415" s="57">
        <f ca="1">F306-DJ202</f>
        <v>0</v>
      </c>
      <c r="H415" s="57">
        <f ca="1">G306-DK202</f>
        <v>0</v>
      </c>
      <c r="I415" s="57">
        <f ca="1">H306-DL202</f>
        <v>0</v>
      </c>
      <c r="J415" s="57">
        <f ca="1">I306-DM202</f>
        <v>0</v>
      </c>
      <c r="K415" s="57">
        <f ca="1">J306-DN202</f>
        <v>0</v>
      </c>
      <c r="L415" s="57">
        <f ca="1">K306-DO202</f>
        <v>0</v>
      </c>
      <c r="M415" s="57">
        <f ca="1">L306-DP202</f>
        <v>0</v>
      </c>
      <c r="N415" s="57">
        <f ca="1">M306-DQ202</f>
        <v>0</v>
      </c>
      <c r="O415" s="57">
        <f ca="1">N306-DR202</f>
        <v>-9.0076999970101213E-8</v>
      </c>
      <c r="P415" s="57">
        <f ca="1">O306-DS202</f>
        <v>1.0578699993768481E-7</v>
      </c>
      <c r="Q415" s="57">
        <f ca="1">P306-DT202</f>
        <v>2.5424699998111144E-7</v>
      </c>
      <c r="R415" s="57">
        <f ca="1">Q306-DU202</f>
        <v>-1.1115899997693468E-7</v>
      </c>
      <c r="S415" s="57">
        <f ca="1">R306-DV202</f>
        <v>-1.6146900000402198E-7</v>
      </c>
      <c r="T415" s="57">
        <f ca="1">S306-DW202</f>
        <v>7.6291500000769119E-7</v>
      </c>
      <c r="U415" s="57">
        <f ca="1">T306-DX202</f>
        <v>2.80156000065368E-7</v>
      </c>
      <c r="V415" s="57">
        <f ca="1">U306-DY202</f>
        <v>6.3997799998327665E-7</v>
      </c>
      <c r="W415" s="57">
        <f ca="1">V306-DZ202</f>
        <v>3.7774399996859387E-7</v>
      </c>
      <c r="X415" s="57">
        <f ca="1">W306-EA202</f>
        <v>-8.5317000020346256E-8</v>
      </c>
      <c r="Y415" s="57">
        <f ca="1">X306-EB202</f>
        <v>3.9602800003257776E-7</v>
      </c>
      <c r="Z415" s="57">
        <f ca="1">Y306-EC202</f>
        <v>1.8650600003278228E-7</v>
      </c>
      <c r="AA415" s="57">
        <f ca="1">Z306-ED202</f>
        <v>-8.0601999963292315E-8</v>
      </c>
      <c r="AB415" s="57">
        <f ca="1">AA306-EE202</f>
        <v>1.2829800002944758E-7</v>
      </c>
      <c r="AC415" s="57">
        <f ca="1">AB306-EF202</f>
        <v>5.2880299994395585E-7</v>
      </c>
      <c r="AD415" s="57">
        <f ca="1">AC306-EG202</f>
        <v>3.4723000030822959E-8</v>
      </c>
      <c r="AE415" s="57">
        <f ca="1">AD306-EH202</f>
        <v>-0.28626799999999997</v>
      </c>
      <c r="AF415" s="57">
        <f ca="1">AE306-EI202</f>
        <v>-0.34150499999999995</v>
      </c>
      <c r="AG415" s="57">
        <f ca="1">AF306-EJ202</f>
        <v>-0.35772399999999999</v>
      </c>
      <c r="AH415" s="57">
        <f ca="1">AG306-EK202</f>
        <v>0.37881200000000015</v>
      </c>
      <c r="AI415" s="57">
        <f ca="1">AH306-EL202</f>
        <v>-1.5232999999999997E-2</v>
      </c>
      <c r="AJ415" s="57">
        <f ca="1">AI306-EM202</f>
        <v>-1.1575000000000002E-2</v>
      </c>
      <c r="AK415" s="57">
        <f ca="1">AJ306-EN202</f>
        <v>0.31933</v>
      </c>
      <c r="AL415" s="57">
        <f ca="1">AK306-EO202</f>
        <v>-1.369008</v>
      </c>
      <c r="AM415" s="57">
        <f ca="1">AL306-EP202</f>
        <v>0.28150700000000001</v>
      </c>
      <c r="AN415" s="57">
        <f ca="1">AM306-EQ202</f>
        <v>-0.59065100000000004</v>
      </c>
      <c r="AO415" s="57">
        <f ca="1">AN306-ER202</f>
        <v>0.71706900000000007</v>
      </c>
      <c r="AP415" s="57">
        <f ca="1">AO306-ES202</f>
        <v>0.67755399999999999</v>
      </c>
      <c r="AQ415" s="57">
        <f ca="1">AP306-ET202</f>
        <v>0.22100700000000001</v>
      </c>
      <c r="AR415" s="57">
        <f ca="1">AQ306-EU202</f>
        <v>0.56390099999999999</v>
      </c>
      <c r="AS415" s="57">
        <f ca="1">AR306-EV202</f>
        <v>0.20745399999999992</v>
      </c>
      <c r="AT415" s="57">
        <f ca="1">AS306-EW202</f>
        <v>-8.7300000000001265E-4</v>
      </c>
      <c r="AU415" s="57">
        <f ca="1">AT306-EX202</f>
        <v>0.29723500000000003</v>
      </c>
      <c r="AV415" s="57">
        <f ca="1">AU306-EY202</f>
        <v>0.43196999999999997</v>
      </c>
      <c r="AW415" s="57">
        <f ca="1">AV306-EZ202</f>
        <v>0.36310499999999996</v>
      </c>
      <c r="AX415" s="57">
        <f ca="1">AW306-FA202</f>
        <v>0.56428299999999998</v>
      </c>
      <c r="AY415" s="57">
        <f ca="1">AX306-FB202</f>
        <v>0.78238099999999988</v>
      </c>
      <c r="AZ415" s="57">
        <f ca="1">AY306-FC202</f>
        <v>-5.5954999999999998E-2</v>
      </c>
      <c r="BA415" s="57">
        <f ca="1">AZ306-FD202</f>
        <v>-0.31212299999999998</v>
      </c>
      <c r="BB415" s="57">
        <f ca="1">BA306-FE202</f>
        <v>-0.41836000000000001</v>
      </c>
      <c r="BC415" s="57">
        <f ca="1">BB306-FF202</f>
        <v>-0.11939999999999999</v>
      </c>
    </row>
    <row r="416" spans="1:55">
      <c r="A416" s="27">
        <v>66</v>
      </c>
      <c r="B416" s="27" t="str">
        <f t="shared" si="445"/>
        <v>Sim</v>
      </c>
      <c r="C416" s="27">
        <f t="shared" si="446"/>
        <v>10</v>
      </c>
      <c r="D416" s="27">
        <f t="shared" ca="1" si="447"/>
        <v>47</v>
      </c>
      <c r="E416" s="34">
        <v>66</v>
      </c>
      <c r="F416" s="57">
        <f ca="1">E307-DI203</f>
        <v>0</v>
      </c>
      <c r="G416" s="57">
        <f ca="1">F307-DJ203</f>
        <v>0</v>
      </c>
      <c r="H416" s="57">
        <f ca="1">G307-DK203</f>
        <v>0</v>
      </c>
      <c r="I416" s="57">
        <f ca="1">H307-DL203</f>
        <v>0</v>
      </c>
      <c r="J416" s="57">
        <f ca="1">I307-DM203</f>
        <v>0</v>
      </c>
      <c r="K416" s="57">
        <f ca="1">J307-DN203</f>
        <v>0</v>
      </c>
      <c r="L416" s="57">
        <f ca="1">K307-DO203</f>
        <v>0</v>
      </c>
      <c r="M416" s="57">
        <f ca="1">L307-DP203</f>
        <v>0</v>
      </c>
      <c r="N416" s="57">
        <f ca="1">M307-DQ203</f>
        <v>0</v>
      </c>
      <c r="O416" s="57">
        <f ca="1">N307-DR203</f>
        <v>0</v>
      </c>
      <c r="P416" s="57">
        <f ca="1">O307-DS203</f>
        <v>-1.3484799998852992E-7</v>
      </c>
      <c r="Q416" s="57">
        <f ca="1">P307-DT203</f>
        <v>-1.8998399997638415E-7</v>
      </c>
      <c r="R416" s="57">
        <f ca="1">Q307-DU203</f>
        <v>-3.9833600000427349E-7</v>
      </c>
      <c r="S416" s="57">
        <f ca="1">R307-DV203</f>
        <v>1.2085760001112611E-6</v>
      </c>
      <c r="T416" s="57">
        <f ca="1">S307-DW203</f>
        <v>-1.6265600008558145E-7</v>
      </c>
      <c r="U416" s="57">
        <f ca="1">T307-DX203</f>
        <v>-1.9888000002410422E-7</v>
      </c>
      <c r="V416" s="57">
        <f ca="1">U307-DY203</f>
        <v>-4.7942400005496211E-7</v>
      </c>
      <c r="W416" s="57">
        <f ca="1">V307-DZ203</f>
        <v>-4.2867200000795691E-7</v>
      </c>
      <c r="X416" s="57">
        <f ca="1">W307-EA203</f>
        <v>-6.7977600015645123E-7</v>
      </c>
      <c r="Y416" s="57">
        <f ca="1">X307-EB203</f>
        <v>4.1503999992364982E-7</v>
      </c>
      <c r="Z416" s="57">
        <f ca="1">Y307-EC203</f>
        <v>-1.2799994397738601E-10</v>
      </c>
      <c r="AA416" s="57">
        <f ca="1">Z307-ED203</f>
        <v>-1.0520320000151351E-6</v>
      </c>
      <c r="AB416" s="57">
        <f ca="1">AA307-EE203</f>
        <v>-9.4275200008403504E-7</v>
      </c>
      <c r="AC416" s="57">
        <f ca="1">AB307-EF203</f>
        <v>-1.7308799998838609E-7</v>
      </c>
      <c r="AD416" s="57">
        <f ca="1">AC307-EG203</f>
        <v>8.5676800010148213E-7</v>
      </c>
      <c r="AE416" s="57">
        <f ca="1">AD307-EH203</f>
        <v>-8.2729599998332404E-7</v>
      </c>
      <c r="AF416" s="57">
        <f ca="1">AE307-EI203</f>
        <v>5.1372800002891239E-7</v>
      </c>
      <c r="AG416" s="57">
        <f ca="1">AF307-EJ203</f>
        <v>-6.0486399999781781E-7</v>
      </c>
      <c r="AH416" s="57">
        <f ca="1">AG307-EK203</f>
        <v>5.3020800000469492E-7</v>
      </c>
      <c r="AI416" s="57">
        <f ca="1">AH307-EL203</f>
        <v>-3.1203199999177422E-7</v>
      </c>
      <c r="AJ416" s="57">
        <f ca="1">AI307-EM203</f>
        <v>2.4617600008491891E-7</v>
      </c>
      <c r="AK416" s="57">
        <f ca="1">AJ307-EN203</f>
        <v>-1.0203520000584554E-6</v>
      </c>
      <c r="AL416" s="57">
        <f ca="1">AK307-EO203</f>
        <v>3.6505599998459815E-7</v>
      </c>
      <c r="AM416" s="57">
        <f ca="1">AL307-EP203</f>
        <v>9.624960000120808E-7</v>
      </c>
      <c r="AN416" s="57">
        <f ca="1">AM307-EQ203</f>
        <v>-8.9312000017827131E-8</v>
      </c>
      <c r="AO416" s="57">
        <f ca="1">AN307-ER203</f>
        <v>3.7740800006014208E-7</v>
      </c>
      <c r="AP416" s="57">
        <f ca="1">AO307-ES203</f>
        <v>3.4697599998745332E-7</v>
      </c>
      <c r="AQ416" s="57">
        <f ca="1">AP307-ET203</f>
        <v>4.6672000006409142E-7</v>
      </c>
      <c r="AR416" s="57">
        <f ca="1">AQ307-EU203</f>
        <v>5.0246400001840996E-7</v>
      </c>
      <c r="AS416" s="57">
        <f ca="1">AR307-EV203</f>
        <v>1.6831999999356029E-7</v>
      </c>
      <c r="AT416" s="57">
        <f ca="1">AS307-EW203</f>
        <v>1.0186559999958433E-6</v>
      </c>
      <c r="AU416" s="57">
        <f ca="1">AT307-EX203</f>
        <v>2.6832000005194701E-7</v>
      </c>
      <c r="AV416" s="57">
        <f ca="1">AU307-EY203</f>
        <v>-6.2063999997641339E-7</v>
      </c>
      <c r="AW416" s="57">
        <f ca="1">AV307-EZ203</f>
        <v>5.8528000002056046E-7</v>
      </c>
      <c r="AX416" s="57">
        <f ca="1">AW307-FA203</f>
        <v>3.6627200006300598E-7</v>
      </c>
      <c r="AY416" s="57">
        <f ca="1">AX307-FB203</f>
        <v>-2.4396799996884155E-7</v>
      </c>
      <c r="AZ416" s="57">
        <f ca="1">AY307-FC203</f>
        <v>-1.3532800008375645E-7</v>
      </c>
      <c r="BA416" s="57">
        <f ca="1">AZ307-FD203</f>
        <v>0.35401100000000002</v>
      </c>
      <c r="BB416" s="57">
        <f ca="1">BA307-FE203</f>
        <v>-0.38628299999999999</v>
      </c>
      <c r="BC416" s="57">
        <f ca="1">BB307-FF203</f>
        <v>3.3976000000000006E-2</v>
      </c>
    </row>
    <row r="417" spans="1:55">
      <c r="A417" s="27">
        <v>67</v>
      </c>
      <c r="B417" s="27" t="str">
        <f t="shared" si="445"/>
        <v>Sim</v>
      </c>
      <c r="C417" s="27">
        <f t="shared" si="446"/>
        <v>40</v>
      </c>
      <c r="D417" s="27">
        <f t="shared" ca="1" si="447"/>
        <v>40</v>
      </c>
      <c r="E417" s="34">
        <v>67</v>
      </c>
      <c r="F417" s="57">
        <f ca="1">E308-DI204</f>
        <v>0</v>
      </c>
      <c r="G417" s="57">
        <f ca="1">F308-DJ204</f>
        <v>0</v>
      </c>
      <c r="H417" s="57">
        <f ca="1">G308-DK204</f>
        <v>0</v>
      </c>
      <c r="I417" s="57">
        <f ca="1">H308-DL204</f>
        <v>0</v>
      </c>
      <c r="J417" s="57">
        <f ca="1">I308-DM204</f>
        <v>0</v>
      </c>
      <c r="K417" s="57">
        <f ca="1">J308-DN204</f>
        <v>0</v>
      </c>
      <c r="L417" s="57">
        <f ca="1">K308-DO204</f>
        <v>0</v>
      </c>
      <c r="M417" s="57">
        <f ca="1">L308-DP204</f>
        <v>0</v>
      </c>
      <c r="N417" s="57">
        <f ca="1">M308-DQ204</f>
        <v>0</v>
      </c>
      <c r="O417" s="57">
        <f ca="1">N308-DR204</f>
        <v>0</v>
      </c>
      <c r="P417" s="57">
        <f ca="1">O308-DS204</f>
        <v>0</v>
      </c>
      <c r="Q417" s="57">
        <f ca="1">P308-DT204</f>
        <v>0</v>
      </c>
      <c r="R417" s="57">
        <f ca="1">Q308-DU204</f>
        <v>0</v>
      </c>
      <c r="S417" s="57">
        <f ca="1">R308-DV204</f>
        <v>0</v>
      </c>
      <c r="T417" s="57">
        <f ca="1">S308-DW204</f>
        <v>0</v>
      </c>
      <c r="U417" s="57">
        <f ca="1">T308-DX204</f>
        <v>0</v>
      </c>
      <c r="V417" s="57">
        <f ca="1">U308-DY204</f>
        <v>0</v>
      </c>
      <c r="W417" s="57">
        <f ca="1">V308-DZ204</f>
        <v>0</v>
      </c>
      <c r="X417" s="57">
        <f ca="1">W308-EA204</f>
        <v>0</v>
      </c>
      <c r="Y417" s="57">
        <f ca="1">X308-EB204</f>
        <v>0</v>
      </c>
      <c r="Z417" s="57">
        <f ca="1">Y308-EC204</f>
        <v>0</v>
      </c>
      <c r="AA417" s="57">
        <f ca="1">Z308-ED204</f>
        <v>0</v>
      </c>
      <c r="AB417" s="57">
        <f ca="1">AA308-EE204</f>
        <v>0</v>
      </c>
      <c r="AC417" s="57">
        <f ca="1">AB308-EF204</f>
        <v>0</v>
      </c>
      <c r="AD417" s="57">
        <f ca="1">AC308-EG204</f>
        <v>0</v>
      </c>
      <c r="AE417" s="57">
        <f ca="1">AD308-EH204</f>
        <v>0</v>
      </c>
      <c r="AF417" s="57">
        <f ca="1">AE308-EI204</f>
        <v>0</v>
      </c>
      <c r="AG417" s="57">
        <f ca="1">AF308-EJ204</f>
        <v>0</v>
      </c>
      <c r="AH417" s="57">
        <f ca="1">AG308-EK204</f>
        <v>0</v>
      </c>
      <c r="AI417" s="57">
        <f ca="1">AH308-EL204</f>
        <v>0</v>
      </c>
      <c r="AJ417" s="57">
        <f ca="1">AI308-EM204</f>
        <v>0</v>
      </c>
      <c r="AK417" s="57">
        <f ca="1">AJ308-EN204</f>
        <v>0</v>
      </c>
      <c r="AL417" s="57">
        <f ca="1">AK308-EO204</f>
        <v>0</v>
      </c>
      <c r="AM417" s="57">
        <f ca="1">AL308-EP204</f>
        <v>0</v>
      </c>
      <c r="AN417" s="57">
        <f ca="1">AM308-EQ204</f>
        <v>0</v>
      </c>
      <c r="AO417" s="57">
        <f ca="1">AN308-ER204</f>
        <v>0</v>
      </c>
      <c r="AP417" s="57">
        <f ca="1">AO308-ES204</f>
        <v>0</v>
      </c>
      <c r="AQ417" s="57">
        <f ca="1">AP308-ET204</f>
        <v>0</v>
      </c>
      <c r="AR417" s="57">
        <f ca="1">AQ308-EU204</f>
        <v>0</v>
      </c>
      <c r="AS417" s="57">
        <f ca="1">AR308-EV204</f>
        <v>0</v>
      </c>
      <c r="AT417" s="57">
        <f ca="1">AS308-EW204</f>
        <v>0</v>
      </c>
      <c r="AU417" s="57">
        <f ca="1">AT308-EX204</f>
        <v>0</v>
      </c>
      <c r="AV417" s="57">
        <f ca="1">AU308-EY204</f>
        <v>0</v>
      </c>
      <c r="AW417" s="57">
        <f ca="1">AV308-EZ204</f>
        <v>0</v>
      </c>
      <c r="AX417" s="57">
        <f ca="1">AW308-FA204</f>
        <v>0</v>
      </c>
      <c r="AY417" s="57">
        <f ca="1">AX308-FB204</f>
        <v>0</v>
      </c>
      <c r="AZ417" s="57">
        <f ca="1">AY308-FC204</f>
        <v>0</v>
      </c>
      <c r="BA417" s="57">
        <f ca="1">AZ308-FD204</f>
        <v>0</v>
      </c>
      <c r="BB417" s="57">
        <f ca="1">BA308-FE204</f>
        <v>0</v>
      </c>
      <c r="BC417" s="57">
        <f ca="1">BB308-FF204</f>
        <v>0</v>
      </c>
    </row>
    <row r="418" spans="1:55">
      <c r="A418" s="27">
        <v>68</v>
      </c>
      <c r="B418" s="27" t="str">
        <f t="shared" si="445"/>
        <v>Não</v>
      </c>
      <c r="C418" s="27">
        <f t="shared" si="446"/>
        <v>36</v>
      </c>
      <c r="D418" s="27">
        <f t="shared" ca="1" si="447"/>
        <v>47</v>
      </c>
      <c r="E418" s="34">
        <v>68</v>
      </c>
      <c r="F418" s="57">
        <f ca="1">E309-DI205</f>
        <v>0</v>
      </c>
      <c r="G418" s="57">
        <f ca="1">F309-DJ205</f>
        <v>0</v>
      </c>
      <c r="H418" s="57">
        <f ca="1">G309-DK205</f>
        <v>0</v>
      </c>
      <c r="I418" s="57">
        <f ca="1">H309-DL205</f>
        <v>0</v>
      </c>
      <c r="J418" s="57">
        <f ca="1">I309-DM205</f>
        <v>0</v>
      </c>
      <c r="K418" s="57">
        <f ca="1">J309-DN205</f>
        <v>0</v>
      </c>
      <c r="L418" s="57">
        <f ca="1">K309-DO205</f>
        <v>0</v>
      </c>
      <c r="M418" s="57">
        <f ca="1">L309-DP205</f>
        <v>0</v>
      </c>
      <c r="N418" s="57">
        <f ca="1">M309-DQ205</f>
        <v>0</v>
      </c>
      <c r="O418" s="57">
        <f ca="1">N309-DR205</f>
        <v>0</v>
      </c>
      <c r="P418" s="57">
        <f ca="1">O309-DS205</f>
        <v>0</v>
      </c>
      <c r="Q418" s="57">
        <f ca="1">P309-DT205</f>
        <v>0</v>
      </c>
      <c r="R418" s="57">
        <f ca="1">Q309-DU205</f>
        <v>0</v>
      </c>
      <c r="S418" s="57">
        <f ca="1">R309-DV205</f>
        <v>0</v>
      </c>
      <c r="T418" s="57">
        <f ca="1">S309-DW205</f>
        <v>0</v>
      </c>
      <c r="U418" s="57">
        <f ca="1">T309-DX205</f>
        <v>0</v>
      </c>
      <c r="V418" s="57">
        <f ca="1">U309-DY205</f>
        <v>0</v>
      </c>
      <c r="W418" s="57">
        <f ca="1">V309-DZ205</f>
        <v>0</v>
      </c>
      <c r="X418" s="57">
        <f ca="1">W309-EA205</f>
        <v>0</v>
      </c>
      <c r="Y418" s="57">
        <f ca="1">X309-EB205</f>
        <v>0</v>
      </c>
      <c r="Z418" s="57">
        <f ca="1">Y309-EC205</f>
        <v>0</v>
      </c>
      <c r="AA418" s="57">
        <f ca="1">Z309-ED205</f>
        <v>0</v>
      </c>
      <c r="AB418" s="57">
        <f ca="1">AA309-EE205</f>
        <v>0</v>
      </c>
      <c r="AC418" s="57">
        <f ca="1">AB309-EF205</f>
        <v>0</v>
      </c>
      <c r="AD418" s="57">
        <f ca="1">AC309-EG205</f>
        <v>0</v>
      </c>
      <c r="AE418" s="57">
        <f ca="1">AD309-EH205</f>
        <v>0</v>
      </c>
      <c r="AF418" s="57">
        <f ca="1">AE309-EI205</f>
        <v>0</v>
      </c>
      <c r="AG418" s="57">
        <f ca="1">AF309-EJ205</f>
        <v>0</v>
      </c>
      <c r="AH418" s="57">
        <f ca="1">AG309-EK205</f>
        <v>0</v>
      </c>
      <c r="AI418" s="57">
        <f ca="1">AH309-EL205</f>
        <v>0</v>
      </c>
      <c r="AJ418" s="57">
        <f ca="1">AI309-EM205</f>
        <v>0</v>
      </c>
      <c r="AK418" s="57">
        <f ca="1">AJ309-EN205</f>
        <v>0</v>
      </c>
      <c r="AL418" s="57">
        <f ca="1">AK309-EO205</f>
        <v>0</v>
      </c>
      <c r="AM418" s="57">
        <f ca="1">AL309-EP205</f>
        <v>0</v>
      </c>
      <c r="AN418" s="57">
        <f ca="1">AM309-EQ205</f>
        <v>0</v>
      </c>
      <c r="AO418" s="57">
        <f ca="1">AN309-ER205</f>
        <v>0</v>
      </c>
      <c r="AP418" s="57">
        <f ca="1">AO309-ES205</f>
        <v>0</v>
      </c>
      <c r="AQ418" s="57">
        <f ca="1">AP309-ET205</f>
        <v>0</v>
      </c>
      <c r="AR418" s="57">
        <f ca="1">AQ309-EU205</f>
        <v>0</v>
      </c>
      <c r="AS418" s="57">
        <f ca="1">AR309-EV205</f>
        <v>0</v>
      </c>
      <c r="AT418" s="57">
        <f ca="1">AS309-EW205</f>
        <v>0</v>
      </c>
      <c r="AU418" s="57">
        <f ca="1">AT309-EX205</f>
        <v>0</v>
      </c>
      <c r="AV418" s="57">
        <f ca="1">AU309-EY205</f>
        <v>0</v>
      </c>
      <c r="AW418" s="57">
        <f ca="1">AV309-EZ205</f>
        <v>0</v>
      </c>
      <c r="AX418" s="57">
        <f ca="1">AW309-FA205</f>
        <v>0</v>
      </c>
      <c r="AY418" s="57">
        <f ca="1">AX309-FB205</f>
        <v>0</v>
      </c>
      <c r="AZ418" s="57">
        <f ca="1">AY309-FC205</f>
        <v>0</v>
      </c>
      <c r="BA418" s="57">
        <f ca="1">AZ309-FD205</f>
        <v>0</v>
      </c>
      <c r="BB418" s="57">
        <f ca="1">BA309-FE205</f>
        <v>0</v>
      </c>
      <c r="BC418" s="57">
        <f ca="1">BB309-FF205</f>
        <v>0</v>
      </c>
    </row>
    <row r="419" spans="1:55">
      <c r="A419" s="27">
        <v>69</v>
      </c>
      <c r="B419" s="27" t="str">
        <f t="shared" si="445"/>
        <v>Sim</v>
      </c>
      <c r="C419" s="27">
        <f t="shared" si="446"/>
        <v>28</v>
      </c>
      <c r="D419" s="27">
        <f t="shared" ca="1" si="447"/>
        <v>43</v>
      </c>
      <c r="E419" s="34">
        <v>69</v>
      </c>
      <c r="F419" s="57">
        <f ca="1">E310-DI206</f>
        <v>0</v>
      </c>
      <c r="G419" s="57">
        <f ca="1">F310-DJ206</f>
        <v>0</v>
      </c>
      <c r="H419" s="57">
        <f ca="1">G310-DK206</f>
        <v>0</v>
      </c>
      <c r="I419" s="57">
        <f ca="1">H310-DL206</f>
        <v>0</v>
      </c>
      <c r="J419" s="57">
        <f ca="1">I310-DM206</f>
        <v>0</v>
      </c>
      <c r="K419" s="57">
        <f ca="1">J310-DN206</f>
        <v>0</v>
      </c>
      <c r="L419" s="57">
        <f ca="1">K310-DO206</f>
        <v>0</v>
      </c>
      <c r="M419" s="57">
        <f ca="1">L310-DP206</f>
        <v>0</v>
      </c>
      <c r="N419" s="57">
        <f ca="1">M310-DQ206</f>
        <v>0</v>
      </c>
      <c r="O419" s="57">
        <f ca="1">N310-DR206</f>
        <v>0</v>
      </c>
      <c r="P419" s="57">
        <f ca="1">O310-DS206</f>
        <v>0</v>
      </c>
      <c r="Q419" s="57">
        <f ca="1">P310-DT206</f>
        <v>0</v>
      </c>
      <c r="R419" s="57">
        <f ca="1">Q310-DU206</f>
        <v>0</v>
      </c>
      <c r="S419" s="57">
        <f ca="1">R310-DV206</f>
        <v>0</v>
      </c>
      <c r="T419" s="57">
        <f ca="1">S310-DW206</f>
        <v>0</v>
      </c>
      <c r="U419" s="57">
        <f ca="1">T310-DX206</f>
        <v>0</v>
      </c>
      <c r="V419" s="57">
        <f ca="1">U310-DY206</f>
        <v>0</v>
      </c>
      <c r="W419" s="57">
        <f ca="1">V310-DZ206</f>
        <v>0</v>
      </c>
      <c r="X419" s="57">
        <f ca="1">W310-EA206</f>
        <v>0</v>
      </c>
      <c r="Y419" s="57">
        <f ca="1">X310-EB206</f>
        <v>0</v>
      </c>
      <c r="Z419" s="57">
        <f ca="1">Y310-EC206</f>
        <v>0</v>
      </c>
      <c r="AA419" s="57">
        <f ca="1">Z310-ED206</f>
        <v>0</v>
      </c>
      <c r="AB419" s="57">
        <f ca="1">AA310-EE206</f>
        <v>0</v>
      </c>
      <c r="AC419" s="57">
        <f ca="1">AB310-EF206</f>
        <v>0</v>
      </c>
      <c r="AD419" s="57">
        <f ca="1">AC310-EG206</f>
        <v>0</v>
      </c>
      <c r="AE419" s="57">
        <f ca="1">AD310-EH206</f>
        <v>0</v>
      </c>
      <c r="AF419" s="57">
        <f ca="1">AE310-EI206</f>
        <v>0</v>
      </c>
      <c r="AG419" s="57">
        <f ca="1">AF310-EJ206</f>
        <v>0</v>
      </c>
      <c r="AH419" s="57">
        <f ca="1">AG310-EK206</f>
        <v>8.8775599996204768E-7</v>
      </c>
      <c r="AI419" s="57">
        <f ca="1">AH310-EL206</f>
        <v>4.7246399997868949E-7</v>
      </c>
      <c r="AJ419" s="57">
        <f ca="1">AI310-EM206</f>
        <v>-7.8103999989753703E-8</v>
      </c>
      <c r="AK419" s="57">
        <f ca="1">AJ310-EN206</f>
        <v>2.3837999998943538E-7</v>
      </c>
      <c r="AL419" s="57">
        <f ca="1">AK310-EO206</f>
        <v>2.7869599983354476E-7</v>
      </c>
      <c r="AM419" s="57">
        <f ca="1">AL310-EP206</f>
        <v>-1.6352000004049572E-7</v>
      </c>
      <c r="AN419" s="57">
        <f ca="1">AM310-EQ206</f>
        <v>5.2789600002434156E-7</v>
      </c>
      <c r="AO419" s="57">
        <f ca="1">AN310-ER206</f>
        <v>-8.7056799991103162E-7</v>
      </c>
      <c r="AP419" s="57">
        <f ca="1">AO310-ES206</f>
        <v>-7.3407999995334094E-7</v>
      </c>
      <c r="AQ419" s="57">
        <f ca="1">AP310-ET206</f>
        <v>-4.629839999575891E-7</v>
      </c>
      <c r="AR419" s="57">
        <f ca="1">AQ310-EU206</f>
        <v>8.4260399990654378E-7</v>
      </c>
      <c r="AS419" s="57">
        <f ca="1">AR310-EV206</f>
        <v>-2.7011199998927538E-7</v>
      </c>
      <c r="AT419" s="57">
        <f ca="1">AS310-EW206</f>
        <v>-5.018479999341352E-7</v>
      </c>
      <c r="AU419" s="57">
        <f ca="1">AT310-EX206</f>
        <v>-5.416480000075552E-7</v>
      </c>
      <c r="AV419" s="57">
        <f ca="1">AU310-EY206</f>
        <v>8.2578800003618724E-7</v>
      </c>
      <c r="AW419" s="57">
        <f ca="1">AV310-EZ206</f>
        <v>-0.63206099999999998</v>
      </c>
      <c r="AX419" s="57">
        <f ca="1">AW310-FA206</f>
        <v>0.85445300000000002</v>
      </c>
      <c r="AY419" s="57">
        <f ca="1">AX310-FB206</f>
        <v>-0.137211</v>
      </c>
      <c r="AZ419" s="57">
        <f ca="1">AY310-FC206</f>
        <v>-0.62044699999999997</v>
      </c>
      <c r="BA419" s="57">
        <f ca="1">AZ310-FD206</f>
        <v>0.15493099999999999</v>
      </c>
      <c r="BB419" s="57">
        <f ca="1">BA310-FE206</f>
        <v>-0.89938000000000007</v>
      </c>
      <c r="BC419" s="57">
        <f ca="1">BB310-FF206</f>
        <v>7.9605000000000009E-2</v>
      </c>
    </row>
    <row r="420" spans="1:55">
      <c r="A420" s="27">
        <v>70</v>
      </c>
      <c r="B420" s="27" t="str">
        <f t="shared" si="445"/>
        <v>Sim</v>
      </c>
      <c r="C420" s="27">
        <f t="shared" si="446"/>
        <v>21</v>
      </c>
      <c r="D420" s="27">
        <f t="shared" ca="1" si="447"/>
        <v>43</v>
      </c>
      <c r="E420" s="34">
        <v>70</v>
      </c>
      <c r="F420" s="57">
        <f ca="1">E311-DI207</f>
        <v>0</v>
      </c>
      <c r="G420" s="57">
        <f ca="1">F311-DJ207</f>
        <v>0</v>
      </c>
      <c r="H420" s="57">
        <f ca="1">G311-DK207</f>
        <v>0</v>
      </c>
      <c r="I420" s="57">
        <f ca="1">H311-DL207</f>
        <v>0</v>
      </c>
      <c r="J420" s="57">
        <f ca="1">I311-DM207</f>
        <v>0</v>
      </c>
      <c r="K420" s="57">
        <f ca="1">J311-DN207</f>
        <v>0</v>
      </c>
      <c r="L420" s="57">
        <f ca="1">K311-DO207</f>
        <v>0</v>
      </c>
      <c r="M420" s="57">
        <f ca="1">L311-DP207</f>
        <v>0</v>
      </c>
      <c r="N420" s="57">
        <f ca="1">M311-DQ207</f>
        <v>0</v>
      </c>
      <c r="O420" s="57">
        <f ca="1">N311-DR207</f>
        <v>0</v>
      </c>
      <c r="P420" s="57">
        <f ca="1">O311-DS207</f>
        <v>0</v>
      </c>
      <c r="Q420" s="57">
        <f ca="1">P311-DT207</f>
        <v>0</v>
      </c>
      <c r="R420" s="57">
        <f ca="1">Q311-DU207</f>
        <v>0</v>
      </c>
      <c r="S420" s="57">
        <f ca="1">R311-DV207</f>
        <v>0</v>
      </c>
      <c r="T420" s="57">
        <f ca="1">S311-DW207</f>
        <v>0</v>
      </c>
      <c r="U420" s="57">
        <f ca="1">T311-DX207</f>
        <v>0</v>
      </c>
      <c r="V420" s="57">
        <f ca="1">U311-DY207</f>
        <v>0</v>
      </c>
      <c r="W420" s="57">
        <f ca="1">V311-DZ207</f>
        <v>0</v>
      </c>
      <c r="X420" s="57">
        <f ca="1">W311-EA207</f>
        <v>0</v>
      </c>
      <c r="Y420" s="57">
        <f ca="1">X311-EB207</f>
        <v>0</v>
      </c>
      <c r="Z420" s="57">
        <f ca="1">Y311-EC207</f>
        <v>0</v>
      </c>
      <c r="AA420" s="57">
        <f ca="1">Z311-ED207</f>
        <v>7.2166000064655123E-8</v>
      </c>
      <c r="AB420" s="57">
        <f ca="1">AA311-EE207</f>
        <v>-4.2461700000551161E-7</v>
      </c>
      <c r="AC420" s="57">
        <f ca="1">AB311-EF207</f>
        <v>3.0440000020615088E-8</v>
      </c>
      <c r="AD420" s="57">
        <f ca="1">AC311-EG207</f>
        <v>3.0025800001887148E-7</v>
      </c>
      <c r="AE420" s="57">
        <f ca="1">AD311-EH207</f>
        <v>1.045549999911799E-7</v>
      </c>
      <c r="AF420" s="57">
        <f ca="1">AE311-EI207</f>
        <v>-1.1251999998407314E-8</v>
      </c>
      <c r="AG420" s="57">
        <f ca="1">AF311-EJ207</f>
        <v>1.6237800000429292E-7</v>
      </c>
      <c r="AH420" s="57">
        <f ca="1">AG311-EK207</f>
        <v>1.2615499989099277E-7</v>
      </c>
      <c r="AI420" s="57">
        <f ca="1">AH311-EL207</f>
        <v>5.8502999999987537E-8</v>
      </c>
      <c r="AJ420" s="57">
        <f ca="1">AI311-EM207</f>
        <v>-2.2886099998453702E-7</v>
      </c>
      <c r="AK420" s="57">
        <f ca="1">AJ311-EN207</f>
        <v>5.9400899998784951E-7</v>
      </c>
      <c r="AL420" s="57">
        <f ca="1">AK311-EO207</f>
        <v>1.6386599999140827E-7</v>
      </c>
      <c r="AM420" s="57">
        <f ca="1">AL311-EP207</f>
        <v>4.8068100000353553E-7</v>
      </c>
      <c r="AN420" s="57">
        <f ca="1">AM311-EQ207</f>
        <v>1.2391200002181968E-7</v>
      </c>
      <c r="AO420" s="57">
        <f ca="1">AN311-ER207</f>
        <v>-3.9460700007598604E-7</v>
      </c>
      <c r="AP420" s="57">
        <f ca="1">AO311-ES207</f>
        <v>5.2063699999826962E-7</v>
      </c>
      <c r="AQ420" s="57">
        <f ca="1">AP311-ET207</f>
        <v>-2.1673599998051074E-7</v>
      </c>
      <c r="AR420" s="57">
        <f ca="1">AQ311-EU207</f>
        <v>5.8893499998990961E-7</v>
      </c>
      <c r="AS420" s="57">
        <f ca="1">AR311-EV207</f>
        <v>3.9116200000952062E-7</v>
      </c>
      <c r="AT420" s="57">
        <f ca="1">AS311-EW207</f>
        <v>-3.0722200001359612E-7</v>
      </c>
      <c r="AU420" s="57">
        <f ca="1">AT311-EX207</f>
        <v>1.5221099997075882E-7</v>
      </c>
      <c r="AV420" s="57">
        <f ca="1">AU311-EY207</f>
        <v>-3.5863699987537245E-7</v>
      </c>
      <c r="AW420" s="57">
        <f ca="1">AV311-EZ207</f>
        <v>0.37290000000000001</v>
      </c>
      <c r="AX420" s="57">
        <f ca="1">AW311-FA207</f>
        <v>0.10702500000000001</v>
      </c>
      <c r="AY420" s="57">
        <f ca="1">AX311-FB207</f>
        <v>2.5183000000000001E-2</v>
      </c>
      <c r="AZ420" s="57">
        <f ca="1">AY311-FC207</f>
        <v>-0.22269099999999986</v>
      </c>
      <c r="BA420" s="57">
        <f ca="1">AZ311-FD207</f>
        <v>-0.31653100000000001</v>
      </c>
      <c r="BB420" s="57">
        <f ca="1">BA311-FE207</f>
        <v>-0.397094</v>
      </c>
      <c r="BC420" s="57">
        <f ca="1">BB311-FF207</f>
        <v>0.22883799999999987</v>
      </c>
    </row>
    <row r="421" spans="1:55">
      <c r="A421" s="27">
        <v>71</v>
      </c>
      <c r="B421" s="27" t="str">
        <f t="shared" si="445"/>
        <v>Sim</v>
      </c>
      <c r="C421" s="27">
        <f t="shared" si="446"/>
        <v>16</v>
      </c>
      <c r="D421" s="27">
        <f t="shared" ca="1" si="447"/>
        <v>20</v>
      </c>
      <c r="E421" s="34">
        <v>71</v>
      </c>
      <c r="F421" s="57">
        <f ca="1">E312-DI208</f>
        <v>0</v>
      </c>
      <c r="G421" s="57">
        <f ca="1">F312-DJ208</f>
        <v>0</v>
      </c>
      <c r="H421" s="57">
        <f ca="1">G312-DK208</f>
        <v>0</v>
      </c>
      <c r="I421" s="57">
        <f ca="1">H312-DL208</f>
        <v>0</v>
      </c>
      <c r="J421" s="57">
        <f ca="1">I312-DM208</f>
        <v>0</v>
      </c>
      <c r="K421" s="57">
        <f ca="1">J312-DN208</f>
        <v>0</v>
      </c>
      <c r="L421" s="57">
        <f ca="1">K312-DO208</f>
        <v>0</v>
      </c>
      <c r="M421" s="57">
        <f ca="1">L312-DP208</f>
        <v>0</v>
      </c>
      <c r="N421" s="57">
        <f ca="1">M312-DQ208</f>
        <v>0</v>
      </c>
      <c r="O421" s="57">
        <f ca="1">N312-DR208</f>
        <v>0</v>
      </c>
      <c r="P421" s="57">
        <f ca="1">O312-DS208</f>
        <v>0</v>
      </c>
      <c r="Q421" s="57">
        <f ca="1">P312-DT208</f>
        <v>0</v>
      </c>
      <c r="R421" s="57">
        <f ca="1">Q312-DU208</f>
        <v>0</v>
      </c>
      <c r="S421" s="57">
        <f ca="1">R312-DV208</f>
        <v>0</v>
      </c>
      <c r="T421" s="57">
        <f ca="1">S312-DW208</f>
        <v>0</v>
      </c>
      <c r="U421" s="57">
        <f ca="1">T312-DX208</f>
        <v>0</v>
      </c>
      <c r="V421" s="57">
        <f ca="1">U312-DY208</f>
        <v>-5.1999999994833956E-7</v>
      </c>
      <c r="W421" s="57">
        <f ca="1">V312-DZ208</f>
        <v>-4.5324999997653492E-7</v>
      </c>
      <c r="X421" s="57">
        <f ca="1">W312-EA208</f>
        <v>-5.9625000004004391E-7</v>
      </c>
      <c r="Y421" s="57">
        <f ca="1">X312-EB208</f>
        <v>-1.4699999995038127E-7</v>
      </c>
      <c r="Z421" s="57">
        <f ca="1">Y312-EC208</f>
        <v>0.99806000000000006</v>
      </c>
      <c r="AA421" s="57">
        <f ca="1">Z312-ED208</f>
        <v>0.55262299999999998</v>
      </c>
      <c r="AB421" s="57">
        <f ca="1">AA312-EE208</f>
        <v>-0.77348500000000009</v>
      </c>
      <c r="AC421" s="57">
        <f ca="1">AB312-EF208</f>
        <v>-1.1420319999999999</v>
      </c>
      <c r="AD421" s="57">
        <f ca="1">AC312-EG208</f>
        <v>-0.12352399999999997</v>
      </c>
      <c r="AE421" s="57">
        <f ca="1">AD312-EH208</f>
        <v>-0.159335</v>
      </c>
      <c r="AF421" s="57">
        <f ca="1">AE312-EI208</f>
        <v>1.049855</v>
      </c>
      <c r="AG421" s="57">
        <f ca="1">AF312-EJ208</f>
        <v>-4.3614999999999959E-2</v>
      </c>
      <c r="AH421" s="57">
        <f ca="1">AG312-EK208</f>
        <v>0.19894099999999998</v>
      </c>
      <c r="AI421" s="57">
        <f ca="1">AH312-EL208</f>
        <v>1.1676999999999993E-2</v>
      </c>
      <c r="AJ421" s="57">
        <f ca="1">AI312-EM208</f>
        <v>-0.97583600000000004</v>
      </c>
      <c r="AK421" s="57">
        <f ca="1">AJ312-EN208</f>
        <v>0.43074699999999999</v>
      </c>
      <c r="AL421" s="57">
        <f ca="1">AK312-EO208</f>
        <v>-5.6682999999999997E-2</v>
      </c>
      <c r="AM421" s="57">
        <f ca="1">AL312-EP208</f>
        <v>-0.99377499999999996</v>
      </c>
      <c r="AN421" s="57">
        <f ca="1">AM312-EQ208</f>
        <v>-1.1465999999999976E-2</v>
      </c>
      <c r="AO421" s="57">
        <f ca="1">AN312-ER208</f>
        <v>0.19666000000000006</v>
      </c>
      <c r="AP421" s="57">
        <f ca="1">AO312-ES208</f>
        <v>-0.11487999999999998</v>
      </c>
      <c r="AQ421" s="57">
        <f ca="1">AP312-ET208</f>
        <v>-0.69319799999999998</v>
      </c>
      <c r="AR421" s="57">
        <f ca="1">AQ312-EU208</f>
        <v>-0.75326399999999993</v>
      </c>
      <c r="AS421" s="57">
        <f ca="1">AR312-EV208</f>
        <v>-0.24769900000000006</v>
      </c>
      <c r="AT421" s="57">
        <f ca="1">AS312-EW208</f>
        <v>0.15215999999999996</v>
      </c>
      <c r="AU421" s="57">
        <f ca="1">AT312-EX208</f>
        <v>-0.56408599999999998</v>
      </c>
      <c r="AV421" s="57">
        <f ca="1">AU312-EY208</f>
        <v>-0.37211099999999997</v>
      </c>
      <c r="AW421" s="57">
        <f ca="1">AV312-EZ208</f>
        <v>0.41043799999999997</v>
      </c>
      <c r="AX421" s="57">
        <f ca="1">AW312-FA208</f>
        <v>6.4235000000000042E-2</v>
      </c>
      <c r="AY421" s="57">
        <f ca="1">AX312-FB208</f>
        <v>-0.520451</v>
      </c>
      <c r="AZ421" s="57">
        <f ca="1">AY312-FC208</f>
        <v>-0.15222199999999997</v>
      </c>
      <c r="BA421" s="57">
        <f ca="1">AZ312-FD208</f>
        <v>-0.41486800000000001</v>
      </c>
      <c r="BB421" s="57">
        <f ca="1">BA312-FE208</f>
        <v>1.0808499999999999</v>
      </c>
      <c r="BC421" s="57">
        <f ca="1">BB312-FF208</f>
        <v>0.13819900000000002</v>
      </c>
    </row>
    <row r="422" spans="1:55">
      <c r="A422" s="27">
        <v>72</v>
      </c>
      <c r="B422" s="27" t="str">
        <f t="shared" si="445"/>
        <v>Sim</v>
      </c>
      <c r="C422" s="27">
        <f t="shared" si="446"/>
        <v>29</v>
      </c>
      <c r="D422" s="27">
        <f t="shared" ca="1" si="447"/>
        <v>37</v>
      </c>
      <c r="E422" s="34">
        <v>72</v>
      </c>
      <c r="F422" s="57">
        <f ca="1">E313-DI209</f>
        <v>0</v>
      </c>
      <c r="G422" s="57">
        <f ca="1">F313-DJ209</f>
        <v>0</v>
      </c>
      <c r="H422" s="57">
        <f ca="1">G313-DK209</f>
        <v>0</v>
      </c>
      <c r="I422" s="57">
        <f ca="1">H313-DL209</f>
        <v>0</v>
      </c>
      <c r="J422" s="57">
        <f ca="1">I313-DM209</f>
        <v>0</v>
      </c>
      <c r="K422" s="57">
        <f ca="1">J313-DN209</f>
        <v>0</v>
      </c>
      <c r="L422" s="57">
        <f ca="1">K313-DO209</f>
        <v>0</v>
      </c>
      <c r="M422" s="57">
        <f ca="1">L313-DP209</f>
        <v>0</v>
      </c>
      <c r="N422" s="57">
        <f ca="1">M313-DQ209</f>
        <v>0</v>
      </c>
      <c r="O422" s="57">
        <f ca="1">N313-DR209</f>
        <v>0</v>
      </c>
      <c r="P422" s="57">
        <f ca="1">O313-DS209</f>
        <v>0</v>
      </c>
      <c r="Q422" s="57">
        <f ca="1">P313-DT209</f>
        <v>0</v>
      </c>
      <c r="R422" s="57">
        <f ca="1">Q313-DU209</f>
        <v>0</v>
      </c>
      <c r="S422" s="57">
        <f ca="1">R313-DV209</f>
        <v>0</v>
      </c>
      <c r="T422" s="57">
        <f ca="1">S313-DW209</f>
        <v>0</v>
      </c>
      <c r="U422" s="57">
        <f ca="1">T313-DX209</f>
        <v>0</v>
      </c>
      <c r="V422" s="57">
        <f ca="1">U313-DY209</f>
        <v>0</v>
      </c>
      <c r="W422" s="57">
        <f ca="1">V313-DZ209</f>
        <v>0</v>
      </c>
      <c r="X422" s="57">
        <f ca="1">W313-EA209</f>
        <v>0</v>
      </c>
      <c r="Y422" s="57">
        <f ca="1">X313-EB209</f>
        <v>0</v>
      </c>
      <c r="Z422" s="57">
        <f ca="1">Y313-EC209</f>
        <v>0</v>
      </c>
      <c r="AA422" s="57">
        <f ca="1">Z313-ED209</f>
        <v>0</v>
      </c>
      <c r="AB422" s="57">
        <f ca="1">AA313-EE209</f>
        <v>0</v>
      </c>
      <c r="AC422" s="57">
        <f ca="1">AB313-EF209</f>
        <v>0</v>
      </c>
      <c r="AD422" s="57">
        <f ca="1">AC313-EG209</f>
        <v>0</v>
      </c>
      <c r="AE422" s="57">
        <f ca="1">AD313-EH209</f>
        <v>0</v>
      </c>
      <c r="AF422" s="57">
        <f ca="1">AE313-EI209</f>
        <v>0</v>
      </c>
      <c r="AG422" s="57">
        <f ca="1">AF313-EJ209</f>
        <v>0</v>
      </c>
      <c r="AH422" s="57">
        <f ca="1">AG313-EK209</f>
        <v>0</v>
      </c>
      <c r="AI422" s="57">
        <f ca="1">AH313-EL209</f>
        <v>-3.3471100002735454E-7</v>
      </c>
      <c r="AJ422" s="57">
        <f ca="1">AI313-EM209</f>
        <v>9.8018000049826526E-8</v>
      </c>
      <c r="AK422" s="57">
        <f ca="1">AJ313-EN209</f>
        <v>-5.9030999999265532E-7</v>
      </c>
      <c r="AL422" s="57">
        <f ca="1">AK313-EO209</f>
        <v>5.6003300000218026E-7</v>
      </c>
      <c r="AM422" s="57">
        <f ca="1">AL313-EP209</f>
        <v>1.8879999896803668E-8</v>
      </c>
      <c r="AN422" s="57">
        <f ca="1">AM313-EQ209</f>
        <v>-5.7606999975812201E-8</v>
      </c>
      <c r="AO422" s="57">
        <f ca="1">AN313-ER209</f>
        <v>5.764599997348796E-8</v>
      </c>
      <c r="AP422" s="57">
        <f ca="1">AO313-ES209</f>
        <v>5.6833800002320523E-7</v>
      </c>
      <c r="AQ422" s="57">
        <f ca="1">AP313-ET209</f>
        <v>0.22139900000000001</v>
      </c>
      <c r="AR422" s="57">
        <f ca="1">AQ313-EU209</f>
        <v>0.89923900000000001</v>
      </c>
      <c r="AS422" s="57">
        <f ca="1">AR313-EV209</f>
        <v>-0.14648</v>
      </c>
      <c r="AT422" s="57">
        <f ca="1">AS313-EW209</f>
        <v>0.18007899999999999</v>
      </c>
      <c r="AU422" s="57">
        <f ca="1">AT313-EX209</f>
        <v>-0.10003800000000002</v>
      </c>
      <c r="AV422" s="57">
        <f ca="1">AU313-EY209</f>
        <v>0.46371599999999996</v>
      </c>
      <c r="AW422" s="57">
        <f ca="1">AV313-EZ209</f>
        <v>-0.31461900000000004</v>
      </c>
      <c r="AX422" s="57">
        <f ca="1">AW313-FA209</f>
        <v>-0.25351899999999999</v>
      </c>
      <c r="AY422" s="57">
        <f ca="1">AX313-FB209</f>
        <v>0.47074500000000002</v>
      </c>
      <c r="AZ422" s="57">
        <f ca="1">AY313-FC209</f>
        <v>0.84938100000000005</v>
      </c>
      <c r="BA422" s="57">
        <f ca="1">AZ313-FD209</f>
        <v>2.8778000000000026E-2</v>
      </c>
      <c r="BB422" s="57">
        <f ca="1">BA313-FE209</f>
        <v>0.63507900000000006</v>
      </c>
      <c r="BC422" s="57">
        <f ca="1">BB313-FF209</f>
        <v>-1.1654370000000001</v>
      </c>
    </row>
    <row r="423" spans="1:55">
      <c r="A423" s="27">
        <v>73</v>
      </c>
      <c r="B423" s="27" t="str">
        <f t="shared" si="445"/>
        <v>Sim</v>
      </c>
      <c r="C423" s="27">
        <f t="shared" si="446"/>
        <v>46</v>
      </c>
      <c r="D423" s="27">
        <f t="shared" ca="1" si="447"/>
        <v>48</v>
      </c>
      <c r="E423" s="34">
        <v>73</v>
      </c>
      <c r="F423" s="57">
        <f ca="1">E314-DI210</f>
        <v>0</v>
      </c>
      <c r="G423" s="57">
        <f ca="1">F314-DJ210</f>
        <v>0</v>
      </c>
      <c r="H423" s="57">
        <f ca="1">G314-DK210</f>
        <v>0</v>
      </c>
      <c r="I423" s="57">
        <f ca="1">H314-DL210</f>
        <v>0</v>
      </c>
      <c r="J423" s="57">
        <f ca="1">I314-DM210</f>
        <v>0</v>
      </c>
      <c r="K423" s="57">
        <f ca="1">J314-DN210</f>
        <v>0</v>
      </c>
      <c r="L423" s="57">
        <f ca="1">K314-DO210</f>
        <v>0</v>
      </c>
      <c r="M423" s="57">
        <f ca="1">L314-DP210</f>
        <v>0</v>
      </c>
      <c r="N423" s="57">
        <f ca="1">M314-DQ210</f>
        <v>0</v>
      </c>
      <c r="O423" s="57">
        <f ca="1">N314-DR210</f>
        <v>0</v>
      </c>
      <c r="P423" s="57">
        <f ca="1">O314-DS210</f>
        <v>0</v>
      </c>
      <c r="Q423" s="57">
        <f ca="1">P314-DT210</f>
        <v>0</v>
      </c>
      <c r="R423" s="57">
        <f ca="1">Q314-DU210</f>
        <v>0</v>
      </c>
      <c r="S423" s="57">
        <f ca="1">R314-DV210</f>
        <v>0</v>
      </c>
      <c r="T423" s="57">
        <f ca="1">S314-DW210</f>
        <v>0</v>
      </c>
      <c r="U423" s="57">
        <f ca="1">T314-DX210</f>
        <v>0</v>
      </c>
      <c r="V423" s="57">
        <f ca="1">U314-DY210</f>
        <v>0</v>
      </c>
      <c r="W423" s="57">
        <f ca="1">V314-DZ210</f>
        <v>0</v>
      </c>
      <c r="X423" s="57">
        <f ca="1">W314-EA210</f>
        <v>0</v>
      </c>
      <c r="Y423" s="57">
        <f ca="1">X314-EB210</f>
        <v>0</v>
      </c>
      <c r="Z423" s="57">
        <f ca="1">Y314-EC210</f>
        <v>0</v>
      </c>
      <c r="AA423" s="57">
        <f ca="1">Z314-ED210</f>
        <v>0</v>
      </c>
      <c r="AB423" s="57">
        <f ca="1">AA314-EE210</f>
        <v>0</v>
      </c>
      <c r="AC423" s="57">
        <f ca="1">AB314-EF210</f>
        <v>0</v>
      </c>
      <c r="AD423" s="57">
        <f ca="1">AC314-EG210</f>
        <v>0</v>
      </c>
      <c r="AE423" s="57">
        <f ca="1">AD314-EH210</f>
        <v>0</v>
      </c>
      <c r="AF423" s="57">
        <f ca="1">AE314-EI210</f>
        <v>0</v>
      </c>
      <c r="AG423" s="57">
        <f ca="1">AF314-EJ210</f>
        <v>0</v>
      </c>
      <c r="AH423" s="57">
        <f ca="1">AG314-EK210</f>
        <v>0</v>
      </c>
      <c r="AI423" s="57">
        <f ca="1">AH314-EL210</f>
        <v>0</v>
      </c>
      <c r="AJ423" s="57">
        <f ca="1">AI314-EM210</f>
        <v>0</v>
      </c>
      <c r="AK423" s="57">
        <f ca="1">AJ314-EN210</f>
        <v>0</v>
      </c>
      <c r="AL423" s="57">
        <f ca="1">AK314-EO210</f>
        <v>0</v>
      </c>
      <c r="AM423" s="57">
        <f ca="1">AL314-EP210</f>
        <v>0</v>
      </c>
      <c r="AN423" s="57">
        <f ca="1">AM314-EQ210</f>
        <v>0</v>
      </c>
      <c r="AO423" s="57">
        <f ca="1">AN314-ER210</f>
        <v>0</v>
      </c>
      <c r="AP423" s="57">
        <f ca="1">AO314-ES210</f>
        <v>0</v>
      </c>
      <c r="AQ423" s="57">
        <f ca="1">AP314-ET210</f>
        <v>0</v>
      </c>
      <c r="AR423" s="57">
        <f ca="1">AQ314-EU210</f>
        <v>0</v>
      </c>
      <c r="AS423" s="57">
        <f ca="1">AR314-EV210</f>
        <v>0</v>
      </c>
      <c r="AT423" s="57">
        <f ca="1">AS314-EW210</f>
        <v>0</v>
      </c>
      <c r="AU423" s="57">
        <f ca="1">AT314-EX210</f>
        <v>0</v>
      </c>
      <c r="AV423" s="57">
        <f ca="1">AU314-EY210</f>
        <v>0</v>
      </c>
      <c r="AW423" s="57">
        <f ca="1">AV314-EZ210</f>
        <v>0</v>
      </c>
      <c r="AX423" s="57">
        <f ca="1">AW314-FA210</f>
        <v>0</v>
      </c>
      <c r="AY423" s="57">
        <f ca="1">AX314-FB210</f>
        <v>0</v>
      </c>
      <c r="AZ423" s="57">
        <f ca="1">AY314-FC210</f>
        <v>3.1195199995653206E-7</v>
      </c>
      <c r="BA423" s="57">
        <f ca="1">AZ314-FD210</f>
        <v>-4.5310200003090273E-7</v>
      </c>
      <c r="BB423" s="57">
        <f ca="1">BA314-FE210</f>
        <v>3.6430000000000018E-2</v>
      </c>
      <c r="BC423" s="57">
        <f ca="1">BB314-FF210</f>
        <v>0.34417799999999998</v>
      </c>
    </row>
    <row r="424" spans="1:55">
      <c r="A424" s="27">
        <v>74</v>
      </c>
      <c r="B424" s="27" t="str">
        <f t="shared" si="445"/>
        <v>Sim</v>
      </c>
      <c r="C424" s="27">
        <f t="shared" si="446"/>
        <v>16</v>
      </c>
      <c r="D424" s="27">
        <f t="shared" ca="1" si="447"/>
        <v>45</v>
      </c>
      <c r="E424" s="34">
        <v>74</v>
      </c>
      <c r="F424" s="57">
        <f ca="1">E315-DI211</f>
        <v>0</v>
      </c>
      <c r="G424" s="57">
        <f ca="1">F315-DJ211</f>
        <v>0</v>
      </c>
      <c r="H424" s="57">
        <f ca="1">G315-DK211</f>
        <v>0</v>
      </c>
      <c r="I424" s="57">
        <f ca="1">H315-DL211</f>
        <v>0</v>
      </c>
      <c r="J424" s="57">
        <f ca="1">I315-DM211</f>
        <v>0</v>
      </c>
      <c r="K424" s="57">
        <f ca="1">J315-DN211</f>
        <v>0</v>
      </c>
      <c r="L424" s="57">
        <f ca="1">K315-DO211</f>
        <v>0</v>
      </c>
      <c r="M424" s="57">
        <f ca="1">L315-DP211</f>
        <v>0</v>
      </c>
      <c r="N424" s="57">
        <f ca="1">M315-DQ211</f>
        <v>0</v>
      </c>
      <c r="O424" s="57">
        <f ca="1">N315-DR211</f>
        <v>0</v>
      </c>
      <c r="P424" s="57">
        <f ca="1">O315-DS211</f>
        <v>0</v>
      </c>
      <c r="Q424" s="57">
        <f ca="1">P315-DT211</f>
        <v>0</v>
      </c>
      <c r="R424" s="57">
        <f ca="1">Q315-DU211</f>
        <v>0</v>
      </c>
      <c r="S424" s="57">
        <f ca="1">R315-DV211</f>
        <v>0</v>
      </c>
      <c r="T424" s="57">
        <f ca="1">S315-DW211</f>
        <v>0</v>
      </c>
      <c r="U424" s="57">
        <f ca="1">T315-DX211</f>
        <v>0</v>
      </c>
      <c r="V424" s="57">
        <f ca="1">U315-DY211</f>
        <v>2.4623000194345934E-8</v>
      </c>
      <c r="W424" s="57">
        <f ca="1">V315-DZ211</f>
        <v>1.0922280000436047E-6</v>
      </c>
      <c r="X424" s="57">
        <f ca="1">W315-EA211</f>
        <v>-3.8590399997762148E-7</v>
      </c>
      <c r="Y424" s="57">
        <f ca="1">X315-EB211</f>
        <v>-2.4918100005599797E-7</v>
      </c>
      <c r="Z424" s="57">
        <f ca="1">Y315-EC211</f>
        <v>5.4116199998954784E-7</v>
      </c>
      <c r="AA424" s="57">
        <f ca="1">Z315-ED211</f>
        <v>4.8103399974408489E-7</v>
      </c>
      <c r="AB424" s="57">
        <f ca="1">AA315-EE211</f>
        <v>-2.2343999983576168E-8</v>
      </c>
      <c r="AC424" s="57">
        <f ca="1">AB315-EF211</f>
        <v>7.3340899997553777E-7</v>
      </c>
      <c r="AD424" s="57">
        <f ca="1">AC315-EG211</f>
        <v>-5.7453599999757188E-7</v>
      </c>
      <c r="AE424" s="57">
        <f ca="1">AD315-EH211</f>
        <v>-2.792900000159193E-8</v>
      </c>
      <c r="AF424" s="57">
        <f ca="1">AE315-EI211</f>
        <v>-2.4290999996179341E-7</v>
      </c>
      <c r="AG424" s="57">
        <f ca="1">AF315-EJ211</f>
        <v>-4.0381899996111414E-7</v>
      </c>
      <c r="AH424" s="57">
        <f ca="1">AG315-EK211</f>
        <v>1.6501699995341568E-7</v>
      </c>
      <c r="AI424" s="57">
        <f ca="1">AH315-EL211</f>
        <v>7.5183899994613057E-7</v>
      </c>
      <c r="AJ424" s="57">
        <f ca="1">AI315-EM211</f>
        <v>-4.4085400002780162E-7</v>
      </c>
      <c r="AK424" s="57">
        <f ca="1">AJ315-EN211</f>
        <v>-1.7903999949275828E-8</v>
      </c>
      <c r="AL424" s="57">
        <f ca="1">AK315-EO211</f>
        <v>1.2707100000008964E-7</v>
      </c>
      <c r="AM424" s="57">
        <f ca="1">AL315-EP211</f>
        <v>4.5275000004618704E-7</v>
      </c>
      <c r="AN424" s="57">
        <f ca="1">AM315-EQ211</f>
        <v>2.577260000136139E-7</v>
      </c>
      <c r="AO424" s="57">
        <f ca="1">AN315-ER211</f>
        <v>-6.8274999986961404E-8</v>
      </c>
      <c r="AP424" s="57">
        <f ca="1">AO315-ES211</f>
        <v>-3.9280000002639426E-7</v>
      </c>
      <c r="AQ424" s="57">
        <f ca="1">AP315-ET211</f>
        <v>3.0566999997816424E-7</v>
      </c>
      <c r="AR424" s="57">
        <f ca="1">AQ315-EU211</f>
        <v>-4.4084000005994994E-8</v>
      </c>
      <c r="AS424" s="57">
        <f ca="1">AR315-EV211</f>
        <v>-2.9697800001116104E-7</v>
      </c>
      <c r="AT424" s="57">
        <f ca="1">AS315-EW211</f>
        <v>2.048040000091067E-7</v>
      </c>
      <c r="AU424" s="57">
        <f ca="1">AT315-EX211</f>
        <v>-6.0213000030451269E-8</v>
      </c>
      <c r="AV424" s="57">
        <f ca="1">AU315-EY211</f>
        <v>-5.4495800003162564E-7</v>
      </c>
      <c r="AW424" s="57">
        <f ca="1">AV315-EZ211</f>
        <v>4.2061000016246908E-8</v>
      </c>
      <c r="AX424" s="57">
        <f ca="1">AW315-FA211</f>
        <v>7.5833699997307491E-7</v>
      </c>
      <c r="AY424" s="57">
        <f ca="1">AX315-FB211</f>
        <v>-0.36468100000000003</v>
      </c>
      <c r="AZ424" s="57">
        <f ca="1">AY315-FC211</f>
        <v>0.37100899999999998</v>
      </c>
      <c r="BA424" s="57">
        <f ca="1">AZ315-FD211</f>
        <v>5.720900000000001E-2</v>
      </c>
      <c r="BB424" s="57">
        <f ca="1">BA315-FE211</f>
        <v>-0.43117100000000003</v>
      </c>
      <c r="BC424" s="57">
        <f ca="1">BB315-FF211</f>
        <v>0.50711399999999995</v>
      </c>
    </row>
    <row r="425" spans="1:55">
      <c r="A425" s="27">
        <v>75</v>
      </c>
      <c r="B425" s="27" t="str">
        <f t="shared" si="445"/>
        <v>Sim</v>
      </c>
      <c r="C425" s="27">
        <f t="shared" si="446"/>
        <v>16</v>
      </c>
      <c r="D425" s="27">
        <f t="shared" ca="1" si="447"/>
        <v>48</v>
      </c>
      <c r="E425" s="34">
        <v>75</v>
      </c>
      <c r="F425" s="57">
        <f ca="1">E316-DI212</f>
        <v>0</v>
      </c>
      <c r="G425" s="57">
        <f ca="1">F316-DJ212</f>
        <v>0</v>
      </c>
      <c r="H425" s="57">
        <f ca="1">G316-DK212</f>
        <v>0</v>
      </c>
      <c r="I425" s="57">
        <f ca="1">H316-DL212</f>
        <v>0</v>
      </c>
      <c r="J425" s="57">
        <f ca="1">I316-DM212</f>
        <v>0</v>
      </c>
      <c r="K425" s="57">
        <f ca="1">J316-DN212</f>
        <v>0</v>
      </c>
      <c r="L425" s="57">
        <f ca="1">K316-DO212</f>
        <v>0</v>
      </c>
      <c r="M425" s="57">
        <f ca="1">L316-DP212</f>
        <v>0</v>
      </c>
      <c r="N425" s="57">
        <f ca="1">M316-DQ212</f>
        <v>0</v>
      </c>
      <c r="O425" s="57">
        <f ca="1">N316-DR212</f>
        <v>0</v>
      </c>
      <c r="P425" s="57">
        <f ca="1">O316-DS212</f>
        <v>0</v>
      </c>
      <c r="Q425" s="57">
        <f ca="1">P316-DT212</f>
        <v>0</v>
      </c>
      <c r="R425" s="57">
        <f ca="1">Q316-DU212</f>
        <v>0</v>
      </c>
      <c r="S425" s="57">
        <f ca="1">R316-DV212</f>
        <v>0</v>
      </c>
      <c r="T425" s="57">
        <f ca="1">S316-DW212</f>
        <v>0</v>
      </c>
      <c r="U425" s="57">
        <f ca="1">T316-DX212</f>
        <v>0</v>
      </c>
      <c r="V425" s="57">
        <f ca="1">U316-DY212</f>
        <v>6.5646799993213101E-7</v>
      </c>
      <c r="W425" s="57">
        <f ca="1">V316-DZ212</f>
        <v>1.4823699998056661E-7</v>
      </c>
      <c r="X425" s="57">
        <f ca="1">W316-EA212</f>
        <v>-7.1070399998429679E-7</v>
      </c>
      <c r="Y425" s="57">
        <f ca="1">X316-EB212</f>
        <v>-3.0736199996272973E-7</v>
      </c>
      <c r="Z425" s="57">
        <f ca="1">Y316-EC212</f>
        <v>8.2704599985161664E-7</v>
      </c>
      <c r="AA425" s="57">
        <f ca="1">Z316-ED212</f>
        <v>5.6001999998445129E-7</v>
      </c>
      <c r="AB425" s="57">
        <f ca="1">AA316-EE212</f>
        <v>-1.2927779997617961E-6</v>
      </c>
      <c r="AC425" s="57">
        <f ca="1">AB316-EF212</f>
        <v>-1.2597409999870468E-6</v>
      </c>
      <c r="AD425" s="57">
        <f ca="1">AC316-EG212</f>
        <v>8.9395199998065777E-7</v>
      </c>
      <c r="AE425" s="57">
        <f ca="1">AD316-EH212</f>
        <v>-3.6404699998993095E-7</v>
      </c>
      <c r="AF425" s="57">
        <f ca="1">AE316-EI212</f>
        <v>-4.3756400003314155E-7</v>
      </c>
      <c r="AG425" s="57">
        <f ca="1">AF316-EJ212</f>
        <v>-1.0969199989996348E-7</v>
      </c>
      <c r="AH425" s="57">
        <f ca="1">AG316-EK212</f>
        <v>3.2379699999030009E-7</v>
      </c>
      <c r="AI425" s="57">
        <f ca="1">AH316-EL212</f>
        <v>-1.3113100000294864E-7</v>
      </c>
      <c r="AJ425" s="57">
        <f ca="1">AI316-EM212</f>
        <v>-2.4141099999597238E-7</v>
      </c>
      <c r="AK425" s="57">
        <f ca="1">AJ316-EN212</f>
        <v>-1.215930000297849E-7</v>
      </c>
      <c r="AL425" s="57">
        <f ca="1">AK316-EO212</f>
        <v>-3.9021299995910252E-7</v>
      </c>
      <c r="AM425" s="57">
        <f ca="1">AL316-EP212</f>
        <v>2.4676499987830169E-7</v>
      </c>
      <c r="AN425" s="57">
        <f ca="1">AM316-EQ212</f>
        <v>-7.3408400003138752E-7</v>
      </c>
      <c r="AO425" s="57">
        <f ca="1">AN316-ER212</f>
        <v>-5.2016399998411345E-7</v>
      </c>
      <c r="AP425" s="57">
        <f ca="1">AO316-ES212</f>
        <v>-2.1470000000078926E-7</v>
      </c>
      <c r="AQ425" s="57">
        <f ca="1">AP316-ET212</f>
        <v>-2.7821500001024013E-7</v>
      </c>
      <c r="AR425" s="57">
        <f ca="1">AQ316-EU212</f>
        <v>1.5045599999208292E-7</v>
      </c>
      <c r="AS425" s="57">
        <f ca="1">AR316-EV212</f>
        <v>1.5144800002975245E-7</v>
      </c>
      <c r="AT425" s="57">
        <f ca="1">AS316-EW212</f>
        <v>5.2283699991662047E-7</v>
      </c>
      <c r="AU425" s="57">
        <f ca="1">AT316-EX212</f>
        <v>1.403250000642231E-7</v>
      </c>
      <c r="AV425" s="57">
        <f ca="1">AU316-EY212</f>
        <v>-2.9869800000081881E-7</v>
      </c>
      <c r="AW425" s="57">
        <f ca="1">AV316-EZ212</f>
        <v>8.9110000045522497E-8</v>
      </c>
      <c r="AX425" s="57">
        <f ca="1">AW316-FA212</f>
        <v>3.4355500000415873E-7</v>
      </c>
      <c r="AY425" s="57">
        <f ca="1">AX316-FB212</f>
        <v>6.3737299998978258E-7</v>
      </c>
      <c r="AZ425" s="57">
        <f ca="1">AY316-FC212</f>
        <v>1.7189000056649917E-8</v>
      </c>
      <c r="BA425" s="57">
        <f ca="1">AZ316-FD212</f>
        <v>-3.2175200004314064E-7</v>
      </c>
      <c r="BB425" s="57">
        <f ca="1">BA316-FE212</f>
        <v>-9.6026E-2</v>
      </c>
      <c r="BC425" s="57">
        <f ca="1">BB316-FF212</f>
        <v>-7.9308999999999963E-2</v>
      </c>
    </row>
    <row r="426" spans="1:55">
      <c r="A426" s="27">
        <v>76</v>
      </c>
      <c r="B426" s="27" t="str">
        <f t="shared" si="445"/>
        <v>Sim</v>
      </c>
      <c r="C426" s="27">
        <f t="shared" si="446"/>
        <v>44</v>
      </c>
      <c r="D426" s="27">
        <f t="shared" ca="1" si="447"/>
        <v>45</v>
      </c>
      <c r="E426" s="34">
        <v>76</v>
      </c>
      <c r="F426" s="57">
        <f ca="1">E317-DI213</f>
        <v>0</v>
      </c>
      <c r="G426" s="57">
        <f ca="1">F317-DJ213</f>
        <v>0</v>
      </c>
      <c r="H426" s="57">
        <f ca="1">G317-DK213</f>
        <v>0</v>
      </c>
      <c r="I426" s="57">
        <f ca="1">H317-DL213</f>
        <v>0</v>
      </c>
      <c r="J426" s="57">
        <f ca="1">I317-DM213</f>
        <v>0</v>
      </c>
      <c r="K426" s="57">
        <f ca="1">J317-DN213</f>
        <v>0</v>
      </c>
      <c r="L426" s="57">
        <f ca="1">K317-DO213</f>
        <v>0</v>
      </c>
      <c r="M426" s="57">
        <f ca="1">L317-DP213</f>
        <v>0</v>
      </c>
      <c r="N426" s="57">
        <f ca="1">M317-DQ213</f>
        <v>0</v>
      </c>
      <c r="O426" s="57">
        <f ca="1">N317-DR213</f>
        <v>0</v>
      </c>
      <c r="P426" s="57">
        <f ca="1">O317-DS213</f>
        <v>0</v>
      </c>
      <c r="Q426" s="57">
        <f ca="1">P317-DT213</f>
        <v>0</v>
      </c>
      <c r="R426" s="57">
        <f ca="1">Q317-DU213</f>
        <v>0</v>
      </c>
      <c r="S426" s="57">
        <f ca="1">R317-DV213</f>
        <v>0</v>
      </c>
      <c r="T426" s="57">
        <f ca="1">S317-DW213</f>
        <v>0</v>
      </c>
      <c r="U426" s="57">
        <f ca="1">T317-DX213</f>
        <v>0</v>
      </c>
      <c r="V426" s="57">
        <f ca="1">U317-DY213</f>
        <v>0</v>
      </c>
      <c r="W426" s="57">
        <f ca="1">V317-DZ213</f>
        <v>0</v>
      </c>
      <c r="X426" s="57">
        <f ca="1">W317-EA213</f>
        <v>0</v>
      </c>
      <c r="Y426" s="57">
        <f ca="1">X317-EB213</f>
        <v>0</v>
      </c>
      <c r="Z426" s="57">
        <f ca="1">Y317-EC213</f>
        <v>0</v>
      </c>
      <c r="AA426" s="57">
        <f ca="1">Z317-ED213</f>
        <v>0</v>
      </c>
      <c r="AB426" s="57">
        <f ca="1">AA317-EE213</f>
        <v>0</v>
      </c>
      <c r="AC426" s="57">
        <f ca="1">AB317-EF213</f>
        <v>0</v>
      </c>
      <c r="AD426" s="57">
        <f ca="1">AC317-EG213</f>
        <v>0</v>
      </c>
      <c r="AE426" s="57">
        <f ca="1">AD317-EH213</f>
        <v>0</v>
      </c>
      <c r="AF426" s="57">
        <f ca="1">AE317-EI213</f>
        <v>0</v>
      </c>
      <c r="AG426" s="57">
        <f ca="1">AF317-EJ213</f>
        <v>0</v>
      </c>
      <c r="AH426" s="57">
        <f ca="1">AG317-EK213</f>
        <v>0</v>
      </c>
      <c r="AI426" s="57">
        <f ca="1">AH317-EL213</f>
        <v>0</v>
      </c>
      <c r="AJ426" s="57">
        <f ca="1">AI317-EM213</f>
        <v>0</v>
      </c>
      <c r="AK426" s="57">
        <f ca="1">AJ317-EN213</f>
        <v>0</v>
      </c>
      <c r="AL426" s="57">
        <f ca="1">AK317-EO213</f>
        <v>0</v>
      </c>
      <c r="AM426" s="57">
        <f ca="1">AL317-EP213</f>
        <v>0</v>
      </c>
      <c r="AN426" s="57">
        <f ca="1">AM317-EQ213</f>
        <v>0</v>
      </c>
      <c r="AO426" s="57">
        <f ca="1">AN317-ER213</f>
        <v>0</v>
      </c>
      <c r="AP426" s="57">
        <f ca="1">AO317-ES213</f>
        <v>0</v>
      </c>
      <c r="AQ426" s="57">
        <f ca="1">AP317-ET213</f>
        <v>0</v>
      </c>
      <c r="AR426" s="57">
        <f ca="1">AQ317-EU213</f>
        <v>0</v>
      </c>
      <c r="AS426" s="57">
        <f ca="1">AR317-EV213</f>
        <v>0</v>
      </c>
      <c r="AT426" s="57">
        <f ca="1">AS317-EW213</f>
        <v>0</v>
      </c>
      <c r="AU426" s="57">
        <f ca="1">AT317-EX213</f>
        <v>0</v>
      </c>
      <c r="AV426" s="57">
        <f ca="1">AU317-EY213</f>
        <v>0</v>
      </c>
      <c r="AW426" s="57">
        <f ca="1">AV317-EZ213</f>
        <v>0</v>
      </c>
      <c r="AX426" s="57">
        <f ca="1">AW317-FA213</f>
        <v>-2.6009499987100781E-7</v>
      </c>
      <c r="AY426" s="57">
        <f ca="1">AX317-FB213</f>
        <v>0.10466699999999995</v>
      </c>
      <c r="AZ426" s="57">
        <f ca="1">AY317-FC213</f>
        <v>-4.4522000000000006E-2</v>
      </c>
      <c r="BA426" s="57">
        <f ca="1">AZ317-FD213</f>
        <v>-2.9978999999999999E-2</v>
      </c>
      <c r="BB426" s="57">
        <f ca="1">BA317-FE213</f>
        <v>0.76903700000000008</v>
      </c>
      <c r="BC426" s="57">
        <f ca="1">BB317-FF213</f>
        <v>-0.25410100000000002</v>
      </c>
    </row>
    <row r="427" spans="1:55">
      <c r="A427" s="27">
        <v>77</v>
      </c>
      <c r="B427" s="27" t="str">
        <f t="shared" si="445"/>
        <v>Sim</v>
      </c>
      <c r="C427" s="27">
        <f t="shared" si="446"/>
        <v>32</v>
      </c>
      <c r="D427" s="27">
        <f t="shared" ca="1" si="447"/>
        <v>40</v>
      </c>
      <c r="E427" s="34">
        <v>77</v>
      </c>
      <c r="F427" s="57">
        <f ca="1">E318-DI214</f>
        <v>0</v>
      </c>
      <c r="G427" s="57">
        <f ca="1">F318-DJ214</f>
        <v>0</v>
      </c>
      <c r="H427" s="57">
        <f ca="1">G318-DK214</f>
        <v>0</v>
      </c>
      <c r="I427" s="57">
        <f ca="1">H318-DL214</f>
        <v>0</v>
      </c>
      <c r="J427" s="57">
        <f ca="1">I318-DM214</f>
        <v>0</v>
      </c>
      <c r="K427" s="57">
        <f ca="1">J318-DN214</f>
        <v>0</v>
      </c>
      <c r="L427" s="57">
        <f ca="1">K318-DO214</f>
        <v>0</v>
      </c>
      <c r="M427" s="57">
        <f ca="1">L318-DP214</f>
        <v>0</v>
      </c>
      <c r="N427" s="57">
        <f ca="1">M318-DQ214</f>
        <v>0</v>
      </c>
      <c r="O427" s="57">
        <f ca="1">N318-DR214</f>
        <v>0</v>
      </c>
      <c r="P427" s="57">
        <f ca="1">O318-DS214</f>
        <v>0</v>
      </c>
      <c r="Q427" s="57">
        <f ca="1">P318-DT214</f>
        <v>0</v>
      </c>
      <c r="R427" s="57">
        <f ca="1">Q318-DU214</f>
        <v>0</v>
      </c>
      <c r="S427" s="57">
        <f ca="1">R318-DV214</f>
        <v>0</v>
      </c>
      <c r="T427" s="57">
        <f ca="1">S318-DW214</f>
        <v>0</v>
      </c>
      <c r="U427" s="57">
        <f ca="1">T318-DX214</f>
        <v>0</v>
      </c>
      <c r="V427" s="57">
        <f ca="1">U318-DY214</f>
        <v>0</v>
      </c>
      <c r="W427" s="57">
        <f ca="1">V318-DZ214</f>
        <v>0</v>
      </c>
      <c r="X427" s="57">
        <f ca="1">W318-EA214</f>
        <v>0</v>
      </c>
      <c r="Y427" s="57">
        <f ca="1">X318-EB214</f>
        <v>0</v>
      </c>
      <c r="Z427" s="57">
        <f ca="1">Y318-EC214</f>
        <v>0</v>
      </c>
      <c r="AA427" s="57">
        <f ca="1">Z318-ED214</f>
        <v>0</v>
      </c>
      <c r="AB427" s="57">
        <f ca="1">AA318-EE214</f>
        <v>0</v>
      </c>
      <c r="AC427" s="57">
        <f ca="1">AB318-EF214</f>
        <v>0</v>
      </c>
      <c r="AD427" s="57">
        <f ca="1">AC318-EG214</f>
        <v>0</v>
      </c>
      <c r="AE427" s="57">
        <f ca="1">AD318-EH214</f>
        <v>0</v>
      </c>
      <c r="AF427" s="57">
        <f ca="1">AE318-EI214</f>
        <v>0</v>
      </c>
      <c r="AG427" s="57">
        <f ca="1">AF318-EJ214</f>
        <v>0</v>
      </c>
      <c r="AH427" s="57">
        <f ca="1">AG318-EK214</f>
        <v>0</v>
      </c>
      <c r="AI427" s="57">
        <f ca="1">AH318-EL214</f>
        <v>0</v>
      </c>
      <c r="AJ427" s="57">
        <f ca="1">AI318-EM214</f>
        <v>0</v>
      </c>
      <c r="AK427" s="57">
        <f ca="1">AJ318-EN214</f>
        <v>0</v>
      </c>
      <c r="AL427" s="57">
        <f ca="1">AK318-EO214</f>
        <v>-3.3180500003116009E-7</v>
      </c>
      <c r="AM427" s="57">
        <f ca="1">AL318-EP214</f>
        <v>3.6159999883267346E-8</v>
      </c>
      <c r="AN427" s="57">
        <f ca="1">AM318-EQ214</f>
        <v>2.5213300003379402E-7</v>
      </c>
      <c r="AO427" s="57">
        <f ca="1">AN318-ER214</f>
        <v>-1.1647200001685398E-7</v>
      </c>
      <c r="AP427" s="57">
        <f ca="1">AO318-ES214</f>
        <v>8.1717600000641433E-7</v>
      </c>
      <c r="AQ427" s="57">
        <f ca="1">AP318-ET214</f>
        <v>-2.717609999258741E-7</v>
      </c>
      <c r="AR427" s="57">
        <f ca="1">AQ318-EU214</f>
        <v>1.2758099993126493E-7</v>
      </c>
      <c r="AS427" s="57">
        <f ca="1">AR318-EV214</f>
        <v>6.2096700001457172E-7</v>
      </c>
      <c r="AT427" s="57">
        <f ca="1">AS318-EW214</f>
        <v>4.3611000000000011E-2</v>
      </c>
      <c r="AU427" s="57">
        <f ca="1">AT318-EX214</f>
        <v>3.1470999999999971E-2</v>
      </c>
      <c r="AV427" s="57">
        <f ca="1">AU318-EY214</f>
        <v>-7.4824999999999919E-2</v>
      </c>
      <c r="AW427" s="57">
        <f ca="1">AV318-EZ214</f>
        <v>1.2490000000000001E-2</v>
      </c>
      <c r="AX427" s="57">
        <f ca="1">AW318-FA214</f>
        <v>-4.8503999999999992E-2</v>
      </c>
      <c r="AY427" s="57">
        <f ca="1">AX318-FB214</f>
        <v>-6.9899999999999997E-3</v>
      </c>
      <c r="AZ427" s="57">
        <f ca="1">AY318-FC214</f>
        <v>-4.5615999999999879E-2</v>
      </c>
      <c r="BA427" s="57">
        <f ca="1">AZ318-FD214</f>
        <v>-6.6427000000000014E-2</v>
      </c>
      <c r="BB427" s="57">
        <f ca="1">BA318-FE214</f>
        <v>7.1080000000000032E-3</v>
      </c>
      <c r="BC427" s="57">
        <f ca="1">BB318-FF214</f>
        <v>8.8975999999999944E-2</v>
      </c>
    </row>
    <row r="428" spans="1:55">
      <c r="A428" s="27">
        <v>78</v>
      </c>
      <c r="B428" s="27" t="str">
        <f t="shared" si="445"/>
        <v>Sim</v>
      </c>
      <c r="C428" s="27">
        <f t="shared" si="446"/>
        <v>23</v>
      </c>
      <c r="D428" s="27">
        <f t="shared" ca="1" si="447"/>
        <v>34</v>
      </c>
      <c r="E428" s="34">
        <v>78</v>
      </c>
      <c r="F428" s="57">
        <f ca="1">E319-DI215</f>
        <v>0</v>
      </c>
      <c r="G428" s="57">
        <f ca="1">F319-DJ215</f>
        <v>0</v>
      </c>
      <c r="H428" s="57">
        <f ca="1">G319-DK215</f>
        <v>0</v>
      </c>
      <c r="I428" s="57">
        <f ca="1">H319-DL215</f>
        <v>0</v>
      </c>
      <c r="J428" s="57">
        <f ca="1">I319-DM215</f>
        <v>0</v>
      </c>
      <c r="K428" s="57">
        <f ca="1">J319-DN215</f>
        <v>0</v>
      </c>
      <c r="L428" s="57">
        <f ca="1">K319-DO215</f>
        <v>0</v>
      </c>
      <c r="M428" s="57">
        <f ca="1">L319-DP215</f>
        <v>0</v>
      </c>
      <c r="N428" s="57">
        <f ca="1">M319-DQ215</f>
        <v>0</v>
      </c>
      <c r="O428" s="57">
        <f ca="1">N319-DR215</f>
        <v>0</v>
      </c>
      <c r="P428" s="57">
        <f ca="1">O319-DS215</f>
        <v>0</v>
      </c>
      <c r="Q428" s="57">
        <f ca="1">P319-DT215</f>
        <v>0</v>
      </c>
      <c r="R428" s="57">
        <f ca="1">Q319-DU215</f>
        <v>0</v>
      </c>
      <c r="S428" s="57">
        <f ca="1">R319-DV215</f>
        <v>0</v>
      </c>
      <c r="T428" s="57">
        <f ca="1">S319-DW215</f>
        <v>0</v>
      </c>
      <c r="U428" s="57">
        <f ca="1">T319-DX215</f>
        <v>0</v>
      </c>
      <c r="V428" s="57">
        <f ca="1">U319-DY215</f>
        <v>0</v>
      </c>
      <c r="W428" s="57">
        <f ca="1">V319-DZ215</f>
        <v>0</v>
      </c>
      <c r="X428" s="57">
        <f ca="1">W319-EA215</f>
        <v>0</v>
      </c>
      <c r="Y428" s="57">
        <f ca="1">X319-EB215</f>
        <v>0</v>
      </c>
      <c r="Z428" s="57">
        <f ca="1">Y319-EC215</f>
        <v>0</v>
      </c>
      <c r="AA428" s="57">
        <f ca="1">Z319-ED215</f>
        <v>0</v>
      </c>
      <c r="AB428" s="57">
        <f ca="1">AA319-EE215</f>
        <v>0</v>
      </c>
      <c r="AC428" s="57">
        <f ca="1">AB319-EF215</f>
        <v>-1.4277400001150298E-7</v>
      </c>
      <c r="AD428" s="57">
        <f ca="1">AC319-EG215</f>
        <v>-2.9305799986723002E-7</v>
      </c>
      <c r="AE428" s="57">
        <f ca="1">AD319-EH215</f>
        <v>1.7267999988246352E-8</v>
      </c>
      <c r="AF428" s="57">
        <f ca="1">AE319-EI215</f>
        <v>7.8101099997007761E-7</v>
      </c>
      <c r="AG428" s="57">
        <f ca="1">AF319-EJ215</f>
        <v>-1.6211499997975665E-7</v>
      </c>
      <c r="AH428" s="57">
        <f ca="1">AG319-EK215</f>
        <v>2.1383199994007285E-7</v>
      </c>
      <c r="AI428" s="57">
        <f ca="1">AH319-EL215</f>
        <v>5.6878700005480454E-7</v>
      </c>
      <c r="AJ428" s="57">
        <f ca="1">AI319-EM215</f>
        <v>3.5878100002051383E-7</v>
      </c>
      <c r="AK428" s="57">
        <f ca="1">AJ319-EN215</f>
        <v>3.6736799996495151E-7</v>
      </c>
      <c r="AL428" s="57">
        <f ca="1">AK319-EO215</f>
        <v>5.14289997255446E-8</v>
      </c>
      <c r="AM428" s="57">
        <f ca="1">AL319-EP215</f>
        <v>6.2383400001309042E-7</v>
      </c>
      <c r="AN428" s="57">
        <f ca="1">AM319-EQ215</f>
        <v>-0.14729500000000001</v>
      </c>
      <c r="AO428" s="57">
        <f ca="1">AN319-ER215</f>
        <v>-5.4967999999999989E-2</v>
      </c>
      <c r="AP428" s="57">
        <f ca="1">AO319-ES215</f>
        <v>9.0230000000000032E-3</v>
      </c>
      <c r="AQ428" s="57">
        <f ca="1">AP319-ET215</f>
        <v>3.9015000000000022E-2</v>
      </c>
      <c r="AR428" s="57">
        <f ca="1">AQ319-EU215</f>
        <v>-5.9009999999999965E-3</v>
      </c>
      <c r="AS428" s="57">
        <f ca="1">AR319-EV215</f>
        <v>-4.4416000000000011E-2</v>
      </c>
      <c r="AT428" s="57">
        <f ca="1">AS319-EW215</f>
        <v>-1.9097000000000031E-2</v>
      </c>
      <c r="AU428" s="57">
        <f ca="1">AT319-EX215</f>
        <v>-8.6336000000000024E-2</v>
      </c>
      <c r="AV428" s="57">
        <f ca="1">AU319-EY215</f>
        <v>-8.8423000000000015E-2</v>
      </c>
      <c r="AW428" s="57">
        <f ca="1">AV319-EZ215</f>
        <v>-1.9654000000000005E-2</v>
      </c>
      <c r="AX428" s="57">
        <f ca="1">AW319-FA215</f>
        <v>8.7010999999999949E-2</v>
      </c>
      <c r="AY428" s="57">
        <f ca="1">AX319-FB215</f>
        <v>-7.649800000000001E-2</v>
      </c>
      <c r="AZ428" s="57">
        <f ca="1">AY319-FC215</f>
        <v>-1.3925999999999994E-2</v>
      </c>
      <c r="BA428" s="57">
        <f ca="1">AZ319-FD215</f>
        <v>8.2041000000000031E-2</v>
      </c>
      <c r="BB428" s="57">
        <f ca="1">BA319-FE215</f>
        <v>2.8149999999999897E-2</v>
      </c>
      <c r="BC428" s="57">
        <f ca="1">BB319-FF215</f>
        <v>-1.8036999999999997E-2</v>
      </c>
    </row>
    <row r="429" spans="1:55">
      <c r="A429" s="27">
        <v>79</v>
      </c>
      <c r="B429" s="27" t="str">
        <f t="shared" si="445"/>
        <v>Não</v>
      </c>
      <c r="C429" s="27">
        <f t="shared" si="446"/>
        <v>16</v>
      </c>
      <c r="D429" s="27">
        <f t="shared" ca="1" si="447"/>
        <v>24</v>
      </c>
      <c r="E429" s="34">
        <v>79</v>
      </c>
      <c r="F429" s="57">
        <f ca="1">E320-DI216</f>
        <v>0</v>
      </c>
      <c r="G429" s="57">
        <f ca="1">F320-DJ216</f>
        <v>0</v>
      </c>
      <c r="H429" s="57">
        <f ca="1">G320-DK216</f>
        <v>0</v>
      </c>
      <c r="I429" s="57">
        <f ca="1">H320-DL216</f>
        <v>0</v>
      </c>
      <c r="J429" s="57">
        <f ca="1">I320-DM216</f>
        <v>0</v>
      </c>
      <c r="K429" s="57">
        <f ca="1">J320-DN216</f>
        <v>0</v>
      </c>
      <c r="L429" s="57">
        <f ca="1">K320-DO216</f>
        <v>0</v>
      </c>
      <c r="M429" s="57">
        <f ca="1">L320-DP216</f>
        <v>0</v>
      </c>
      <c r="N429" s="57">
        <f ca="1">M320-DQ216</f>
        <v>0</v>
      </c>
      <c r="O429" s="57">
        <f ca="1">N320-DR216</f>
        <v>0</v>
      </c>
      <c r="P429" s="57">
        <f ca="1">O320-DS216</f>
        <v>0</v>
      </c>
      <c r="Q429" s="57">
        <f ca="1">P320-DT216</f>
        <v>0</v>
      </c>
      <c r="R429" s="57">
        <f ca="1">Q320-DU216</f>
        <v>0</v>
      </c>
      <c r="S429" s="57">
        <f ca="1">R320-DV216</f>
        <v>0</v>
      </c>
      <c r="T429" s="57">
        <f ca="1">S320-DW216</f>
        <v>0</v>
      </c>
      <c r="U429" s="57">
        <f ca="1">T320-DX216</f>
        <v>0</v>
      </c>
      <c r="V429" s="57">
        <f ca="1">U320-DY216</f>
        <v>0</v>
      </c>
      <c r="W429" s="57">
        <f ca="1">V320-DZ216</f>
        <v>0</v>
      </c>
      <c r="X429" s="57">
        <f ca="1">W320-EA216</f>
        <v>0</v>
      </c>
      <c r="Y429" s="57">
        <f ca="1">X320-EB216</f>
        <v>0</v>
      </c>
      <c r="Z429" s="57">
        <f ca="1">Y320-EC216</f>
        <v>0</v>
      </c>
      <c r="AA429" s="57">
        <f ca="1">Z320-ED216</f>
        <v>0</v>
      </c>
      <c r="AB429" s="57">
        <f ca="1">AA320-EE216</f>
        <v>0</v>
      </c>
      <c r="AC429" s="57">
        <f ca="1">AB320-EF216</f>
        <v>0</v>
      </c>
      <c r="AD429" s="57">
        <f ca="1">AC320-EG216</f>
        <v>0</v>
      </c>
      <c r="AE429" s="57">
        <f ca="1">AD320-EH216</f>
        <v>0</v>
      </c>
      <c r="AF429" s="57">
        <f ca="1">AE320-EI216</f>
        <v>0</v>
      </c>
      <c r="AG429" s="57">
        <f ca="1">AF320-EJ216</f>
        <v>0</v>
      </c>
      <c r="AH429" s="57">
        <f ca="1">AG320-EK216</f>
        <v>0</v>
      </c>
      <c r="AI429" s="57">
        <f ca="1">AH320-EL216</f>
        <v>0</v>
      </c>
      <c r="AJ429" s="57">
        <f ca="1">AI320-EM216</f>
        <v>0</v>
      </c>
      <c r="AK429" s="57">
        <f ca="1">AJ320-EN216</f>
        <v>0</v>
      </c>
      <c r="AL429" s="57">
        <f ca="1">AK320-EO216</f>
        <v>0</v>
      </c>
      <c r="AM429" s="57">
        <f ca="1">AL320-EP216</f>
        <v>0</v>
      </c>
      <c r="AN429" s="57">
        <f ca="1">AM320-EQ216</f>
        <v>0</v>
      </c>
      <c r="AO429" s="57">
        <f ca="1">AN320-ER216</f>
        <v>0</v>
      </c>
      <c r="AP429" s="57">
        <f ca="1">AO320-ES216</f>
        <v>0</v>
      </c>
      <c r="AQ429" s="57">
        <f ca="1">AP320-ET216</f>
        <v>0</v>
      </c>
      <c r="AR429" s="57">
        <f ca="1">AQ320-EU216</f>
        <v>0</v>
      </c>
      <c r="AS429" s="57">
        <f ca="1">AR320-EV216</f>
        <v>0</v>
      </c>
      <c r="AT429" s="57">
        <f ca="1">AS320-EW216</f>
        <v>0</v>
      </c>
      <c r="AU429" s="57">
        <f ca="1">AT320-EX216</f>
        <v>0</v>
      </c>
      <c r="AV429" s="57">
        <f ca="1">AU320-EY216</f>
        <v>0</v>
      </c>
      <c r="AW429" s="57">
        <f ca="1">AV320-EZ216</f>
        <v>0</v>
      </c>
      <c r="AX429" s="57">
        <f ca="1">AW320-FA216</f>
        <v>0</v>
      </c>
      <c r="AY429" s="57">
        <f ca="1">AX320-FB216</f>
        <v>0</v>
      </c>
      <c r="AZ429" s="57">
        <f ca="1">AY320-FC216</f>
        <v>0</v>
      </c>
      <c r="BA429" s="57">
        <f ca="1">AZ320-FD216</f>
        <v>0</v>
      </c>
      <c r="BB429" s="57">
        <f ca="1">BA320-FE216</f>
        <v>0</v>
      </c>
      <c r="BC429" s="57">
        <f ca="1">BB320-FF216</f>
        <v>0</v>
      </c>
    </row>
    <row r="430" spans="1:55">
      <c r="A430" s="27">
        <v>80</v>
      </c>
      <c r="B430" s="27" t="str">
        <f t="shared" si="445"/>
        <v>Sim</v>
      </c>
      <c r="C430" s="27">
        <f t="shared" si="446"/>
        <v>48</v>
      </c>
      <c r="D430" s="27">
        <f t="shared" ca="1" si="447"/>
        <v>49</v>
      </c>
      <c r="E430" s="34">
        <v>80</v>
      </c>
      <c r="F430" s="57">
        <f ca="1">E321-DI217</f>
        <v>0</v>
      </c>
      <c r="G430" s="57">
        <f ca="1">F321-DJ217</f>
        <v>0</v>
      </c>
      <c r="H430" s="57">
        <f ca="1">G321-DK217</f>
        <v>0</v>
      </c>
      <c r="I430" s="57">
        <f ca="1">H321-DL217</f>
        <v>0</v>
      </c>
      <c r="J430" s="57">
        <f ca="1">I321-DM217</f>
        <v>0</v>
      </c>
      <c r="K430" s="57">
        <f ca="1">J321-DN217</f>
        <v>0</v>
      </c>
      <c r="L430" s="57">
        <f ca="1">K321-DO217</f>
        <v>0</v>
      </c>
      <c r="M430" s="57">
        <f ca="1">L321-DP217</f>
        <v>0</v>
      </c>
      <c r="N430" s="57">
        <f ca="1">M321-DQ217</f>
        <v>0</v>
      </c>
      <c r="O430" s="57">
        <f ca="1">N321-DR217</f>
        <v>0</v>
      </c>
      <c r="P430" s="57">
        <f ca="1">O321-DS217</f>
        <v>0</v>
      </c>
      <c r="Q430" s="57">
        <f ca="1">P321-DT217</f>
        <v>0</v>
      </c>
      <c r="R430" s="57">
        <f ca="1">Q321-DU217</f>
        <v>0</v>
      </c>
      <c r="S430" s="57">
        <f ca="1">R321-DV217</f>
        <v>0</v>
      </c>
      <c r="T430" s="57">
        <f ca="1">S321-DW217</f>
        <v>0</v>
      </c>
      <c r="U430" s="57">
        <f ca="1">T321-DX217</f>
        <v>0</v>
      </c>
      <c r="V430" s="57">
        <f ca="1">U321-DY217</f>
        <v>0</v>
      </c>
      <c r="W430" s="57">
        <f ca="1">V321-DZ217</f>
        <v>0</v>
      </c>
      <c r="X430" s="57">
        <f ca="1">W321-EA217</f>
        <v>0</v>
      </c>
      <c r="Y430" s="57">
        <f ca="1">X321-EB217</f>
        <v>0</v>
      </c>
      <c r="Z430" s="57">
        <f ca="1">Y321-EC217</f>
        <v>0</v>
      </c>
      <c r="AA430" s="57">
        <f ca="1">Z321-ED217</f>
        <v>0</v>
      </c>
      <c r="AB430" s="57">
        <f ca="1">AA321-EE217</f>
        <v>0</v>
      </c>
      <c r="AC430" s="57">
        <f ca="1">AB321-EF217</f>
        <v>0</v>
      </c>
      <c r="AD430" s="57">
        <f ca="1">AC321-EG217</f>
        <v>0</v>
      </c>
      <c r="AE430" s="57">
        <f ca="1">AD321-EH217</f>
        <v>0</v>
      </c>
      <c r="AF430" s="57">
        <f ca="1">AE321-EI217</f>
        <v>0</v>
      </c>
      <c r="AG430" s="57">
        <f ca="1">AF321-EJ217</f>
        <v>0</v>
      </c>
      <c r="AH430" s="57">
        <f ca="1">AG321-EK217</f>
        <v>0</v>
      </c>
      <c r="AI430" s="57">
        <f ca="1">AH321-EL217</f>
        <v>0</v>
      </c>
      <c r="AJ430" s="57">
        <f ca="1">AI321-EM217</f>
        <v>0</v>
      </c>
      <c r="AK430" s="57">
        <f ca="1">AJ321-EN217</f>
        <v>0</v>
      </c>
      <c r="AL430" s="57">
        <f ca="1">AK321-EO217</f>
        <v>0</v>
      </c>
      <c r="AM430" s="57">
        <f ca="1">AL321-EP217</f>
        <v>0</v>
      </c>
      <c r="AN430" s="57">
        <f ca="1">AM321-EQ217</f>
        <v>0</v>
      </c>
      <c r="AO430" s="57">
        <f ca="1">AN321-ER217</f>
        <v>0</v>
      </c>
      <c r="AP430" s="57">
        <f ca="1">AO321-ES217</f>
        <v>0</v>
      </c>
      <c r="AQ430" s="57">
        <f ca="1">AP321-ET217</f>
        <v>0</v>
      </c>
      <c r="AR430" s="57">
        <f ca="1">AQ321-EU217</f>
        <v>0</v>
      </c>
      <c r="AS430" s="57">
        <f ca="1">AR321-EV217</f>
        <v>0</v>
      </c>
      <c r="AT430" s="57">
        <f ca="1">AS321-EW217</f>
        <v>0</v>
      </c>
      <c r="AU430" s="57">
        <f ca="1">AT321-EX217</f>
        <v>0</v>
      </c>
      <c r="AV430" s="57">
        <f ca="1">AU321-EY217</f>
        <v>0</v>
      </c>
      <c r="AW430" s="57">
        <f ca="1">AV321-EZ217</f>
        <v>0</v>
      </c>
      <c r="AX430" s="57">
        <f ca="1">AW321-FA217</f>
        <v>0</v>
      </c>
      <c r="AY430" s="57">
        <f ca="1">AX321-FB217</f>
        <v>0</v>
      </c>
      <c r="AZ430" s="57">
        <f ca="1">AY321-FC217</f>
        <v>0</v>
      </c>
      <c r="BA430" s="57">
        <f ca="1">AZ321-FD217</f>
        <v>0</v>
      </c>
      <c r="BB430" s="57">
        <f ca="1">BA321-FE217</f>
        <v>3.7779200001697433E-7</v>
      </c>
      <c r="BC430" s="57">
        <f ca="1">BB321-FF217</f>
        <v>-2.4299999999999988E-2</v>
      </c>
    </row>
    <row r="431" spans="1:55">
      <c r="A431" s="27">
        <v>81</v>
      </c>
      <c r="B431" s="27" t="str">
        <f t="shared" si="445"/>
        <v>Não</v>
      </c>
      <c r="C431" s="27">
        <f t="shared" si="446"/>
        <v>1</v>
      </c>
      <c r="D431" s="27">
        <f t="shared" ca="1" si="447"/>
        <v>36</v>
      </c>
      <c r="E431" s="34">
        <v>81</v>
      </c>
      <c r="F431" s="57">
        <f ca="1">E322-DI218</f>
        <v>0</v>
      </c>
      <c r="G431" s="57">
        <f ca="1">F322-DJ218</f>
        <v>0</v>
      </c>
      <c r="H431" s="57">
        <f ca="1">G322-DK218</f>
        <v>0</v>
      </c>
      <c r="I431" s="57">
        <f ca="1">H322-DL218</f>
        <v>0</v>
      </c>
      <c r="J431" s="57">
        <f ca="1">I322-DM218</f>
        <v>0</v>
      </c>
      <c r="K431" s="57">
        <f ca="1">J322-DN218</f>
        <v>0</v>
      </c>
      <c r="L431" s="57">
        <f ca="1">K322-DO218</f>
        <v>0</v>
      </c>
      <c r="M431" s="57">
        <f ca="1">L322-DP218</f>
        <v>0</v>
      </c>
      <c r="N431" s="57">
        <f ca="1">M322-DQ218</f>
        <v>0</v>
      </c>
      <c r="O431" s="57">
        <f ca="1">N322-DR218</f>
        <v>0</v>
      </c>
      <c r="P431" s="57">
        <f ca="1">O322-DS218</f>
        <v>0</v>
      </c>
      <c r="Q431" s="57">
        <f ca="1">P322-DT218</f>
        <v>0</v>
      </c>
      <c r="R431" s="57">
        <f ca="1">Q322-DU218</f>
        <v>0</v>
      </c>
      <c r="S431" s="57">
        <f ca="1">R322-DV218</f>
        <v>0</v>
      </c>
      <c r="T431" s="57">
        <f ca="1">S322-DW218</f>
        <v>0</v>
      </c>
      <c r="U431" s="57">
        <f ca="1">T322-DX218</f>
        <v>0</v>
      </c>
      <c r="V431" s="57">
        <f ca="1">U322-DY218</f>
        <v>0</v>
      </c>
      <c r="W431" s="57">
        <f ca="1">V322-DZ218</f>
        <v>0</v>
      </c>
      <c r="X431" s="57">
        <f ca="1">W322-EA218</f>
        <v>0</v>
      </c>
      <c r="Y431" s="57">
        <f ca="1">X322-EB218</f>
        <v>0</v>
      </c>
      <c r="Z431" s="57">
        <f ca="1">Y322-EC218</f>
        <v>0</v>
      </c>
      <c r="AA431" s="57">
        <f ca="1">Z322-ED218</f>
        <v>0</v>
      </c>
      <c r="AB431" s="57">
        <f ca="1">AA322-EE218</f>
        <v>0</v>
      </c>
      <c r="AC431" s="57">
        <f ca="1">AB322-EF218</f>
        <v>0</v>
      </c>
      <c r="AD431" s="57">
        <f ca="1">AC322-EG218</f>
        <v>0</v>
      </c>
      <c r="AE431" s="57">
        <f ca="1">AD322-EH218</f>
        <v>0</v>
      </c>
      <c r="AF431" s="57">
        <f ca="1">AE322-EI218</f>
        <v>0</v>
      </c>
      <c r="AG431" s="57">
        <f ca="1">AF322-EJ218</f>
        <v>0</v>
      </c>
      <c r="AH431" s="57">
        <f ca="1">AG322-EK218</f>
        <v>0</v>
      </c>
      <c r="AI431" s="57">
        <f ca="1">AH322-EL218</f>
        <v>0</v>
      </c>
      <c r="AJ431" s="57">
        <f ca="1">AI322-EM218</f>
        <v>0</v>
      </c>
      <c r="AK431" s="57">
        <f ca="1">AJ322-EN218</f>
        <v>0</v>
      </c>
      <c r="AL431" s="57">
        <f ca="1">AK322-EO218</f>
        <v>0</v>
      </c>
      <c r="AM431" s="57">
        <f ca="1">AL322-EP218</f>
        <v>0</v>
      </c>
      <c r="AN431" s="57">
        <f ca="1">AM322-EQ218</f>
        <v>0</v>
      </c>
      <c r="AO431" s="57">
        <f ca="1">AN322-ER218</f>
        <v>0</v>
      </c>
      <c r="AP431" s="57">
        <f ca="1">AO322-ES218</f>
        <v>0</v>
      </c>
      <c r="AQ431" s="57">
        <f ca="1">AP322-ET218</f>
        <v>0</v>
      </c>
      <c r="AR431" s="57">
        <f ca="1">AQ322-EU218</f>
        <v>0</v>
      </c>
      <c r="AS431" s="57">
        <f ca="1">AR322-EV218</f>
        <v>0</v>
      </c>
      <c r="AT431" s="57">
        <f ca="1">AS322-EW218</f>
        <v>0</v>
      </c>
      <c r="AU431" s="57">
        <f ca="1">AT322-EX218</f>
        <v>0</v>
      </c>
      <c r="AV431" s="57">
        <f ca="1">AU322-EY218</f>
        <v>0</v>
      </c>
      <c r="AW431" s="57">
        <f ca="1">AV322-EZ218</f>
        <v>0</v>
      </c>
      <c r="AX431" s="57">
        <f ca="1">AW322-FA218</f>
        <v>0</v>
      </c>
      <c r="AY431" s="57">
        <f ca="1">AX322-FB218</f>
        <v>0</v>
      </c>
      <c r="AZ431" s="57">
        <f ca="1">AY322-FC218</f>
        <v>0</v>
      </c>
      <c r="BA431" s="57">
        <f ca="1">AZ322-FD218</f>
        <v>0</v>
      </c>
      <c r="BB431" s="57">
        <f ca="1">BA322-FE218</f>
        <v>0</v>
      </c>
      <c r="BC431" s="57">
        <f ca="1">BB322-FF218</f>
        <v>0</v>
      </c>
    </row>
    <row r="432" spans="1:55">
      <c r="A432" s="27">
        <v>82</v>
      </c>
      <c r="B432" s="27" t="str">
        <f t="shared" si="445"/>
        <v>Sim</v>
      </c>
      <c r="C432" s="27">
        <f t="shared" si="446"/>
        <v>1</v>
      </c>
      <c r="D432" s="27">
        <f t="shared" ca="1" si="447"/>
        <v>44</v>
      </c>
      <c r="E432" s="34">
        <v>82</v>
      </c>
      <c r="F432" s="57">
        <f ca="1">E323-DI219</f>
        <v>0</v>
      </c>
      <c r="G432" s="57">
        <f ca="1">F323-DJ219</f>
        <v>-2.2869100002598231E-7</v>
      </c>
      <c r="H432" s="57">
        <f ca="1">G323-DK219</f>
        <v>-2.5893300004131703E-7</v>
      </c>
      <c r="I432" s="57">
        <f ca="1">H323-DL219</f>
        <v>4.9663099999097682E-7</v>
      </c>
      <c r="J432" s="57">
        <f ca="1">I323-DM219</f>
        <v>-1.8899999998378547E-7</v>
      </c>
      <c r="K432" s="57">
        <f ca="1">J323-DN219</f>
        <v>2.2876300004304184E-7</v>
      </c>
      <c r="L432" s="57">
        <f ca="1">K323-DO219</f>
        <v>5.7968700006849616E-7</v>
      </c>
      <c r="M432" s="57">
        <f ca="1">L323-DP219</f>
        <v>1.8932300005491953E-7</v>
      </c>
      <c r="N432" s="57">
        <f ca="1">M323-DQ219</f>
        <v>-2.364900000273451E-7</v>
      </c>
      <c r="O432" s="57">
        <f ca="1">N323-DR219</f>
        <v>-3.0319999999584013E-7</v>
      </c>
      <c r="P432" s="57">
        <f ca="1">O323-DS219</f>
        <v>9.2914999916260399E-8</v>
      </c>
      <c r="Q432" s="57">
        <f ca="1">P323-DT219</f>
        <v>1.2389899994857956E-7</v>
      </c>
      <c r="R432" s="57">
        <f ca="1">Q323-DU219</f>
        <v>5.5905200001260535E-7</v>
      </c>
      <c r="S432" s="57">
        <f ca="1">R323-DV219</f>
        <v>5.1553999985687327E-8</v>
      </c>
      <c r="T432" s="57">
        <f ca="1">S323-DW219</f>
        <v>-1.0844900000250846E-7</v>
      </c>
      <c r="U432" s="57">
        <f ca="1">T323-DX219</f>
        <v>2.2664800000682384E-7</v>
      </c>
      <c r="V432" s="57">
        <f ca="1">U323-DY219</f>
        <v>-4.9335000001926588E-8</v>
      </c>
      <c r="W432" s="57">
        <f ca="1">V323-DZ219</f>
        <v>-5.7819200000031046E-7</v>
      </c>
      <c r="X432" s="57">
        <f ca="1">W323-EA219</f>
        <v>3.6685999993402163E-7</v>
      </c>
      <c r="Y432" s="57">
        <f ca="1">X323-EB219</f>
        <v>2.3399899998222118E-7</v>
      </c>
      <c r="Z432" s="57">
        <f ca="1">Y323-EC219</f>
        <v>2.6605300001980581E-7</v>
      </c>
      <c r="AA432" s="57">
        <f ca="1">Z323-ED219</f>
        <v>-2.0819200000077309E-7</v>
      </c>
      <c r="AB432" s="57">
        <f ca="1">AA323-EE219</f>
        <v>2.3768299994841868E-7</v>
      </c>
      <c r="AC432" s="57">
        <f ca="1">AB323-EF219</f>
        <v>-3.1188000001666771E-7</v>
      </c>
      <c r="AD432" s="57">
        <f ca="1">AC323-EG219</f>
        <v>-5.3170699998439375E-7</v>
      </c>
      <c r="AE432" s="57">
        <f ca="1">AD323-EH219</f>
        <v>-6.2767399996999096E-7</v>
      </c>
      <c r="AF432" s="57">
        <f ca="1">AE323-EI219</f>
        <v>3.2132700006348713E-7</v>
      </c>
      <c r="AG432" s="57">
        <f ca="1">AF323-EJ219</f>
        <v>2.5591799995838826E-7</v>
      </c>
      <c r="AH432" s="57">
        <f ca="1">AG323-EK219</f>
        <v>1.7096400006799684E-7</v>
      </c>
      <c r="AI432" s="57">
        <f ca="1">AH323-EL219</f>
        <v>-4.8969499988338328E-7</v>
      </c>
      <c r="AJ432" s="57">
        <f ca="1">AI323-EM219</f>
        <v>8.4192000038285641E-8</v>
      </c>
      <c r="AK432" s="57">
        <f ca="1">AJ323-EN219</f>
        <v>-4.2231200014786197E-7</v>
      </c>
      <c r="AL432" s="57">
        <f ca="1">AK323-EO219</f>
        <v>5.1315099991455781E-7</v>
      </c>
      <c r="AM432" s="57">
        <f ca="1">AL323-EP219</f>
        <v>-4.7880900000407678E-7</v>
      </c>
      <c r="AN432" s="57">
        <f ca="1">AM323-EQ219</f>
        <v>3.1771600000896072E-7</v>
      </c>
      <c r="AO432" s="57">
        <f ca="1">AN323-ER219</f>
        <v>-4.3203999933183468E-8</v>
      </c>
      <c r="AP432" s="57">
        <f ca="1">AO323-ES219</f>
        <v>-2.0365699998636799E-7</v>
      </c>
      <c r="AQ432" s="57">
        <f ca="1">AP323-ET219</f>
        <v>1.7419400000912022E-7</v>
      </c>
      <c r="AR432" s="57">
        <f ca="1">AQ323-EU219</f>
        <v>-2.1831499996682879E-7</v>
      </c>
      <c r="AS432" s="57">
        <f ca="1">AR323-EV219</f>
        <v>-4.5326599995565431E-7</v>
      </c>
      <c r="AT432" s="57">
        <f ca="1">AS323-EW219</f>
        <v>-6.7337999998251519E-7</v>
      </c>
      <c r="AU432" s="57">
        <f ca="1">AT323-EX219</f>
        <v>-5.4568399993071282E-7</v>
      </c>
      <c r="AV432" s="57">
        <f ca="1">AU323-EY219</f>
        <v>5.4710299998705914E-7</v>
      </c>
      <c r="AW432" s="57">
        <f ca="1">AV323-EZ219</f>
        <v>4.7482099999052174E-7</v>
      </c>
      <c r="AX432" s="57">
        <f ca="1">AW323-FA219</f>
        <v>-8.9200999999999975E-2</v>
      </c>
      <c r="AY432" s="57">
        <f ca="1">AX323-FB219</f>
        <v>-4.239499999999996E-2</v>
      </c>
      <c r="AZ432" s="57">
        <f ca="1">AY323-FC219</f>
        <v>0.2064419999999999</v>
      </c>
      <c r="BA432" s="57">
        <f ca="1">AZ323-FD219</f>
        <v>3.2510000000000039E-3</v>
      </c>
      <c r="BB432" s="57">
        <f ca="1">BA323-FE219</f>
        <v>-0.10645599999999988</v>
      </c>
      <c r="BC432" s="57">
        <f ca="1">BB323-FF219</f>
        <v>-0.16885899999999998</v>
      </c>
    </row>
    <row r="433" spans="1:55">
      <c r="A433" s="27">
        <v>83</v>
      </c>
      <c r="B433" s="27" t="str">
        <f t="shared" si="445"/>
        <v>Sim</v>
      </c>
      <c r="C433" s="27">
        <f t="shared" si="446"/>
        <v>24</v>
      </c>
      <c r="D433" s="27">
        <f t="shared" ca="1" si="447"/>
        <v>43</v>
      </c>
      <c r="E433" s="34">
        <v>83</v>
      </c>
      <c r="F433" s="57">
        <f ca="1">E324-DI220</f>
        <v>0</v>
      </c>
      <c r="G433" s="57">
        <f ca="1">F324-DJ220</f>
        <v>0</v>
      </c>
      <c r="H433" s="57">
        <f ca="1">G324-DK220</f>
        <v>0</v>
      </c>
      <c r="I433" s="57">
        <f ca="1">H324-DL220</f>
        <v>0</v>
      </c>
      <c r="J433" s="57">
        <f ca="1">I324-DM220</f>
        <v>0</v>
      </c>
      <c r="K433" s="57">
        <f ca="1">J324-DN220</f>
        <v>0</v>
      </c>
      <c r="L433" s="57">
        <f ca="1">K324-DO220</f>
        <v>0</v>
      </c>
      <c r="M433" s="57">
        <f ca="1">L324-DP220</f>
        <v>0</v>
      </c>
      <c r="N433" s="57">
        <f ca="1">M324-DQ220</f>
        <v>0</v>
      </c>
      <c r="O433" s="57">
        <f ca="1">N324-DR220</f>
        <v>0</v>
      </c>
      <c r="P433" s="57">
        <f ca="1">O324-DS220</f>
        <v>0</v>
      </c>
      <c r="Q433" s="57">
        <f ca="1">P324-DT220</f>
        <v>0</v>
      </c>
      <c r="R433" s="57">
        <f ca="1">Q324-DU220</f>
        <v>0</v>
      </c>
      <c r="S433" s="57">
        <f ca="1">R324-DV220</f>
        <v>0</v>
      </c>
      <c r="T433" s="57">
        <f ca="1">S324-DW220</f>
        <v>0</v>
      </c>
      <c r="U433" s="57">
        <f ca="1">T324-DX220</f>
        <v>0</v>
      </c>
      <c r="V433" s="57">
        <f ca="1">U324-DY220</f>
        <v>0</v>
      </c>
      <c r="W433" s="57">
        <f ca="1">V324-DZ220</f>
        <v>0</v>
      </c>
      <c r="X433" s="57">
        <f ca="1">W324-EA220</f>
        <v>0</v>
      </c>
      <c r="Y433" s="57">
        <f ca="1">X324-EB220</f>
        <v>0</v>
      </c>
      <c r="Z433" s="57">
        <f ca="1">Y324-EC220</f>
        <v>0</v>
      </c>
      <c r="AA433" s="57">
        <f ca="1">Z324-ED220</f>
        <v>0</v>
      </c>
      <c r="AB433" s="57">
        <f ca="1">AA324-EE220</f>
        <v>0</v>
      </c>
      <c r="AC433" s="57">
        <f ca="1">AB324-EF220</f>
        <v>0</v>
      </c>
      <c r="AD433" s="57">
        <f ca="1">AC324-EG220</f>
        <v>1.9843999998769846E-7</v>
      </c>
      <c r="AE433" s="57">
        <f ca="1">AD324-EH220</f>
        <v>1.2970000001777393E-7</v>
      </c>
      <c r="AF433" s="57">
        <f ca="1">AE324-EI220</f>
        <v>1.8979200000490692E-7</v>
      </c>
      <c r="AG433" s="57">
        <f ca="1">AF324-EJ220</f>
        <v>-5.8011199988161621E-7</v>
      </c>
      <c r="AH433" s="57">
        <f ca="1">AG324-EK220</f>
        <v>3.2907999997222603E-7</v>
      </c>
      <c r="AI433" s="57">
        <f ca="1">AH324-EL220</f>
        <v>6.9195200014249281E-7</v>
      </c>
      <c r="AJ433" s="57">
        <f ca="1">AI324-EM220</f>
        <v>3.5001200004991517E-7</v>
      </c>
      <c r="AK433" s="57">
        <f ca="1">AJ324-EN220</f>
        <v>6.0753599998020213E-7</v>
      </c>
      <c r="AL433" s="57">
        <f ca="1">AK324-EO220</f>
        <v>2.0541600009860161E-7</v>
      </c>
      <c r="AM433" s="57">
        <f ca="1">AL324-EP220</f>
        <v>-2.0933599997885466E-7</v>
      </c>
      <c r="AN433" s="57">
        <f ca="1">AM324-EQ220</f>
        <v>1.9264000017393812E-7</v>
      </c>
      <c r="AO433" s="57">
        <f ca="1">AN324-ER220</f>
        <v>-1.3939599996515284E-7</v>
      </c>
      <c r="AP433" s="57">
        <f ca="1">AO324-ES220</f>
        <v>-5.278639999412027E-7</v>
      </c>
      <c r="AQ433" s="57">
        <f ca="1">AP324-ET220</f>
        <v>1.2850399988550976E-7</v>
      </c>
      <c r="AR433" s="57">
        <f ca="1">AQ324-EU220</f>
        <v>2.5419999993836484E-8</v>
      </c>
      <c r="AS433" s="57">
        <f ca="1">AR324-EV220</f>
        <v>4.8891199999623325E-7</v>
      </c>
      <c r="AT433" s="57">
        <f ca="1">AS324-EW220</f>
        <v>-2.5908400000038134E-7</v>
      </c>
      <c r="AU433" s="57">
        <f ca="1">AT324-EX220</f>
        <v>4.6247999996307243E-7</v>
      </c>
      <c r="AV433" s="57">
        <f ca="1">AU324-EY220</f>
        <v>1.9324800004660858E-7</v>
      </c>
      <c r="AW433" s="57">
        <f ca="1">AV324-EZ220</f>
        <v>5.7560000000000056E-2</v>
      </c>
      <c r="AX433" s="57">
        <f ca="1">AW324-FA220</f>
        <v>-2.6761000000000035E-2</v>
      </c>
      <c r="AY433" s="57">
        <f ca="1">AX324-FB220</f>
        <v>-5.9285000000000032E-2</v>
      </c>
      <c r="AZ433" s="57">
        <f ca="1">AY324-FC220</f>
        <v>6.9731000000000098E-2</v>
      </c>
      <c r="BA433" s="57">
        <f ca="1">AZ324-FD220</f>
        <v>-2.5361999999999996E-2</v>
      </c>
      <c r="BB433" s="57">
        <f ca="1">BA324-FE220</f>
        <v>-0.1461070000000001</v>
      </c>
      <c r="BC433" s="57">
        <f ca="1">BB324-FF220</f>
        <v>-1.8093000000000026E-2</v>
      </c>
    </row>
    <row r="434" spans="1:55">
      <c r="A434" s="27">
        <v>84</v>
      </c>
      <c r="B434" s="27" t="str">
        <f t="shared" si="445"/>
        <v>Sim</v>
      </c>
      <c r="C434" s="27">
        <f t="shared" si="446"/>
        <v>44</v>
      </c>
      <c r="D434" s="27">
        <f t="shared" ca="1" si="447"/>
        <v>46</v>
      </c>
      <c r="E434" s="34">
        <v>84</v>
      </c>
      <c r="F434" s="57">
        <f ca="1">E325-DI221</f>
        <v>0</v>
      </c>
      <c r="G434" s="57">
        <f ca="1">F325-DJ221</f>
        <v>0</v>
      </c>
      <c r="H434" s="57">
        <f ca="1">G325-DK221</f>
        <v>0</v>
      </c>
      <c r="I434" s="57">
        <f ca="1">H325-DL221</f>
        <v>0</v>
      </c>
      <c r="J434" s="57">
        <f ca="1">I325-DM221</f>
        <v>0</v>
      </c>
      <c r="K434" s="57">
        <f ca="1">J325-DN221</f>
        <v>0</v>
      </c>
      <c r="L434" s="57">
        <f ca="1">K325-DO221</f>
        <v>0</v>
      </c>
      <c r="M434" s="57">
        <f ca="1">L325-DP221</f>
        <v>0</v>
      </c>
      <c r="N434" s="57">
        <f ca="1">M325-DQ221</f>
        <v>0</v>
      </c>
      <c r="O434" s="57">
        <f ca="1">N325-DR221</f>
        <v>0</v>
      </c>
      <c r="P434" s="57">
        <f ca="1">O325-DS221</f>
        <v>0</v>
      </c>
      <c r="Q434" s="57">
        <f ca="1">P325-DT221</f>
        <v>0</v>
      </c>
      <c r="R434" s="57">
        <f ca="1">Q325-DU221</f>
        <v>0</v>
      </c>
      <c r="S434" s="57">
        <f ca="1">R325-DV221</f>
        <v>0</v>
      </c>
      <c r="T434" s="57">
        <f ca="1">S325-DW221</f>
        <v>0</v>
      </c>
      <c r="U434" s="57">
        <f ca="1">T325-DX221</f>
        <v>0</v>
      </c>
      <c r="V434" s="57">
        <f ca="1">U325-DY221</f>
        <v>0</v>
      </c>
      <c r="W434" s="57">
        <f ca="1">V325-DZ221</f>
        <v>0</v>
      </c>
      <c r="X434" s="57">
        <f ca="1">W325-EA221</f>
        <v>0</v>
      </c>
      <c r="Y434" s="57">
        <f ca="1">X325-EB221</f>
        <v>0</v>
      </c>
      <c r="Z434" s="57">
        <f ca="1">Y325-EC221</f>
        <v>0</v>
      </c>
      <c r="AA434" s="57">
        <f ca="1">Z325-ED221</f>
        <v>0</v>
      </c>
      <c r="AB434" s="57">
        <f ca="1">AA325-EE221</f>
        <v>0</v>
      </c>
      <c r="AC434" s="57">
        <f ca="1">AB325-EF221</f>
        <v>0</v>
      </c>
      <c r="AD434" s="57">
        <f ca="1">AC325-EG221</f>
        <v>0</v>
      </c>
      <c r="AE434" s="57">
        <f ca="1">AD325-EH221</f>
        <v>0</v>
      </c>
      <c r="AF434" s="57">
        <f ca="1">AE325-EI221</f>
        <v>0</v>
      </c>
      <c r="AG434" s="57">
        <f ca="1">AF325-EJ221</f>
        <v>0</v>
      </c>
      <c r="AH434" s="57">
        <f ca="1">AG325-EK221</f>
        <v>0</v>
      </c>
      <c r="AI434" s="57">
        <f ca="1">AH325-EL221</f>
        <v>0</v>
      </c>
      <c r="AJ434" s="57">
        <f ca="1">AI325-EM221</f>
        <v>0</v>
      </c>
      <c r="AK434" s="57">
        <f ca="1">AJ325-EN221</f>
        <v>0</v>
      </c>
      <c r="AL434" s="57">
        <f ca="1">AK325-EO221</f>
        <v>0</v>
      </c>
      <c r="AM434" s="57">
        <f ca="1">AL325-EP221</f>
        <v>0</v>
      </c>
      <c r="AN434" s="57">
        <f ca="1">AM325-EQ221</f>
        <v>0</v>
      </c>
      <c r="AO434" s="57">
        <f ca="1">AN325-ER221</f>
        <v>0</v>
      </c>
      <c r="AP434" s="57">
        <f ca="1">AO325-ES221</f>
        <v>0</v>
      </c>
      <c r="AQ434" s="57">
        <f ca="1">AP325-ET221</f>
        <v>0</v>
      </c>
      <c r="AR434" s="57">
        <f ca="1">AQ325-EU221</f>
        <v>0</v>
      </c>
      <c r="AS434" s="57">
        <f ca="1">AR325-EV221</f>
        <v>0</v>
      </c>
      <c r="AT434" s="57">
        <f ca="1">AS325-EW221</f>
        <v>0</v>
      </c>
      <c r="AU434" s="57">
        <f ca="1">AT325-EX221</f>
        <v>0</v>
      </c>
      <c r="AV434" s="57">
        <f ca="1">AU325-EY221</f>
        <v>0</v>
      </c>
      <c r="AW434" s="57">
        <f ca="1">AV325-EZ221</f>
        <v>0</v>
      </c>
      <c r="AX434" s="57">
        <f ca="1">AW325-FA221</f>
        <v>-7.1687799996222878E-7</v>
      </c>
      <c r="AY434" s="57">
        <f ca="1">AX325-FB221</f>
        <v>1.8922500000240206E-7</v>
      </c>
      <c r="AZ434" s="57">
        <f ca="1">AY325-FC221</f>
        <v>-0.19327</v>
      </c>
      <c r="BA434" s="57">
        <f ca="1">AZ325-FD221</f>
        <v>-0.47539600000000004</v>
      </c>
      <c r="BB434" s="57">
        <f ca="1">BA325-FE221</f>
        <v>2.428600000000003E-2</v>
      </c>
      <c r="BC434" s="57">
        <f ca="1">BB325-FF221</f>
        <v>-0.335314</v>
      </c>
    </row>
    <row r="435" spans="1:55">
      <c r="A435" s="27">
        <v>85</v>
      </c>
      <c r="B435" s="27" t="str">
        <f t="shared" si="445"/>
        <v>Não</v>
      </c>
      <c r="C435" s="27">
        <f t="shared" si="446"/>
        <v>42</v>
      </c>
      <c r="D435" s="27">
        <f t="shared" ca="1" si="447"/>
        <v>48</v>
      </c>
      <c r="E435" s="34">
        <v>85</v>
      </c>
      <c r="F435" s="57">
        <f ca="1">E326-DI222</f>
        <v>0</v>
      </c>
      <c r="G435" s="57">
        <f ca="1">F326-DJ222</f>
        <v>0</v>
      </c>
      <c r="H435" s="57">
        <f ca="1">G326-DK222</f>
        <v>0</v>
      </c>
      <c r="I435" s="57">
        <f ca="1">H326-DL222</f>
        <v>0</v>
      </c>
      <c r="J435" s="57">
        <f ca="1">I326-DM222</f>
        <v>0</v>
      </c>
      <c r="K435" s="57">
        <f ca="1">J326-DN222</f>
        <v>0</v>
      </c>
      <c r="L435" s="57">
        <f ca="1">K326-DO222</f>
        <v>0</v>
      </c>
      <c r="M435" s="57">
        <f ca="1">L326-DP222</f>
        <v>0</v>
      </c>
      <c r="N435" s="57">
        <f ca="1">M326-DQ222</f>
        <v>0</v>
      </c>
      <c r="O435" s="57">
        <f ca="1">N326-DR222</f>
        <v>0</v>
      </c>
      <c r="P435" s="57">
        <f ca="1">O326-DS222</f>
        <v>0</v>
      </c>
      <c r="Q435" s="57">
        <f ca="1">P326-DT222</f>
        <v>0</v>
      </c>
      <c r="R435" s="57">
        <f ca="1">Q326-DU222</f>
        <v>0</v>
      </c>
      <c r="S435" s="57">
        <f ca="1">R326-DV222</f>
        <v>0</v>
      </c>
      <c r="T435" s="57">
        <f ca="1">S326-DW222</f>
        <v>0</v>
      </c>
      <c r="U435" s="57">
        <f ca="1">T326-DX222</f>
        <v>0</v>
      </c>
      <c r="V435" s="57">
        <f ca="1">U326-DY222</f>
        <v>0</v>
      </c>
      <c r="W435" s="57">
        <f ca="1">V326-DZ222</f>
        <v>0</v>
      </c>
      <c r="X435" s="57">
        <f ca="1">W326-EA222</f>
        <v>0</v>
      </c>
      <c r="Y435" s="57">
        <f ca="1">X326-EB222</f>
        <v>0</v>
      </c>
      <c r="Z435" s="57">
        <f ca="1">Y326-EC222</f>
        <v>0</v>
      </c>
      <c r="AA435" s="57">
        <f ca="1">Z326-ED222</f>
        <v>0</v>
      </c>
      <c r="AB435" s="57">
        <f ca="1">AA326-EE222</f>
        <v>0</v>
      </c>
      <c r="AC435" s="57">
        <f ca="1">AB326-EF222</f>
        <v>0</v>
      </c>
      <c r="AD435" s="57">
        <f ca="1">AC326-EG222</f>
        <v>0</v>
      </c>
      <c r="AE435" s="57">
        <f ca="1">AD326-EH222</f>
        <v>0</v>
      </c>
      <c r="AF435" s="57">
        <f ca="1">AE326-EI222</f>
        <v>0</v>
      </c>
      <c r="AG435" s="57">
        <f ca="1">AF326-EJ222</f>
        <v>0</v>
      </c>
      <c r="AH435" s="57">
        <f ca="1">AG326-EK222</f>
        <v>0</v>
      </c>
      <c r="AI435" s="57">
        <f ca="1">AH326-EL222</f>
        <v>0</v>
      </c>
      <c r="AJ435" s="57">
        <f ca="1">AI326-EM222</f>
        <v>0</v>
      </c>
      <c r="AK435" s="57">
        <f ca="1">AJ326-EN222</f>
        <v>0</v>
      </c>
      <c r="AL435" s="57">
        <f ca="1">AK326-EO222</f>
        <v>0</v>
      </c>
      <c r="AM435" s="57">
        <f ca="1">AL326-EP222</f>
        <v>0</v>
      </c>
      <c r="AN435" s="57">
        <f ca="1">AM326-EQ222</f>
        <v>0</v>
      </c>
      <c r="AO435" s="57">
        <f ca="1">AN326-ER222</f>
        <v>0</v>
      </c>
      <c r="AP435" s="57">
        <f ca="1">AO326-ES222</f>
        <v>0</v>
      </c>
      <c r="AQ435" s="57">
        <f ca="1">AP326-ET222</f>
        <v>0</v>
      </c>
      <c r="AR435" s="57">
        <f ca="1">AQ326-EU222</f>
        <v>0</v>
      </c>
      <c r="AS435" s="57">
        <f ca="1">AR326-EV222</f>
        <v>0</v>
      </c>
      <c r="AT435" s="57">
        <f ca="1">AS326-EW222</f>
        <v>0</v>
      </c>
      <c r="AU435" s="57">
        <f ca="1">AT326-EX222</f>
        <v>0</v>
      </c>
      <c r="AV435" s="57">
        <f ca="1">AU326-EY222</f>
        <v>0</v>
      </c>
      <c r="AW435" s="57">
        <f ca="1">AV326-EZ222</f>
        <v>0</v>
      </c>
      <c r="AX435" s="57">
        <f ca="1">AW326-FA222</f>
        <v>0</v>
      </c>
      <c r="AY435" s="57">
        <f ca="1">AX326-FB222</f>
        <v>0</v>
      </c>
      <c r="AZ435" s="57">
        <f ca="1">AY326-FC222</f>
        <v>0</v>
      </c>
      <c r="BA435" s="57">
        <f ca="1">AZ326-FD222</f>
        <v>0</v>
      </c>
      <c r="BB435" s="57">
        <f ca="1">BA326-FE222</f>
        <v>0</v>
      </c>
      <c r="BC435" s="57">
        <f ca="1">BB326-FF222</f>
        <v>0</v>
      </c>
    </row>
    <row r="436" spans="1:55">
      <c r="A436" s="27">
        <v>86</v>
      </c>
      <c r="B436" s="27" t="str">
        <f t="shared" si="445"/>
        <v>Sim</v>
      </c>
      <c r="C436" s="27">
        <f t="shared" si="446"/>
        <v>46</v>
      </c>
      <c r="D436" s="27">
        <f t="shared" ca="1" si="447"/>
        <v>46</v>
      </c>
      <c r="E436" s="34">
        <v>86</v>
      </c>
      <c r="F436" s="57">
        <f ca="1">E327-DI223</f>
        <v>0</v>
      </c>
      <c r="G436" s="57">
        <f ca="1">F327-DJ223</f>
        <v>0</v>
      </c>
      <c r="H436" s="57">
        <f ca="1">G327-DK223</f>
        <v>0</v>
      </c>
      <c r="I436" s="57">
        <f ca="1">H327-DL223</f>
        <v>0</v>
      </c>
      <c r="J436" s="57">
        <f ca="1">I327-DM223</f>
        <v>0</v>
      </c>
      <c r="K436" s="57">
        <f ca="1">J327-DN223</f>
        <v>0</v>
      </c>
      <c r="L436" s="57">
        <f ca="1">K327-DO223</f>
        <v>0</v>
      </c>
      <c r="M436" s="57">
        <f ca="1">L327-DP223</f>
        <v>0</v>
      </c>
      <c r="N436" s="57">
        <f ca="1">M327-DQ223</f>
        <v>0</v>
      </c>
      <c r="O436" s="57">
        <f ca="1">N327-DR223</f>
        <v>0</v>
      </c>
      <c r="P436" s="57">
        <f ca="1">O327-DS223</f>
        <v>0</v>
      </c>
      <c r="Q436" s="57">
        <f ca="1">P327-DT223</f>
        <v>0</v>
      </c>
      <c r="R436" s="57">
        <f ca="1">Q327-DU223</f>
        <v>0</v>
      </c>
      <c r="S436" s="57">
        <f ca="1">R327-DV223</f>
        <v>0</v>
      </c>
      <c r="T436" s="57">
        <f ca="1">S327-DW223</f>
        <v>0</v>
      </c>
      <c r="U436" s="57">
        <f ca="1">T327-DX223</f>
        <v>0</v>
      </c>
      <c r="V436" s="57">
        <f ca="1">U327-DY223</f>
        <v>0</v>
      </c>
      <c r="W436" s="57">
        <f ca="1">V327-DZ223</f>
        <v>0</v>
      </c>
      <c r="X436" s="57">
        <f ca="1">W327-EA223</f>
        <v>0</v>
      </c>
      <c r="Y436" s="57">
        <f ca="1">X327-EB223</f>
        <v>0</v>
      </c>
      <c r="Z436" s="57">
        <f ca="1">Y327-EC223</f>
        <v>0</v>
      </c>
      <c r="AA436" s="57">
        <f ca="1">Z327-ED223</f>
        <v>0</v>
      </c>
      <c r="AB436" s="57">
        <f ca="1">AA327-EE223</f>
        <v>0</v>
      </c>
      <c r="AC436" s="57">
        <f ca="1">AB327-EF223</f>
        <v>0</v>
      </c>
      <c r="AD436" s="57">
        <f ca="1">AC327-EG223</f>
        <v>0</v>
      </c>
      <c r="AE436" s="57">
        <f ca="1">AD327-EH223</f>
        <v>0</v>
      </c>
      <c r="AF436" s="57">
        <f ca="1">AE327-EI223</f>
        <v>0</v>
      </c>
      <c r="AG436" s="57">
        <f ca="1">AF327-EJ223</f>
        <v>0</v>
      </c>
      <c r="AH436" s="57">
        <f ca="1">AG327-EK223</f>
        <v>0</v>
      </c>
      <c r="AI436" s="57">
        <f ca="1">AH327-EL223</f>
        <v>0</v>
      </c>
      <c r="AJ436" s="57">
        <f ca="1">AI327-EM223</f>
        <v>0</v>
      </c>
      <c r="AK436" s="57">
        <f ca="1">AJ327-EN223</f>
        <v>0</v>
      </c>
      <c r="AL436" s="57">
        <f ca="1">AK327-EO223</f>
        <v>0</v>
      </c>
      <c r="AM436" s="57">
        <f ca="1">AL327-EP223</f>
        <v>0</v>
      </c>
      <c r="AN436" s="57">
        <f ca="1">AM327-EQ223</f>
        <v>0</v>
      </c>
      <c r="AO436" s="57">
        <f ca="1">AN327-ER223</f>
        <v>0</v>
      </c>
      <c r="AP436" s="57">
        <f ca="1">AO327-ES223</f>
        <v>0</v>
      </c>
      <c r="AQ436" s="57">
        <f ca="1">AP327-ET223</f>
        <v>0</v>
      </c>
      <c r="AR436" s="57">
        <f ca="1">AQ327-EU223</f>
        <v>0</v>
      </c>
      <c r="AS436" s="57">
        <f ca="1">AR327-EV223</f>
        <v>0</v>
      </c>
      <c r="AT436" s="57">
        <f ca="1">AS327-EW223</f>
        <v>0</v>
      </c>
      <c r="AU436" s="57">
        <f ca="1">AT327-EX223</f>
        <v>0</v>
      </c>
      <c r="AV436" s="57">
        <f ca="1">AU327-EY223</f>
        <v>0</v>
      </c>
      <c r="AW436" s="57">
        <f ca="1">AV327-EZ223</f>
        <v>0</v>
      </c>
      <c r="AX436" s="57">
        <f ca="1">AW327-FA223</f>
        <v>0</v>
      </c>
      <c r="AY436" s="57">
        <f ca="1">AX327-FB223</f>
        <v>0</v>
      </c>
      <c r="AZ436" s="57">
        <f ca="1">AY327-FC223</f>
        <v>2.0200000000000218E-3</v>
      </c>
      <c r="BA436" s="57">
        <f ca="1">AZ327-FD223</f>
        <v>-2.2538000000000002E-2</v>
      </c>
      <c r="BB436" s="57">
        <f ca="1">BA327-FE223</f>
        <v>-1.3772000000000006E-2</v>
      </c>
      <c r="BC436" s="57">
        <f ca="1">BB327-FF223</f>
        <v>-6.604999999999972E-3</v>
      </c>
    </row>
    <row r="437" spans="1:55">
      <c r="A437" s="27">
        <v>87</v>
      </c>
      <c r="B437" s="27" t="str">
        <f t="shared" si="445"/>
        <v>Não</v>
      </c>
      <c r="C437" s="27">
        <f t="shared" si="446"/>
        <v>38</v>
      </c>
      <c r="D437" s="27">
        <f t="shared" ca="1" si="447"/>
        <v>42</v>
      </c>
      <c r="E437" s="34">
        <v>87</v>
      </c>
      <c r="F437" s="57">
        <f ca="1">E328-DI224</f>
        <v>0</v>
      </c>
      <c r="G437" s="57">
        <f ca="1">F328-DJ224</f>
        <v>0</v>
      </c>
      <c r="H437" s="57">
        <f ca="1">G328-DK224</f>
        <v>0</v>
      </c>
      <c r="I437" s="57">
        <f ca="1">H328-DL224</f>
        <v>0</v>
      </c>
      <c r="J437" s="57">
        <f ca="1">I328-DM224</f>
        <v>0</v>
      </c>
      <c r="K437" s="57">
        <f ca="1">J328-DN224</f>
        <v>0</v>
      </c>
      <c r="L437" s="57">
        <f ca="1">K328-DO224</f>
        <v>0</v>
      </c>
      <c r="M437" s="57">
        <f ca="1">L328-DP224</f>
        <v>0</v>
      </c>
      <c r="N437" s="57">
        <f ca="1">M328-DQ224</f>
        <v>0</v>
      </c>
      <c r="O437" s="57">
        <f ca="1">N328-DR224</f>
        <v>0</v>
      </c>
      <c r="P437" s="57">
        <f ca="1">O328-DS224</f>
        <v>0</v>
      </c>
      <c r="Q437" s="57">
        <f ca="1">P328-DT224</f>
        <v>0</v>
      </c>
      <c r="R437" s="57">
        <f ca="1">Q328-DU224</f>
        <v>0</v>
      </c>
      <c r="S437" s="57">
        <f ca="1">R328-DV224</f>
        <v>0</v>
      </c>
      <c r="T437" s="57">
        <f ca="1">S328-DW224</f>
        <v>0</v>
      </c>
      <c r="U437" s="57">
        <f ca="1">T328-DX224</f>
        <v>0</v>
      </c>
      <c r="V437" s="57">
        <f ca="1">U328-DY224</f>
        <v>0</v>
      </c>
      <c r="W437" s="57">
        <f ca="1">V328-DZ224</f>
        <v>0</v>
      </c>
      <c r="X437" s="57">
        <f ca="1">W328-EA224</f>
        <v>0</v>
      </c>
      <c r="Y437" s="57">
        <f ca="1">X328-EB224</f>
        <v>0</v>
      </c>
      <c r="Z437" s="57">
        <f ca="1">Y328-EC224</f>
        <v>0</v>
      </c>
      <c r="AA437" s="57">
        <f ca="1">Z328-ED224</f>
        <v>0</v>
      </c>
      <c r="AB437" s="57">
        <f ca="1">AA328-EE224</f>
        <v>0</v>
      </c>
      <c r="AC437" s="57">
        <f ca="1">AB328-EF224</f>
        <v>0</v>
      </c>
      <c r="AD437" s="57">
        <f ca="1">AC328-EG224</f>
        <v>0</v>
      </c>
      <c r="AE437" s="57">
        <f ca="1">AD328-EH224</f>
        <v>0</v>
      </c>
      <c r="AF437" s="57">
        <f ca="1">AE328-EI224</f>
        <v>0</v>
      </c>
      <c r="AG437" s="57">
        <f ca="1">AF328-EJ224</f>
        <v>0</v>
      </c>
      <c r="AH437" s="57">
        <f ca="1">AG328-EK224</f>
        <v>0</v>
      </c>
      <c r="AI437" s="57">
        <f ca="1">AH328-EL224</f>
        <v>0</v>
      </c>
      <c r="AJ437" s="57">
        <f ca="1">AI328-EM224</f>
        <v>0</v>
      </c>
      <c r="AK437" s="57">
        <f ca="1">AJ328-EN224</f>
        <v>0</v>
      </c>
      <c r="AL437" s="57">
        <f ca="1">AK328-EO224</f>
        <v>0</v>
      </c>
      <c r="AM437" s="57">
        <f ca="1">AL328-EP224</f>
        <v>0</v>
      </c>
      <c r="AN437" s="57">
        <f ca="1">AM328-EQ224</f>
        <v>0</v>
      </c>
      <c r="AO437" s="57">
        <f ca="1">AN328-ER224</f>
        <v>0</v>
      </c>
      <c r="AP437" s="57">
        <f ca="1">AO328-ES224</f>
        <v>0</v>
      </c>
      <c r="AQ437" s="57">
        <f ca="1">AP328-ET224</f>
        <v>0</v>
      </c>
      <c r="AR437" s="57">
        <f ca="1">AQ328-EU224</f>
        <v>0</v>
      </c>
      <c r="AS437" s="57">
        <f ca="1">AR328-EV224</f>
        <v>0</v>
      </c>
      <c r="AT437" s="57">
        <f ca="1">AS328-EW224</f>
        <v>0</v>
      </c>
      <c r="AU437" s="57">
        <f ca="1">AT328-EX224</f>
        <v>0</v>
      </c>
      <c r="AV437" s="57">
        <f ca="1">AU328-EY224</f>
        <v>0</v>
      </c>
      <c r="AW437" s="57">
        <f ca="1">AV328-EZ224</f>
        <v>0</v>
      </c>
      <c r="AX437" s="57">
        <f ca="1">AW328-FA224</f>
        <v>0</v>
      </c>
      <c r="AY437" s="57">
        <f ca="1">AX328-FB224</f>
        <v>0</v>
      </c>
      <c r="AZ437" s="57">
        <f ca="1">AY328-FC224</f>
        <v>0</v>
      </c>
      <c r="BA437" s="57">
        <f ca="1">AZ328-FD224</f>
        <v>0</v>
      </c>
      <c r="BB437" s="57">
        <f ca="1">BA328-FE224</f>
        <v>0</v>
      </c>
      <c r="BC437" s="57">
        <f ca="1">BB328-FF224</f>
        <v>0</v>
      </c>
    </row>
    <row r="438" spans="1:55">
      <c r="A438" s="27">
        <v>88</v>
      </c>
      <c r="B438" s="27" t="str">
        <f t="shared" si="445"/>
        <v>Sim</v>
      </c>
      <c r="C438" s="27">
        <f t="shared" si="446"/>
        <v>14</v>
      </c>
      <c r="D438" s="27">
        <f t="shared" ca="1" si="447"/>
        <v>39</v>
      </c>
      <c r="E438" s="34">
        <v>88</v>
      </c>
      <c r="F438" s="57">
        <f ca="1">E329-DI225</f>
        <v>0</v>
      </c>
      <c r="G438" s="57">
        <f ca="1">F329-DJ225</f>
        <v>0</v>
      </c>
      <c r="H438" s="57">
        <f ca="1">G329-DK225</f>
        <v>0</v>
      </c>
      <c r="I438" s="57">
        <f ca="1">H329-DL225</f>
        <v>0</v>
      </c>
      <c r="J438" s="57">
        <f ca="1">I329-DM225</f>
        <v>0</v>
      </c>
      <c r="K438" s="57">
        <f ca="1">J329-DN225</f>
        <v>0</v>
      </c>
      <c r="L438" s="57">
        <f ca="1">K329-DO225</f>
        <v>0</v>
      </c>
      <c r="M438" s="57">
        <f ca="1">L329-DP225</f>
        <v>0</v>
      </c>
      <c r="N438" s="57">
        <f ca="1">M329-DQ225</f>
        <v>0</v>
      </c>
      <c r="O438" s="57">
        <f ca="1">N329-DR225</f>
        <v>0</v>
      </c>
      <c r="P438" s="57">
        <f ca="1">O329-DS225</f>
        <v>0</v>
      </c>
      <c r="Q438" s="57">
        <f ca="1">P329-DT225</f>
        <v>0</v>
      </c>
      <c r="R438" s="57">
        <f ca="1">Q329-DU225</f>
        <v>0</v>
      </c>
      <c r="S438" s="57">
        <f ca="1">R329-DV225</f>
        <v>0</v>
      </c>
      <c r="T438" s="57">
        <f ca="1">S329-DW225</f>
        <v>1.6002999997377643E-7</v>
      </c>
      <c r="U438" s="57">
        <f ca="1">T329-DX225</f>
        <v>-8.080799995813237E-8</v>
      </c>
      <c r="V438" s="57">
        <f ca="1">U329-DY225</f>
        <v>5.1139599988037077E-7</v>
      </c>
      <c r="W438" s="57">
        <f ca="1">V329-DZ225</f>
        <v>2.8860799997088016E-7</v>
      </c>
      <c r="X438" s="57">
        <f ca="1">W329-EA225</f>
        <v>-3.3579400005034898E-7</v>
      </c>
      <c r="Y438" s="57">
        <f ca="1">X329-EB225</f>
        <v>-6.2250399990304572E-7</v>
      </c>
      <c r="Z438" s="57">
        <f ca="1">Y329-EC225</f>
        <v>-7.0108000006091631E-8</v>
      </c>
      <c r="AA438" s="57">
        <f ca="1">Z329-ED225</f>
        <v>-4.2816399992151588E-7</v>
      </c>
      <c r="AB438" s="57">
        <f ca="1">AA329-EE225</f>
        <v>3.6163600000693741E-7</v>
      </c>
      <c r="AC438" s="57">
        <f ca="1">AB329-EF225</f>
        <v>3.500459999639105E-7</v>
      </c>
      <c r="AD438" s="57">
        <f ca="1">AC329-EG225</f>
        <v>8.3486000113097703E-8</v>
      </c>
      <c r="AE438" s="57">
        <f ca="1">AD329-EH225</f>
        <v>2.2963399998188194E-7</v>
      </c>
      <c r="AF438" s="57">
        <f ca="1">AE329-EI225</f>
        <v>8.3732200006902957E-7</v>
      </c>
      <c r="AG438" s="57">
        <f ca="1">AF329-EJ225</f>
        <v>-2.1081200002326383E-7</v>
      </c>
      <c r="AH438" s="57">
        <f ca="1">AG329-EK225</f>
        <v>-1.7464599988414875E-7</v>
      </c>
      <c r="AI438" s="57">
        <f ca="1">AH329-EL225</f>
        <v>-8.3355999991319152E-8</v>
      </c>
      <c r="AJ438" s="57">
        <f ca="1">AI329-EM225</f>
        <v>-2.935280000171403E-7</v>
      </c>
      <c r="AK438" s="57">
        <f ca="1">AJ329-EN225</f>
        <v>-7.1348000002524614E-7</v>
      </c>
      <c r="AL438" s="57">
        <f ca="1">AK329-EO225</f>
        <v>6.4564199998493055E-7</v>
      </c>
      <c r="AM438" s="57">
        <f ca="1">AL329-EP225</f>
        <v>1.3965399997539762E-7</v>
      </c>
      <c r="AN438" s="57">
        <f ca="1">AM329-EQ225</f>
        <v>3.0641000003939212E-7</v>
      </c>
      <c r="AO438" s="57">
        <f ca="1">AN329-ER225</f>
        <v>-5.9060800006172087E-7</v>
      </c>
      <c r="AP438" s="57">
        <f ca="1">AO329-ES225</f>
        <v>1.0070200005124486E-7</v>
      </c>
      <c r="AQ438" s="57">
        <f ca="1">AP329-ET225</f>
        <v>1.9979000000572289E-7</v>
      </c>
      <c r="AR438" s="57">
        <f ca="1">AQ329-EU225</f>
        <v>-4.1389400004532284E-7</v>
      </c>
      <c r="AS438" s="57">
        <f ca="1">AR329-EV225</f>
        <v>-0.23531500000000005</v>
      </c>
      <c r="AT438" s="57">
        <f ca="1">AS329-EW225</f>
        <v>9.900000000000464E-4</v>
      </c>
      <c r="AU438" s="57">
        <f ca="1">AT329-EX225</f>
        <v>-0.33715400000000001</v>
      </c>
      <c r="AV438" s="57">
        <f ca="1">AU329-EY225</f>
        <v>-0.489983</v>
      </c>
      <c r="AW438" s="57">
        <f ca="1">AV329-EZ225</f>
        <v>-0.41186999999999996</v>
      </c>
      <c r="AX438" s="57">
        <f ca="1">AW329-FA225</f>
        <v>-0.640065</v>
      </c>
      <c r="AY438" s="57">
        <f ca="1">AX329-FB225</f>
        <v>-0.88745399999999997</v>
      </c>
      <c r="AZ438" s="57">
        <f ca="1">AY329-FC225</f>
        <v>6.3469999999999999E-2</v>
      </c>
      <c r="BA438" s="57">
        <f ca="1">AZ329-FD225</f>
        <v>0.35403899999999999</v>
      </c>
      <c r="BB438" s="57">
        <f ca="1">BA329-FE225</f>
        <v>0.47454399999999997</v>
      </c>
      <c r="BC438" s="57">
        <f ca="1">BB329-FF225</f>
        <v>0.135435</v>
      </c>
    </row>
    <row r="439" spans="1:55">
      <c r="A439" s="27">
        <v>89</v>
      </c>
      <c r="B439" s="27" t="str">
        <f t="shared" si="445"/>
        <v>Sim</v>
      </c>
      <c r="C439" s="27">
        <f t="shared" si="446"/>
        <v>20</v>
      </c>
      <c r="D439" s="27">
        <f t="shared" ca="1" si="447"/>
        <v>32</v>
      </c>
      <c r="E439" s="34">
        <v>89</v>
      </c>
      <c r="F439" s="57">
        <f ca="1">E330-DI226</f>
        <v>0</v>
      </c>
      <c r="G439" s="57">
        <f ca="1">F330-DJ226</f>
        <v>0</v>
      </c>
      <c r="H439" s="57">
        <f ca="1">G330-DK226</f>
        <v>0</v>
      </c>
      <c r="I439" s="57">
        <f ca="1">H330-DL226</f>
        <v>0</v>
      </c>
      <c r="J439" s="57">
        <f ca="1">I330-DM226</f>
        <v>0</v>
      </c>
      <c r="K439" s="57">
        <f ca="1">J330-DN226</f>
        <v>0</v>
      </c>
      <c r="L439" s="57">
        <f ca="1">K330-DO226</f>
        <v>0</v>
      </c>
      <c r="M439" s="57">
        <f ca="1">L330-DP226</f>
        <v>0</v>
      </c>
      <c r="N439" s="57">
        <f ca="1">M330-DQ226</f>
        <v>0</v>
      </c>
      <c r="O439" s="57">
        <f ca="1">N330-DR226</f>
        <v>0</v>
      </c>
      <c r="P439" s="57">
        <f ca="1">O330-DS226</f>
        <v>0</v>
      </c>
      <c r="Q439" s="57">
        <f ca="1">P330-DT226</f>
        <v>0</v>
      </c>
      <c r="R439" s="57">
        <f ca="1">Q330-DU226</f>
        <v>0</v>
      </c>
      <c r="S439" s="57">
        <f ca="1">R330-DV226</f>
        <v>0</v>
      </c>
      <c r="T439" s="57">
        <f ca="1">S330-DW226</f>
        <v>0</v>
      </c>
      <c r="U439" s="57">
        <f ca="1">T330-DX226</f>
        <v>0</v>
      </c>
      <c r="V439" s="57">
        <f ca="1">U330-DY226</f>
        <v>0</v>
      </c>
      <c r="W439" s="57">
        <f ca="1">V330-DZ226</f>
        <v>0</v>
      </c>
      <c r="X439" s="57">
        <f ca="1">W330-EA226</f>
        <v>0</v>
      </c>
      <c r="Y439" s="57">
        <f ca="1">X330-EB226</f>
        <v>0</v>
      </c>
      <c r="Z439" s="57">
        <f ca="1">Y330-EC226</f>
        <v>8.0442000005565006E-8</v>
      </c>
      <c r="AA439" s="57">
        <f ca="1">Z330-ED226</f>
        <v>-2.7162600002572646E-7</v>
      </c>
      <c r="AB439" s="57">
        <f ca="1">AA330-EE226</f>
        <v>-1.0570699999212785E-6</v>
      </c>
      <c r="AC439" s="57">
        <f ca="1">AB330-EF226</f>
        <v>3.1060600000354377E-7</v>
      </c>
      <c r="AD439" s="57">
        <f ca="1">AC330-EG226</f>
        <v>9.3775800003026433E-7</v>
      </c>
      <c r="AE439" s="57">
        <f ca="1">AD330-EH226</f>
        <v>1.528739999590023E-7</v>
      </c>
      <c r="AF439" s="57">
        <f ca="1">AE330-EI226</f>
        <v>-4.740400000313727E-8</v>
      </c>
      <c r="AG439" s="57">
        <f ca="1">AF330-EJ226</f>
        <v>-1.3075999993894527E-7</v>
      </c>
      <c r="AH439" s="57">
        <f ca="1">AG330-EK226</f>
        <v>1.6437680000480626E-6</v>
      </c>
      <c r="AI439" s="57">
        <f ca="1">AH330-EL226</f>
        <v>-3.777400000015696E-7</v>
      </c>
      <c r="AJ439" s="57">
        <f ca="1">AI330-EM226</f>
        <v>3.2094599999865636E-7</v>
      </c>
      <c r="AK439" s="57">
        <f ca="1">AJ330-EN226</f>
        <v>8.7618400002043018E-7</v>
      </c>
      <c r="AL439" s="57">
        <f ca="1">AK330-EO226</f>
        <v>-0.42414700000000005</v>
      </c>
      <c r="AM439" s="57">
        <f ca="1">AL330-EP226</f>
        <v>-3.0792999999999994E-2</v>
      </c>
      <c r="AN439" s="57">
        <f ca="1">AM330-EQ226</f>
        <v>-7.8246999999999983E-2</v>
      </c>
      <c r="AO439" s="57">
        <f ca="1">AN330-ER226</f>
        <v>-0.12059699999999995</v>
      </c>
      <c r="AP439" s="57">
        <f ca="1">AO330-ES226</f>
        <v>0.399312</v>
      </c>
      <c r="AQ439" s="57">
        <f ca="1">AP330-ET226</f>
        <v>-3.1821000000000002E-2</v>
      </c>
      <c r="AR439" s="57">
        <f ca="1">AQ330-EU226</f>
        <v>-0.19693099999999999</v>
      </c>
      <c r="AS439" s="57">
        <f ca="1">AR330-EV226</f>
        <v>-0.15150000000000002</v>
      </c>
      <c r="AT439" s="57">
        <f ca="1">AS330-EW226</f>
        <v>0.330316</v>
      </c>
      <c r="AU439" s="57">
        <f ca="1">AT330-EX226</f>
        <v>1.119062</v>
      </c>
      <c r="AV439" s="57">
        <f ca="1">AU330-EY226</f>
        <v>0.62469299999999994</v>
      </c>
      <c r="AW439" s="57">
        <f ca="1">AV330-EZ226</f>
        <v>0.60362199999999999</v>
      </c>
      <c r="AX439" s="57">
        <f ca="1">AW330-FA226</f>
        <v>0.53904099999999999</v>
      </c>
      <c r="AY439" s="57">
        <f ca="1">AX330-FB226</f>
        <v>0.12770099999999984</v>
      </c>
      <c r="AZ439" s="57">
        <f ca="1">AY330-FC226</f>
        <v>-0.31084000000000001</v>
      </c>
      <c r="BA439" s="57">
        <f ca="1">AZ330-FD226</f>
        <v>0.11401600000000001</v>
      </c>
      <c r="BB439" s="57">
        <f ca="1">BA330-FE226</f>
        <v>-0.39650000000000002</v>
      </c>
      <c r="BC439" s="57">
        <f ca="1">BB330-FF226</f>
        <v>0.534057</v>
      </c>
    </row>
    <row r="440" spans="1:55">
      <c r="A440" s="27">
        <v>90</v>
      </c>
      <c r="B440" s="27" t="str">
        <f t="shared" si="445"/>
        <v>Sim</v>
      </c>
      <c r="C440" s="27">
        <f t="shared" si="446"/>
        <v>13</v>
      </c>
      <c r="D440" s="27">
        <f t="shared" ca="1" si="447"/>
        <v>28</v>
      </c>
      <c r="E440" s="34">
        <v>90</v>
      </c>
      <c r="F440" s="57">
        <f ca="1">E331-DI227</f>
        <v>0</v>
      </c>
      <c r="G440" s="57">
        <f ca="1">F331-DJ227</f>
        <v>0</v>
      </c>
      <c r="H440" s="57">
        <f ca="1">G331-DK227</f>
        <v>0</v>
      </c>
      <c r="I440" s="57">
        <f ca="1">H331-DL227</f>
        <v>0</v>
      </c>
      <c r="J440" s="57">
        <f ca="1">I331-DM227</f>
        <v>0</v>
      </c>
      <c r="K440" s="57">
        <f ca="1">J331-DN227</f>
        <v>0</v>
      </c>
      <c r="L440" s="57">
        <f ca="1">K331-DO227</f>
        <v>0</v>
      </c>
      <c r="M440" s="57">
        <f ca="1">L331-DP227</f>
        <v>0</v>
      </c>
      <c r="N440" s="57">
        <f ca="1">M331-DQ227</f>
        <v>0</v>
      </c>
      <c r="O440" s="57">
        <f ca="1">N331-DR227</f>
        <v>0</v>
      </c>
      <c r="P440" s="57">
        <f ca="1">O331-DS227</f>
        <v>0</v>
      </c>
      <c r="Q440" s="57">
        <f ca="1">P331-DT227</f>
        <v>0</v>
      </c>
      <c r="R440" s="57">
        <f ca="1">Q331-DU227</f>
        <v>0</v>
      </c>
      <c r="S440" s="57">
        <f ca="1">R331-DV227</f>
        <v>-3.3902399997065569E-7</v>
      </c>
      <c r="T440" s="57">
        <f ca="1">S331-DW227</f>
        <v>2.0686999996355482E-7</v>
      </c>
      <c r="U440" s="57">
        <f ca="1">T331-DX227</f>
        <v>8.240520000535323E-7</v>
      </c>
      <c r="V440" s="57">
        <f ca="1">U331-DY227</f>
        <v>-1.8113499999916627E-7</v>
      </c>
      <c r="W440" s="57">
        <f ca="1">V331-DZ227</f>
        <v>-3.6139400017010104E-7</v>
      </c>
      <c r="X440" s="57">
        <f ca="1">W331-EA227</f>
        <v>5.5375000002078067E-7</v>
      </c>
      <c r="Y440" s="57">
        <f ca="1">X331-EB227</f>
        <v>-2.9777900012462055E-7</v>
      </c>
      <c r="Z440" s="57">
        <f ca="1">Y331-EC227</f>
        <v>6.1330799996928143E-7</v>
      </c>
      <c r="AA440" s="57">
        <f ca="1">Z331-ED227</f>
        <v>4.1557599983477189E-7</v>
      </c>
      <c r="AB440" s="57">
        <f ca="1">AA331-EE227</f>
        <v>1.5473199999060938E-7</v>
      </c>
      <c r="AC440" s="57">
        <f ca="1">AB331-EF227</f>
        <v>-2.3634900003788317E-7</v>
      </c>
      <c r="AD440" s="57">
        <f ca="1">AC331-EG227</f>
        <v>4.9811500002494569E-7</v>
      </c>
      <c r="AE440" s="57">
        <f ca="1">AD331-EH227</f>
        <v>3.4443900009950568E-7</v>
      </c>
      <c r="AF440" s="57">
        <f ca="1">AE331-EI227</f>
        <v>4.7583699996911477E-7</v>
      </c>
      <c r="AG440" s="57">
        <f ca="1">AF331-EJ227</f>
        <v>3.513300000923536E-7</v>
      </c>
      <c r="AH440" s="57">
        <f ca="1">AG331-EK227</f>
        <v>0.37164599999999998</v>
      </c>
      <c r="AI440" s="57">
        <f ca="1">AH331-EL227</f>
        <v>1.3262750000000001</v>
      </c>
      <c r="AJ440" s="57">
        <f ca="1">AI331-EM227</f>
        <v>-0.64946800000000005</v>
      </c>
      <c r="AK440" s="57">
        <f ca="1">AJ331-EN227</f>
        <v>-0.64349000000000001</v>
      </c>
      <c r="AL440" s="57">
        <f ca="1">AK331-EO227</f>
        <v>0.26223800000000008</v>
      </c>
      <c r="AM440" s="57">
        <f ca="1">AL331-EP227</f>
        <v>0.56267499999999993</v>
      </c>
      <c r="AN440" s="57">
        <f ca="1">AM331-EQ227</f>
        <v>-0.30071000000000003</v>
      </c>
      <c r="AO440" s="57">
        <f ca="1">AN331-ER227</f>
        <v>0.14706999999999998</v>
      </c>
      <c r="AP440" s="57">
        <f ca="1">AO331-ES227</f>
        <v>2.1216000000000013E-2</v>
      </c>
      <c r="AQ440" s="57">
        <f ca="1">AP331-ET227</f>
        <v>0.76857600000000004</v>
      </c>
      <c r="AR440" s="57">
        <f ca="1">AQ331-EU227</f>
        <v>0.80262199999999995</v>
      </c>
      <c r="AS440" s="57">
        <f ca="1">AR331-EV227</f>
        <v>9.0808E-2</v>
      </c>
      <c r="AT440" s="57">
        <f ca="1">AS331-EW227</f>
        <v>0.92709900000000012</v>
      </c>
      <c r="AU440" s="57">
        <f ca="1">AT331-EX227</f>
        <v>0.99924199999999996</v>
      </c>
      <c r="AV440" s="57">
        <f ca="1">AU331-EY227</f>
        <v>-0.13190000000000013</v>
      </c>
      <c r="AW440" s="57">
        <f ca="1">AV331-EZ227</f>
        <v>-0.53187700000000004</v>
      </c>
      <c r="AX440" s="57">
        <f ca="1">AW331-FA227</f>
        <v>-0.58708399999999994</v>
      </c>
      <c r="AY440" s="57">
        <f ca="1">AX331-FB227</f>
        <v>0.67041700000000004</v>
      </c>
      <c r="AZ440" s="57">
        <f ca="1">AY331-FC227</f>
        <v>0.221555</v>
      </c>
      <c r="BA440" s="57">
        <f ca="1">AZ331-FD227</f>
        <v>0.30803399999999997</v>
      </c>
      <c r="BB440" s="57">
        <f ca="1">BA331-FE227</f>
        <v>-0.55088300000000001</v>
      </c>
      <c r="BC440" s="57">
        <f ca="1">BB331-FF227</f>
        <v>-0.21393699999999993</v>
      </c>
    </row>
    <row r="441" spans="1:55">
      <c r="A441" s="27">
        <v>91</v>
      </c>
      <c r="B441" s="27" t="str">
        <f t="shared" si="445"/>
        <v>Sim</v>
      </c>
      <c r="C441" s="27">
        <f t="shared" si="446"/>
        <v>42</v>
      </c>
      <c r="D441" s="27">
        <f t="shared" ca="1" si="447"/>
        <v>44</v>
      </c>
      <c r="E441" s="34">
        <v>91</v>
      </c>
      <c r="F441" s="57">
        <f ca="1">E332-DI228</f>
        <v>0</v>
      </c>
      <c r="G441" s="57">
        <f ca="1">F332-DJ228</f>
        <v>0</v>
      </c>
      <c r="H441" s="57">
        <f ca="1">G332-DK228</f>
        <v>0</v>
      </c>
      <c r="I441" s="57">
        <f ca="1">H332-DL228</f>
        <v>0</v>
      </c>
      <c r="J441" s="57">
        <f ca="1">I332-DM228</f>
        <v>0</v>
      </c>
      <c r="K441" s="57">
        <f ca="1">J332-DN228</f>
        <v>0</v>
      </c>
      <c r="L441" s="57">
        <f ca="1">K332-DO228</f>
        <v>0</v>
      </c>
      <c r="M441" s="57">
        <f ca="1">L332-DP228</f>
        <v>0</v>
      </c>
      <c r="N441" s="57">
        <f ca="1">M332-DQ228</f>
        <v>0</v>
      </c>
      <c r="O441" s="57">
        <f ca="1">N332-DR228</f>
        <v>0</v>
      </c>
      <c r="P441" s="57">
        <f ca="1">O332-DS228</f>
        <v>0</v>
      </c>
      <c r="Q441" s="57">
        <f ca="1">P332-DT228</f>
        <v>0</v>
      </c>
      <c r="R441" s="57">
        <f ca="1">Q332-DU228</f>
        <v>0</v>
      </c>
      <c r="S441" s="57">
        <f ca="1">R332-DV228</f>
        <v>0</v>
      </c>
      <c r="T441" s="57">
        <f ca="1">S332-DW228</f>
        <v>0</v>
      </c>
      <c r="U441" s="57">
        <f ca="1">T332-DX228</f>
        <v>0</v>
      </c>
      <c r="V441" s="57">
        <f ca="1">U332-DY228</f>
        <v>0</v>
      </c>
      <c r="W441" s="57">
        <f ca="1">V332-DZ228</f>
        <v>0</v>
      </c>
      <c r="X441" s="57">
        <f ca="1">W332-EA228</f>
        <v>0</v>
      </c>
      <c r="Y441" s="57">
        <f ca="1">X332-EB228</f>
        <v>0</v>
      </c>
      <c r="Z441" s="57">
        <f ca="1">Y332-EC228</f>
        <v>0</v>
      </c>
      <c r="AA441" s="57">
        <f ca="1">Z332-ED228</f>
        <v>0</v>
      </c>
      <c r="AB441" s="57">
        <f ca="1">AA332-EE228</f>
        <v>0</v>
      </c>
      <c r="AC441" s="57">
        <f ca="1">AB332-EF228</f>
        <v>0</v>
      </c>
      <c r="AD441" s="57">
        <f ca="1">AC332-EG228</f>
        <v>0</v>
      </c>
      <c r="AE441" s="57">
        <f ca="1">AD332-EH228</f>
        <v>0</v>
      </c>
      <c r="AF441" s="57">
        <f ca="1">AE332-EI228</f>
        <v>0</v>
      </c>
      <c r="AG441" s="57">
        <f ca="1">AF332-EJ228</f>
        <v>0</v>
      </c>
      <c r="AH441" s="57">
        <f ca="1">AG332-EK228</f>
        <v>0</v>
      </c>
      <c r="AI441" s="57">
        <f ca="1">AH332-EL228</f>
        <v>0</v>
      </c>
      <c r="AJ441" s="57">
        <f ca="1">AI332-EM228</f>
        <v>0</v>
      </c>
      <c r="AK441" s="57">
        <f ca="1">AJ332-EN228</f>
        <v>0</v>
      </c>
      <c r="AL441" s="57">
        <f ca="1">AK332-EO228</f>
        <v>0</v>
      </c>
      <c r="AM441" s="57">
        <f ca="1">AL332-EP228</f>
        <v>0</v>
      </c>
      <c r="AN441" s="57">
        <f ca="1">AM332-EQ228</f>
        <v>0</v>
      </c>
      <c r="AO441" s="57">
        <f ca="1">AN332-ER228</f>
        <v>0</v>
      </c>
      <c r="AP441" s="57">
        <f ca="1">AO332-ES228</f>
        <v>0</v>
      </c>
      <c r="AQ441" s="57">
        <f ca="1">AP332-ET228</f>
        <v>0</v>
      </c>
      <c r="AR441" s="57">
        <f ca="1">AQ332-EU228</f>
        <v>0</v>
      </c>
      <c r="AS441" s="57">
        <f ca="1">AR332-EV228</f>
        <v>0</v>
      </c>
      <c r="AT441" s="57">
        <f ca="1">AS332-EW228</f>
        <v>0</v>
      </c>
      <c r="AU441" s="57">
        <f ca="1">AT332-EX228</f>
        <v>0</v>
      </c>
      <c r="AV441" s="57">
        <f ca="1">AU332-EY228</f>
        <v>5.4136299998397419E-7</v>
      </c>
      <c r="AW441" s="57">
        <f ca="1">AV332-EZ228</f>
        <v>2.7517999948156735E-8</v>
      </c>
      <c r="AX441" s="57">
        <f ca="1">AW332-FA228</f>
        <v>0.359871</v>
      </c>
      <c r="AY441" s="57">
        <f ca="1">AX332-FB228</f>
        <v>-0.11433800000000001</v>
      </c>
      <c r="AZ441" s="57">
        <f ca="1">AY332-FC228</f>
        <v>-0.17778700000000003</v>
      </c>
      <c r="BA441" s="57">
        <f ca="1">AZ332-FD228</f>
        <v>0.39073400000000003</v>
      </c>
      <c r="BB441" s="57">
        <f ca="1">BA332-FE228</f>
        <v>-0.27209100000000003</v>
      </c>
      <c r="BC441" s="57">
        <f ca="1">BB332-FF228</f>
        <v>-0.68052500000000005</v>
      </c>
    </row>
    <row r="442" spans="1:55">
      <c r="A442" s="27">
        <v>92</v>
      </c>
      <c r="B442" s="27" t="str">
        <f t="shared" si="445"/>
        <v>Não</v>
      </c>
      <c r="C442" s="27">
        <f t="shared" si="446"/>
        <v>46</v>
      </c>
      <c r="D442" s="27">
        <f t="shared" ca="1" si="447"/>
        <v>46</v>
      </c>
      <c r="E442" s="34">
        <v>92</v>
      </c>
      <c r="F442" s="57">
        <f ca="1">E333-DI229</f>
        <v>0</v>
      </c>
      <c r="G442" s="57">
        <f ca="1">F333-DJ229</f>
        <v>0</v>
      </c>
      <c r="H442" s="57">
        <f ca="1">G333-DK229</f>
        <v>0</v>
      </c>
      <c r="I442" s="57">
        <f ca="1">H333-DL229</f>
        <v>0</v>
      </c>
      <c r="J442" s="57">
        <f ca="1">I333-DM229</f>
        <v>0</v>
      </c>
      <c r="K442" s="57">
        <f ca="1">J333-DN229</f>
        <v>0</v>
      </c>
      <c r="L442" s="57">
        <f ca="1">K333-DO229</f>
        <v>0</v>
      </c>
      <c r="M442" s="57">
        <f ca="1">L333-DP229</f>
        <v>0</v>
      </c>
      <c r="N442" s="57">
        <f ca="1">M333-DQ229</f>
        <v>0</v>
      </c>
      <c r="O442" s="57">
        <f ca="1">N333-DR229</f>
        <v>0</v>
      </c>
      <c r="P442" s="57">
        <f ca="1">O333-DS229</f>
        <v>0</v>
      </c>
      <c r="Q442" s="57">
        <f ca="1">P333-DT229</f>
        <v>0</v>
      </c>
      <c r="R442" s="57">
        <f ca="1">Q333-DU229</f>
        <v>0</v>
      </c>
      <c r="S442" s="57">
        <f ca="1">R333-DV229</f>
        <v>0</v>
      </c>
      <c r="T442" s="57">
        <f ca="1">S333-DW229</f>
        <v>0</v>
      </c>
      <c r="U442" s="57">
        <f ca="1">T333-DX229</f>
        <v>0</v>
      </c>
      <c r="V442" s="57">
        <f ca="1">U333-DY229</f>
        <v>0</v>
      </c>
      <c r="W442" s="57">
        <f ca="1">V333-DZ229</f>
        <v>0</v>
      </c>
      <c r="X442" s="57">
        <f ca="1">W333-EA229</f>
        <v>0</v>
      </c>
      <c r="Y442" s="57">
        <f ca="1">X333-EB229</f>
        <v>0</v>
      </c>
      <c r="Z442" s="57">
        <f ca="1">Y333-EC229</f>
        <v>0</v>
      </c>
      <c r="AA442" s="57">
        <f ca="1">Z333-ED229</f>
        <v>0</v>
      </c>
      <c r="AB442" s="57">
        <f ca="1">AA333-EE229</f>
        <v>0</v>
      </c>
      <c r="AC442" s="57">
        <f ca="1">AB333-EF229</f>
        <v>0</v>
      </c>
      <c r="AD442" s="57">
        <f ca="1">AC333-EG229</f>
        <v>0</v>
      </c>
      <c r="AE442" s="57">
        <f ca="1">AD333-EH229</f>
        <v>0</v>
      </c>
      <c r="AF442" s="57">
        <f ca="1">AE333-EI229</f>
        <v>0</v>
      </c>
      <c r="AG442" s="57">
        <f ca="1">AF333-EJ229</f>
        <v>0</v>
      </c>
      <c r="AH442" s="57">
        <f ca="1">AG333-EK229</f>
        <v>0</v>
      </c>
      <c r="AI442" s="57">
        <f ca="1">AH333-EL229</f>
        <v>0</v>
      </c>
      <c r="AJ442" s="57">
        <f ca="1">AI333-EM229</f>
        <v>0</v>
      </c>
      <c r="AK442" s="57">
        <f ca="1">AJ333-EN229</f>
        <v>0</v>
      </c>
      <c r="AL442" s="57">
        <f ca="1">AK333-EO229</f>
        <v>0</v>
      </c>
      <c r="AM442" s="57">
        <f ca="1">AL333-EP229</f>
        <v>0</v>
      </c>
      <c r="AN442" s="57">
        <f ca="1">AM333-EQ229</f>
        <v>0</v>
      </c>
      <c r="AO442" s="57">
        <f ca="1">AN333-ER229</f>
        <v>0</v>
      </c>
      <c r="AP442" s="57">
        <f ca="1">AO333-ES229</f>
        <v>0</v>
      </c>
      <c r="AQ442" s="57">
        <f ca="1">AP333-ET229</f>
        <v>0</v>
      </c>
      <c r="AR442" s="57">
        <f ca="1">AQ333-EU229</f>
        <v>0</v>
      </c>
      <c r="AS442" s="57">
        <f ca="1">AR333-EV229</f>
        <v>0</v>
      </c>
      <c r="AT442" s="57">
        <f ca="1">AS333-EW229</f>
        <v>0</v>
      </c>
      <c r="AU442" s="57">
        <f ca="1">AT333-EX229</f>
        <v>0</v>
      </c>
      <c r="AV442" s="57">
        <f ca="1">AU333-EY229</f>
        <v>0</v>
      </c>
      <c r="AW442" s="57">
        <f ca="1">AV333-EZ229</f>
        <v>0</v>
      </c>
      <c r="AX442" s="57">
        <f ca="1">AW333-FA229</f>
        <v>0</v>
      </c>
      <c r="AY442" s="57">
        <f ca="1">AX333-FB229</f>
        <v>0</v>
      </c>
      <c r="AZ442" s="57">
        <f ca="1">AY333-FC229</f>
        <v>0</v>
      </c>
      <c r="BA442" s="57">
        <f ca="1">AZ333-FD229</f>
        <v>0</v>
      </c>
      <c r="BB442" s="57">
        <f ca="1">BA333-FE229</f>
        <v>0</v>
      </c>
      <c r="BC442" s="57">
        <f ca="1">BB333-FF229</f>
        <v>0</v>
      </c>
    </row>
    <row r="443" spans="1:55">
      <c r="A443" s="27">
        <v>93</v>
      </c>
      <c r="B443" s="27" t="str">
        <f t="shared" si="445"/>
        <v>Sim</v>
      </c>
      <c r="C443" s="27">
        <f t="shared" si="446"/>
        <v>31</v>
      </c>
      <c r="D443" s="27">
        <f t="shared" ca="1" si="447"/>
        <v>49</v>
      </c>
      <c r="E443" s="34">
        <v>93</v>
      </c>
      <c r="F443" s="57">
        <f ca="1">E334-DI230</f>
        <v>0</v>
      </c>
      <c r="G443" s="57">
        <f ca="1">F334-DJ230</f>
        <v>0</v>
      </c>
      <c r="H443" s="57">
        <f ca="1">G334-DK230</f>
        <v>0</v>
      </c>
      <c r="I443" s="57">
        <f ca="1">H334-DL230</f>
        <v>0</v>
      </c>
      <c r="J443" s="57">
        <f ca="1">I334-DM230</f>
        <v>0</v>
      </c>
      <c r="K443" s="57">
        <f ca="1">J334-DN230</f>
        <v>0</v>
      </c>
      <c r="L443" s="57">
        <f ca="1">K334-DO230</f>
        <v>0</v>
      </c>
      <c r="M443" s="57">
        <f ca="1">L334-DP230</f>
        <v>0</v>
      </c>
      <c r="N443" s="57">
        <f ca="1">M334-DQ230</f>
        <v>0</v>
      </c>
      <c r="O443" s="57">
        <f ca="1">N334-DR230</f>
        <v>0</v>
      </c>
      <c r="P443" s="57">
        <f ca="1">O334-DS230</f>
        <v>0</v>
      </c>
      <c r="Q443" s="57">
        <f ca="1">P334-DT230</f>
        <v>0</v>
      </c>
      <c r="R443" s="57">
        <f ca="1">Q334-DU230</f>
        <v>0</v>
      </c>
      <c r="S443" s="57">
        <f ca="1">R334-DV230</f>
        <v>0</v>
      </c>
      <c r="T443" s="57">
        <f ca="1">S334-DW230</f>
        <v>0</v>
      </c>
      <c r="U443" s="57">
        <f ca="1">T334-DX230</f>
        <v>0</v>
      </c>
      <c r="V443" s="57">
        <f ca="1">U334-DY230</f>
        <v>0</v>
      </c>
      <c r="W443" s="57">
        <f ca="1">V334-DZ230</f>
        <v>0</v>
      </c>
      <c r="X443" s="57">
        <f ca="1">W334-EA230</f>
        <v>0</v>
      </c>
      <c r="Y443" s="57">
        <f ca="1">X334-EB230</f>
        <v>0</v>
      </c>
      <c r="Z443" s="57">
        <f ca="1">Y334-EC230</f>
        <v>0</v>
      </c>
      <c r="AA443" s="57">
        <f ca="1">Z334-ED230</f>
        <v>0</v>
      </c>
      <c r="AB443" s="57">
        <f ca="1">AA334-EE230</f>
        <v>0</v>
      </c>
      <c r="AC443" s="57">
        <f ca="1">AB334-EF230</f>
        <v>0</v>
      </c>
      <c r="AD443" s="57">
        <f ca="1">AC334-EG230</f>
        <v>0</v>
      </c>
      <c r="AE443" s="57">
        <f ca="1">AD334-EH230</f>
        <v>0</v>
      </c>
      <c r="AF443" s="57">
        <f ca="1">AE334-EI230</f>
        <v>0</v>
      </c>
      <c r="AG443" s="57">
        <f ca="1">AF334-EJ230</f>
        <v>0</v>
      </c>
      <c r="AH443" s="57">
        <f ca="1">AG334-EK230</f>
        <v>0</v>
      </c>
      <c r="AI443" s="57">
        <f ca="1">AH334-EL230</f>
        <v>0</v>
      </c>
      <c r="AJ443" s="57">
        <f ca="1">AI334-EM230</f>
        <v>0</v>
      </c>
      <c r="AK443" s="57">
        <f ca="1">AJ334-EN230</f>
        <v>-5.0959299996433671E-7</v>
      </c>
      <c r="AL443" s="57">
        <f ca="1">AK334-EO230</f>
        <v>-7.9453199985923817E-7</v>
      </c>
      <c r="AM443" s="57">
        <f ca="1">AL334-EP230</f>
        <v>-1.716479999247511E-7</v>
      </c>
      <c r="AN443" s="57">
        <f ca="1">AM334-EQ230</f>
        <v>7.5352000000750152E-8</v>
      </c>
      <c r="AO443" s="57">
        <f ca="1">AN334-ER230</f>
        <v>-1.9902999998100412E-8</v>
      </c>
      <c r="AP443" s="57">
        <f ca="1">AO334-ES230</f>
        <v>1.3788000001457856E-7</v>
      </c>
      <c r="AQ443" s="57">
        <f ca="1">AP334-ET230</f>
        <v>-1.3942899995678104E-7</v>
      </c>
      <c r="AR443" s="57">
        <f ca="1">AQ334-EU230</f>
        <v>-3.9067200000020286E-7</v>
      </c>
      <c r="AS443" s="57">
        <f ca="1">AR334-EV230</f>
        <v>3.6834400002350165E-7</v>
      </c>
      <c r="AT443" s="57">
        <f ca="1">AS334-EW230</f>
        <v>8.1905999982367916E-8</v>
      </c>
      <c r="AU443" s="57">
        <f ca="1">AT334-EX230</f>
        <v>-4.8435399990776062E-7</v>
      </c>
      <c r="AV443" s="57">
        <f ca="1">AU334-EY230</f>
        <v>5.6865399999939115E-7</v>
      </c>
      <c r="AW443" s="57">
        <f ca="1">AV334-EZ230</f>
        <v>5.7013300003294631E-7</v>
      </c>
      <c r="AX443" s="57">
        <f ca="1">AW334-FA230</f>
        <v>-1.2516899999814868E-7</v>
      </c>
      <c r="AY443" s="57">
        <f ca="1">AX334-FB230</f>
        <v>-1.9373899998176292E-7</v>
      </c>
      <c r="AZ443" s="57">
        <f ca="1">AY334-FC230</f>
        <v>-3.8315099998298408E-7</v>
      </c>
      <c r="BA443" s="57">
        <f ca="1">AZ334-FD230</f>
        <v>-1.278699995888033E-8</v>
      </c>
      <c r="BB443" s="57">
        <f ca="1">BA334-FE230</f>
        <v>-4.326339999999318E-7</v>
      </c>
      <c r="BC443" s="57">
        <f ca="1">BB334-FF230</f>
        <v>3.1302999999999859E-2</v>
      </c>
    </row>
    <row r="444" spans="1:55">
      <c r="A444" s="27">
        <v>94</v>
      </c>
      <c r="B444" s="27" t="str">
        <f t="shared" si="445"/>
        <v>Não</v>
      </c>
      <c r="C444" s="27">
        <f t="shared" si="446"/>
        <v>39</v>
      </c>
      <c r="D444" s="27">
        <f t="shared" ca="1" si="447"/>
        <v>47</v>
      </c>
      <c r="E444" s="34">
        <v>94</v>
      </c>
      <c r="F444" s="57">
        <f ca="1">E335-DI231</f>
        <v>0</v>
      </c>
      <c r="G444" s="57">
        <f ca="1">F335-DJ231</f>
        <v>0</v>
      </c>
      <c r="H444" s="57">
        <f ca="1">G335-DK231</f>
        <v>0</v>
      </c>
      <c r="I444" s="57">
        <f ca="1">H335-DL231</f>
        <v>0</v>
      </c>
      <c r="J444" s="57">
        <f ca="1">I335-DM231</f>
        <v>0</v>
      </c>
      <c r="K444" s="57">
        <f ca="1">J335-DN231</f>
        <v>0</v>
      </c>
      <c r="L444" s="57">
        <f ca="1">K335-DO231</f>
        <v>0</v>
      </c>
      <c r="M444" s="57">
        <f ca="1">L335-DP231</f>
        <v>0</v>
      </c>
      <c r="N444" s="57">
        <f ca="1">M335-DQ231</f>
        <v>0</v>
      </c>
      <c r="O444" s="57">
        <f ca="1">N335-DR231</f>
        <v>0</v>
      </c>
      <c r="P444" s="57">
        <f ca="1">O335-DS231</f>
        <v>0</v>
      </c>
      <c r="Q444" s="57">
        <f ca="1">P335-DT231</f>
        <v>0</v>
      </c>
      <c r="R444" s="57">
        <f ca="1">Q335-DU231</f>
        <v>0</v>
      </c>
      <c r="S444" s="57">
        <f ca="1">R335-DV231</f>
        <v>0</v>
      </c>
      <c r="T444" s="57">
        <f ca="1">S335-DW231</f>
        <v>0</v>
      </c>
      <c r="U444" s="57">
        <f ca="1">T335-DX231</f>
        <v>0</v>
      </c>
      <c r="V444" s="57">
        <f ca="1">U335-DY231</f>
        <v>0</v>
      </c>
      <c r="W444" s="57">
        <f ca="1">V335-DZ231</f>
        <v>0</v>
      </c>
      <c r="X444" s="57">
        <f ca="1">W335-EA231</f>
        <v>0</v>
      </c>
      <c r="Y444" s="57">
        <f ca="1">X335-EB231</f>
        <v>0</v>
      </c>
      <c r="Z444" s="57">
        <f ca="1">Y335-EC231</f>
        <v>0</v>
      </c>
      <c r="AA444" s="57">
        <f ca="1">Z335-ED231</f>
        <v>0</v>
      </c>
      <c r="AB444" s="57">
        <f ca="1">AA335-EE231</f>
        <v>0</v>
      </c>
      <c r="AC444" s="57">
        <f ca="1">AB335-EF231</f>
        <v>0</v>
      </c>
      <c r="AD444" s="57">
        <f ca="1">AC335-EG231</f>
        <v>0</v>
      </c>
      <c r="AE444" s="57">
        <f ca="1">AD335-EH231</f>
        <v>0</v>
      </c>
      <c r="AF444" s="57">
        <f ca="1">AE335-EI231</f>
        <v>0</v>
      </c>
      <c r="AG444" s="57">
        <f ca="1">AF335-EJ231</f>
        <v>0</v>
      </c>
      <c r="AH444" s="57">
        <f ca="1">AG335-EK231</f>
        <v>0</v>
      </c>
      <c r="AI444" s="57">
        <f ca="1">AH335-EL231</f>
        <v>0</v>
      </c>
      <c r="AJ444" s="57">
        <f ca="1">AI335-EM231</f>
        <v>0</v>
      </c>
      <c r="AK444" s="57">
        <f ca="1">AJ335-EN231</f>
        <v>0</v>
      </c>
      <c r="AL444" s="57">
        <f ca="1">AK335-EO231</f>
        <v>0</v>
      </c>
      <c r="AM444" s="57">
        <f ca="1">AL335-EP231</f>
        <v>0</v>
      </c>
      <c r="AN444" s="57">
        <f ca="1">AM335-EQ231</f>
        <v>0</v>
      </c>
      <c r="AO444" s="57">
        <f ca="1">AN335-ER231</f>
        <v>0</v>
      </c>
      <c r="AP444" s="57">
        <f ca="1">AO335-ES231</f>
        <v>0</v>
      </c>
      <c r="AQ444" s="57">
        <f ca="1">AP335-ET231</f>
        <v>0</v>
      </c>
      <c r="AR444" s="57">
        <f ca="1">AQ335-EU231</f>
        <v>0</v>
      </c>
      <c r="AS444" s="57">
        <f ca="1">AR335-EV231</f>
        <v>0</v>
      </c>
      <c r="AT444" s="57">
        <f ca="1">AS335-EW231</f>
        <v>0</v>
      </c>
      <c r="AU444" s="57">
        <f ca="1">AT335-EX231</f>
        <v>0</v>
      </c>
      <c r="AV444" s="57">
        <f ca="1">AU335-EY231</f>
        <v>0</v>
      </c>
      <c r="AW444" s="57">
        <f ca="1">AV335-EZ231</f>
        <v>0</v>
      </c>
      <c r="AX444" s="57">
        <f ca="1">AW335-FA231</f>
        <v>0</v>
      </c>
      <c r="AY444" s="57">
        <f ca="1">AX335-FB231</f>
        <v>0</v>
      </c>
      <c r="AZ444" s="57">
        <f ca="1">AY335-FC231</f>
        <v>0</v>
      </c>
      <c r="BA444" s="57">
        <f ca="1">AZ335-FD231</f>
        <v>0</v>
      </c>
      <c r="BB444" s="57">
        <f ca="1">BA335-FE231</f>
        <v>0</v>
      </c>
      <c r="BC444" s="57">
        <f ca="1">BB335-FF231</f>
        <v>0</v>
      </c>
    </row>
    <row r="445" spans="1:55">
      <c r="A445" s="27">
        <v>95</v>
      </c>
      <c r="B445" s="27" t="str">
        <f t="shared" si="445"/>
        <v>Sim</v>
      </c>
      <c r="C445" s="27">
        <f t="shared" si="446"/>
        <v>5</v>
      </c>
      <c r="D445" s="27">
        <f t="shared" ca="1" si="447"/>
        <v>41</v>
      </c>
      <c r="E445" s="34">
        <v>95</v>
      </c>
      <c r="F445" s="57">
        <f ca="1">E336-DI232</f>
        <v>0</v>
      </c>
      <c r="G445" s="57">
        <f ca="1">F336-DJ232</f>
        <v>0</v>
      </c>
      <c r="H445" s="57">
        <f ca="1">G336-DK232</f>
        <v>0</v>
      </c>
      <c r="I445" s="57">
        <f ca="1">H336-DL232</f>
        <v>0</v>
      </c>
      <c r="J445" s="57">
        <f ca="1">I336-DM232</f>
        <v>0</v>
      </c>
      <c r="K445" s="57">
        <f ca="1">J336-DN232</f>
        <v>1.2757599998636238E-7</v>
      </c>
      <c r="L445" s="57">
        <f ca="1">K336-DO232</f>
        <v>5.2806899986101996E-7</v>
      </c>
      <c r="M445" s="57">
        <f ca="1">L336-DP232</f>
        <v>-1.8052199998730423E-7</v>
      </c>
      <c r="N445" s="57">
        <f ca="1">M336-DQ232</f>
        <v>-4.0524699995714286E-7</v>
      </c>
      <c r="O445" s="57">
        <f ca="1">N336-DR232</f>
        <v>-1.3215800004351408E-7</v>
      </c>
      <c r="P445" s="57">
        <f ca="1">O336-DS232</f>
        <v>-1.5651100004898666E-7</v>
      </c>
      <c r="Q445" s="57">
        <f ca="1">P336-DT232</f>
        <v>1.5746000003868943E-8</v>
      </c>
      <c r="R445" s="57">
        <f ca="1">Q336-DU232</f>
        <v>7.8924999868945633E-8</v>
      </c>
      <c r="S445" s="57">
        <f ca="1">R336-DV232</f>
        <v>4.770810000387371E-7</v>
      </c>
      <c r="T445" s="57">
        <f ca="1">S336-DW232</f>
        <v>-1.7899999982251558E-8</v>
      </c>
      <c r="U445" s="57">
        <f ca="1">T336-DX232</f>
        <v>-2.0923100008118922E-7</v>
      </c>
      <c r="V445" s="57">
        <f ca="1">U336-DY232</f>
        <v>-2.3247199998355228E-7</v>
      </c>
      <c r="W445" s="57">
        <f ca="1">V336-DZ232</f>
        <v>-3.642179999818751E-7</v>
      </c>
      <c r="X445" s="57">
        <f ca="1">W336-EA232</f>
        <v>9.1576999983189467E-8</v>
      </c>
      <c r="Y445" s="57">
        <f ca="1">X336-EB232</f>
        <v>-6.2102700001953615E-7</v>
      </c>
      <c r="Z445" s="57">
        <f ca="1">Y336-EC232</f>
        <v>-7.4809999306424402E-9</v>
      </c>
      <c r="AA445" s="57">
        <f ca="1">Z336-ED232</f>
        <v>-5.6301299999894638E-7</v>
      </c>
      <c r="AB445" s="57">
        <f ca="1">AA336-EE232</f>
        <v>-3.2696299995249589E-7</v>
      </c>
      <c r="AC445" s="57">
        <f ca="1">AB336-EF232</f>
        <v>1.3401499998622057E-7</v>
      </c>
      <c r="AD445" s="57">
        <f ca="1">AC336-EG232</f>
        <v>3.875339999875882E-7</v>
      </c>
      <c r="AE445" s="57">
        <f ca="1">AD336-EH232</f>
        <v>-1.2317299999398124E-7</v>
      </c>
      <c r="AF445" s="57">
        <f ca="1">AE336-EI232</f>
        <v>2.736179999796029E-7</v>
      </c>
      <c r="AG445" s="57">
        <f ca="1">AF336-EJ232</f>
        <v>-6.1924400007740132E-7</v>
      </c>
      <c r="AH445" s="57">
        <f ca="1">AG336-EK232</f>
        <v>9.2417000052691378E-8</v>
      </c>
      <c r="AI445" s="57">
        <f ca="1">AH336-EL232</f>
        <v>-4.5397599995888882E-7</v>
      </c>
      <c r="AJ445" s="57">
        <f ca="1">AI336-EM232</f>
        <v>2.9905199999680221E-7</v>
      </c>
      <c r="AK445" s="57">
        <f ca="1">AJ336-EN232</f>
        <v>3.4629799994245758E-7</v>
      </c>
      <c r="AL445" s="57">
        <f ca="1">AK336-EO232</f>
        <v>-2.2056099996392575E-7</v>
      </c>
      <c r="AM445" s="57">
        <f ca="1">AL336-EP232</f>
        <v>1.0325499999463972E-7</v>
      </c>
      <c r="AN445" s="57">
        <f ca="1">AM336-EQ232</f>
        <v>1.4169299999977625E-7</v>
      </c>
      <c r="AO445" s="57">
        <f ca="1">AN336-ER232</f>
        <v>7.1492000010969781E-8</v>
      </c>
      <c r="AP445" s="57">
        <f ca="1">AO336-ES232</f>
        <v>2.5267200000345102E-7</v>
      </c>
      <c r="AQ445" s="57">
        <f ca="1">AP336-ET232</f>
        <v>-4.7307800005169653E-7</v>
      </c>
      <c r="AR445" s="57">
        <f ca="1">AQ336-EU232</f>
        <v>1.6766099999315776E-7</v>
      </c>
      <c r="AS445" s="57">
        <f ca="1">AR336-EV232</f>
        <v>4.6551800003680199E-7</v>
      </c>
      <c r="AT445" s="57">
        <f ca="1">AS336-EW232</f>
        <v>-5.0689500002976118E-7</v>
      </c>
      <c r="AU445" s="57">
        <f ca="1">AT336-EX232</f>
        <v>-0.76095399999999991</v>
      </c>
      <c r="AV445" s="57">
        <f ca="1">AU336-EY232</f>
        <v>-0.47837599999999997</v>
      </c>
      <c r="AW445" s="57">
        <f ca="1">AV336-EZ232</f>
        <v>0.289466</v>
      </c>
      <c r="AX445" s="57">
        <f ca="1">AW336-FA232</f>
        <v>0.43276499999999996</v>
      </c>
      <c r="AY445" s="57">
        <f ca="1">AX336-FB232</f>
        <v>-0.39634400000000003</v>
      </c>
      <c r="AZ445" s="57">
        <f ca="1">AY336-FC232</f>
        <v>0.59972600000000009</v>
      </c>
      <c r="BA445" s="57">
        <f ca="1">AZ336-FD232</f>
        <v>-0.75358600000000009</v>
      </c>
      <c r="BB445" s="57">
        <f ca="1">BA336-FE232</f>
        <v>-1.5012300000000001</v>
      </c>
      <c r="BC445" s="57">
        <f ca="1">BB336-FF232</f>
        <v>-1.2846220000000002</v>
      </c>
    </row>
    <row r="446" spans="1:55">
      <c r="A446" s="27">
        <v>96</v>
      </c>
      <c r="B446" s="27" t="str">
        <f t="shared" ref="B446:B449" si="448">H233</f>
        <v>Sim</v>
      </c>
      <c r="C446" s="27">
        <f t="shared" si="446"/>
        <v>21</v>
      </c>
      <c r="D446" s="27">
        <f t="shared" ca="1" si="447"/>
        <v>22</v>
      </c>
      <c r="E446" s="34">
        <v>96</v>
      </c>
      <c r="F446" s="57">
        <f ca="1">E337-DI233</f>
        <v>0</v>
      </c>
      <c r="G446" s="57">
        <f ca="1">F337-DJ233</f>
        <v>0</v>
      </c>
      <c r="H446" s="57">
        <f ca="1">G337-DK233</f>
        <v>0</v>
      </c>
      <c r="I446" s="57">
        <f ca="1">H337-DL233</f>
        <v>0</v>
      </c>
      <c r="J446" s="57">
        <f ca="1">I337-DM233</f>
        <v>0</v>
      </c>
      <c r="K446" s="57">
        <f ca="1">J337-DN233</f>
        <v>0</v>
      </c>
      <c r="L446" s="57">
        <f ca="1">K337-DO233</f>
        <v>0</v>
      </c>
      <c r="M446" s="57">
        <f ca="1">L337-DP233</f>
        <v>0</v>
      </c>
      <c r="N446" s="57">
        <f ca="1">M337-DQ233</f>
        <v>0</v>
      </c>
      <c r="O446" s="57">
        <f ca="1">N337-DR233</f>
        <v>0</v>
      </c>
      <c r="P446" s="57">
        <f ca="1">O337-DS233</f>
        <v>0</v>
      </c>
      <c r="Q446" s="57">
        <f ca="1">P337-DT233</f>
        <v>0</v>
      </c>
      <c r="R446" s="57">
        <f ca="1">Q337-DU233</f>
        <v>0</v>
      </c>
      <c r="S446" s="57">
        <f ca="1">R337-DV233</f>
        <v>0</v>
      </c>
      <c r="T446" s="57">
        <f ca="1">S337-DW233</f>
        <v>0</v>
      </c>
      <c r="U446" s="57">
        <f ca="1">T337-DX233</f>
        <v>0</v>
      </c>
      <c r="V446" s="57">
        <f ca="1">U337-DY233</f>
        <v>0</v>
      </c>
      <c r="W446" s="57">
        <f ca="1">V337-DZ233</f>
        <v>0</v>
      </c>
      <c r="X446" s="57">
        <f ca="1">W337-EA233</f>
        <v>0</v>
      </c>
      <c r="Y446" s="57">
        <f ca="1">X337-EB233</f>
        <v>0</v>
      </c>
      <c r="Z446" s="57">
        <f ca="1">Y337-EC233</f>
        <v>0</v>
      </c>
      <c r="AA446" s="57">
        <f ca="1">Z337-ED233</f>
        <v>-9.0646000006078253E-7</v>
      </c>
      <c r="AB446" s="57">
        <f ca="1">AA337-EE233</f>
        <v>-2.9379999999999962E-3</v>
      </c>
      <c r="AC446" s="57">
        <f ca="1">AB337-EF233</f>
        <v>-3.6500000000000421E-4</v>
      </c>
      <c r="AD446" s="57">
        <f ca="1">AC337-EG233</f>
        <v>-3.0470000000000219E-3</v>
      </c>
      <c r="AE446" s="57">
        <f ca="1">AD337-EH233</f>
        <v>-1.4620000000000188E-3</v>
      </c>
      <c r="AF446" s="57">
        <f ca="1">AE337-EI233</f>
        <v>-5.0600000000000644E-4</v>
      </c>
      <c r="AG446" s="57">
        <f ca="1">AF337-EJ233</f>
        <v>7.8299999999997816E-4</v>
      </c>
      <c r="AH446" s="57">
        <f ca="1">AG337-EK233</f>
        <v>-2.8049999999999464E-3</v>
      </c>
      <c r="AI446" s="57">
        <f ca="1">AH337-EL233</f>
        <v>1.6380000000000283E-3</v>
      </c>
      <c r="AJ446" s="57">
        <f ca="1">AI337-EM233</f>
        <v>2.1300000000001873E-4</v>
      </c>
      <c r="AK446" s="57">
        <f ca="1">AJ337-EN233</f>
        <v>1.6159999999999508E-3</v>
      </c>
      <c r="AL446" s="57">
        <f ca="1">AK337-EO233</f>
        <v>-3.3159999999999856E-3</v>
      </c>
      <c r="AM446" s="57">
        <f ca="1">AL337-EP233</f>
        <v>1.3360000000000039E-3</v>
      </c>
      <c r="AN446" s="57">
        <f ca="1">AM337-EQ233</f>
        <v>-2.0359999999999823E-3</v>
      </c>
      <c r="AO446" s="57">
        <f ca="1">AN337-ER233</f>
        <v>7.1500000000002117E-4</v>
      </c>
      <c r="AP446" s="57">
        <f ca="1">AO337-ES233</f>
        <v>5.050000000000332E-4</v>
      </c>
      <c r="AQ446" s="57">
        <f ca="1">AP337-ET233</f>
        <v>2.8399999999999259E-4</v>
      </c>
      <c r="AR446" s="57">
        <f ca="1">AQ337-EU233</f>
        <v>1.9480000000000053E-3</v>
      </c>
      <c r="AS446" s="57">
        <f ca="1">AR337-EV233</f>
        <v>8.0899999999994865E-4</v>
      </c>
      <c r="AT446" s="57">
        <f ca="1">AS337-EW233</f>
        <v>-2.7169999999999694E-3</v>
      </c>
      <c r="AU446" s="57">
        <f ca="1">AT337-EX233</f>
        <v>-4.290000000000127E-4</v>
      </c>
      <c r="AV446" s="57">
        <f ca="1">AU337-EY233</f>
        <v>3.9600000000000746E-4</v>
      </c>
      <c r="AW446" s="57">
        <f ca="1">AV337-EZ233</f>
        <v>1.8299999999998873E-4</v>
      </c>
      <c r="AX446" s="57">
        <f ca="1">AW337-FA233</f>
        <v>1.5100000000000113E-3</v>
      </c>
      <c r="AY446" s="57">
        <f ca="1">AX337-FB233</f>
        <v>8.4300000000003816E-4</v>
      </c>
      <c r="AZ446" s="57">
        <f ca="1">AY337-FC233</f>
        <v>1.8929999999999225E-3</v>
      </c>
      <c r="BA446" s="57">
        <f ca="1">AZ337-FD233</f>
        <v>9.9999999999988987E-5</v>
      </c>
      <c r="BB446" s="57">
        <f ca="1">BA337-FE233</f>
        <v>-3.0109999999998749E-3</v>
      </c>
      <c r="BC446" s="57">
        <f ca="1">BB337-FF233</f>
        <v>1.6099999999999448E-4</v>
      </c>
    </row>
    <row r="447" spans="1:55">
      <c r="A447" s="27">
        <v>97</v>
      </c>
      <c r="B447" s="27" t="str">
        <f t="shared" si="448"/>
        <v>Sim</v>
      </c>
      <c r="C447" s="27">
        <f t="shared" si="446"/>
        <v>6</v>
      </c>
      <c r="D447" s="27">
        <f t="shared" ca="1" si="447"/>
        <v>42</v>
      </c>
      <c r="E447" s="34">
        <v>97</v>
      </c>
      <c r="F447" s="57">
        <f ca="1">E338-DI234</f>
        <v>0</v>
      </c>
      <c r="G447" s="57">
        <f ca="1">F338-DJ234</f>
        <v>0</v>
      </c>
      <c r="H447" s="57">
        <f ca="1">G338-DK234</f>
        <v>0</v>
      </c>
      <c r="I447" s="57">
        <f ca="1">H338-DL234</f>
        <v>0</v>
      </c>
      <c r="J447" s="57">
        <f ca="1">I338-DM234</f>
        <v>0</v>
      </c>
      <c r="K447" s="57">
        <f ca="1">J338-DN234</f>
        <v>0</v>
      </c>
      <c r="L447" s="57">
        <f ca="1">K338-DO234</f>
        <v>-1.1891199996894031E-7</v>
      </c>
      <c r="M447" s="57">
        <f ca="1">L338-DP234</f>
        <v>-1.9208400001136106E-7</v>
      </c>
      <c r="N447" s="57">
        <f ca="1">M338-DQ234</f>
        <v>-2.3565200013564436E-7</v>
      </c>
      <c r="O447" s="57">
        <f ca="1">N338-DR234</f>
        <v>3.7983200004698681E-7</v>
      </c>
      <c r="P447" s="57">
        <f ca="1">O338-DS234</f>
        <v>8.2943999998863482E-7</v>
      </c>
      <c r="Q447" s="57">
        <f ca="1">P338-DT234</f>
        <v>7.3576000070296743E-8</v>
      </c>
      <c r="R447" s="57">
        <f ca="1">Q338-DU234</f>
        <v>-2.1024399998736953E-7</v>
      </c>
      <c r="S447" s="57">
        <f ca="1">R338-DV234</f>
        <v>2.9013599994742734E-7</v>
      </c>
      <c r="T447" s="57">
        <f ca="1">S338-DW234</f>
        <v>-4.654999999874343E-7</v>
      </c>
      <c r="U447" s="57">
        <f ca="1">T338-DX234</f>
        <v>-3.5123200003983612E-7</v>
      </c>
      <c r="V447" s="57">
        <f ca="1">U338-DY234</f>
        <v>1.3527600006835172E-7</v>
      </c>
      <c r="W447" s="57">
        <f ca="1">V338-DZ234</f>
        <v>6.5091199996647475E-7</v>
      </c>
      <c r="X447" s="57">
        <f ca="1">W338-EA234</f>
        <v>4.3372400004848544E-7</v>
      </c>
      <c r="Y447" s="57">
        <f ca="1">X338-EB234</f>
        <v>2.2301600000051991E-7</v>
      </c>
      <c r="Z447" s="57">
        <f ca="1">Y338-EC234</f>
        <v>-7.2764000047520483E-8</v>
      </c>
      <c r="AA447" s="57">
        <f ca="1">Z338-ED234</f>
        <v>4.872920000287273E-7</v>
      </c>
      <c r="AB447" s="57">
        <f ca="1">AA338-EE234</f>
        <v>3.7383999995643791E-7</v>
      </c>
      <c r="AC447" s="57">
        <f ca="1">AB338-EF234</f>
        <v>3.3397600002205152E-7</v>
      </c>
      <c r="AD447" s="57">
        <f ca="1">AC338-EG234</f>
        <v>4.0032000048206839E-8</v>
      </c>
      <c r="AE447" s="57">
        <f ca="1">AD338-EH234</f>
        <v>1.2053600002837062E-7</v>
      </c>
      <c r="AF447" s="57">
        <f ca="1">AE338-EI234</f>
        <v>-1.8264400003520365E-7</v>
      </c>
      <c r="AG447" s="57">
        <f ca="1">AF338-EJ234</f>
        <v>-5.4092400000871343E-7</v>
      </c>
      <c r="AH447" s="57">
        <f ca="1">AG338-EK234</f>
        <v>-4.6843999956802662E-8</v>
      </c>
      <c r="AI447" s="57">
        <f ca="1">AH338-EL234</f>
        <v>3.5316400001650372E-7</v>
      </c>
      <c r="AJ447" s="57">
        <f ca="1">AI338-EM234</f>
        <v>-3.252640001782936E-7</v>
      </c>
      <c r="AK447" s="57">
        <f ca="1">AJ338-EN234</f>
        <v>-1.3515999985891369E-8</v>
      </c>
      <c r="AL447" s="57">
        <f ca="1">AK338-EO234</f>
        <v>-4.6947999998714351E-7</v>
      </c>
      <c r="AM447" s="57">
        <f ca="1">AL338-EP234</f>
        <v>6.5678000005231496E-7</v>
      </c>
      <c r="AN447" s="57">
        <f ca="1">AM338-EQ234</f>
        <v>1.9251999999747582E-7</v>
      </c>
      <c r="AO447" s="57">
        <f ca="1">AN338-ER234</f>
        <v>-5.6956000027419407E-8</v>
      </c>
      <c r="AP447" s="57">
        <f ca="1">AO338-ES234</f>
        <v>-2.0020000000842142E-7</v>
      </c>
      <c r="AQ447" s="57">
        <f ca="1">AP338-ET234</f>
        <v>1.5905199998028641E-7</v>
      </c>
      <c r="AR447" s="57">
        <f ca="1">AQ338-EU234</f>
        <v>-7.5364799989596776E-7</v>
      </c>
      <c r="AS447" s="57">
        <f ca="1">AR338-EV234</f>
        <v>-2.4940000009632257E-8</v>
      </c>
      <c r="AT447" s="57">
        <f ca="1">AS338-EW234</f>
        <v>-4.51048000005283E-7</v>
      </c>
      <c r="AU447" s="57">
        <f ca="1">AT338-EX234</f>
        <v>4.7776799999565966E-7</v>
      </c>
      <c r="AV447" s="57">
        <f ca="1">AU338-EY234</f>
        <v>7.8767999999999949E-2</v>
      </c>
      <c r="AW447" s="57">
        <f ca="1">AV338-EZ234</f>
        <v>5.9969999999999968E-2</v>
      </c>
      <c r="AX447" s="57">
        <f ca="1">AW338-FA234</f>
        <v>-0.30255100000000001</v>
      </c>
      <c r="AY447" s="57">
        <f ca="1">AX338-FB234</f>
        <v>0.18437700000000001</v>
      </c>
      <c r="AZ447" s="57">
        <f ca="1">AY338-FC234</f>
        <v>0.32529700000000006</v>
      </c>
      <c r="BA447" s="57">
        <f ca="1">AZ338-FD234</f>
        <v>-0.15687700000000004</v>
      </c>
      <c r="BB447" s="57">
        <f ca="1">BA338-FE234</f>
        <v>0.40723700000000007</v>
      </c>
      <c r="BC447" s="57">
        <f ca="1">BB338-FF234</f>
        <v>-2.0591000000000026E-2</v>
      </c>
    </row>
    <row r="448" spans="1:55">
      <c r="A448" s="27">
        <v>98</v>
      </c>
      <c r="B448" s="27" t="str">
        <f t="shared" si="448"/>
        <v>Sim</v>
      </c>
      <c r="C448" s="27">
        <f t="shared" si="446"/>
        <v>1</v>
      </c>
      <c r="D448" s="27">
        <f t="shared" ca="1" si="447"/>
        <v>4</v>
      </c>
      <c r="E448" s="34">
        <v>98</v>
      </c>
      <c r="F448" s="57">
        <f ca="1">E339-DI235</f>
        <v>0</v>
      </c>
      <c r="G448" s="57">
        <f ca="1">F339-DJ235</f>
        <v>1.2553400008386006E-7</v>
      </c>
      <c r="H448" s="57">
        <f ca="1">G339-DK235</f>
        <v>-5.6887399999916259E-7</v>
      </c>
      <c r="I448" s="57">
        <f ca="1">H339-DL235</f>
        <v>1.8333000006975908E-7</v>
      </c>
      <c r="J448" s="57">
        <f ca="1">I339-DM235</f>
        <v>2.3598000000000008E-2</v>
      </c>
      <c r="K448" s="57">
        <f ca="1">J339-DN235</f>
        <v>1.4904000000000028E-2</v>
      </c>
      <c r="L448" s="57">
        <f ca="1">K339-DO235</f>
        <v>-6.9400000000000572E-3</v>
      </c>
      <c r="M448" s="57">
        <f ca="1">L339-DP235</f>
        <v>-1.1670999999999987E-2</v>
      </c>
      <c r="N448" s="57">
        <f ca="1">M339-DQ235</f>
        <v>-1.5508999999999995E-2</v>
      </c>
      <c r="O448" s="57">
        <f ca="1">N339-DR235</f>
        <v>1.906999999999992E-3</v>
      </c>
      <c r="P448" s="57">
        <f ca="1">O339-DS235</f>
        <v>3.2714000000000021E-2</v>
      </c>
      <c r="Q448" s="57">
        <f ca="1">P339-DT235</f>
        <v>-1.0589999999999211E-3</v>
      </c>
      <c r="R448" s="57">
        <f ca="1">Q339-DU235</f>
        <v>-3.4069999999999934E-2</v>
      </c>
      <c r="S448" s="57">
        <f ca="1">R339-DV235</f>
        <v>7.2447999999999846E-2</v>
      </c>
      <c r="T448" s="57">
        <f ca="1">S339-DW235</f>
        <v>-5.7670000000000004E-3</v>
      </c>
      <c r="U448" s="57">
        <f ca="1">T339-DX235</f>
        <v>4.8510000000000011E-3</v>
      </c>
      <c r="V448" s="57">
        <f ca="1">U339-DY235</f>
        <v>1.2718000000000007E-2</v>
      </c>
      <c r="W448" s="57">
        <f ca="1">V339-DZ235</f>
        <v>-3.6185000000000023E-2</v>
      </c>
      <c r="X448" s="57">
        <f ca="1">W339-EA235</f>
        <v>-3.6436000000000024E-2</v>
      </c>
      <c r="Y448" s="57">
        <f ca="1">X339-EB235</f>
        <v>6.7852999999999941E-2</v>
      </c>
      <c r="Z448" s="57">
        <f ca="1">Y339-EC235</f>
        <v>-1.611499999999999E-2</v>
      </c>
      <c r="AA448" s="57">
        <f ca="1">Z339-ED235</f>
        <v>-4.5563999999999938E-2</v>
      </c>
      <c r="AB448" s="57">
        <f ca="1">AA339-EE235</f>
        <v>-2.9469999999999996E-2</v>
      </c>
      <c r="AC448" s="57">
        <f ca="1">AB339-EF235</f>
        <v>1.1369999999999991E-2</v>
      </c>
      <c r="AD448" s="57">
        <f ca="1">AC339-EG235</f>
        <v>-3.6150000000000349E-3</v>
      </c>
      <c r="AE448" s="57">
        <f ca="1">AD339-EH235</f>
        <v>6.724999999999981E-3</v>
      </c>
      <c r="AF448" s="57">
        <f ca="1">AE339-EI235</f>
        <v>-1.410100000000003E-2</v>
      </c>
      <c r="AG448" s="57">
        <f ca="1">AF339-EJ235</f>
        <v>1.352399999999998E-2</v>
      </c>
      <c r="AH448" s="57">
        <f ca="1">AG339-EK235</f>
        <v>2.6556000000000024E-2</v>
      </c>
      <c r="AI448" s="57">
        <f ca="1">AH339-EL235</f>
        <v>3.5468000000000055E-2</v>
      </c>
      <c r="AJ448" s="57">
        <f ca="1">AI339-EM235</f>
        <v>9.3190000000000217E-3</v>
      </c>
      <c r="AK448" s="57">
        <f ca="1">AJ339-EN235</f>
        <v>1.8529000000000018E-2</v>
      </c>
      <c r="AL448" s="57">
        <f ca="1">AK339-EO235</f>
        <v>8.0769999999999731E-3</v>
      </c>
      <c r="AM448" s="57">
        <f ca="1">AL339-EP235</f>
        <v>4.2453999999999992E-2</v>
      </c>
      <c r="AN448" s="57">
        <f ca="1">AM339-EQ235</f>
        <v>8.804000000000034E-3</v>
      </c>
      <c r="AO448" s="57">
        <f ca="1">AN339-ER235</f>
        <v>2.3599000000000002E-2</v>
      </c>
      <c r="AP448" s="57">
        <f ca="1">AO339-ES235</f>
        <v>2.0632000000000011E-2</v>
      </c>
      <c r="AQ448" s="57">
        <f ca="1">AP339-ET235</f>
        <v>-7.9879999999999951E-3</v>
      </c>
      <c r="AR448" s="57">
        <f ca="1">AQ339-EU235</f>
        <v>-2.6231000000000004E-2</v>
      </c>
      <c r="AS448" s="57">
        <f ca="1">AR339-EV235</f>
        <v>7.1920000000000039E-3</v>
      </c>
      <c r="AT448" s="57">
        <f ca="1">AS339-EW235</f>
        <v>-1.0550000000000004E-2</v>
      </c>
      <c r="AU448" s="57">
        <f ca="1">AT339-EX235</f>
        <v>2.0446999999999993E-2</v>
      </c>
      <c r="AV448" s="57">
        <f ca="1">AU339-EY235</f>
        <v>-5.6459999999999289E-3</v>
      </c>
      <c r="AW448" s="57">
        <f ca="1">AV339-EZ235</f>
        <v>-5.6759999999999033E-3</v>
      </c>
      <c r="AX448" s="57">
        <f ca="1">AW339-FA235</f>
        <v>3.1951000000000007E-2</v>
      </c>
      <c r="AY448" s="57">
        <f ca="1">AX339-FB235</f>
        <v>-2.3939999999999999E-2</v>
      </c>
      <c r="AZ448" s="57">
        <f ca="1">AY339-FC235</f>
        <v>-2.4193999999999827E-2</v>
      </c>
      <c r="BA448" s="57">
        <f ca="1">AZ339-FD235</f>
        <v>7.2659999999999947E-3</v>
      </c>
      <c r="BB448" s="57">
        <f ca="1">BA339-FE235</f>
        <v>-3.8088000000000011E-2</v>
      </c>
      <c r="BC448" s="57">
        <f ca="1">BB339-FF235</f>
        <v>3.6374999999999824E-2</v>
      </c>
    </row>
    <row r="449" spans="1:55">
      <c r="A449" s="27">
        <v>99</v>
      </c>
      <c r="B449" s="27" t="str">
        <f t="shared" si="448"/>
        <v>Não</v>
      </c>
      <c r="C449" s="27">
        <f t="shared" si="446"/>
        <v>24</v>
      </c>
      <c r="D449" s="27">
        <f t="shared" ca="1" si="447"/>
        <v>33</v>
      </c>
      <c r="E449" s="34">
        <v>99</v>
      </c>
      <c r="F449" s="57">
        <f ca="1">E340-DI236</f>
        <v>0</v>
      </c>
      <c r="G449" s="57">
        <f ca="1">F340-DJ236</f>
        <v>0</v>
      </c>
      <c r="H449" s="57">
        <f ca="1">G340-DK236</f>
        <v>0</v>
      </c>
      <c r="I449" s="57">
        <f ca="1">H340-DL236</f>
        <v>0</v>
      </c>
      <c r="J449" s="57">
        <f ca="1">I340-DM236</f>
        <v>0</v>
      </c>
      <c r="K449" s="57">
        <f ca="1">J340-DN236</f>
        <v>0</v>
      </c>
      <c r="L449" s="57">
        <f ca="1">K340-DO236</f>
        <v>0</v>
      </c>
      <c r="M449" s="57">
        <f ca="1">L340-DP236</f>
        <v>0</v>
      </c>
      <c r="N449" s="57">
        <f ca="1">M340-DQ236</f>
        <v>0</v>
      </c>
      <c r="O449" s="57">
        <f ca="1">N340-DR236</f>
        <v>0</v>
      </c>
      <c r="P449" s="57">
        <f ca="1">O340-DS236</f>
        <v>0</v>
      </c>
      <c r="Q449" s="57">
        <f ca="1">P340-DT236</f>
        <v>0</v>
      </c>
      <c r="R449" s="57">
        <f ca="1">Q340-DU236</f>
        <v>0</v>
      </c>
      <c r="S449" s="57">
        <f ca="1">R340-DV236</f>
        <v>0</v>
      </c>
      <c r="T449" s="57">
        <f ca="1">S340-DW236</f>
        <v>0</v>
      </c>
      <c r="U449" s="57">
        <f ca="1">T340-DX236</f>
        <v>0</v>
      </c>
      <c r="V449" s="57">
        <f ca="1">U340-DY236</f>
        <v>0</v>
      </c>
      <c r="W449" s="57">
        <f ca="1">V340-DZ236</f>
        <v>0</v>
      </c>
      <c r="X449" s="57">
        <f ca="1">W340-EA236</f>
        <v>0</v>
      </c>
      <c r="Y449" s="57">
        <f ca="1">X340-EB236</f>
        <v>0</v>
      </c>
      <c r="Z449" s="57">
        <f ca="1">Y340-EC236</f>
        <v>0</v>
      </c>
      <c r="AA449" s="57">
        <f ca="1">Z340-ED236</f>
        <v>0</v>
      </c>
      <c r="AB449" s="57">
        <f ca="1">AA340-EE236</f>
        <v>0</v>
      </c>
      <c r="AC449" s="57">
        <f ca="1">AB340-EF236</f>
        <v>0</v>
      </c>
      <c r="AD449" s="57">
        <f ca="1">AC340-EG236</f>
        <v>0</v>
      </c>
      <c r="AE449" s="57">
        <f ca="1">AD340-EH236</f>
        <v>0</v>
      </c>
      <c r="AF449" s="57">
        <f ca="1">AE340-EI236</f>
        <v>0</v>
      </c>
      <c r="AG449" s="57">
        <f ca="1">AF340-EJ236</f>
        <v>0</v>
      </c>
      <c r="AH449" s="57">
        <f ca="1">AG340-EK236</f>
        <v>0</v>
      </c>
      <c r="AI449" s="57">
        <f ca="1">AH340-EL236</f>
        <v>0</v>
      </c>
      <c r="AJ449" s="57">
        <f ca="1">AI340-EM236</f>
        <v>0</v>
      </c>
      <c r="AK449" s="57">
        <f ca="1">AJ340-EN236</f>
        <v>0</v>
      </c>
      <c r="AL449" s="57">
        <f ca="1">AK340-EO236</f>
        <v>0</v>
      </c>
      <c r="AM449" s="57">
        <f ca="1">AL340-EP236</f>
        <v>0</v>
      </c>
      <c r="AN449" s="57">
        <f ca="1">AM340-EQ236</f>
        <v>0</v>
      </c>
      <c r="AO449" s="57">
        <f ca="1">AN340-ER236</f>
        <v>0</v>
      </c>
      <c r="AP449" s="57">
        <f ca="1">AO340-ES236</f>
        <v>0</v>
      </c>
      <c r="AQ449" s="57">
        <f ca="1">AP340-ET236</f>
        <v>0</v>
      </c>
      <c r="AR449" s="57">
        <f ca="1">AQ340-EU236</f>
        <v>0</v>
      </c>
      <c r="AS449" s="57">
        <f ca="1">AR340-EV236</f>
        <v>0</v>
      </c>
      <c r="AT449" s="57">
        <f ca="1">AS340-EW236</f>
        <v>0</v>
      </c>
      <c r="AU449" s="57">
        <f ca="1">AT340-EX236</f>
        <v>0</v>
      </c>
      <c r="AV449" s="57">
        <f ca="1">AU340-EY236</f>
        <v>0</v>
      </c>
      <c r="AW449" s="57">
        <f ca="1">AV340-EZ236</f>
        <v>0</v>
      </c>
      <c r="AX449" s="57">
        <f ca="1">AW340-FA236</f>
        <v>0</v>
      </c>
      <c r="AY449" s="57">
        <f ca="1">AX340-FB236</f>
        <v>0</v>
      </c>
      <c r="AZ449" s="57">
        <f ca="1">AY340-FC236</f>
        <v>0</v>
      </c>
      <c r="BA449" s="57">
        <f ca="1">AZ340-FD236</f>
        <v>0</v>
      </c>
      <c r="BB449" s="57">
        <f ca="1">BA340-FE236</f>
        <v>0</v>
      </c>
      <c r="BC449" s="57">
        <f ca="1">BB340-FF236</f>
        <v>0</v>
      </c>
    </row>
  </sheetData>
  <conditionalFormatting sqref="H137:H236">
    <cfRule type="cellIs" dxfId="17" priority="16" operator="equal">
      <formula>"Não"</formula>
    </cfRule>
  </conditionalFormatting>
  <conditionalFormatting sqref="FH137:HE236">
    <cfRule type="cellIs" dxfId="16" priority="15" operator="notEqual">
      <formula>0</formula>
    </cfRule>
    <cfRule type="expression" dxfId="15" priority="7">
      <formula>AND($H137="Sim",FH$134=$F137-1)</formula>
    </cfRule>
    <cfRule type="expression" dxfId="14" priority="6">
      <formula>AND($H137="Sim",FH$134=$E137)</formula>
    </cfRule>
    <cfRule type="expression" dxfId="13" priority="5">
      <formula>$H137="Não"</formula>
    </cfRule>
  </conditionalFormatting>
  <conditionalFormatting sqref="F350:BC449">
    <cfRule type="cellIs" dxfId="12" priority="24" operator="notBetween">
      <formula>-$B$345</formula>
      <formula>$B$345</formula>
    </cfRule>
    <cfRule type="expression" dxfId="11" priority="3">
      <formula>AND($B350="Sim",F$348=$D350-1)</formula>
    </cfRule>
    <cfRule type="expression" dxfId="10" priority="2">
      <formula>AND($B350="Sim",F$348=$C350)</formula>
    </cfRule>
    <cfRule type="expression" dxfId="9" priority="1">
      <formula>$B350="Não"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dimension ref="A1:BN267"/>
  <sheetViews>
    <sheetView zoomScaleNormal="100" workbookViewId="0">
      <selection activeCell="A2" sqref="A2"/>
    </sheetView>
  </sheetViews>
  <sheetFormatPr defaultRowHeight="15"/>
  <cols>
    <col min="1" max="1" width="42" customWidth="1"/>
    <col min="2" max="2" width="12.28515625" customWidth="1"/>
  </cols>
  <sheetData>
    <row r="1" spans="1:2">
      <c r="A1" t="s">
        <v>110</v>
      </c>
      <c r="B1">
        <v>50</v>
      </c>
    </row>
    <row r="2" spans="1:2">
      <c r="A2" t="s">
        <v>118</v>
      </c>
      <c r="B2">
        <v>100</v>
      </c>
    </row>
    <row r="3" spans="1:2">
      <c r="A3" t="s">
        <v>111</v>
      </c>
      <c r="B3">
        <v>16</v>
      </c>
    </row>
    <row r="5" spans="1:2">
      <c r="A5" t="s">
        <v>104</v>
      </c>
    </row>
    <row r="7" spans="1:2">
      <c r="A7" t="s">
        <v>61</v>
      </c>
      <c r="B7">
        <v>16</v>
      </c>
    </row>
    <row r="8" spans="1:2">
      <c r="A8" t="s">
        <v>105</v>
      </c>
      <c r="B8" t="s">
        <v>106</v>
      </c>
    </row>
    <row r="9" spans="1:2">
      <c r="A9" t="s">
        <v>62</v>
      </c>
      <c r="B9">
        <v>0.62</v>
      </c>
    </row>
    <row r="10" spans="1:2">
      <c r="A10" t="s">
        <v>63</v>
      </c>
      <c r="B10">
        <v>0.99239599999999994</v>
      </c>
    </row>
    <row r="11" spans="1:2">
      <c r="A11" t="s">
        <v>107</v>
      </c>
      <c r="B11">
        <v>33</v>
      </c>
    </row>
    <row r="12" spans="1:2">
      <c r="A12" t="s">
        <v>108</v>
      </c>
      <c r="B12">
        <v>46</v>
      </c>
    </row>
    <row r="14" spans="1:2">
      <c r="A14" t="s">
        <v>119</v>
      </c>
      <c r="B14">
        <f>TRUNC((B2+B3)/B3,0)</f>
        <v>7</v>
      </c>
    </row>
    <row r="15" spans="1:2">
      <c r="A15" t="s">
        <v>109</v>
      </c>
      <c r="B15">
        <f>TRUNC((B1+B3)/B3,0)</f>
        <v>4</v>
      </c>
    </row>
    <row r="16" spans="1:2">
      <c r="A16" t="s">
        <v>121</v>
      </c>
      <c r="B16">
        <f>B14*$B$3</f>
        <v>112</v>
      </c>
    </row>
    <row r="17" spans="1:19">
      <c r="A17" t="s">
        <v>120</v>
      </c>
      <c r="B17">
        <f>B15*$B$3</f>
        <v>64</v>
      </c>
    </row>
    <row r="19" spans="1:19">
      <c r="A19" t="s">
        <v>112</v>
      </c>
      <c r="B19">
        <v>16</v>
      </c>
    </row>
    <row r="20" spans="1:19">
      <c r="A20" t="s">
        <v>113</v>
      </c>
      <c r="B20">
        <v>0</v>
      </c>
      <c r="C20">
        <f>(IF(B20+1&lt;$B$15,B20+1,""))</f>
        <v>1</v>
      </c>
      <c r="D20">
        <f t="shared" ref="D20:F20" si="0">(IF(C20+1&lt;$B$15,C20+1,""))</f>
        <v>2</v>
      </c>
      <c r="E20">
        <f t="shared" si="0"/>
        <v>3</v>
      </c>
      <c r="F20" t="str">
        <f t="shared" si="0"/>
        <v/>
      </c>
    </row>
    <row r="21" spans="1:19">
      <c r="A21" t="s">
        <v>114</v>
      </c>
      <c r="B21">
        <v>0</v>
      </c>
      <c r="C21">
        <f t="shared" ref="C21:R21" si="1">(IF(B21+1&lt;$B$19,B21+1,""))</f>
        <v>1</v>
      </c>
      <c r="D21">
        <f t="shared" si="1"/>
        <v>2</v>
      </c>
      <c r="E21">
        <f t="shared" si="1"/>
        <v>3</v>
      </c>
      <c r="F21">
        <f t="shared" si="1"/>
        <v>4</v>
      </c>
      <c r="G21">
        <f t="shared" si="1"/>
        <v>5</v>
      </c>
      <c r="H21">
        <f t="shared" si="1"/>
        <v>6</v>
      </c>
      <c r="I21">
        <f t="shared" si="1"/>
        <v>7</v>
      </c>
      <c r="J21">
        <f t="shared" si="1"/>
        <v>8</v>
      </c>
      <c r="K21">
        <f t="shared" si="1"/>
        <v>9</v>
      </c>
      <c r="L21">
        <f t="shared" si="1"/>
        <v>10</v>
      </c>
      <c r="M21">
        <f t="shared" si="1"/>
        <v>11</v>
      </c>
      <c r="N21">
        <f t="shared" si="1"/>
        <v>12</v>
      </c>
      <c r="O21">
        <f t="shared" si="1"/>
        <v>13</v>
      </c>
      <c r="P21">
        <f t="shared" si="1"/>
        <v>14</v>
      </c>
      <c r="Q21">
        <f t="shared" si="1"/>
        <v>15</v>
      </c>
      <c r="R21" t="str">
        <f t="shared" si="1"/>
        <v/>
      </c>
    </row>
    <row r="23" spans="1:19">
      <c r="A23" t="s">
        <v>115</v>
      </c>
    </row>
    <row r="25" spans="1:19">
      <c r="C25" t="s">
        <v>114</v>
      </c>
    </row>
    <row r="26" spans="1:19">
      <c r="B26" t="s">
        <v>113</v>
      </c>
      <c r="C26">
        <v>0</v>
      </c>
      <c r="D26">
        <f>(IF(C26+1&lt;$B$19,C26+1,""))</f>
        <v>1</v>
      </c>
      <c r="E26">
        <f t="shared" ref="E26:S26" si="2">(IF(D26+1&lt;$B$19,D26+1,""))</f>
        <v>2</v>
      </c>
      <c r="F26">
        <f t="shared" si="2"/>
        <v>3</v>
      </c>
      <c r="G26">
        <f t="shared" si="2"/>
        <v>4</v>
      </c>
      <c r="H26">
        <f t="shared" si="2"/>
        <v>5</v>
      </c>
      <c r="I26">
        <f t="shared" si="2"/>
        <v>6</v>
      </c>
      <c r="J26">
        <f t="shared" si="2"/>
        <v>7</v>
      </c>
      <c r="K26">
        <f t="shared" si="2"/>
        <v>8</v>
      </c>
      <c r="L26">
        <f t="shared" si="2"/>
        <v>9</v>
      </c>
      <c r="M26">
        <f t="shared" si="2"/>
        <v>10</v>
      </c>
      <c r="N26">
        <f t="shared" si="2"/>
        <v>11</v>
      </c>
      <c r="O26">
        <f t="shared" si="2"/>
        <v>12</v>
      </c>
      <c r="P26">
        <f t="shared" si="2"/>
        <v>13</v>
      </c>
      <c r="Q26">
        <f t="shared" si="2"/>
        <v>14</v>
      </c>
      <c r="R26">
        <f t="shared" si="2"/>
        <v>15</v>
      </c>
      <c r="S26" t="str">
        <f t="shared" si="2"/>
        <v/>
      </c>
    </row>
    <row r="27" spans="1:19">
      <c r="B27">
        <v>0</v>
      </c>
      <c r="C27" s="6">
        <f>C$26 + $B27*$B$19</f>
        <v>0</v>
      </c>
      <c r="D27" s="6">
        <f t="shared" ref="D27:R30" si="3">D$26 + $B27*$B$19</f>
        <v>1</v>
      </c>
      <c r="E27" s="6">
        <f t="shared" si="3"/>
        <v>2</v>
      </c>
      <c r="F27" s="6">
        <f t="shared" si="3"/>
        <v>3</v>
      </c>
      <c r="G27" s="6">
        <f t="shared" si="3"/>
        <v>4</v>
      </c>
      <c r="H27" s="6">
        <f t="shared" si="3"/>
        <v>5</v>
      </c>
      <c r="I27" s="6">
        <f t="shared" si="3"/>
        <v>6</v>
      </c>
      <c r="J27" s="6">
        <f t="shared" si="3"/>
        <v>7</v>
      </c>
      <c r="K27" s="6">
        <f t="shared" si="3"/>
        <v>8</v>
      </c>
      <c r="L27" s="6">
        <f t="shared" si="3"/>
        <v>9</v>
      </c>
      <c r="M27" s="6">
        <f t="shared" si="3"/>
        <v>10</v>
      </c>
      <c r="N27" s="6">
        <f t="shared" si="3"/>
        <v>11</v>
      </c>
      <c r="O27" s="6">
        <f t="shared" si="3"/>
        <v>12</v>
      </c>
      <c r="P27" s="6">
        <f t="shared" si="3"/>
        <v>13</v>
      </c>
      <c r="Q27" s="6">
        <f t="shared" si="3"/>
        <v>14</v>
      </c>
      <c r="R27" s="6">
        <f t="shared" si="3"/>
        <v>15</v>
      </c>
    </row>
    <row r="28" spans="1:19">
      <c r="B28">
        <f>(IF(B27+1&lt;$B$15,B27+1,""))</f>
        <v>1</v>
      </c>
      <c r="C28" s="6">
        <f>C$26 + $B28*$B$19</f>
        <v>16</v>
      </c>
      <c r="D28" s="6">
        <f t="shared" si="3"/>
        <v>17</v>
      </c>
      <c r="E28" s="6">
        <f t="shared" si="3"/>
        <v>18</v>
      </c>
      <c r="F28" s="6">
        <f t="shared" si="3"/>
        <v>19</v>
      </c>
      <c r="G28" s="6">
        <f t="shared" si="3"/>
        <v>20</v>
      </c>
      <c r="H28" s="6">
        <f t="shared" si="3"/>
        <v>21</v>
      </c>
      <c r="I28" s="6">
        <f t="shared" si="3"/>
        <v>22</v>
      </c>
      <c r="J28" s="6">
        <f t="shared" si="3"/>
        <v>23</v>
      </c>
      <c r="K28" s="6">
        <f t="shared" si="3"/>
        <v>24</v>
      </c>
      <c r="L28" s="6">
        <f t="shared" si="3"/>
        <v>25</v>
      </c>
      <c r="M28" s="6">
        <f t="shared" si="3"/>
        <v>26</v>
      </c>
      <c r="N28" s="6">
        <f t="shared" si="3"/>
        <v>27</v>
      </c>
      <c r="O28" s="6">
        <f t="shared" si="3"/>
        <v>28</v>
      </c>
      <c r="P28" s="6">
        <f t="shared" si="3"/>
        <v>29</v>
      </c>
      <c r="Q28" s="6">
        <f t="shared" si="3"/>
        <v>30</v>
      </c>
      <c r="R28" s="6">
        <f t="shared" si="3"/>
        <v>31</v>
      </c>
    </row>
    <row r="29" spans="1:19">
      <c r="B29">
        <f>(IF(B28+1&lt;$B$15,B28+1,""))</f>
        <v>2</v>
      </c>
      <c r="C29" s="6">
        <f>C$26 + $B29*$B$19</f>
        <v>32</v>
      </c>
      <c r="D29" s="6">
        <f t="shared" si="3"/>
        <v>33</v>
      </c>
      <c r="E29" s="6">
        <f t="shared" si="3"/>
        <v>34</v>
      </c>
      <c r="F29" s="6">
        <f t="shared" si="3"/>
        <v>35</v>
      </c>
      <c r="G29" s="6">
        <f t="shared" si="3"/>
        <v>36</v>
      </c>
      <c r="H29" s="6">
        <f t="shared" si="3"/>
        <v>37</v>
      </c>
      <c r="I29" s="6">
        <f t="shared" si="3"/>
        <v>38</v>
      </c>
      <c r="J29" s="6">
        <f t="shared" si="3"/>
        <v>39</v>
      </c>
      <c r="K29" s="6">
        <f t="shared" si="3"/>
        <v>40</v>
      </c>
      <c r="L29" s="6">
        <f t="shared" si="3"/>
        <v>41</v>
      </c>
      <c r="M29" s="6">
        <f t="shared" si="3"/>
        <v>42</v>
      </c>
      <c r="N29" s="6">
        <f t="shared" si="3"/>
        <v>43</v>
      </c>
      <c r="O29" s="6">
        <f t="shared" si="3"/>
        <v>44</v>
      </c>
      <c r="P29" s="6">
        <f t="shared" si="3"/>
        <v>45</v>
      </c>
      <c r="Q29" s="6">
        <f t="shared" si="3"/>
        <v>46</v>
      </c>
      <c r="R29" s="6">
        <f t="shared" si="3"/>
        <v>47</v>
      </c>
    </row>
    <row r="30" spans="1:19">
      <c r="B30">
        <f>(IF(B29+1&lt;$B$15,B29+1,""))</f>
        <v>3</v>
      </c>
      <c r="C30" s="6">
        <f>C$26 + $B30*$B$19</f>
        <v>48</v>
      </c>
      <c r="D30" s="6">
        <f t="shared" si="3"/>
        <v>49</v>
      </c>
      <c r="E30">
        <f t="shared" si="3"/>
        <v>50</v>
      </c>
      <c r="F30">
        <f t="shared" si="3"/>
        <v>51</v>
      </c>
      <c r="G30">
        <f t="shared" si="3"/>
        <v>52</v>
      </c>
      <c r="H30">
        <f t="shared" si="3"/>
        <v>53</v>
      </c>
      <c r="I30">
        <f t="shared" si="3"/>
        <v>54</v>
      </c>
      <c r="J30">
        <f t="shared" si="3"/>
        <v>55</v>
      </c>
      <c r="K30">
        <f t="shared" si="3"/>
        <v>56</v>
      </c>
      <c r="L30">
        <f t="shared" si="3"/>
        <v>57</v>
      </c>
      <c r="M30">
        <f t="shared" si="3"/>
        <v>58</v>
      </c>
      <c r="N30">
        <f t="shared" si="3"/>
        <v>59</v>
      </c>
      <c r="O30">
        <f t="shared" si="3"/>
        <v>60</v>
      </c>
      <c r="P30">
        <f t="shared" si="3"/>
        <v>61</v>
      </c>
      <c r="Q30">
        <f t="shared" si="3"/>
        <v>62</v>
      </c>
      <c r="R30">
        <f t="shared" si="3"/>
        <v>63</v>
      </c>
    </row>
    <row r="36" spans="1:66">
      <c r="C36" t="s">
        <v>117</v>
      </c>
    </row>
    <row r="37" spans="1:66">
      <c r="A37" t="s">
        <v>122</v>
      </c>
      <c r="B37" t="s">
        <v>116</v>
      </c>
      <c r="C37">
        <v>0</v>
      </c>
      <c r="D37">
        <f>(IF(C37+1&lt;$B$17,C37+1,""))</f>
        <v>1</v>
      </c>
      <c r="E37">
        <f t="shared" ref="E37:BN37" si="4">(IF(D37+1&lt;$B$17,D37+1,""))</f>
        <v>2</v>
      </c>
      <c r="F37">
        <f t="shared" si="4"/>
        <v>3</v>
      </c>
      <c r="G37">
        <f t="shared" si="4"/>
        <v>4</v>
      </c>
      <c r="H37">
        <f t="shared" si="4"/>
        <v>5</v>
      </c>
      <c r="I37">
        <f t="shared" si="4"/>
        <v>6</v>
      </c>
      <c r="J37">
        <f t="shared" si="4"/>
        <v>7</v>
      </c>
      <c r="K37">
        <f t="shared" si="4"/>
        <v>8</v>
      </c>
      <c r="L37">
        <f t="shared" si="4"/>
        <v>9</v>
      </c>
      <c r="M37">
        <f t="shared" si="4"/>
        <v>10</v>
      </c>
      <c r="N37">
        <f t="shared" si="4"/>
        <v>11</v>
      </c>
      <c r="O37">
        <f t="shared" si="4"/>
        <v>12</v>
      </c>
      <c r="P37">
        <f t="shared" si="4"/>
        <v>13</v>
      </c>
      <c r="Q37">
        <f t="shared" si="4"/>
        <v>14</v>
      </c>
      <c r="R37">
        <f t="shared" si="4"/>
        <v>15</v>
      </c>
      <c r="S37">
        <f t="shared" si="4"/>
        <v>16</v>
      </c>
      <c r="T37">
        <f t="shared" si="4"/>
        <v>17</v>
      </c>
      <c r="U37">
        <f t="shared" si="4"/>
        <v>18</v>
      </c>
      <c r="V37">
        <f t="shared" si="4"/>
        <v>19</v>
      </c>
      <c r="W37">
        <f t="shared" si="4"/>
        <v>20</v>
      </c>
      <c r="X37">
        <f t="shared" si="4"/>
        <v>21</v>
      </c>
      <c r="Y37">
        <f t="shared" si="4"/>
        <v>22</v>
      </c>
      <c r="Z37">
        <f t="shared" si="4"/>
        <v>23</v>
      </c>
      <c r="AA37">
        <f t="shared" si="4"/>
        <v>24</v>
      </c>
      <c r="AB37">
        <f t="shared" si="4"/>
        <v>25</v>
      </c>
      <c r="AC37">
        <f t="shared" si="4"/>
        <v>26</v>
      </c>
      <c r="AD37">
        <f t="shared" si="4"/>
        <v>27</v>
      </c>
      <c r="AE37">
        <f t="shared" si="4"/>
        <v>28</v>
      </c>
      <c r="AF37">
        <f t="shared" si="4"/>
        <v>29</v>
      </c>
      <c r="AG37">
        <f t="shared" si="4"/>
        <v>30</v>
      </c>
      <c r="AH37">
        <f t="shared" si="4"/>
        <v>31</v>
      </c>
      <c r="AI37">
        <f t="shared" si="4"/>
        <v>32</v>
      </c>
      <c r="AJ37">
        <f t="shared" si="4"/>
        <v>33</v>
      </c>
      <c r="AK37">
        <f t="shared" si="4"/>
        <v>34</v>
      </c>
      <c r="AL37">
        <f t="shared" si="4"/>
        <v>35</v>
      </c>
      <c r="AM37">
        <f t="shared" si="4"/>
        <v>36</v>
      </c>
      <c r="AN37">
        <f t="shared" si="4"/>
        <v>37</v>
      </c>
      <c r="AO37">
        <f t="shared" si="4"/>
        <v>38</v>
      </c>
      <c r="AP37">
        <f t="shared" si="4"/>
        <v>39</v>
      </c>
      <c r="AQ37">
        <f t="shared" si="4"/>
        <v>40</v>
      </c>
      <c r="AR37">
        <f t="shared" si="4"/>
        <v>41</v>
      </c>
      <c r="AS37">
        <f t="shared" si="4"/>
        <v>42</v>
      </c>
      <c r="AT37">
        <f t="shared" si="4"/>
        <v>43</v>
      </c>
      <c r="AU37">
        <f t="shared" si="4"/>
        <v>44</v>
      </c>
      <c r="AV37">
        <f t="shared" si="4"/>
        <v>45</v>
      </c>
      <c r="AW37">
        <f t="shared" si="4"/>
        <v>46</v>
      </c>
      <c r="AX37">
        <f t="shared" si="4"/>
        <v>47</v>
      </c>
      <c r="AY37">
        <f t="shared" si="4"/>
        <v>48</v>
      </c>
      <c r="AZ37">
        <f t="shared" si="4"/>
        <v>49</v>
      </c>
      <c r="BA37">
        <f t="shared" si="4"/>
        <v>50</v>
      </c>
      <c r="BB37">
        <f t="shared" si="4"/>
        <v>51</v>
      </c>
      <c r="BC37">
        <f t="shared" si="4"/>
        <v>52</v>
      </c>
      <c r="BD37">
        <f t="shared" si="4"/>
        <v>53</v>
      </c>
      <c r="BE37">
        <f t="shared" si="4"/>
        <v>54</v>
      </c>
      <c r="BF37">
        <f t="shared" si="4"/>
        <v>55</v>
      </c>
      <c r="BG37">
        <f t="shared" si="4"/>
        <v>56</v>
      </c>
      <c r="BH37">
        <f t="shared" si="4"/>
        <v>57</v>
      </c>
      <c r="BI37">
        <f t="shared" si="4"/>
        <v>58</v>
      </c>
      <c r="BJ37">
        <f t="shared" si="4"/>
        <v>59</v>
      </c>
      <c r="BK37">
        <f t="shared" si="4"/>
        <v>60</v>
      </c>
      <c r="BL37">
        <f t="shared" si="4"/>
        <v>61</v>
      </c>
      <c r="BM37">
        <f t="shared" si="4"/>
        <v>62</v>
      </c>
      <c r="BN37">
        <f t="shared" si="4"/>
        <v>63</v>
      </c>
    </row>
    <row r="38" spans="1:66">
      <c r="A38">
        <f>VLOOKUP(B38,Teste!$A$137:$G$236,7,FALSE)</f>
        <v>0</v>
      </c>
      <c r="B38">
        <v>0</v>
      </c>
      <c r="C38" s="13" t="str">
        <f>CONCATENATE("(",TEXT($B38,"00"),";",TEXT(C$37,"00"),")")</f>
        <v>(00;00)</v>
      </c>
      <c r="D38" s="13" t="str">
        <f t="shared" ref="D38:BN42" si="5">CONCATENATE("(",TEXT($B38,"00"),";",TEXT(D$37,"00"),")")</f>
        <v>(00;01)</v>
      </c>
      <c r="E38" s="13" t="str">
        <f t="shared" si="5"/>
        <v>(00;02)</v>
      </c>
      <c r="F38" s="13" t="str">
        <f t="shared" si="5"/>
        <v>(00;03)</v>
      </c>
      <c r="G38" s="13" t="str">
        <f t="shared" si="5"/>
        <v>(00;04)</v>
      </c>
      <c r="H38" s="13" t="str">
        <f t="shared" si="5"/>
        <v>(00;05)</v>
      </c>
      <c r="I38" s="13" t="str">
        <f t="shared" si="5"/>
        <v>(00;06)</v>
      </c>
      <c r="J38" s="13" t="str">
        <f t="shared" si="5"/>
        <v>(00;07)</v>
      </c>
      <c r="K38" s="13" t="str">
        <f t="shared" si="5"/>
        <v>(00;08)</v>
      </c>
      <c r="L38" s="13" t="str">
        <f t="shared" si="5"/>
        <v>(00;09)</v>
      </c>
      <c r="M38" s="13" t="str">
        <f t="shared" si="5"/>
        <v>(00;10)</v>
      </c>
      <c r="N38" s="13" t="str">
        <f t="shared" si="5"/>
        <v>(00;11)</v>
      </c>
      <c r="O38" s="13" t="str">
        <f t="shared" si="5"/>
        <v>(00;12)</v>
      </c>
      <c r="P38" s="13" t="str">
        <f t="shared" si="5"/>
        <v>(00;13)</v>
      </c>
      <c r="Q38" s="13" t="str">
        <f t="shared" si="5"/>
        <v>(00;14)</v>
      </c>
      <c r="R38" s="13" t="str">
        <f t="shared" si="5"/>
        <v>(00;15)</v>
      </c>
      <c r="S38" s="13" t="str">
        <f t="shared" si="5"/>
        <v>(00;16)</v>
      </c>
      <c r="T38" s="13" t="str">
        <f t="shared" si="5"/>
        <v>(00;17)</v>
      </c>
      <c r="U38" s="13" t="str">
        <f t="shared" si="5"/>
        <v>(00;18)</v>
      </c>
      <c r="V38" s="13" t="str">
        <f t="shared" si="5"/>
        <v>(00;19)</v>
      </c>
      <c r="W38" s="13" t="str">
        <f t="shared" si="5"/>
        <v>(00;20)</v>
      </c>
      <c r="X38" s="13" t="str">
        <f t="shared" si="5"/>
        <v>(00;21)</v>
      </c>
      <c r="Y38" s="13" t="str">
        <f t="shared" si="5"/>
        <v>(00;22)</v>
      </c>
      <c r="Z38" s="13" t="str">
        <f t="shared" si="5"/>
        <v>(00;23)</v>
      </c>
      <c r="AA38" s="13" t="str">
        <f t="shared" si="5"/>
        <v>(00;24)</v>
      </c>
      <c r="AB38" s="13" t="str">
        <f t="shared" si="5"/>
        <v>(00;25)</v>
      </c>
      <c r="AC38" s="13" t="str">
        <f t="shared" si="5"/>
        <v>(00;26)</v>
      </c>
      <c r="AD38" s="13" t="str">
        <f t="shared" si="5"/>
        <v>(00;27)</v>
      </c>
      <c r="AE38" s="13" t="str">
        <f t="shared" si="5"/>
        <v>(00;28)</v>
      </c>
      <c r="AF38" s="13" t="str">
        <f t="shared" si="5"/>
        <v>(00;29)</v>
      </c>
      <c r="AG38" s="13" t="str">
        <f t="shared" si="5"/>
        <v>(00;30)</v>
      </c>
      <c r="AH38" s="13" t="str">
        <f t="shared" si="5"/>
        <v>(00;31)</v>
      </c>
      <c r="AI38" s="13" t="str">
        <f t="shared" si="5"/>
        <v>(00;32)</v>
      </c>
      <c r="AJ38" s="13" t="str">
        <f t="shared" si="5"/>
        <v>(00;33)</v>
      </c>
      <c r="AK38" s="13" t="str">
        <f t="shared" si="5"/>
        <v>(00;34)</v>
      </c>
      <c r="AL38" s="13" t="str">
        <f t="shared" si="5"/>
        <v>(00;35)</v>
      </c>
      <c r="AM38" s="13" t="str">
        <f t="shared" si="5"/>
        <v>(00;36)</v>
      </c>
      <c r="AN38" s="13" t="str">
        <f t="shared" si="5"/>
        <v>(00;37)</v>
      </c>
      <c r="AO38" s="13" t="str">
        <f t="shared" si="5"/>
        <v>(00;38)</v>
      </c>
      <c r="AP38" s="13" t="str">
        <f t="shared" si="5"/>
        <v>(00;39)</v>
      </c>
      <c r="AQ38" s="13" t="str">
        <f t="shared" si="5"/>
        <v>(00;40)</v>
      </c>
      <c r="AR38" s="13" t="str">
        <f t="shared" si="5"/>
        <v>(00;41)</v>
      </c>
      <c r="AS38" s="13" t="str">
        <f t="shared" si="5"/>
        <v>(00;42)</v>
      </c>
      <c r="AT38" s="13" t="str">
        <f t="shared" si="5"/>
        <v>(00;43)</v>
      </c>
      <c r="AU38" s="13" t="str">
        <f t="shared" si="5"/>
        <v>(00;44)</v>
      </c>
      <c r="AV38" s="13" t="str">
        <f t="shared" si="5"/>
        <v>(00;45)</v>
      </c>
      <c r="AW38" s="13" t="str">
        <f t="shared" si="5"/>
        <v>(00;46)</v>
      </c>
      <c r="AX38" s="13" t="str">
        <f t="shared" si="5"/>
        <v>(00;47)</v>
      </c>
      <c r="AY38" s="13" t="str">
        <f t="shared" si="5"/>
        <v>(00;48)</v>
      </c>
      <c r="AZ38" s="13" t="str">
        <f t="shared" si="5"/>
        <v>(00;49)</v>
      </c>
      <c r="BA38" s="13" t="str">
        <f t="shared" si="5"/>
        <v>(00;50)</v>
      </c>
      <c r="BB38" s="13" t="str">
        <f t="shared" si="5"/>
        <v>(00;51)</v>
      </c>
      <c r="BC38" s="13" t="str">
        <f t="shared" si="5"/>
        <v>(00;52)</v>
      </c>
      <c r="BD38" s="13" t="str">
        <f t="shared" si="5"/>
        <v>(00;53)</v>
      </c>
      <c r="BE38" s="13" t="str">
        <f t="shared" si="5"/>
        <v>(00;54)</v>
      </c>
      <c r="BF38" s="13" t="str">
        <f t="shared" si="5"/>
        <v>(00;55)</v>
      </c>
      <c r="BG38" s="13" t="str">
        <f t="shared" si="5"/>
        <v>(00;56)</v>
      </c>
      <c r="BH38" s="13" t="str">
        <f t="shared" si="5"/>
        <v>(00;57)</v>
      </c>
      <c r="BI38" s="13" t="str">
        <f t="shared" si="5"/>
        <v>(00;58)</v>
      </c>
      <c r="BJ38" s="13" t="str">
        <f t="shared" si="5"/>
        <v>(00;59)</v>
      </c>
      <c r="BK38" s="13" t="str">
        <f t="shared" si="5"/>
        <v>(00;60)</v>
      </c>
      <c r="BL38" s="13" t="str">
        <f t="shared" si="5"/>
        <v>(00;61)</v>
      </c>
      <c r="BM38" s="13" t="str">
        <f t="shared" si="5"/>
        <v>(00;62)</v>
      </c>
      <c r="BN38" s="13" t="str">
        <f t="shared" si="5"/>
        <v>(00;63)</v>
      </c>
    </row>
    <row r="39" spans="1:66">
      <c r="A39">
        <f>VLOOKUP(B39,Teste!$A$137:$G$236,7,FALSE)</f>
        <v>0</v>
      </c>
      <c r="B39">
        <f>(IF(B38+1&lt;$B$16,B38+1,""))</f>
        <v>1</v>
      </c>
      <c r="C39" s="12" t="str">
        <f t="shared" ref="C39:R58" si="6">CONCATENATE("(",TEXT($B39,"00"),";",TEXT(C$37,"00"),")")</f>
        <v>(01;00)</v>
      </c>
      <c r="D39" s="12" t="str">
        <f t="shared" si="5"/>
        <v>(01;01)</v>
      </c>
      <c r="E39" s="12" t="str">
        <f t="shared" si="5"/>
        <v>(01;02)</v>
      </c>
      <c r="F39" s="12" t="str">
        <f t="shared" si="5"/>
        <v>(01;03)</v>
      </c>
      <c r="G39" s="12" t="str">
        <f t="shared" si="5"/>
        <v>(01;04)</v>
      </c>
      <c r="H39" s="12" t="str">
        <f t="shared" si="5"/>
        <v>(01;05)</v>
      </c>
      <c r="I39" s="12" t="str">
        <f t="shared" si="5"/>
        <v>(01;06)</v>
      </c>
      <c r="J39" s="12" t="str">
        <f t="shared" si="5"/>
        <v>(01;07)</v>
      </c>
      <c r="K39" s="12" t="str">
        <f t="shared" si="5"/>
        <v>(01;08)</v>
      </c>
      <c r="L39" s="12" t="str">
        <f t="shared" si="5"/>
        <v>(01;09)</v>
      </c>
      <c r="M39" s="12" t="str">
        <f t="shared" si="5"/>
        <v>(01;10)</v>
      </c>
      <c r="N39" s="12" t="str">
        <f t="shared" si="5"/>
        <v>(01;11)</v>
      </c>
      <c r="O39" s="12" t="str">
        <f t="shared" si="5"/>
        <v>(01;12)</v>
      </c>
      <c r="P39" s="12" t="str">
        <f t="shared" si="5"/>
        <v>(01;13)</v>
      </c>
      <c r="Q39" s="12" t="str">
        <f t="shared" si="5"/>
        <v>(01;14)</v>
      </c>
      <c r="R39" s="12" t="str">
        <f t="shared" si="5"/>
        <v>(01;15)</v>
      </c>
      <c r="S39" s="12" t="str">
        <f t="shared" si="5"/>
        <v>(01;16)</v>
      </c>
      <c r="T39" s="12" t="str">
        <f t="shared" si="5"/>
        <v>(01;17)</v>
      </c>
      <c r="U39" s="12" t="str">
        <f t="shared" si="5"/>
        <v>(01;18)</v>
      </c>
      <c r="V39" s="12" t="str">
        <f t="shared" si="5"/>
        <v>(01;19)</v>
      </c>
      <c r="W39" s="12" t="str">
        <f t="shared" si="5"/>
        <v>(01;20)</v>
      </c>
      <c r="X39" s="12" t="str">
        <f t="shared" si="5"/>
        <v>(01;21)</v>
      </c>
      <c r="Y39" s="12" t="str">
        <f t="shared" si="5"/>
        <v>(01;22)</v>
      </c>
      <c r="Z39" s="12" t="str">
        <f t="shared" si="5"/>
        <v>(01;23)</v>
      </c>
      <c r="AA39" s="12" t="str">
        <f t="shared" si="5"/>
        <v>(01;24)</v>
      </c>
      <c r="AB39" s="12" t="str">
        <f t="shared" si="5"/>
        <v>(01;25)</v>
      </c>
      <c r="AC39" s="12" t="str">
        <f t="shared" si="5"/>
        <v>(01;26)</v>
      </c>
      <c r="AD39" s="12" t="str">
        <f t="shared" si="5"/>
        <v>(01;27)</v>
      </c>
      <c r="AE39" s="12" t="str">
        <f t="shared" si="5"/>
        <v>(01;28)</v>
      </c>
      <c r="AF39" s="12" t="str">
        <f t="shared" si="5"/>
        <v>(01;29)</v>
      </c>
      <c r="AG39" s="12" t="str">
        <f t="shared" si="5"/>
        <v>(01;30)</v>
      </c>
      <c r="AH39" s="12" t="str">
        <f t="shared" si="5"/>
        <v>(01;31)</v>
      </c>
      <c r="AI39" s="12" t="str">
        <f t="shared" si="5"/>
        <v>(01;32)</v>
      </c>
      <c r="AJ39" s="12" t="str">
        <f t="shared" si="5"/>
        <v>(01;33)</v>
      </c>
      <c r="AK39" s="12" t="str">
        <f t="shared" si="5"/>
        <v>(01;34)</v>
      </c>
      <c r="AL39" s="12" t="str">
        <f t="shared" si="5"/>
        <v>(01;35)</v>
      </c>
      <c r="AM39" s="12" t="str">
        <f t="shared" si="5"/>
        <v>(01;36)</v>
      </c>
      <c r="AN39" s="12" t="str">
        <f t="shared" si="5"/>
        <v>(01;37)</v>
      </c>
      <c r="AO39" s="12" t="str">
        <f t="shared" si="5"/>
        <v>(01;38)</v>
      </c>
      <c r="AP39" s="12" t="str">
        <f t="shared" si="5"/>
        <v>(01;39)</v>
      </c>
      <c r="AQ39" s="12" t="str">
        <f t="shared" si="5"/>
        <v>(01;40)</v>
      </c>
      <c r="AR39" s="12" t="str">
        <f t="shared" si="5"/>
        <v>(01;41)</v>
      </c>
      <c r="AS39" s="12" t="str">
        <f t="shared" si="5"/>
        <v>(01;42)</v>
      </c>
      <c r="AT39" s="12" t="str">
        <f t="shared" si="5"/>
        <v>(01;43)</v>
      </c>
      <c r="AU39" s="12" t="str">
        <f t="shared" si="5"/>
        <v>(01;44)</v>
      </c>
      <c r="AV39" s="12" t="str">
        <f t="shared" si="5"/>
        <v>(01;45)</v>
      </c>
      <c r="AW39" s="12" t="str">
        <f t="shared" si="5"/>
        <v>(01;46)</v>
      </c>
      <c r="AX39" s="12" t="str">
        <f t="shared" si="5"/>
        <v>(01;47)</v>
      </c>
      <c r="AY39" s="12" t="str">
        <f t="shared" si="5"/>
        <v>(01;48)</v>
      </c>
      <c r="AZ39" s="12" t="str">
        <f t="shared" si="5"/>
        <v>(01;49)</v>
      </c>
      <c r="BA39" s="12" t="str">
        <f t="shared" si="5"/>
        <v>(01;50)</v>
      </c>
      <c r="BB39" s="12" t="str">
        <f t="shared" si="5"/>
        <v>(01;51)</v>
      </c>
      <c r="BC39" s="12" t="str">
        <f t="shared" si="5"/>
        <v>(01;52)</v>
      </c>
      <c r="BD39" s="12" t="str">
        <f t="shared" si="5"/>
        <v>(01;53)</v>
      </c>
      <c r="BE39" s="12" t="str">
        <f t="shared" si="5"/>
        <v>(01;54)</v>
      </c>
      <c r="BF39" s="12" t="str">
        <f t="shared" si="5"/>
        <v>(01;55)</v>
      </c>
      <c r="BG39" s="12" t="str">
        <f t="shared" si="5"/>
        <v>(01;56)</v>
      </c>
      <c r="BH39" s="12" t="str">
        <f t="shared" si="5"/>
        <v>(01;57)</v>
      </c>
      <c r="BI39" s="12" t="str">
        <f t="shared" si="5"/>
        <v>(01;58)</v>
      </c>
      <c r="BJ39" s="12" t="str">
        <f t="shared" si="5"/>
        <v>(01;59)</v>
      </c>
      <c r="BK39" s="12" t="str">
        <f t="shared" si="5"/>
        <v>(01;60)</v>
      </c>
      <c r="BL39" s="12" t="str">
        <f t="shared" si="5"/>
        <v>(01;61)</v>
      </c>
      <c r="BM39" s="12" t="str">
        <f t="shared" si="5"/>
        <v>(01;62)</v>
      </c>
      <c r="BN39" s="12" t="str">
        <f t="shared" si="5"/>
        <v>(01;63)</v>
      </c>
    </row>
    <row r="40" spans="1:66">
      <c r="A40">
        <f>VLOOKUP(B40,Teste!$A$137:$G$236,7,FALSE)</f>
        <v>0</v>
      </c>
      <c r="B40">
        <f t="shared" ref="B40:B103" si="7">(IF(B39+1&lt;$B$16,B39+1,""))</f>
        <v>2</v>
      </c>
      <c r="C40" s="12" t="str">
        <f t="shared" si="6"/>
        <v>(02;00)</v>
      </c>
      <c r="D40" s="12" t="str">
        <f t="shared" si="5"/>
        <v>(02;01)</v>
      </c>
      <c r="E40" s="12" t="str">
        <f t="shared" si="5"/>
        <v>(02;02)</v>
      </c>
      <c r="F40" s="12" t="str">
        <f t="shared" si="5"/>
        <v>(02;03)</v>
      </c>
      <c r="G40" s="12" t="str">
        <f t="shared" si="5"/>
        <v>(02;04)</v>
      </c>
      <c r="H40" s="12" t="str">
        <f t="shared" si="5"/>
        <v>(02;05)</v>
      </c>
      <c r="I40" s="12" t="str">
        <f t="shared" si="5"/>
        <v>(02;06)</v>
      </c>
      <c r="J40" s="12" t="str">
        <f t="shared" si="5"/>
        <v>(02;07)</v>
      </c>
      <c r="K40" s="12" t="str">
        <f t="shared" si="5"/>
        <v>(02;08)</v>
      </c>
      <c r="L40" s="12" t="str">
        <f t="shared" si="5"/>
        <v>(02;09)</v>
      </c>
      <c r="M40" s="12" t="str">
        <f t="shared" si="5"/>
        <v>(02;10)</v>
      </c>
      <c r="N40" s="12" t="str">
        <f t="shared" si="5"/>
        <v>(02;11)</v>
      </c>
      <c r="O40" s="12" t="str">
        <f t="shared" si="5"/>
        <v>(02;12)</v>
      </c>
      <c r="P40" s="12" t="str">
        <f t="shared" si="5"/>
        <v>(02;13)</v>
      </c>
      <c r="Q40" s="12" t="str">
        <f t="shared" si="5"/>
        <v>(02;14)</v>
      </c>
      <c r="R40" s="12" t="str">
        <f t="shared" si="5"/>
        <v>(02;15)</v>
      </c>
      <c r="S40" s="12" t="str">
        <f t="shared" si="5"/>
        <v>(02;16)</v>
      </c>
      <c r="T40" s="12" t="str">
        <f t="shared" si="5"/>
        <v>(02;17)</v>
      </c>
      <c r="U40" s="12" t="str">
        <f t="shared" si="5"/>
        <v>(02;18)</v>
      </c>
      <c r="V40" s="12" t="str">
        <f t="shared" si="5"/>
        <v>(02;19)</v>
      </c>
      <c r="W40" s="12" t="str">
        <f t="shared" si="5"/>
        <v>(02;20)</v>
      </c>
      <c r="X40" s="12" t="str">
        <f t="shared" si="5"/>
        <v>(02;21)</v>
      </c>
      <c r="Y40" s="12" t="str">
        <f t="shared" si="5"/>
        <v>(02;22)</v>
      </c>
      <c r="Z40" s="12" t="str">
        <f t="shared" si="5"/>
        <v>(02;23)</v>
      </c>
      <c r="AA40" s="12" t="str">
        <f t="shared" si="5"/>
        <v>(02;24)</v>
      </c>
      <c r="AB40" s="12" t="str">
        <f t="shared" si="5"/>
        <v>(02;25)</v>
      </c>
      <c r="AC40" s="12" t="str">
        <f t="shared" si="5"/>
        <v>(02;26)</v>
      </c>
      <c r="AD40" s="12" t="str">
        <f t="shared" si="5"/>
        <v>(02;27)</v>
      </c>
      <c r="AE40" s="12" t="str">
        <f t="shared" si="5"/>
        <v>(02;28)</v>
      </c>
      <c r="AF40" s="12" t="str">
        <f t="shared" si="5"/>
        <v>(02;29)</v>
      </c>
      <c r="AG40" s="12" t="str">
        <f t="shared" si="5"/>
        <v>(02;30)</v>
      </c>
      <c r="AH40" s="12" t="str">
        <f t="shared" si="5"/>
        <v>(02;31)</v>
      </c>
      <c r="AI40" s="12" t="str">
        <f t="shared" si="5"/>
        <v>(02;32)</v>
      </c>
      <c r="AJ40" s="12" t="str">
        <f t="shared" si="5"/>
        <v>(02;33)</v>
      </c>
      <c r="AK40" s="12" t="str">
        <f t="shared" si="5"/>
        <v>(02;34)</v>
      </c>
      <c r="AL40" s="12" t="str">
        <f t="shared" si="5"/>
        <v>(02;35)</v>
      </c>
      <c r="AM40" s="12" t="str">
        <f t="shared" si="5"/>
        <v>(02;36)</v>
      </c>
      <c r="AN40" s="12" t="str">
        <f t="shared" si="5"/>
        <v>(02;37)</v>
      </c>
      <c r="AO40" s="12" t="str">
        <f t="shared" si="5"/>
        <v>(02;38)</v>
      </c>
      <c r="AP40" s="12" t="str">
        <f t="shared" si="5"/>
        <v>(02;39)</v>
      </c>
      <c r="AQ40" s="12" t="str">
        <f t="shared" si="5"/>
        <v>(02;40)</v>
      </c>
      <c r="AR40" s="12" t="str">
        <f t="shared" si="5"/>
        <v>(02;41)</v>
      </c>
      <c r="AS40" s="12" t="str">
        <f t="shared" si="5"/>
        <v>(02;42)</v>
      </c>
      <c r="AT40" s="12" t="str">
        <f t="shared" si="5"/>
        <v>(02;43)</v>
      </c>
      <c r="AU40" s="12" t="str">
        <f t="shared" si="5"/>
        <v>(02;44)</v>
      </c>
      <c r="AV40" s="12" t="str">
        <f t="shared" si="5"/>
        <v>(02;45)</v>
      </c>
      <c r="AW40" s="12" t="str">
        <f t="shared" si="5"/>
        <v>(02;46)</v>
      </c>
      <c r="AX40" s="12" t="str">
        <f t="shared" si="5"/>
        <v>(02;47)</v>
      </c>
      <c r="AY40" s="12" t="str">
        <f t="shared" si="5"/>
        <v>(02;48)</v>
      </c>
      <c r="AZ40" s="12" t="str">
        <f t="shared" si="5"/>
        <v>(02;49)</v>
      </c>
      <c r="BA40" s="12" t="str">
        <f t="shared" si="5"/>
        <v>(02;50)</v>
      </c>
      <c r="BB40" s="12" t="str">
        <f t="shared" si="5"/>
        <v>(02;51)</v>
      </c>
      <c r="BC40" s="12" t="str">
        <f t="shared" si="5"/>
        <v>(02;52)</v>
      </c>
      <c r="BD40" s="12" t="str">
        <f t="shared" si="5"/>
        <v>(02;53)</v>
      </c>
      <c r="BE40" s="12" t="str">
        <f t="shared" si="5"/>
        <v>(02;54)</v>
      </c>
      <c r="BF40" s="12" t="str">
        <f t="shared" si="5"/>
        <v>(02;55)</v>
      </c>
      <c r="BG40" s="12" t="str">
        <f t="shared" si="5"/>
        <v>(02;56)</v>
      </c>
      <c r="BH40" s="12" t="str">
        <f t="shared" si="5"/>
        <v>(02;57)</v>
      </c>
      <c r="BI40" s="12" t="str">
        <f t="shared" si="5"/>
        <v>(02;58)</v>
      </c>
      <c r="BJ40" s="12" t="str">
        <f t="shared" si="5"/>
        <v>(02;59)</v>
      </c>
      <c r="BK40" s="12" t="str">
        <f t="shared" si="5"/>
        <v>(02;60)</v>
      </c>
      <c r="BL40" s="12" t="str">
        <f t="shared" si="5"/>
        <v>(02;61)</v>
      </c>
      <c r="BM40" s="12" t="str">
        <f t="shared" si="5"/>
        <v>(02;62)</v>
      </c>
      <c r="BN40" s="12" t="str">
        <f t="shared" si="5"/>
        <v>(02;63)</v>
      </c>
    </row>
    <row r="41" spans="1:66">
      <c r="A41">
        <f>VLOOKUP(B41,Teste!$A$137:$G$236,7,FALSE)</f>
        <v>0</v>
      </c>
      <c r="B41">
        <f t="shared" si="7"/>
        <v>3</v>
      </c>
      <c r="C41" s="12" t="str">
        <f t="shared" si="6"/>
        <v>(03;00)</v>
      </c>
      <c r="D41" s="12" t="str">
        <f t="shared" si="5"/>
        <v>(03;01)</v>
      </c>
      <c r="E41" s="12" t="str">
        <f t="shared" si="5"/>
        <v>(03;02)</v>
      </c>
      <c r="F41" s="12" t="str">
        <f t="shared" si="5"/>
        <v>(03;03)</v>
      </c>
      <c r="G41" s="12" t="str">
        <f t="shared" si="5"/>
        <v>(03;04)</v>
      </c>
      <c r="H41" s="12" t="str">
        <f t="shared" si="5"/>
        <v>(03;05)</v>
      </c>
      <c r="I41" s="12" t="str">
        <f t="shared" si="5"/>
        <v>(03;06)</v>
      </c>
      <c r="J41" s="12" t="str">
        <f t="shared" si="5"/>
        <v>(03;07)</v>
      </c>
      <c r="K41" s="12" t="str">
        <f t="shared" si="5"/>
        <v>(03;08)</v>
      </c>
      <c r="L41" s="12" t="str">
        <f t="shared" si="5"/>
        <v>(03;09)</v>
      </c>
      <c r="M41" s="12" t="str">
        <f t="shared" si="5"/>
        <v>(03;10)</v>
      </c>
      <c r="N41" s="12" t="str">
        <f t="shared" si="5"/>
        <v>(03;11)</v>
      </c>
      <c r="O41" s="12" t="str">
        <f t="shared" si="5"/>
        <v>(03;12)</v>
      </c>
      <c r="P41" s="12" t="str">
        <f t="shared" si="5"/>
        <v>(03;13)</v>
      </c>
      <c r="Q41" s="12" t="str">
        <f t="shared" si="5"/>
        <v>(03;14)</v>
      </c>
      <c r="R41" s="12" t="str">
        <f t="shared" si="5"/>
        <v>(03;15)</v>
      </c>
      <c r="S41" s="12" t="str">
        <f t="shared" si="5"/>
        <v>(03;16)</v>
      </c>
      <c r="T41" s="12" t="str">
        <f t="shared" si="5"/>
        <v>(03;17)</v>
      </c>
      <c r="U41" s="12" t="str">
        <f t="shared" si="5"/>
        <v>(03;18)</v>
      </c>
      <c r="V41" s="12" t="str">
        <f t="shared" si="5"/>
        <v>(03;19)</v>
      </c>
      <c r="W41" s="12" t="str">
        <f t="shared" si="5"/>
        <v>(03;20)</v>
      </c>
      <c r="X41" s="12" t="str">
        <f t="shared" si="5"/>
        <v>(03;21)</v>
      </c>
      <c r="Y41" s="12" t="str">
        <f t="shared" si="5"/>
        <v>(03;22)</v>
      </c>
      <c r="Z41" s="12" t="str">
        <f t="shared" si="5"/>
        <v>(03;23)</v>
      </c>
      <c r="AA41" s="12" t="str">
        <f t="shared" si="5"/>
        <v>(03;24)</v>
      </c>
      <c r="AB41" s="12" t="str">
        <f t="shared" si="5"/>
        <v>(03;25)</v>
      </c>
      <c r="AC41" s="12" t="str">
        <f t="shared" si="5"/>
        <v>(03;26)</v>
      </c>
      <c r="AD41" s="12" t="str">
        <f t="shared" si="5"/>
        <v>(03;27)</v>
      </c>
      <c r="AE41" s="12" t="str">
        <f t="shared" si="5"/>
        <v>(03;28)</v>
      </c>
      <c r="AF41" s="12" t="str">
        <f t="shared" si="5"/>
        <v>(03;29)</v>
      </c>
      <c r="AG41" s="12" t="str">
        <f t="shared" si="5"/>
        <v>(03;30)</v>
      </c>
      <c r="AH41" s="12" t="str">
        <f t="shared" si="5"/>
        <v>(03;31)</v>
      </c>
      <c r="AI41" s="12" t="str">
        <f t="shared" si="5"/>
        <v>(03;32)</v>
      </c>
      <c r="AJ41" s="12" t="str">
        <f t="shared" si="5"/>
        <v>(03;33)</v>
      </c>
      <c r="AK41" s="12" t="str">
        <f t="shared" si="5"/>
        <v>(03;34)</v>
      </c>
      <c r="AL41" s="12" t="str">
        <f t="shared" si="5"/>
        <v>(03;35)</v>
      </c>
      <c r="AM41" s="12" t="str">
        <f t="shared" si="5"/>
        <v>(03;36)</v>
      </c>
      <c r="AN41" s="12" t="str">
        <f t="shared" si="5"/>
        <v>(03;37)</v>
      </c>
      <c r="AO41" s="12" t="str">
        <f t="shared" si="5"/>
        <v>(03;38)</v>
      </c>
      <c r="AP41" s="12" t="str">
        <f t="shared" si="5"/>
        <v>(03;39)</v>
      </c>
      <c r="AQ41" s="12" t="str">
        <f t="shared" si="5"/>
        <v>(03;40)</v>
      </c>
      <c r="AR41" s="12" t="str">
        <f t="shared" si="5"/>
        <v>(03;41)</v>
      </c>
      <c r="AS41" s="12" t="str">
        <f t="shared" si="5"/>
        <v>(03;42)</v>
      </c>
      <c r="AT41" s="12" t="str">
        <f t="shared" si="5"/>
        <v>(03;43)</v>
      </c>
      <c r="AU41" s="12" t="str">
        <f t="shared" si="5"/>
        <v>(03;44)</v>
      </c>
      <c r="AV41" s="12" t="str">
        <f t="shared" si="5"/>
        <v>(03;45)</v>
      </c>
      <c r="AW41" s="12" t="str">
        <f t="shared" si="5"/>
        <v>(03;46)</v>
      </c>
      <c r="AX41" s="12" t="str">
        <f t="shared" si="5"/>
        <v>(03;47)</v>
      </c>
      <c r="AY41" s="12" t="str">
        <f t="shared" si="5"/>
        <v>(03;48)</v>
      </c>
      <c r="AZ41" s="12" t="str">
        <f t="shared" si="5"/>
        <v>(03;49)</v>
      </c>
      <c r="BA41" s="12" t="str">
        <f t="shared" si="5"/>
        <v>(03;50)</v>
      </c>
      <c r="BB41" s="12" t="str">
        <f t="shared" si="5"/>
        <v>(03;51)</v>
      </c>
      <c r="BC41" s="12" t="str">
        <f t="shared" si="5"/>
        <v>(03;52)</v>
      </c>
      <c r="BD41" s="12" t="str">
        <f t="shared" si="5"/>
        <v>(03;53)</v>
      </c>
      <c r="BE41" s="12" t="str">
        <f t="shared" si="5"/>
        <v>(03;54)</v>
      </c>
      <c r="BF41" s="12" t="str">
        <f t="shared" si="5"/>
        <v>(03;55)</v>
      </c>
      <c r="BG41" s="12" t="str">
        <f t="shared" si="5"/>
        <v>(03;56)</v>
      </c>
      <c r="BH41" s="12" t="str">
        <f t="shared" si="5"/>
        <v>(03;57)</v>
      </c>
      <c r="BI41" s="12" t="str">
        <f t="shared" si="5"/>
        <v>(03;58)</v>
      </c>
      <c r="BJ41" s="12" t="str">
        <f t="shared" si="5"/>
        <v>(03;59)</v>
      </c>
      <c r="BK41" s="12" t="str">
        <f t="shared" si="5"/>
        <v>(03;60)</v>
      </c>
      <c r="BL41" s="12" t="str">
        <f t="shared" si="5"/>
        <v>(03;61)</v>
      </c>
      <c r="BM41" s="12" t="str">
        <f t="shared" si="5"/>
        <v>(03;62)</v>
      </c>
      <c r="BN41" s="12" t="str">
        <f t="shared" si="5"/>
        <v>(03;63)</v>
      </c>
    </row>
    <row r="42" spans="1:66">
      <c r="A42">
        <f>VLOOKUP(B42,Teste!$A$137:$G$236,7,FALSE)</f>
        <v>0</v>
      </c>
      <c r="B42">
        <f t="shared" si="7"/>
        <v>4</v>
      </c>
      <c r="C42" s="12" t="str">
        <f t="shared" si="6"/>
        <v>(04;00)</v>
      </c>
      <c r="D42" s="12" t="str">
        <f t="shared" si="5"/>
        <v>(04;01)</v>
      </c>
      <c r="E42" s="12" t="str">
        <f t="shared" si="5"/>
        <v>(04;02)</v>
      </c>
      <c r="F42" s="12" t="str">
        <f t="shared" si="5"/>
        <v>(04;03)</v>
      </c>
      <c r="G42" s="12" t="str">
        <f t="shared" ref="G42:V57" si="8">CONCATENATE("(",TEXT($B42,"00"),";",TEXT(G$37,"00"),")")</f>
        <v>(04;04)</v>
      </c>
      <c r="H42" s="12" t="str">
        <f t="shared" si="8"/>
        <v>(04;05)</v>
      </c>
      <c r="I42" s="12" t="str">
        <f t="shared" si="8"/>
        <v>(04;06)</v>
      </c>
      <c r="J42" s="12" t="str">
        <f t="shared" si="8"/>
        <v>(04;07)</v>
      </c>
      <c r="K42" s="12" t="str">
        <f t="shared" si="8"/>
        <v>(04;08)</v>
      </c>
      <c r="L42" s="12" t="str">
        <f t="shared" si="8"/>
        <v>(04;09)</v>
      </c>
      <c r="M42" s="12" t="str">
        <f t="shared" si="8"/>
        <v>(04;10)</v>
      </c>
      <c r="N42" s="12" t="str">
        <f t="shared" si="8"/>
        <v>(04;11)</v>
      </c>
      <c r="O42" s="12" t="str">
        <f t="shared" si="8"/>
        <v>(04;12)</v>
      </c>
      <c r="P42" s="12" t="str">
        <f t="shared" si="8"/>
        <v>(04;13)</v>
      </c>
      <c r="Q42" s="12" t="str">
        <f t="shared" si="8"/>
        <v>(04;14)</v>
      </c>
      <c r="R42" s="12" t="str">
        <f t="shared" si="8"/>
        <v>(04;15)</v>
      </c>
      <c r="S42" s="12" t="str">
        <f t="shared" si="8"/>
        <v>(04;16)</v>
      </c>
      <c r="T42" s="12" t="str">
        <f t="shared" si="8"/>
        <v>(04;17)</v>
      </c>
      <c r="U42" s="12" t="str">
        <f t="shared" si="8"/>
        <v>(04;18)</v>
      </c>
      <c r="V42" s="12" t="str">
        <f t="shared" si="8"/>
        <v>(04;19)</v>
      </c>
      <c r="W42" s="12" t="str">
        <f t="shared" ref="W42:AL57" si="9">CONCATENATE("(",TEXT($B42,"00"),";",TEXT(W$37,"00"),")")</f>
        <v>(04;20)</v>
      </c>
      <c r="X42" s="12" t="str">
        <f t="shared" si="9"/>
        <v>(04;21)</v>
      </c>
      <c r="Y42" s="12" t="str">
        <f t="shared" si="9"/>
        <v>(04;22)</v>
      </c>
      <c r="Z42" s="12" t="str">
        <f t="shared" si="9"/>
        <v>(04;23)</v>
      </c>
      <c r="AA42" s="12" t="str">
        <f t="shared" si="9"/>
        <v>(04;24)</v>
      </c>
      <c r="AB42" s="12" t="str">
        <f t="shared" si="9"/>
        <v>(04;25)</v>
      </c>
      <c r="AC42" s="12" t="str">
        <f t="shared" si="9"/>
        <v>(04;26)</v>
      </c>
      <c r="AD42" s="12" t="str">
        <f t="shared" si="9"/>
        <v>(04;27)</v>
      </c>
      <c r="AE42" s="12" t="str">
        <f t="shared" si="9"/>
        <v>(04;28)</v>
      </c>
      <c r="AF42" s="12" t="str">
        <f t="shared" si="9"/>
        <v>(04;29)</v>
      </c>
      <c r="AG42" s="12" t="str">
        <f t="shared" si="9"/>
        <v>(04;30)</v>
      </c>
      <c r="AH42" s="12" t="str">
        <f t="shared" si="9"/>
        <v>(04;31)</v>
      </c>
      <c r="AI42" s="12" t="str">
        <f t="shared" si="9"/>
        <v>(04;32)</v>
      </c>
      <c r="AJ42" s="12" t="str">
        <f t="shared" si="9"/>
        <v>(04;33)</v>
      </c>
      <c r="AK42" s="12" t="str">
        <f t="shared" si="9"/>
        <v>(04;34)</v>
      </c>
      <c r="AL42" s="12" t="str">
        <f t="shared" si="9"/>
        <v>(04;35)</v>
      </c>
      <c r="AM42" s="12" t="str">
        <f t="shared" ref="AM42:BB71" si="10">CONCATENATE("(",TEXT($B42,"00"),";",TEXT(AM$37,"00"),")")</f>
        <v>(04;36)</v>
      </c>
      <c r="AN42" s="12" t="str">
        <f t="shared" si="10"/>
        <v>(04;37)</v>
      </c>
      <c r="AO42" s="12" t="str">
        <f t="shared" si="10"/>
        <v>(04;38)</v>
      </c>
      <c r="AP42" s="12" t="str">
        <f t="shared" si="10"/>
        <v>(04;39)</v>
      </c>
      <c r="AQ42" s="12" t="str">
        <f t="shared" si="10"/>
        <v>(04;40)</v>
      </c>
      <c r="AR42" s="12" t="str">
        <f t="shared" si="10"/>
        <v>(04;41)</v>
      </c>
      <c r="AS42" s="12" t="str">
        <f t="shared" si="10"/>
        <v>(04;42)</v>
      </c>
      <c r="AT42" s="12" t="str">
        <f t="shared" si="10"/>
        <v>(04;43)</v>
      </c>
      <c r="AU42" s="12" t="str">
        <f t="shared" si="10"/>
        <v>(04;44)</v>
      </c>
      <c r="AV42" s="12" t="str">
        <f t="shared" si="10"/>
        <v>(04;45)</v>
      </c>
      <c r="AW42" s="12" t="str">
        <f t="shared" si="10"/>
        <v>(04;46)</v>
      </c>
      <c r="AX42" s="12" t="str">
        <f t="shared" si="10"/>
        <v>(04;47)</v>
      </c>
      <c r="AY42" s="12" t="str">
        <f t="shared" si="10"/>
        <v>(04;48)</v>
      </c>
      <c r="AZ42" s="12" t="str">
        <f t="shared" si="10"/>
        <v>(04;49)</v>
      </c>
      <c r="BA42" s="12" t="str">
        <f t="shared" si="10"/>
        <v>(04;50)</v>
      </c>
      <c r="BB42" s="12" t="str">
        <f t="shared" si="10"/>
        <v>(04;51)</v>
      </c>
      <c r="BC42" s="12" t="str">
        <f t="shared" ref="BC42:BN63" si="11">CONCATENATE("(",TEXT($B42,"00"),";",TEXT(BC$37,"00"),")")</f>
        <v>(04;52)</v>
      </c>
      <c r="BD42" s="12" t="str">
        <f t="shared" si="11"/>
        <v>(04;53)</v>
      </c>
      <c r="BE42" s="12" t="str">
        <f t="shared" si="11"/>
        <v>(04;54)</v>
      </c>
      <c r="BF42" s="12" t="str">
        <f t="shared" si="11"/>
        <v>(04;55)</v>
      </c>
      <c r="BG42" s="12" t="str">
        <f t="shared" si="11"/>
        <v>(04;56)</v>
      </c>
      <c r="BH42" s="12" t="str">
        <f t="shared" si="11"/>
        <v>(04;57)</v>
      </c>
      <c r="BI42" s="12" t="str">
        <f t="shared" si="11"/>
        <v>(04;58)</v>
      </c>
      <c r="BJ42" s="12" t="str">
        <f t="shared" si="11"/>
        <v>(04;59)</v>
      </c>
      <c r="BK42" s="12" t="str">
        <f t="shared" si="11"/>
        <v>(04;60)</v>
      </c>
      <c r="BL42" s="12" t="str">
        <f t="shared" si="11"/>
        <v>(04;61)</v>
      </c>
      <c r="BM42" s="12" t="str">
        <f t="shared" si="11"/>
        <v>(04;62)</v>
      </c>
      <c r="BN42" s="12" t="str">
        <f t="shared" si="11"/>
        <v>(04;63)</v>
      </c>
    </row>
    <row r="43" spans="1:66">
      <c r="A43">
        <f>VLOOKUP(B43,Teste!$A$137:$G$236,7,FALSE)</f>
        <v>0</v>
      </c>
      <c r="B43">
        <f t="shared" si="7"/>
        <v>5</v>
      </c>
      <c r="C43" s="12" t="str">
        <f t="shared" si="6"/>
        <v>(05;00)</v>
      </c>
      <c r="D43" s="12" t="str">
        <f t="shared" si="6"/>
        <v>(05;01)</v>
      </c>
      <c r="E43" s="12" t="str">
        <f t="shared" si="6"/>
        <v>(05;02)</v>
      </c>
      <c r="F43" s="12" t="str">
        <f t="shared" si="6"/>
        <v>(05;03)</v>
      </c>
      <c r="G43" s="12" t="str">
        <f t="shared" si="6"/>
        <v>(05;04)</v>
      </c>
      <c r="H43" s="12" t="str">
        <f t="shared" si="6"/>
        <v>(05;05)</v>
      </c>
      <c r="I43" s="12" t="str">
        <f t="shared" si="6"/>
        <v>(05;06)</v>
      </c>
      <c r="J43" s="12" t="str">
        <f t="shared" si="6"/>
        <v>(05;07)</v>
      </c>
      <c r="K43" s="12" t="str">
        <f t="shared" si="6"/>
        <v>(05;08)</v>
      </c>
      <c r="L43" s="12" t="str">
        <f t="shared" si="6"/>
        <v>(05;09)</v>
      </c>
      <c r="M43" s="12" t="str">
        <f t="shared" si="6"/>
        <v>(05;10)</v>
      </c>
      <c r="N43" s="12" t="str">
        <f t="shared" si="6"/>
        <v>(05;11)</v>
      </c>
      <c r="O43" s="12" t="str">
        <f t="shared" si="6"/>
        <v>(05;12)</v>
      </c>
      <c r="P43" s="12" t="str">
        <f t="shared" si="6"/>
        <v>(05;13)</v>
      </c>
      <c r="Q43" s="12" t="str">
        <f t="shared" si="6"/>
        <v>(05;14)</v>
      </c>
      <c r="R43" s="12" t="str">
        <f t="shared" si="6"/>
        <v>(05;15)</v>
      </c>
      <c r="S43" s="12" t="str">
        <f t="shared" si="8"/>
        <v>(05;16)</v>
      </c>
      <c r="T43" s="12" t="str">
        <f t="shared" si="8"/>
        <v>(05;17)</v>
      </c>
      <c r="U43" s="12" t="str">
        <f t="shared" si="8"/>
        <v>(05;18)</v>
      </c>
      <c r="V43" s="12" t="str">
        <f t="shared" si="8"/>
        <v>(05;19)</v>
      </c>
      <c r="W43" s="12" t="str">
        <f t="shared" si="9"/>
        <v>(05;20)</v>
      </c>
      <c r="X43" s="12" t="str">
        <f t="shared" si="9"/>
        <v>(05;21)</v>
      </c>
      <c r="Y43" s="12" t="str">
        <f t="shared" si="9"/>
        <v>(05;22)</v>
      </c>
      <c r="Z43" s="12" t="str">
        <f t="shared" si="9"/>
        <v>(05;23)</v>
      </c>
      <c r="AA43" s="12" t="str">
        <f t="shared" si="9"/>
        <v>(05;24)</v>
      </c>
      <c r="AB43" s="12" t="str">
        <f t="shared" si="9"/>
        <v>(05;25)</v>
      </c>
      <c r="AC43" s="12" t="str">
        <f t="shared" si="9"/>
        <v>(05;26)</v>
      </c>
      <c r="AD43" s="12" t="str">
        <f t="shared" si="9"/>
        <v>(05;27)</v>
      </c>
      <c r="AE43" s="12" t="str">
        <f t="shared" si="9"/>
        <v>(05;28)</v>
      </c>
      <c r="AF43" s="12" t="str">
        <f t="shared" si="9"/>
        <v>(05;29)</v>
      </c>
      <c r="AG43" s="12" t="str">
        <f t="shared" si="9"/>
        <v>(05;30)</v>
      </c>
      <c r="AH43" s="12" t="str">
        <f t="shared" si="9"/>
        <v>(05;31)</v>
      </c>
      <c r="AI43" s="12" t="str">
        <f t="shared" si="9"/>
        <v>(05;32)</v>
      </c>
      <c r="AJ43" s="12" t="str">
        <f t="shared" si="9"/>
        <v>(05;33)</v>
      </c>
      <c r="AK43" s="12" t="str">
        <f t="shared" si="9"/>
        <v>(05;34)</v>
      </c>
      <c r="AL43" s="12" t="str">
        <f t="shared" si="9"/>
        <v>(05;35)</v>
      </c>
      <c r="AM43" s="12" t="str">
        <f t="shared" si="10"/>
        <v>(05;36)</v>
      </c>
      <c r="AN43" s="12" t="str">
        <f t="shared" si="10"/>
        <v>(05;37)</v>
      </c>
      <c r="AO43" s="12" t="str">
        <f t="shared" si="10"/>
        <v>(05;38)</v>
      </c>
      <c r="AP43" s="12" t="str">
        <f t="shared" si="10"/>
        <v>(05;39)</v>
      </c>
      <c r="AQ43" s="12" t="str">
        <f t="shared" si="10"/>
        <v>(05;40)</v>
      </c>
      <c r="AR43" s="12" t="str">
        <f t="shared" si="10"/>
        <v>(05;41)</v>
      </c>
      <c r="AS43" s="12" t="str">
        <f t="shared" si="10"/>
        <v>(05;42)</v>
      </c>
      <c r="AT43" s="12" t="str">
        <f t="shared" si="10"/>
        <v>(05;43)</v>
      </c>
      <c r="AU43" s="12" t="str">
        <f t="shared" si="10"/>
        <v>(05;44)</v>
      </c>
      <c r="AV43" s="12" t="str">
        <f t="shared" si="10"/>
        <v>(05;45)</v>
      </c>
      <c r="AW43" s="12" t="str">
        <f t="shared" si="10"/>
        <v>(05;46)</v>
      </c>
      <c r="AX43" s="12" t="str">
        <f t="shared" si="10"/>
        <v>(05;47)</v>
      </c>
      <c r="AY43" s="12" t="str">
        <f t="shared" si="10"/>
        <v>(05;48)</v>
      </c>
      <c r="AZ43" s="12" t="str">
        <f t="shared" si="10"/>
        <v>(05;49)</v>
      </c>
      <c r="BA43" s="12" t="str">
        <f t="shared" si="10"/>
        <v>(05;50)</v>
      </c>
      <c r="BB43" s="12" t="str">
        <f t="shared" si="10"/>
        <v>(05;51)</v>
      </c>
      <c r="BC43" s="12" t="str">
        <f t="shared" si="11"/>
        <v>(05;52)</v>
      </c>
      <c r="BD43" s="12" t="str">
        <f t="shared" si="11"/>
        <v>(05;53)</v>
      </c>
      <c r="BE43" s="12" t="str">
        <f t="shared" si="11"/>
        <v>(05;54)</v>
      </c>
      <c r="BF43" s="12" t="str">
        <f t="shared" si="11"/>
        <v>(05;55)</v>
      </c>
      <c r="BG43" s="12" t="str">
        <f t="shared" si="11"/>
        <v>(05;56)</v>
      </c>
      <c r="BH43" s="12" t="str">
        <f t="shared" si="11"/>
        <v>(05;57)</v>
      </c>
      <c r="BI43" s="12" t="str">
        <f t="shared" si="11"/>
        <v>(05;58)</v>
      </c>
      <c r="BJ43" s="12" t="str">
        <f t="shared" si="11"/>
        <v>(05;59)</v>
      </c>
      <c r="BK43" s="12" t="str">
        <f t="shared" si="11"/>
        <v>(05;60)</v>
      </c>
      <c r="BL43" s="12" t="str">
        <f t="shared" si="11"/>
        <v>(05;61)</v>
      </c>
      <c r="BM43" s="12" t="str">
        <f t="shared" si="11"/>
        <v>(05;62)</v>
      </c>
      <c r="BN43" s="12" t="str">
        <f t="shared" si="11"/>
        <v>(05;63)</v>
      </c>
    </row>
    <row r="44" spans="1:66">
      <c r="A44">
        <f>VLOOKUP(B44,Teste!$A$137:$G$236,7,FALSE)</f>
        <v>0</v>
      </c>
      <c r="B44">
        <f t="shared" si="7"/>
        <v>6</v>
      </c>
      <c r="C44" s="12" t="str">
        <f t="shared" si="6"/>
        <v>(06;00)</v>
      </c>
      <c r="D44" s="12" t="str">
        <f t="shared" si="6"/>
        <v>(06;01)</v>
      </c>
      <c r="E44" s="12" t="str">
        <f t="shared" si="6"/>
        <v>(06;02)</v>
      </c>
      <c r="F44" s="12" t="str">
        <f t="shared" si="6"/>
        <v>(06;03)</v>
      </c>
      <c r="G44" s="12" t="str">
        <f t="shared" si="6"/>
        <v>(06;04)</v>
      </c>
      <c r="H44" s="12" t="str">
        <f t="shared" si="6"/>
        <v>(06;05)</v>
      </c>
      <c r="I44" s="12" t="str">
        <f t="shared" si="6"/>
        <v>(06;06)</v>
      </c>
      <c r="J44" s="12" t="str">
        <f t="shared" si="6"/>
        <v>(06;07)</v>
      </c>
      <c r="K44" s="12" t="str">
        <f t="shared" si="6"/>
        <v>(06;08)</v>
      </c>
      <c r="L44" s="12" t="str">
        <f t="shared" si="6"/>
        <v>(06;09)</v>
      </c>
      <c r="M44" s="12" t="str">
        <f t="shared" si="6"/>
        <v>(06;10)</v>
      </c>
      <c r="N44" s="12" t="str">
        <f t="shared" si="6"/>
        <v>(06;11)</v>
      </c>
      <c r="O44" s="12" t="str">
        <f t="shared" si="6"/>
        <v>(06;12)</v>
      </c>
      <c r="P44" s="12" t="str">
        <f t="shared" si="6"/>
        <v>(06;13)</v>
      </c>
      <c r="Q44" s="12" t="str">
        <f t="shared" si="6"/>
        <v>(06;14)</v>
      </c>
      <c r="R44" s="12" t="str">
        <f t="shared" si="6"/>
        <v>(06;15)</v>
      </c>
      <c r="S44" s="12" t="str">
        <f t="shared" si="8"/>
        <v>(06;16)</v>
      </c>
      <c r="T44" s="12" t="str">
        <f t="shared" si="8"/>
        <v>(06;17)</v>
      </c>
      <c r="U44" s="12" t="str">
        <f t="shared" si="8"/>
        <v>(06;18)</v>
      </c>
      <c r="V44" s="12" t="str">
        <f t="shared" si="8"/>
        <v>(06;19)</v>
      </c>
      <c r="W44" s="12" t="str">
        <f t="shared" si="9"/>
        <v>(06;20)</v>
      </c>
      <c r="X44" s="12" t="str">
        <f t="shared" si="9"/>
        <v>(06;21)</v>
      </c>
      <c r="Y44" s="12" t="str">
        <f t="shared" si="9"/>
        <v>(06;22)</v>
      </c>
      <c r="Z44" s="12" t="str">
        <f t="shared" si="9"/>
        <v>(06;23)</v>
      </c>
      <c r="AA44" s="12" t="str">
        <f t="shared" si="9"/>
        <v>(06;24)</v>
      </c>
      <c r="AB44" s="12" t="str">
        <f t="shared" si="9"/>
        <v>(06;25)</v>
      </c>
      <c r="AC44" s="12" t="str">
        <f t="shared" si="9"/>
        <v>(06;26)</v>
      </c>
      <c r="AD44" s="12" t="str">
        <f t="shared" si="9"/>
        <v>(06;27)</v>
      </c>
      <c r="AE44" s="12" t="str">
        <f t="shared" si="9"/>
        <v>(06;28)</v>
      </c>
      <c r="AF44" s="12" t="str">
        <f t="shared" si="9"/>
        <v>(06;29)</v>
      </c>
      <c r="AG44" s="12" t="str">
        <f t="shared" si="9"/>
        <v>(06;30)</v>
      </c>
      <c r="AH44" s="12" t="str">
        <f t="shared" si="9"/>
        <v>(06;31)</v>
      </c>
      <c r="AI44" s="12" t="str">
        <f t="shared" si="9"/>
        <v>(06;32)</v>
      </c>
      <c r="AJ44" s="12" t="str">
        <f t="shared" si="9"/>
        <v>(06;33)</v>
      </c>
      <c r="AK44" s="12" t="str">
        <f t="shared" si="9"/>
        <v>(06;34)</v>
      </c>
      <c r="AL44" s="12" t="str">
        <f t="shared" si="9"/>
        <v>(06;35)</v>
      </c>
      <c r="AM44" s="12" t="str">
        <f t="shared" si="10"/>
        <v>(06;36)</v>
      </c>
      <c r="AN44" s="12" t="str">
        <f t="shared" si="10"/>
        <v>(06;37)</v>
      </c>
      <c r="AO44" s="12" t="str">
        <f t="shared" si="10"/>
        <v>(06;38)</v>
      </c>
      <c r="AP44" s="12" t="str">
        <f t="shared" si="10"/>
        <v>(06;39)</v>
      </c>
      <c r="AQ44" s="12" t="str">
        <f t="shared" si="10"/>
        <v>(06;40)</v>
      </c>
      <c r="AR44" s="12" t="str">
        <f t="shared" si="10"/>
        <v>(06;41)</v>
      </c>
      <c r="AS44" s="12" t="str">
        <f t="shared" si="10"/>
        <v>(06;42)</v>
      </c>
      <c r="AT44" s="12" t="str">
        <f t="shared" si="10"/>
        <v>(06;43)</v>
      </c>
      <c r="AU44" s="12" t="str">
        <f t="shared" si="10"/>
        <v>(06;44)</v>
      </c>
      <c r="AV44" s="12" t="str">
        <f t="shared" si="10"/>
        <v>(06;45)</v>
      </c>
      <c r="AW44" s="12" t="str">
        <f t="shared" si="10"/>
        <v>(06;46)</v>
      </c>
      <c r="AX44" s="12" t="str">
        <f t="shared" si="10"/>
        <v>(06;47)</v>
      </c>
      <c r="AY44" s="12" t="str">
        <f t="shared" si="10"/>
        <v>(06;48)</v>
      </c>
      <c r="AZ44" s="12" t="str">
        <f t="shared" si="10"/>
        <v>(06;49)</v>
      </c>
      <c r="BA44" s="12" t="str">
        <f t="shared" si="10"/>
        <v>(06;50)</v>
      </c>
      <c r="BB44" s="12" t="str">
        <f t="shared" si="10"/>
        <v>(06;51)</v>
      </c>
      <c r="BC44" s="12" t="str">
        <f t="shared" si="11"/>
        <v>(06;52)</v>
      </c>
      <c r="BD44" s="12" t="str">
        <f t="shared" si="11"/>
        <v>(06;53)</v>
      </c>
      <c r="BE44" s="12" t="str">
        <f t="shared" si="11"/>
        <v>(06;54)</v>
      </c>
      <c r="BF44" s="12" t="str">
        <f t="shared" si="11"/>
        <v>(06;55)</v>
      </c>
      <c r="BG44" s="12" t="str">
        <f t="shared" si="11"/>
        <v>(06;56)</v>
      </c>
      <c r="BH44" s="12" t="str">
        <f t="shared" si="11"/>
        <v>(06;57)</v>
      </c>
      <c r="BI44" s="12" t="str">
        <f t="shared" si="11"/>
        <v>(06;58)</v>
      </c>
      <c r="BJ44" s="12" t="str">
        <f t="shared" si="11"/>
        <v>(06;59)</v>
      </c>
      <c r="BK44" s="12" t="str">
        <f t="shared" si="11"/>
        <v>(06;60)</v>
      </c>
      <c r="BL44" s="12" t="str">
        <f t="shared" si="11"/>
        <v>(06;61)</v>
      </c>
      <c r="BM44" s="12" t="str">
        <f t="shared" si="11"/>
        <v>(06;62)</v>
      </c>
      <c r="BN44" s="12" t="str">
        <f t="shared" si="11"/>
        <v>(06;63)</v>
      </c>
    </row>
    <row r="45" spans="1:66">
      <c r="A45">
        <f>VLOOKUP(B45,Teste!$A$137:$G$236,7,FALSE)</f>
        <v>0</v>
      </c>
      <c r="B45">
        <f t="shared" si="7"/>
        <v>7</v>
      </c>
      <c r="C45" s="12" t="str">
        <f t="shared" si="6"/>
        <v>(07;00)</v>
      </c>
      <c r="D45" s="12" t="str">
        <f t="shared" si="6"/>
        <v>(07;01)</v>
      </c>
      <c r="E45" s="12" t="str">
        <f t="shared" si="6"/>
        <v>(07;02)</v>
      </c>
      <c r="F45" s="12" t="str">
        <f t="shared" si="6"/>
        <v>(07;03)</v>
      </c>
      <c r="G45" s="12" t="str">
        <f t="shared" si="6"/>
        <v>(07;04)</v>
      </c>
      <c r="H45" s="12" t="str">
        <f t="shared" si="6"/>
        <v>(07;05)</v>
      </c>
      <c r="I45" s="12" t="str">
        <f t="shared" si="6"/>
        <v>(07;06)</v>
      </c>
      <c r="J45" s="12" t="str">
        <f t="shared" si="6"/>
        <v>(07;07)</v>
      </c>
      <c r="K45" s="12" t="str">
        <f t="shared" si="6"/>
        <v>(07;08)</v>
      </c>
      <c r="L45" s="12" t="str">
        <f t="shared" si="6"/>
        <v>(07;09)</v>
      </c>
      <c r="M45" s="12" t="str">
        <f t="shared" si="6"/>
        <v>(07;10)</v>
      </c>
      <c r="N45" s="12" t="str">
        <f t="shared" si="6"/>
        <v>(07;11)</v>
      </c>
      <c r="O45" s="12" t="str">
        <f t="shared" si="6"/>
        <v>(07;12)</v>
      </c>
      <c r="P45" s="12" t="str">
        <f t="shared" si="6"/>
        <v>(07;13)</v>
      </c>
      <c r="Q45" s="12" t="str">
        <f t="shared" si="6"/>
        <v>(07;14)</v>
      </c>
      <c r="R45" s="12" t="str">
        <f t="shared" si="6"/>
        <v>(07;15)</v>
      </c>
      <c r="S45" s="12" t="str">
        <f t="shared" si="8"/>
        <v>(07;16)</v>
      </c>
      <c r="T45" s="12" t="str">
        <f t="shared" si="8"/>
        <v>(07;17)</v>
      </c>
      <c r="U45" s="12" t="str">
        <f t="shared" si="8"/>
        <v>(07;18)</v>
      </c>
      <c r="V45" s="12" t="str">
        <f t="shared" si="8"/>
        <v>(07;19)</v>
      </c>
      <c r="W45" s="12" t="str">
        <f t="shared" si="9"/>
        <v>(07;20)</v>
      </c>
      <c r="X45" s="12" t="str">
        <f t="shared" si="9"/>
        <v>(07;21)</v>
      </c>
      <c r="Y45" s="12" t="str">
        <f t="shared" si="9"/>
        <v>(07;22)</v>
      </c>
      <c r="Z45" s="12" t="str">
        <f t="shared" si="9"/>
        <v>(07;23)</v>
      </c>
      <c r="AA45" s="12" t="str">
        <f t="shared" si="9"/>
        <v>(07;24)</v>
      </c>
      <c r="AB45" s="12" t="str">
        <f t="shared" si="9"/>
        <v>(07;25)</v>
      </c>
      <c r="AC45" s="12" t="str">
        <f t="shared" si="9"/>
        <v>(07;26)</v>
      </c>
      <c r="AD45" s="12" t="str">
        <f t="shared" si="9"/>
        <v>(07;27)</v>
      </c>
      <c r="AE45" s="12" t="str">
        <f t="shared" si="9"/>
        <v>(07;28)</v>
      </c>
      <c r="AF45" s="12" t="str">
        <f t="shared" si="9"/>
        <v>(07;29)</v>
      </c>
      <c r="AG45" s="12" t="str">
        <f t="shared" si="9"/>
        <v>(07;30)</v>
      </c>
      <c r="AH45" s="12" t="str">
        <f t="shared" si="9"/>
        <v>(07;31)</v>
      </c>
      <c r="AI45" s="12" t="str">
        <f t="shared" si="9"/>
        <v>(07;32)</v>
      </c>
      <c r="AJ45" s="12" t="str">
        <f t="shared" si="9"/>
        <v>(07;33)</v>
      </c>
      <c r="AK45" s="12" t="str">
        <f t="shared" si="9"/>
        <v>(07;34)</v>
      </c>
      <c r="AL45" s="12" t="str">
        <f t="shared" si="9"/>
        <v>(07;35)</v>
      </c>
      <c r="AM45" s="12" t="str">
        <f t="shared" si="10"/>
        <v>(07;36)</v>
      </c>
      <c r="AN45" s="12" t="str">
        <f t="shared" si="10"/>
        <v>(07;37)</v>
      </c>
      <c r="AO45" s="12" t="str">
        <f t="shared" si="10"/>
        <v>(07;38)</v>
      </c>
      <c r="AP45" s="12" t="str">
        <f t="shared" si="10"/>
        <v>(07;39)</v>
      </c>
      <c r="AQ45" s="12" t="str">
        <f t="shared" si="10"/>
        <v>(07;40)</v>
      </c>
      <c r="AR45" s="12" t="str">
        <f t="shared" si="10"/>
        <v>(07;41)</v>
      </c>
      <c r="AS45" s="12" t="str">
        <f t="shared" si="10"/>
        <v>(07;42)</v>
      </c>
      <c r="AT45" s="12" t="str">
        <f t="shared" si="10"/>
        <v>(07;43)</v>
      </c>
      <c r="AU45" s="12" t="str">
        <f t="shared" si="10"/>
        <v>(07;44)</v>
      </c>
      <c r="AV45" s="12" t="str">
        <f t="shared" si="10"/>
        <v>(07;45)</v>
      </c>
      <c r="AW45" s="12" t="str">
        <f t="shared" si="10"/>
        <v>(07;46)</v>
      </c>
      <c r="AX45" s="12" t="str">
        <f t="shared" si="10"/>
        <v>(07;47)</v>
      </c>
      <c r="AY45" s="12" t="str">
        <f t="shared" si="10"/>
        <v>(07;48)</v>
      </c>
      <c r="AZ45" s="12" t="str">
        <f t="shared" si="10"/>
        <v>(07;49)</v>
      </c>
      <c r="BA45" s="12" t="str">
        <f t="shared" si="10"/>
        <v>(07;50)</v>
      </c>
      <c r="BB45" s="12" t="str">
        <f t="shared" si="10"/>
        <v>(07;51)</v>
      </c>
      <c r="BC45" s="12" t="str">
        <f t="shared" si="11"/>
        <v>(07;52)</v>
      </c>
      <c r="BD45" s="12" t="str">
        <f t="shared" si="11"/>
        <v>(07;53)</v>
      </c>
      <c r="BE45" s="12" t="str">
        <f t="shared" si="11"/>
        <v>(07;54)</v>
      </c>
      <c r="BF45" s="12" t="str">
        <f t="shared" si="11"/>
        <v>(07;55)</v>
      </c>
      <c r="BG45" s="12" t="str">
        <f t="shared" si="11"/>
        <v>(07;56)</v>
      </c>
      <c r="BH45" s="12" t="str">
        <f t="shared" si="11"/>
        <v>(07;57)</v>
      </c>
      <c r="BI45" s="12" t="str">
        <f t="shared" si="11"/>
        <v>(07;58)</v>
      </c>
      <c r="BJ45" s="12" t="str">
        <f t="shared" si="11"/>
        <v>(07;59)</v>
      </c>
      <c r="BK45" s="12" t="str">
        <f t="shared" si="11"/>
        <v>(07;60)</v>
      </c>
      <c r="BL45" s="12" t="str">
        <f t="shared" si="11"/>
        <v>(07;61)</v>
      </c>
      <c r="BM45" s="12" t="str">
        <f t="shared" si="11"/>
        <v>(07;62)</v>
      </c>
      <c r="BN45" s="12" t="str">
        <f t="shared" si="11"/>
        <v>(07;63)</v>
      </c>
    </row>
    <row r="46" spans="1:66">
      <c r="A46">
        <f>VLOOKUP(B46,Teste!$A$137:$G$236,7,FALSE)</f>
        <v>0</v>
      </c>
      <c r="B46">
        <f t="shared" si="7"/>
        <v>8</v>
      </c>
      <c r="C46" s="12" t="str">
        <f t="shared" si="6"/>
        <v>(08;00)</v>
      </c>
      <c r="D46" s="12" t="str">
        <f t="shared" si="6"/>
        <v>(08;01)</v>
      </c>
      <c r="E46" s="12" t="str">
        <f t="shared" si="6"/>
        <v>(08;02)</v>
      </c>
      <c r="F46" s="12" t="str">
        <f t="shared" si="6"/>
        <v>(08;03)</v>
      </c>
      <c r="G46" s="12" t="str">
        <f t="shared" si="6"/>
        <v>(08;04)</v>
      </c>
      <c r="H46" s="12" t="str">
        <f t="shared" si="6"/>
        <v>(08;05)</v>
      </c>
      <c r="I46" s="12" t="str">
        <f t="shared" si="6"/>
        <v>(08;06)</v>
      </c>
      <c r="J46" s="12" t="str">
        <f t="shared" si="6"/>
        <v>(08;07)</v>
      </c>
      <c r="K46" s="12" t="str">
        <f t="shared" si="6"/>
        <v>(08;08)</v>
      </c>
      <c r="L46" s="12" t="str">
        <f t="shared" si="6"/>
        <v>(08;09)</v>
      </c>
      <c r="M46" s="12" t="str">
        <f t="shared" si="6"/>
        <v>(08;10)</v>
      </c>
      <c r="N46" s="12" t="str">
        <f t="shared" si="6"/>
        <v>(08;11)</v>
      </c>
      <c r="O46" s="12" t="str">
        <f t="shared" si="6"/>
        <v>(08;12)</v>
      </c>
      <c r="P46" s="12" t="str">
        <f t="shared" si="6"/>
        <v>(08;13)</v>
      </c>
      <c r="Q46" s="12" t="str">
        <f t="shared" si="6"/>
        <v>(08;14)</v>
      </c>
      <c r="R46" s="12" t="str">
        <f t="shared" si="6"/>
        <v>(08;15)</v>
      </c>
      <c r="S46" s="12" t="str">
        <f t="shared" si="8"/>
        <v>(08;16)</v>
      </c>
      <c r="T46" s="12" t="str">
        <f t="shared" si="8"/>
        <v>(08;17)</v>
      </c>
      <c r="U46" s="12" t="str">
        <f t="shared" si="8"/>
        <v>(08;18)</v>
      </c>
      <c r="V46" s="12" t="str">
        <f t="shared" si="8"/>
        <v>(08;19)</v>
      </c>
      <c r="W46" s="12" t="str">
        <f t="shared" si="9"/>
        <v>(08;20)</v>
      </c>
      <c r="X46" s="12" t="str">
        <f t="shared" si="9"/>
        <v>(08;21)</v>
      </c>
      <c r="Y46" s="12" t="str">
        <f t="shared" si="9"/>
        <v>(08;22)</v>
      </c>
      <c r="Z46" s="12" t="str">
        <f t="shared" si="9"/>
        <v>(08;23)</v>
      </c>
      <c r="AA46" s="12" t="str">
        <f t="shared" si="9"/>
        <v>(08;24)</v>
      </c>
      <c r="AB46" s="12" t="str">
        <f t="shared" si="9"/>
        <v>(08;25)</v>
      </c>
      <c r="AC46" s="12" t="str">
        <f t="shared" si="9"/>
        <v>(08;26)</v>
      </c>
      <c r="AD46" s="12" t="str">
        <f t="shared" si="9"/>
        <v>(08;27)</v>
      </c>
      <c r="AE46" s="12" t="str">
        <f t="shared" si="9"/>
        <v>(08;28)</v>
      </c>
      <c r="AF46" s="12" t="str">
        <f t="shared" si="9"/>
        <v>(08;29)</v>
      </c>
      <c r="AG46" s="12" t="str">
        <f t="shared" si="9"/>
        <v>(08;30)</v>
      </c>
      <c r="AH46" s="12" t="str">
        <f t="shared" si="9"/>
        <v>(08;31)</v>
      </c>
      <c r="AI46" s="12" t="str">
        <f t="shared" si="9"/>
        <v>(08;32)</v>
      </c>
      <c r="AJ46" s="12" t="str">
        <f t="shared" si="9"/>
        <v>(08;33)</v>
      </c>
      <c r="AK46" s="12" t="str">
        <f t="shared" si="9"/>
        <v>(08;34)</v>
      </c>
      <c r="AL46" s="12" t="str">
        <f t="shared" si="9"/>
        <v>(08;35)</v>
      </c>
      <c r="AM46" s="12" t="str">
        <f t="shared" si="10"/>
        <v>(08;36)</v>
      </c>
      <c r="AN46" s="12" t="str">
        <f t="shared" si="10"/>
        <v>(08;37)</v>
      </c>
      <c r="AO46" s="12" t="str">
        <f t="shared" si="10"/>
        <v>(08;38)</v>
      </c>
      <c r="AP46" s="12" t="str">
        <f t="shared" si="10"/>
        <v>(08;39)</v>
      </c>
      <c r="AQ46" s="12" t="str">
        <f t="shared" si="10"/>
        <v>(08;40)</v>
      </c>
      <c r="AR46" s="12" t="str">
        <f t="shared" si="10"/>
        <v>(08;41)</v>
      </c>
      <c r="AS46" s="12" t="str">
        <f t="shared" si="10"/>
        <v>(08;42)</v>
      </c>
      <c r="AT46" s="12" t="str">
        <f t="shared" si="10"/>
        <v>(08;43)</v>
      </c>
      <c r="AU46" s="12" t="str">
        <f t="shared" si="10"/>
        <v>(08;44)</v>
      </c>
      <c r="AV46" s="12" t="str">
        <f t="shared" si="10"/>
        <v>(08;45)</v>
      </c>
      <c r="AW46" s="12" t="str">
        <f t="shared" si="10"/>
        <v>(08;46)</v>
      </c>
      <c r="AX46" s="12" t="str">
        <f t="shared" si="10"/>
        <v>(08;47)</v>
      </c>
      <c r="AY46" s="12" t="str">
        <f t="shared" si="10"/>
        <v>(08;48)</v>
      </c>
      <c r="AZ46" s="12" t="str">
        <f t="shared" si="10"/>
        <v>(08;49)</v>
      </c>
      <c r="BA46" s="12" t="str">
        <f t="shared" si="10"/>
        <v>(08;50)</v>
      </c>
      <c r="BB46" s="12" t="str">
        <f t="shared" si="10"/>
        <v>(08;51)</v>
      </c>
      <c r="BC46" s="12" t="str">
        <f t="shared" si="11"/>
        <v>(08;52)</v>
      </c>
      <c r="BD46" s="12" t="str">
        <f t="shared" si="11"/>
        <v>(08;53)</v>
      </c>
      <c r="BE46" s="12" t="str">
        <f t="shared" si="11"/>
        <v>(08;54)</v>
      </c>
      <c r="BF46" s="12" t="str">
        <f t="shared" si="11"/>
        <v>(08;55)</v>
      </c>
      <c r="BG46" s="12" t="str">
        <f t="shared" si="11"/>
        <v>(08;56)</v>
      </c>
      <c r="BH46" s="12" t="str">
        <f t="shared" si="11"/>
        <v>(08;57)</v>
      </c>
      <c r="BI46" s="12" t="str">
        <f t="shared" si="11"/>
        <v>(08;58)</v>
      </c>
      <c r="BJ46" s="12" t="str">
        <f t="shared" si="11"/>
        <v>(08;59)</v>
      </c>
      <c r="BK46" s="12" t="str">
        <f t="shared" si="11"/>
        <v>(08;60)</v>
      </c>
      <c r="BL46" s="12" t="str">
        <f t="shared" si="11"/>
        <v>(08;61)</v>
      </c>
      <c r="BM46" s="12" t="str">
        <f t="shared" si="11"/>
        <v>(08;62)</v>
      </c>
      <c r="BN46" s="12" t="str">
        <f t="shared" si="11"/>
        <v>(08;63)</v>
      </c>
    </row>
    <row r="47" spans="1:66">
      <c r="A47">
        <f>VLOOKUP(B47,Teste!$A$137:$G$236,7,FALSE)</f>
        <v>0</v>
      </c>
      <c r="B47">
        <f t="shared" si="7"/>
        <v>9</v>
      </c>
      <c r="C47" s="12" t="str">
        <f t="shared" si="6"/>
        <v>(09;00)</v>
      </c>
      <c r="D47" s="12" t="str">
        <f t="shared" si="6"/>
        <v>(09;01)</v>
      </c>
      <c r="E47" s="12" t="str">
        <f t="shared" si="6"/>
        <v>(09;02)</v>
      </c>
      <c r="F47" s="12" t="str">
        <f t="shared" si="6"/>
        <v>(09;03)</v>
      </c>
      <c r="G47" s="12" t="str">
        <f t="shared" si="6"/>
        <v>(09;04)</v>
      </c>
      <c r="H47" s="12" t="str">
        <f t="shared" si="6"/>
        <v>(09;05)</v>
      </c>
      <c r="I47" s="12" t="str">
        <f t="shared" si="6"/>
        <v>(09;06)</v>
      </c>
      <c r="J47" s="12" t="str">
        <f t="shared" si="6"/>
        <v>(09;07)</v>
      </c>
      <c r="K47" s="12" t="str">
        <f t="shared" si="6"/>
        <v>(09;08)</v>
      </c>
      <c r="L47" s="12" t="str">
        <f t="shared" si="6"/>
        <v>(09;09)</v>
      </c>
      <c r="M47" s="12" t="str">
        <f t="shared" si="6"/>
        <v>(09;10)</v>
      </c>
      <c r="N47" s="12" t="str">
        <f t="shared" si="6"/>
        <v>(09;11)</v>
      </c>
      <c r="O47" s="12" t="str">
        <f t="shared" si="6"/>
        <v>(09;12)</v>
      </c>
      <c r="P47" s="12" t="str">
        <f t="shared" si="6"/>
        <v>(09;13)</v>
      </c>
      <c r="Q47" s="12" t="str">
        <f t="shared" si="6"/>
        <v>(09;14)</v>
      </c>
      <c r="R47" s="12" t="str">
        <f t="shared" si="6"/>
        <v>(09;15)</v>
      </c>
      <c r="S47" s="12" t="str">
        <f t="shared" si="8"/>
        <v>(09;16)</v>
      </c>
      <c r="T47" s="12" t="str">
        <f t="shared" si="8"/>
        <v>(09;17)</v>
      </c>
      <c r="U47" s="12" t="str">
        <f t="shared" si="8"/>
        <v>(09;18)</v>
      </c>
      <c r="V47" s="12" t="str">
        <f t="shared" si="8"/>
        <v>(09;19)</v>
      </c>
      <c r="W47" s="12" t="str">
        <f t="shared" si="9"/>
        <v>(09;20)</v>
      </c>
      <c r="X47" s="12" t="str">
        <f t="shared" si="9"/>
        <v>(09;21)</v>
      </c>
      <c r="Y47" s="12" t="str">
        <f t="shared" si="9"/>
        <v>(09;22)</v>
      </c>
      <c r="Z47" s="12" t="str">
        <f t="shared" si="9"/>
        <v>(09;23)</v>
      </c>
      <c r="AA47" s="12" t="str">
        <f t="shared" si="9"/>
        <v>(09;24)</v>
      </c>
      <c r="AB47" s="12" t="str">
        <f t="shared" si="9"/>
        <v>(09;25)</v>
      </c>
      <c r="AC47" s="12" t="str">
        <f t="shared" si="9"/>
        <v>(09;26)</v>
      </c>
      <c r="AD47" s="12" t="str">
        <f t="shared" si="9"/>
        <v>(09;27)</v>
      </c>
      <c r="AE47" s="12" t="str">
        <f t="shared" si="9"/>
        <v>(09;28)</v>
      </c>
      <c r="AF47" s="12" t="str">
        <f t="shared" si="9"/>
        <v>(09;29)</v>
      </c>
      <c r="AG47" s="12" t="str">
        <f t="shared" si="9"/>
        <v>(09;30)</v>
      </c>
      <c r="AH47" s="12" t="str">
        <f t="shared" si="9"/>
        <v>(09;31)</v>
      </c>
      <c r="AI47" s="12" t="str">
        <f t="shared" si="9"/>
        <v>(09;32)</v>
      </c>
      <c r="AJ47" s="12" t="str">
        <f t="shared" si="9"/>
        <v>(09;33)</v>
      </c>
      <c r="AK47" s="12" t="str">
        <f t="shared" si="9"/>
        <v>(09;34)</v>
      </c>
      <c r="AL47" s="12" t="str">
        <f t="shared" si="9"/>
        <v>(09;35)</v>
      </c>
      <c r="AM47" s="12" t="str">
        <f t="shared" si="10"/>
        <v>(09;36)</v>
      </c>
      <c r="AN47" s="12" t="str">
        <f t="shared" si="10"/>
        <v>(09;37)</v>
      </c>
      <c r="AO47" s="12" t="str">
        <f t="shared" si="10"/>
        <v>(09;38)</v>
      </c>
      <c r="AP47" s="12" t="str">
        <f t="shared" si="10"/>
        <v>(09;39)</v>
      </c>
      <c r="AQ47" s="12" t="str">
        <f t="shared" si="10"/>
        <v>(09;40)</v>
      </c>
      <c r="AR47" s="12" t="str">
        <f t="shared" si="10"/>
        <v>(09;41)</v>
      </c>
      <c r="AS47" s="12" t="str">
        <f t="shared" si="10"/>
        <v>(09;42)</v>
      </c>
      <c r="AT47" s="12" t="str">
        <f t="shared" si="10"/>
        <v>(09;43)</v>
      </c>
      <c r="AU47" s="12" t="str">
        <f t="shared" si="10"/>
        <v>(09;44)</v>
      </c>
      <c r="AV47" s="12" t="str">
        <f t="shared" si="10"/>
        <v>(09;45)</v>
      </c>
      <c r="AW47" s="12" t="str">
        <f t="shared" si="10"/>
        <v>(09;46)</v>
      </c>
      <c r="AX47" s="12" t="str">
        <f t="shared" si="10"/>
        <v>(09;47)</v>
      </c>
      <c r="AY47" s="12" t="str">
        <f t="shared" si="10"/>
        <v>(09;48)</v>
      </c>
      <c r="AZ47" s="12" t="str">
        <f t="shared" si="10"/>
        <v>(09;49)</v>
      </c>
      <c r="BA47" s="12" t="str">
        <f t="shared" si="10"/>
        <v>(09;50)</v>
      </c>
      <c r="BB47" s="12" t="str">
        <f t="shared" si="10"/>
        <v>(09;51)</v>
      </c>
      <c r="BC47" s="12" t="str">
        <f t="shared" si="11"/>
        <v>(09;52)</v>
      </c>
      <c r="BD47" s="12" t="str">
        <f t="shared" si="11"/>
        <v>(09;53)</v>
      </c>
      <c r="BE47" s="12" t="str">
        <f t="shared" si="11"/>
        <v>(09;54)</v>
      </c>
      <c r="BF47" s="12" t="str">
        <f t="shared" si="11"/>
        <v>(09;55)</v>
      </c>
      <c r="BG47" s="12" t="str">
        <f t="shared" si="11"/>
        <v>(09;56)</v>
      </c>
      <c r="BH47" s="12" t="str">
        <f t="shared" si="11"/>
        <v>(09;57)</v>
      </c>
      <c r="BI47" s="12" t="str">
        <f t="shared" si="11"/>
        <v>(09;58)</v>
      </c>
      <c r="BJ47" s="12" t="str">
        <f t="shared" si="11"/>
        <v>(09;59)</v>
      </c>
      <c r="BK47" s="12" t="str">
        <f t="shared" si="11"/>
        <v>(09;60)</v>
      </c>
      <c r="BL47" s="12" t="str">
        <f t="shared" si="11"/>
        <v>(09;61)</v>
      </c>
      <c r="BM47" s="12" t="str">
        <f t="shared" si="11"/>
        <v>(09;62)</v>
      </c>
      <c r="BN47" s="12" t="str">
        <f t="shared" si="11"/>
        <v>(09;63)</v>
      </c>
    </row>
    <row r="48" spans="1:66">
      <c r="A48">
        <f>VLOOKUP(B48,Teste!$A$137:$G$236,7,FALSE)</f>
        <v>0</v>
      </c>
      <c r="B48">
        <f t="shared" si="7"/>
        <v>10</v>
      </c>
      <c r="C48" s="12" t="str">
        <f t="shared" si="6"/>
        <v>(10;00)</v>
      </c>
      <c r="D48" s="12" t="str">
        <f t="shared" si="6"/>
        <v>(10;01)</v>
      </c>
      <c r="E48" s="12" t="str">
        <f t="shared" si="6"/>
        <v>(10;02)</v>
      </c>
      <c r="F48" s="12" t="str">
        <f t="shared" si="6"/>
        <v>(10;03)</v>
      </c>
      <c r="G48" s="12" t="str">
        <f t="shared" si="6"/>
        <v>(10;04)</v>
      </c>
      <c r="H48" s="12" t="str">
        <f t="shared" si="6"/>
        <v>(10;05)</v>
      </c>
      <c r="I48" s="12" t="str">
        <f t="shared" si="6"/>
        <v>(10;06)</v>
      </c>
      <c r="J48" s="12" t="str">
        <f t="shared" si="6"/>
        <v>(10;07)</v>
      </c>
      <c r="K48" s="12" t="str">
        <f t="shared" si="6"/>
        <v>(10;08)</v>
      </c>
      <c r="L48" s="12" t="str">
        <f t="shared" si="6"/>
        <v>(10;09)</v>
      </c>
      <c r="M48" s="12" t="str">
        <f t="shared" si="6"/>
        <v>(10;10)</v>
      </c>
      <c r="N48" s="12" t="str">
        <f t="shared" si="6"/>
        <v>(10;11)</v>
      </c>
      <c r="O48" s="12" t="str">
        <f t="shared" si="6"/>
        <v>(10;12)</v>
      </c>
      <c r="P48" s="12" t="str">
        <f t="shared" si="6"/>
        <v>(10;13)</v>
      </c>
      <c r="Q48" s="12" t="str">
        <f t="shared" si="6"/>
        <v>(10;14)</v>
      </c>
      <c r="R48" s="12" t="str">
        <f t="shared" si="6"/>
        <v>(10;15)</v>
      </c>
      <c r="S48" s="12" t="str">
        <f t="shared" si="8"/>
        <v>(10;16)</v>
      </c>
      <c r="T48" s="12" t="str">
        <f t="shared" si="8"/>
        <v>(10;17)</v>
      </c>
      <c r="U48" s="12" t="str">
        <f t="shared" si="8"/>
        <v>(10;18)</v>
      </c>
      <c r="V48" s="12" t="str">
        <f t="shared" si="8"/>
        <v>(10;19)</v>
      </c>
      <c r="W48" s="12" t="str">
        <f t="shared" si="9"/>
        <v>(10;20)</v>
      </c>
      <c r="X48" s="12" t="str">
        <f t="shared" si="9"/>
        <v>(10;21)</v>
      </c>
      <c r="Y48" s="12" t="str">
        <f t="shared" si="9"/>
        <v>(10;22)</v>
      </c>
      <c r="Z48" s="12" t="str">
        <f t="shared" si="9"/>
        <v>(10;23)</v>
      </c>
      <c r="AA48" s="12" t="str">
        <f t="shared" si="9"/>
        <v>(10;24)</v>
      </c>
      <c r="AB48" s="12" t="str">
        <f t="shared" si="9"/>
        <v>(10;25)</v>
      </c>
      <c r="AC48" s="12" t="str">
        <f t="shared" si="9"/>
        <v>(10;26)</v>
      </c>
      <c r="AD48" s="12" t="str">
        <f t="shared" si="9"/>
        <v>(10;27)</v>
      </c>
      <c r="AE48" s="12" t="str">
        <f t="shared" si="9"/>
        <v>(10;28)</v>
      </c>
      <c r="AF48" s="12" t="str">
        <f t="shared" si="9"/>
        <v>(10;29)</v>
      </c>
      <c r="AG48" s="12" t="str">
        <f t="shared" si="9"/>
        <v>(10;30)</v>
      </c>
      <c r="AH48" s="12" t="str">
        <f t="shared" si="9"/>
        <v>(10;31)</v>
      </c>
      <c r="AI48" s="12" t="str">
        <f t="shared" si="9"/>
        <v>(10;32)</v>
      </c>
      <c r="AJ48" s="12" t="str">
        <f t="shared" si="9"/>
        <v>(10;33)</v>
      </c>
      <c r="AK48" s="12" t="str">
        <f t="shared" si="9"/>
        <v>(10;34)</v>
      </c>
      <c r="AL48" s="12" t="str">
        <f t="shared" si="9"/>
        <v>(10;35)</v>
      </c>
      <c r="AM48" s="12" t="str">
        <f t="shared" si="10"/>
        <v>(10;36)</v>
      </c>
      <c r="AN48" s="12" t="str">
        <f t="shared" si="10"/>
        <v>(10;37)</v>
      </c>
      <c r="AO48" s="12" t="str">
        <f t="shared" si="10"/>
        <v>(10;38)</v>
      </c>
      <c r="AP48" s="12" t="str">
        <f t="shared" si="10"/>
        <v>(10;39)</v>
      </c>
      <c r="AQ48" s="12" t="str">
        <f t="shared" si="10"/>
        <v>(10;40)</v>
      </c>
      <c r="AR48" s="12" t="str">
        <f t="shared" si="10"/>
        <v>(10;41)</v>
      </c>
      <c r="AS48" s="12" t="str">
        <f t="shared" si="10"/>
        <v>(10;42)</v>
      </c>
      <c r="AT48" s="12" t="str">
        <f t="shared" si="10"/>
        <v>(10;43)</v>
      </c>
      <c r="AU48" s="12" t="str">
        <f t="shared" si="10"/>
        <v>(10;44)</v>
      </c>
      <c r="AV48" s="12" t="str">
        <f t="shared" si="10"/>
        <v>(10;45)</v>
      </c>
      <c r="AW48" s="12" t="str">
        <f t="shared" si="10"/>
        <v>(10;46)</v>
      </c>
      <c r="AX48" s="12" t="str">
        <f t="shared" si="10"/>
        <v>(10;47)</v>
      </c>
      <c r="AY48" s="12" t="str">
        <f t="shared" si="10"/>
        <v>(10;48)</v>
      </c>
      <c r="AZ48" s="12" t="str">
        <f t="shared" si="10"/>
        <v>(10;49)</v>
      </c>
      <c r="BA48" s="12" t="str">
        <f t="shared" si="10"/>
        <v>(10;50)</v>
      </c>
      <c r="BB48" s="12" t="str">
        <f t="shared" si="10"/>
        <v>(10;51)</v>
      </c>
      <c r="BC48" s="12" t="str">
        <f t="shared" si="11"/>
        <v>(10;52)</v>
      </c>
      <c r="BD48" s="12" t="str">
        <f t="shared" si="11"/>
        <v>(10;53)</v>
      </c>
      <c r="BE48" s="12" t="str">
        <f t="shared" si="11"/>
        <v>(10;54)</v>
      </c>
      <c r="BF48" s="12" t="str">
        <f t="shared" si="11"/>
        <v>(10;55)</v>
      </c>
      <c r="BG48" s="12" t="str">
        <f t="shared" si="11"/>
        <v>(10;56)</v>
      </c>
      <c r="BH48" s="12" t="str">
        <f t="shared" si="11"/>
        <v>(10;57)</v>
      </c>
      <c r="BI48" s="12" t="str">
        <f t="shared" si="11"/>
        <v>(10;58)</v>
      </c>
      <c r="BJ48" s="12" t="str">
        <f t="shared" si="11"/>
        <v>(10;59)</v>
      </c>
      <c r="BK48" s="12" t="str">
        <f t="shared" si="11"/>
        <v>(10;60)</v>
      </c>
      <c r="BL48" s="12" t="str">
        <f t="shared" si="11"/>
        <v>(10;61)</v>
      </c>
      <c r="BM48" s="12" t="str">
        <f t="shared" si="11"/>
        <v>(10;62)</v>
      </c>
      <c r="BN48" s="12" t="str">
        <f t="shared" si="11"/>
        <v>(10;63)</v>
      </c>
    </row>
    <row r="49" spans="1:66">
      <c r="A49">
        <f>VLOOKUP(B49,Teste!$A$137:$G$236,7,FALSE)</f>
        <v>0</v>
      </c>
      <c r="B49">
        <f t="shared" si="7"/>
        <v>11</v>
      </c>
      <c r="C49" s="12" t="str">
        <f t="shared" si="6"/>
        <v>(11;00)</v>
      </c>
      <c r="D49" s="12" t="str">
        <f t="shared" si="6"/>
        <v>(11;01)</v>
      </c>
      <c r="E49" s="12" t="str">
        <f t="shared" si="6"/>
        <v>(11;02)</v>
      </c>
      <c r="F49" s="12" t="str">
        <f t="shared" si="6"/>
        <v>(11;03)</v>
      </c>
      <c r="G49" s="12" t="str">
        <f t="shared" si="6"/>
        <v>(11;04)</v>
      </c>
      <c r="H49" s="12" t="str">
        <f t="shared" si="6"/>
        <v>(11;05)</v>
      </c>
      <c r="I49" s="12" t="str">
        <f t="shared" si="6"/>
        <v>(11;06)</v>
      </c>
      <c r="J49" s="12" t="str">
        <f t="shared" si="6"/>
        <v>(11;07)</v>
      </c>
      <c r="K49" s="12" t="str">
        <f t="shared" si="6"/>
        <v>(11;08)</v>
      </c>
      <c r="L49" s="12" t="str">
        <f t="shared" si="6"/>
        <v>(11;09)</v>
      </c>
      <c r="M49" s="12" t="str">
        <f t="shared" si="6"/>
        <v>(11;10)</v>
      </c>
      <c r="N49" s="12" t="str">
        <f t="shared" si="6"/>
        <v>(11;11)</v>
      </c>
      <c r="O49" s="12" t="str">
        <f t="shared" si="6"/>
        <v>(11;12)</v>
      </c>
      <c r="P49" s="12" t="str">
        <f t="shared" si="6"/>
        <v>(11;13)</v>
      </c>
      <c r="Q49" s="12" t="str">
        <f t="shared" si="6"/>
        <v>(11;14)</v>
      </c>
      <c r="R49" s="12" t="str">
        <f t="shared" si="6"/>
        <v>(11;15)</v>
      </c>
      <c r="S49" s="12" t="str">
        <f t="shared" si="8"/>
        <v>(11;16)</v>
      </c>
      <c r="T49" s="12" t="str">
        <f t="shared" si="8"/>
        <v>(11;17)</v>
      </c>
      <c r="U49" s="12" t="str">
        <f t="shared" si="8"/>
        <v>(11;18)</v>
      </c>
      <c r="V49" s="12" t="str">
        <f t="shared" si="8"/>
        <v>(11;19)</v>
      </c>
      <c r="W49" s="12" t="str">
        <f t="shared" si="9"/>
        <v>(11;20)</v>
      </c>
      <c r="X49" s="12" t="str">
        <f t="shared" si="9"/>
        <v>(11;21)</v>
      </c>
      <c r="Y49" s="12" t="str">
        <f t="shared" si="9"/>
        <v>(11;22)</v>
      </c>
      <c r="Z49" s="12" t="str">
        <f t="shared" si="9"/>
        <v>(11;23)</v>
      </c>
      <c r="AA49" s="12" t="str">
        <f t="shared" si="9"/>
        <v>(11;24)</v>
      </c>
      <c r="AB49" s="12" t="str">
        <f t="shared" si="9"/>
        <v>(11;25)</v>
      </c>
      <c r="AC49" s="12" t="str">
        <f t="shared" si="9"/>
        <v>(11;26)</v>
      </c>
      <c r="AD49" s="12" t="str">
        <f t="shared" si="9"/>
        <v>(11;27)</v>
      </c>
      <c r="AE49" s="12" t="str">
        <f t="shared" si="9"/>
        <v>(11;28)</v>
      </c>
      <c r="AF49" s="12" t="str">
        <f t="shared" si="9"/>
        <v>(11;29)</v>
      </c>
      <c r="AG49" s="12" t="str">
        <f t="shared" si="9"/>
        <v>(11;30)</v>
      </c>
      <c r="AH49" s="12" t="str">
        <f t="shared" si="9"/>
        <v>(11;31)</v>
      </c>
      <c r="AI49" s="12" t="str">
        <f t="shared" si="9"/>
        <v>(11;32)</v>
      </c>
      <c r="AJ49" s="12" t="str">
        <f t="shared" si="9"/>
        <v>(11;33)</v>
      </c>
      <c r="AK49" s="12" t="str">
        <f t="shared" si="9"/>
        <v>(11;34)</v>
      </c>
      <c r="AL49" s="12" t="str">
        <f t="shared" si="9"/>
        <v>(11;35)</v>
      </c>
      <c r="AM49" s="12" t="str">
        <f t="shared" si="10"/>
        <v>(11;36)</v>
      </c>
      <c r="AN49" s="12" t="str">
        <f t="shared" si="10"/>
        <v>(11;37)</v>
      </c>
      <c r="AO49" s="12" t="str">
        <f t="shared" si="10"/>
        <v>(11;38)</v>
      </c>
      <c r="AP49" s="12" t="str">
        <f t="shared" si="10"/>
        <v>(11;39)</v>
      </c>
      <c r="AQ49" s="12" t="str">
        <f t="shared" si="10"/>
        <v>(11;40)</v>
      </c>
      <c r="AR49" s="12" t="str">
        <f t="shared" si="10"/>
        <v>(11;41)</v>
      </c>
      <c r="AS49" s="12" t="str">
        <f t="shared" si="10"/>
        <v>(11;42)</v>
      </c>
      <c r="AT49" s="12" t="str">
        <f t="shared" si="10"/>
        <v>(11;43)</v>
      </c>
      <c r="AU49" s="12" t="str">
        <f t="shared" si="10"/>
        <v>(11;44)</v>
      </c>
      <c r="AV49" s="12" t="str">
        <f t="shared" si="10"/>
        <v>(11;45)</v>
      </c>
      <c r="AW49" s="12" t="str">
        <f t="shared" si="10"/>
        <v>(11;46)</v>
      </c>
      <c r="AX49" s="12" t="str">
        <f t="shared" si="10"/>
        <v>(11;47)</v>
      </c>
      <c r="AY49" s="12" t="str">
        <f t="shared" si="10"/>
        <v>(11;48)</v>
      </c>
      <c r="AZ49" s="12" t="str">
        <f t="shared" si="10"/>
        <v>(11;49)</v>
      </c>
      <c r="BA49" s="12" t="str">
        <f t="shared" si="10"/>
        <v>(11;50)</v>
      </c>
      <c r="BB49" s="12" t="str">
        <f t="shared" si="10"/>
        <v>(11;51)</v>
      </c>
      <c r="BC49" s="12" t="str">
        <f t="shared" si="11"/>
        <v>(11;52)</v>
      </c>
      <c r="BD49" s="12" t="str">
        <f t="shared" si="11"/>
        <v>(11;53)</v>
      </c>
      <c r="BE49" s="12" t="str">
        <f t="shared" si="11"/>
        <v>(11;54)</v>
      </c>
      <c r="BF49" s="12" t="str">
        <f t="shared" si="11"/>
        <v>(11;55)</v>
      </c>
      <c r="BG49" s="12" t="str">
        <f t="shared" si="11"/>
        <v>(11;56)</v>
      </c>
      <c r="BH49" s="12" t="str">
        <f t="shared" si="11"/>
        <v>(11;57)</v>
      </c>
      <c r="BI49" s="12" t="str">
        <f t="shared" si="11"/>
        <v>(11;58)</v>
      </c>
      <c r="BJ49" s="12" t="str">
        <f t="shared" si="11"/>
        <v>(11;59)</v>
      </c>
      <c r="BK49" s="12" t="str">
        <f t="shared" si="11"/>
        <v>(11;60)</v>
      </c>
      <c r="BL49" s="12" t="str">
        <f t="shared" si="11"/>
        <v>(11;61)</v>
      </c>
      <c r="BM49" s="12" t="str">
        <f t="shared" si="11"/>
        <v>(11;62)</v>
      </c>
      <c r="BN49" s="12" t="str">
        <f t="shared" si="11"/>
        <v>(11;63)</v>
      </c>
    </row>
    <row r="50" spans="1:66">
      <c r="A50">
        <f>VLOOKUP(B50,Teste!$A$137:$G$236,7,FALSE)</f>
        <v>0</v>
      </c>
      <c r="B50">
        <f t="shared" si="7"/>
        <v>12</v>
      </c>
      <c r="C50" s="12" t="str">
        <f t="shared" si="6"/>
        <v>(12;00)</v>
      </c>
      <c r="D50" s="12" t="str">
        <f t="shared" si="6"/>
        <v>(12;01)</v>
      </c>
      <c r="E50" s="12" t="str">
        <f t="shared" si="6"/>
        <v>(12;02)</v>
      </c>
      <c r="F50" s="12" t="str">
        <f t="shared" si="6"/>
        <v>(12;03)</v>
      </c>
      <c r="G50" s="12" t="str">
        <f t="shared" si="6"/>
        <v>(12;04)</v>
      </c>
      <c r="H50" s="12" t="str">
        <f t="shared" si="6"/>
        <v>(12;05)</v>
      </c>
      <c r="I50" s="12" t="str">
        <f t="shared" si="6"/>
        <v>(12;06)</v>
      </c>
      <c r="J50" s="12" t="str">
        <f t="shared" si="6"/>
        <v>(12;07)</v>
      </c>
      <c r="K50" s="12" t="str">
        <f t="shared" si="6"/>
        <v>(12;08)</v>
      </c>
      <c r="L50" s="12" t="str">
        <f t="shared" si="6"/>
        <v>(12;09)</v>
      </c>
      <c r="M50" s="12" t="str">
        <f t="shared" si="6"/>
        <v>(12;10)</v>
      </c>
      <c r="N50" s="12" t="str">
        <f t="shared" si="6"/>
        <v>(12;11)</v>
      </c>
      <c r="O50" s="12" t="str">
        <f t="shared" si="6"/>
        <v>(12;12)</v>
      </c>
      <c r="P50" s="12" t="str">
        <f t="shared" si="6"/>
        <v>(12;13)</v>
      </c>
      <c r="Q50" s="12" t="str">
        <f t="shared" si="6"/>
        <v>(12;14)</v>
      </c>
      <c r="R50" s="12" t="str">
        <f t="shared" si="6"/>
        <v>(12;15)</v>
      </c>
      <c r="S50" s="12" t="str">
        <f t="shared" si="8"/>
        <v>(12;16)</v>
      </c>
      <c r="T50" s="12" t="str">
        <f t="shared" si="8"/>
        <v>(12;17)</v>
      </c>
      <c r="U50" s="12" t="str">
        <f t="shared" si="8"/>
        <v>(12;18)</v>
      </c>
      <c r="V50" s="12" t="str">
        <f t="shared" si="8"/>
        <v>(12;19)</v>
      </c>
      <c r="W50" s="12" t="str">
        <f t="shared" si="9"/>
        <v>(12;20)</v>
      </c>
      <c r="X50" s="12" t="str">
        <f t="shared" si="9"/>
        <v>(12;21)</v>
      </c>
      <c r="Y50" s="12" t="str">
        <f t="shared" si="9"/>
        <v>(12;22)</v>
      </c>
      <c r="Z50" s="12" t="str">
        <f t="shared" si="9"/>
        <v>(12;23)</v>
      </c>
      <c r="AA50" s="12" t="str">
        <f t="shared" si="9"/>
        <v>(12;24)</v>
      </c>
      <c r="AB50" s="12" t="str">
        <f t="shared" si="9"/>
        <v>(12;25)</v>
      </c>
      <c r="AC50" s="12" t="str">
        <f t="shared" si="9"/>
        <v>(12;26)</v>
      </c>
      <c r="AD50" s="12" t="str">
        <f t="shared" si="9"/>
        <v>(12;27)</v>
      </c>
      <c r="AE50" s="12" t="str">
        <f t="shared" si="9"/>
        <v>(12;28)</v>
      </c>
      <c r="AF50" s="12" t="str">
        <f t="shared" si="9"/>
        <v>(12;29)</v>
      </c>
      <c r="AG50" s="12" t="str">
        <f t="shared" si="9"/>
        <v>(12;30)</v>
      </c>
      <c r="AH50" s="12" t="str">
        <f t="shared" si="9"/>
        <v>(12;31)</v>
      </c>
      <c r="AI50" s="12" t="str">
        <f t="shared" si="9"/>
        <v>(12;32)</v>
      </c>
      <c r="AJ50" s="12" t="str">
        <f t="shared" si="9"/>
        <v>(12;33)</v>
      </c>
      <c r="AK50" s="12" t="str">
        <f t="shared" si="9"/>
        <v>(12;34)</v>
      </c>
      <c r="AL50" s="12" t="str">
        <f t="shared" si="9"/>
        <v>(12;35)</v>
      </c>
      <c r="AM50" s="12" t="str">
        <f t="shared" si="10"/>
        <v>(12;36)</v>
      </c>
      <c r="AN50" s="12" t="str">
        <f t="shared" si="10"/>
        <v>(12;37)</v>
      </c>
      <c r="AO50" s="12" t="str">
        <f t="shared" si="10"/>
        <v>(12;38)</v>
      </c>
      <c r="AP50" s="12" t="str">
        <f t="shared" si="10"/>
        <v>(12;39)</v>
      </c>
      <c r="AQ50" s="12" t="str">
        <f t="shared" si="10"/>
        <v>(12;40)</v>
      </c>
      <c r="AR50" s="12" t="str">
        <f t="shared" si="10"/>
        <v>(12;41)</v>
      </c>
      <c r="AS50" s="12" t="str">
        <f t="shared" si="10"/>
        <v>(12;42)</v>
      </c>
      <c r="AT50" s="12" t="str">
        <f t="shared" si="10"/>
        <v>(12;43)</v>
      </c>
      <c r="AU50" s="12" t="str">
        <f t="shared" si="10"/>
        <v>(12;44)</v>
      </c>
      <c r="AV50" s="12" t="str">
        <f t="shared" si="10"/>
        <v>(12;45)</v>
      </c>
      <c r="AW50" s="12" t="str">
        <f t="shared" si="10"/>
        <v>(12;46)</v>
      </c>
      <c r="AX50" s="12" t="str">
        <f t="shared" si="10"/>
        <v>(12;47)</v>
      </c>
      <c r="AY50" s="12" t="str">
        <f t="shared" si="10"/>
        <v>(12;48)</v>
      </c>
      <c r="AZ50" s="12" t="str">
        <f t="shared" si="10"/>
        <v>(12;49)</v>
      </c>
      <c r="BA50" s="12" t="str">
        <f t="shared" si="10"/>
        <v>(12;50)</v>
      </c>
      <c r="BB50" s="12" t="str">
        <f t="shared" si="10"/>
        <v>(12;51)</v>
      </c>
      <c r="BC50" s="12" t="str">
        <f t="shared" si="11"/>
        <v>(12;52)</v>
      </c>
      <c r="BD50" s="12" t="str">
        <f t="shared" si="11"/>
        <v>(12;53)</v>
      </c>
      <c r="BE50" s="12" t="str">
        <f t="shared" si="11"/>
        <v>(12;54)</v>
      </c>
      <c r="BF50" s="12" t="str">
        <f t="shared" si="11"/>
        <v>(12;55)</v>
      </c>
      <c r="BG50" s="12" t="str">
        <f t="shared" si="11"/>
        <v>(12;56)</v>
      </c>
      <c r="BH50" s="12" t="str">
        <f t="shared" si="11"/>
        <v>(12;57)</v>
      </c>
      <c r="BI50" s="12" t="str">
        <f t="shared" si="11"/>
        <v>(12;58)</v>
      </c>
      <c r="BJ50" s="12" t="str">
        <f t="shared" si="11"/>
        <v>(12;59)</v>
      </c>
      <c r="BK50" s="12" t="str">
        <f t="shared" si="11"/>
        <v>(12;60)</v>
      </c>
      <c r="BL50" s="12" t="str">
        <f t="shared" si="11"/>
        <v>(12;61)</v>
      </c>
      <c r="BM50" s="12" t="str">
        <f t="shared" si="11"/>
        <v>(12;62)</v>
      </c>
      <c r="BN50" s="12" t="str">
        <f t="shared" si="11"/>
        <v>(12;63)</v>
      </c>
    </row>
    <row r="51" spans="1:66">
      <c r="A51">
        <f>VLOOKUP(B51,Teste!$A$137:$G$236,7,FALSE)</f>
        <v>0</v>
      </c>
      <c r="B51">
        <f t="shared" si="7"/>
        <v>13</v>
      </c>
      <c r="C51" s="12" t="str">
        <f t="shared" si="6"/>
        <v>(13;00)</v>
      </c>
      <c r="D51" s="12" t="str">
        <f t="shared" si="6"/>
        <v>(13;01)</v>
      </c>
      <c r="E51" s="12" t="str">
        <f t="shared" si="6"/>
        <v>(13;02)</v>
      </c>
      <c r="F51" s="12" t="str">
        <f t="shared" si="6"/>
        <v>(13;03)</v>
      </c>
      <c r="G51" s="12" t="str">
        <f t="shared" si="6"/>
        <v>(13;04)</v>
      </c>
      <c r="H51" s="12" t="str">
        <f t="shared" si="6"/>
        <v>(13;05)</v>
      </c>
      <c r="I51" s="12" t="str">
        <f t="shared" si="6"/>
        <v>(13;06)</v>
      </c>
      <c r="J51" s="12" t="str">
        <f t="shared" si="6"/>
        <v>(13;07)</v>
      </c>
      <c r="K51" s="12" t="str">
        <f t="shared" si="6"/>
        <v>(13;08)</v>
      </c>
      <c r="L51" s="12" t="str">
        <f t="shared" si="6"/>
        <v>(13;09)</v>
      </c>
      <c r="M51" s="12" t="str">
        <f t="shared" si="6"/>
        <v>(13;10)</v>
      </c>
      <c r="N51" s="12" t="str">
        <f t="shared" si="6"/>
        <v>(13;11)</v>
      </c>
      <c r="O51" s="12" t="str">
        <f t="shared" si="6"/>
        <v>(13;12)</v>
      </c>
      <c r="P51" s="12" t="str">
        <f t="shared" si="6"/>
        <v>(13;13)</v>
      </c>
      <c r="Q51" s="12" t="str">
        <f t="shared" si="6"/>
        <v>(13;14)</v>
      </c>
      <c r="R51" s="12" t="str">
        <f t="shared" si="6"/>
        <v>(13;15)</v>
      </c>
      <c r="S51" s="12" t="str">
        <f t="shared" si="8"/>
        <v>(13;16)</v>
      </c>
      <c r="T51" s="12" t="str">
        <f t="shared" si="8"/>
        <v>(13;17)</v>
      </c>
      <c r="U51" s="12" t="str">
        <f t="shared" si="8"/>
        <v>(13;18)</v>
      </c>
      <c r="V51" s="12" t="str">
        <f t="shared" si="8"/>
        <v>(13;19)</v>
      </c>
      <c r="W51" s="12" t="str">
        <f t="shared" si="9"/>
        <v>(13;20)</v>
      </c>
      <c r="X51" s="12" t="str">
        <f t="shared" si="9"/>
        <v>(13;21)</v>
      </c>
      <c r="Y51" s="12" t="str">
        <f t="shared" si="9"/>
        <v>(13;22)</v>
      </c>
      <c r="Z51" s="12" t="str">
        <f t="shared" si="9"/>
        <v>(13;23)</v>
      </c>
      <c r="AA51" s="12" t="str">
        <f t="shared" si="9"/>
        <v>(13;24)</v>
      </c>
      <c r="AB51" s="12" t="str">
        <f t="shared" si="9"/>
        <v>(13;25)</v>
      </c>
      <c r="AC51" s="12" t="str">
        <f t="shared" si="9"/>
        <v>(13;26)</v>
      </c>
      <c r="AD51" s="12" t="str">
        <f t="shared" si="9"/>
        <v>(13;27)</v>
      </c>
      <c r="AE51" s="12" t="str">
        <f t="shared" si="9"/>
        <v>(13;28)</v>
      </c>
      <c r="AF51" s="12" t="str">
        <f t="shared" si="9"/>
        <v>(13;29)</v>
      </c>
      <c r="AG51" s="12" t="str">
        <f t="shared" si="9"/>
        <v>(13;30)</v>
      </c>
      <c r="AH51" s="12" t="str">
        <f t="shared" si="9"/>
        <v>(13;31)</v>
      </c>
      <c r="AI51" s="12" t="str">
        <f t="shared" si="9"/>
        <v>(13;32)</v>
      </c>
      <c r="AJ51" s="12" t="str">
        <f t="shared" si="9"/>
        <v>(13;33)</v>
      </c>
      <c r="AK51" s="12" t="str">
        <f t="shared" si="9"/>
        <v>(13;34)</v>
      </c>
      <c r="AL51" s="12" t="str">
        <f t="shared" si="9"/>
        <v>(13;35)</v>
      </c>
      <c r="AM51" s="12" t="str">
        <f t="shared" si="10"/>
        <v>(13;36)</v>
      </c>
      <c r="AN51" s="12" t="str">
        <f t="shared" si="10"/>
        <v>(13;37)</v>
      </c>
      <c r="AO51" s="12" t="str">
        <f t="shared" si="10"/>
        <v>(13;38)</v>
      </c>
      <c r="AP51" s="12" t="str">
        <f t="shared" si="10"/>
        <v>(13;39)</v>
      </c>
      <c r="AQ51" s="12" t="str">
        <f t="shared" si="10"/>
        <v>(13;40)</v>
      </c>
      <c r="AR51" s="12" t="str">
        <f t="shared" si="10"/>
        <v>(13;41)</v>
      </c>
      <c r="AS51" s="12" t="str">
        <f t="shared" si="10"/>
        <v>(13;42)</v>
      </c>
      <c r="AT51" s="12" t="str">
        <f t="shared" si="10"/>
        <v>(13;43)</v>
      </c>
      <c r="AU51" s="12" t="str">
        <f t="shared" si="10"/>
        <v>(13;44)</v>
      </c>
      <c r="AV51" s="12" t="str">
        <f t="shared" si="10"/>
        <v>(13;45)</v>
      </c>
      <c r="AW51" s="12" t="str">
        <f t="shared" si="10"/>
        <v>(13;46)</v>
      </c>
      <c r="AX51" s="12" t="str">
        <f t="shared" si="10"/>
        <v>(13;47)</v>
      </c>
      <c r="AY51" s="12" t="str">
        <f t="shared" si="10"/>
        <v>(13;48)</v>
      </c>
      <c r="AZ51" s="12" t="str">
        <f t="shared" si="10"/>
        <v>(13;49)</v>
      </c>
      <c r="BA51" s="12" t="str">
        <f t="shared" si="10"/>
        <v>(13;50)</v>
      </c>
      <c r="BB51" s="12" t="str">
        <f t="shared" si="10"/>
        <v>(13;51)</v>
      </c>
      <c r="BC51" s="12" t="str">
        <f t="shared" si="11"/>
        <v>(13;52)</v>
      </c>
      <c r="BD51" s="12" t="str">
        <f t="shared" si="11"/>
        <v>(13;53)</v>
      </c>
      <c r="BE51" s="12" t="str">
        <f t="shared" si="11"/>
        <v>(13;54)</v>
      </c>
      <c r="BF51" s="12" t="str">
        <f t="shared" si="11"/>
        <v>(13;55)</v>
      </c>
      <c r="BG51" s="12" t="str">
        <f t="shared" si="11"/>
        <v>(13;56)</v>
      </c>
      <c r="BH51" s="12" t="str">
        <f t="shared" si="11"/>
        <v>(13;57)</v>
      </c>
      <c r="BI51" s="12" t="str">
        <f t="shared" si="11"/>
        <v>(13;58)</v>
      </c>
      <c r="BJ51" s="12" t="str">
        <f t="shared" si="11"/>
        <v>(13;59)</v>
      </c>
      <c r="BK51" s="12" t="str">
        <f t="shared" si="11"/>
        <v>(13;60)</v>
      </c>
      <c r="BL51" s="12" t="str">
        <f t="shared" si="11"/>
        <v>(13;61)</v>
      </c>
      <c r="BM51" s="12" t="str">
        <f t="shared" si="11"/>
        <v>(13;62)</v>
      </c>
      <c r="BN51" s="12" t="str">
        <f t="shared" si="11"/>
        <v>(13;63)</v>
      </c>
    </row>
    <row r="52" spans="1:66">
      <c r="A52">
        <f>VLOOKUP(B52,Teste!$A$137:$G$236,7,FALSE)</f>
        <v>0</v>
      </c>
      <c r="B52">
        <f t="shared" si="7"/>
        <v>14</v>
      </c>
      <c r="C52" s="12" t="str">
        <f t="shared" si="6"/>
        <v>(14;00)</v>
      </c>
      <c r="D52" s="12" t="str">
        <f t="shared" si="6"/>
        <v>(14;01)</v>
      </c>
      <c r="E52" s="12" t="str">
        <f t="shared" si="6"/>
        <v>(14;02)</v>
      </c>
      <c r="F52" s="12" t="str">
        <f t="shared" si="6"/>
        <v>(14;03)</v>
      </c>
      <c r="G52" s="12" t="str">
        <f t="shared" si="6"/>
        <v>(14;04)</v>
      </c>
      <c r="H52" s="12" t="str">
        <f t="shared" si="6"/>
        <v>(14;05)</v>
      </c>
      <c r="I52" s="12" t="str">
        <f t="shared" si="6"/>
        <v>(14;06)</v>
      </c>
      <c r="J52" s="12" t="str">
        <f t="shared" si="6"/>
        <v>(14;07)</v>
      </c>
      <c r="K52" s="12" t="str">
        <f t="shared" si="6"/>
        <v>(14;08)</v>
      </c>
      <c r="L52" s="12" t="str">
        <f t="shared" si="6"/>
        <v>(14;09)</v>
      </c>
      <c r="M52" s="12" t="str">
        <f t="shared" si="6"/>
        <v>(14;10)</v>
      </c>
      <c r="N52" s="12" t="str">
        <f t="shared" si="6"/>
        <v>(14;11)</v>
      </c>
      <c r="O52" s="12" t="str">
        <f t="shared" si="6"/>
        <v>(14;12)</v>
      </c>
      <c r="P52" s="12" t="str">
        <f t="shared" si="6"/>
        <v>(14;13)</v>
      </c>
      <c r="Q52" s="12" t="str">
        <f t="shared" si="6"/>
        <v>(14;14)</v>
      </c>
      <c r="R52" s="12" t="str">
        <f t="shared" si="6"/>
        <v>(14;15)</v>
      </c>
      <c r="S52" s="12" t="str">
        <f t="shared" si="8"/>
        <v>(14;16)</v>
      </c>
      <c r="T52" s="12" t="str">
        <f t="shared" si="8"/>
        <v>(14;17)</v>
      </c>
      <c r="U52" s="12" t="str">
        <f t="shared" si="8"/>
        <v>(14;18)</v>
      </c>
      <c r="V52" s="12" t="str">
        <f t="shared" si="8"/>
        <v>(14;19)</v>
      </c>
      <c r="W52" s="12" t="str">
        <f t="shared" si="9"/>
        <v>(14;20)</v>
      </c>
      <c r="X52" s="12" t="str">
        <f t="shared" si="9"/>
        <v>(14;21)</v>
      </c>
      <c r="Y52" s="12" t="str">
        <f t="shared" si="9"/>
        <v>(14;22)</v>
      </c>
      <c r="Z52" s="12" t="str">
        <f t="shared" si="9"/>
        <v>(14;23)</v>
      </c>
      <c r="AA52" s="12" t="str">
        <f t="shared" si="9"/>
        <v>(14;24)</v>
      </c>
      <c r="AB52" s="12" t="str">
        <f t="shared" si="9"/>
        <v>(14;25)</v>
      </c>
      <c r="AC52" s="12" t="str">
        <f t="shared" si="9"/>
        <v>(14;26)</v>
      </c>
      <c r="AD52" s="12" t="str">
        <f t="shared" si="9"/>
        <v>(14;27)</v>
      </c>
      <c r="AE52" s="12" t="str">
        <f t="shared" si="9"/>
        <v>(14;28)</v>
      </c>
      <c r="AF52" s="12" t="str">
        <f t="shared" si="9"/>
        <v>(14;29)</v>
      </c>
      <c r="AG52" s="12" t="str">
        <f t="shared" si="9"/>
        <v>(14;30)</v>
      </c>
      <c r="AH52" s="12" t="str">
        <f t="shared" si="9"/>
        <v>(14;31)</v>
      </c>
      <c r="AI52" s="12" t="str">
        <f t="shared" si="9"/>
        <v>(14;32)</v>
      </c>
      <c r="AJ52" s="12" t="str">
        <f t="shared" si="9"/>
        <v>(14;33)</v>
      </c>
      <c r="AK52" s="12" t="str">
        <f t="shared" si="9"/>
        <v>(14;34)</v>
      </c>
      <c r="AL52" s="12" t="str">
        <f t="shared" si="9"/>
        <v>(14;35)</v>
      </c>
      <c r="AM52" s="12" t="str">
        <f t="shared" si="10"/>
        <v>(14;36)</v>
      </c>
      <c r="AN52" s="12" t="str">
        <f t="shared" si="10"/>
        <v>(14;37)</v>
      </c>
      <c r="AO52" s="12" t="str">
        <f t="shared" si="10"/>
        <v>(14;38)</v>
      </c>
      <c r="AP52" s="12" t="str">
        <f t="shared" si="10"/>
        <v>(14;39)</v>
      </c>
      <c r="AQ52" s="12" t="str">
        <f t="shared" si="10"/>
        <v>(14;40)</v>
      </c>
      <c r="AR52" s="12" t="str">
        <f t="shared" si="10"/>
        <v>(14;41)</v>
      </c>
      <c r="AS52" s="12" t="str">
        <f t="shared" si="10"/>
        <v>(14;42)</v>
      </c>
      <c r="AT52" s="12" t="str">
        <f t="shared" si="10"/>
        <v>(14;43)</v>
      </c>
      <c r="AU52" s="12" t="str">
        <f t="shared" si="10"/>
        <v>(14;44)</v>
      </c>
      <c r="AV52" s="12" t="str">
        <f t="shared" si="10"/>
        <v>(14;45)</v>
      </c>
      <c r="AW52" s="12" t="str">
        <f t="shared" si="10"/>
        <v>(14;46)</v>
      </c>
      <c r="AX52" s="12" t="str">
        <f t="shared" si="10"/>
        <v>(14;47)</v>
      </c>
      <c r="AY52" s="12" t="str">
        <f t="shared" si="10"/>
        <v>(14;48)</v>
      </c>
      <c r="AZ52" s="12" t="str">
        <f t="shared" si="10"/>
        <v>(14;49)</v>
      </c>
      <c r="BA52" s="12" t="str">
        <f t="shared" si="10"/>
        <v>(14;50)</v>
      </c>
      <c r="BB52" s="12" t="str">
        <f t="shared" si="10"/>
        <v>(14;51)</v>
      </c>
      <c r="BC52" s="12" t="str">
        <f t="shared" si="11"/>
        <v>(14;52)</v>
      </c>
      <c r="BD52" s="12" t="str">
        <f t="shared" si="11"/>
        <v>(14;53)</v>
      </c>
      <c r="BE52" s="12" t="str">
        <f t="shared" si="11"/>
        <v>(14;54)</v>
      </c>
      <c r="BF52" s="12" t="str">
        <f t="shared" si="11"/>
        <v>(14;55)</v>
      </c>
      <c r="BG52" s="12" t="str">
        <f t="shared" si="11"/>
        <v>(14;56)</v>
      </c>
      <c r="BH52" s="12" t="str">
        <f t="shared" si="11"/>
        <v>(14;57)</v>
      </c>
      <c r="BI52" s="12" t="str">
        <f t="shared" si="11"/>
        <v>(14;58)</v>
      </c>
      <c r="BJ52" s="12" t="str">
        <f t="shared" si="11"/>
        <v>(14;59)</v>
      </c>
      <c r="BK52" s="12" t="str">
        <f t="shared" si="11"/>
        <v>(14;60)</v>
      </c>
      <c r="BL52" s="12" t="str">
        <f t="shared" si="11"/>
        <v>(14;61)</v>
      </c>
      <c r="BM52" s="12" t="str">
        <f t="shared" si="11"/>
        <v>(14;62)</v>
      </c>
      <c r="BN52" s="12" t="str">
        <f t="shared" si="11"/>
        <v>(14;63)</v>
      </c>
    </row>
    <row r="53" spans="1:66">
      <c r="A53">
        <f>VLOOKUP(B53,Teste!$A$137:$G$236,7,FALSE)</f>
        <v>0</v>
      </c>
      <c r="B53">
        <f t="shared" si="7"/>
        <v>15</v>
      </c>
      <c r="C53" s="12" t="str">
        <f t="shared" si="6"/>
        <v>(15;00)</v>
      </c>
      <c r="D53" s="12" t="str">
        <f t="shared" si="6"/>
        <v>(15;01)</v>
      </c>
      <c r="E53" s="12" t="str">
        <f t="shared" si="6"/>
        <v>(15;02)</v>
      </c>
      <c r="F53" s="12" t="str">
        <f t="shared" si="6"/>
        <v>(15;03)</v>
      </c>
      <c r="G53" s="12" t="str">
        <f t="shared" si="6"/>
        <v>(15;04)</v>
      </c>
      <c r="H53" s="12" t="str">
        <f t="shared" si="6"/>
        <v>(15;05)</v>
      </c>
      <c r="I53" s="12" t="str">
        <f t="shared" si="6"/>
        <v>(15;06)</v>
      </c>
      <c r="J53" s="12" t="str">
        <f t="shared" si="6"/>
        <v>(15;07)</v>
      </c>
      <c r="K53" s="12" t="str">
        <f t="shared" si="6"/>
        <v>(15;08)</v>
      </c>
      <c r="L53" s="12" t="str">
        <f t="shared" si="6"/>
        <v>(15;09)</v>
      </c>
      <c r="M53" s="12" t="str">
        <f t="shared" si="6"/>
        <v>(15;10)</v>
      </c>
      <c r="N53" s="12" t="str">
        <f t="shared" si="6"/>
        <v>(15;11)</v>
      </c>
      <c r="O53" s="12" t="str">
        <f t="shared" si="6"/>
        <v>(15;12)</v>
      </c>
      <c r="P53" s="12" t="str">
        <f t="shared" si="6"/>
        <v>(15;13)</v>
      </c>
      <c r="Q53" s="12" t="str">
        <f t="shared" si="6"/>
        <v>(15;14)</v>
      </c>
      <c r="R53" s="12" t="str">
        <f t="shared" si="6"/>
        <v>(15;15)</v>
      </c>
      <c r="S53" s="12" t="str">
        <f t="shared" si="8"/>
        <v>(15;16)</v>
      </c>
      <c r="T53" s="12" t="str">
        <f t="shared" si="8"/>
        <v>(15;17)</v>
      </c>
      <c r="U53" s="12" t="str">
        <f t="shared" si="8"/>
        <v>(15;18)</v>
      </c>
      <c r="V53" s="12" t="str">
        <f t="shared" si="8"/>
        <v>(15;19)</v>
      </c>
      <c r="W53" s="12" t="str">
        <f t="shared" si="9"/>
        <v>(15;20)</v>
      </c>
      <c r="X53" s="12" t="str">
        <f t="shared" si="9"/>
        <v>(15;21)</v>
      </c>
      <c r="Y53" s="12" t="str">
        <f t="shared" si="9"/>
        <v>(15;22)</v>
      </c>
      <c r="Z53" s="12" t="str">
        <f t="shared" si="9"/>
        <v>(15;23)</v>
      </c>
      <c r="AA53" s="12" t="str">
        <f t="shared" si="9"/>
        <v>(15;24)</v>
      </c>
      <c r="AB53" s="12" t="str">
        <f t="shared" si="9"/>
        <v>(15;25)</v>
      </c>
      <c r="AC53" s="12" t="str">
        <f t="shared" si="9"/>
        <v>(15;26)</v>
      </c>
      <c r="AD53" s="12" t="str">
        <f t="shared" si="9"/>
        <v>(15;27)</v>
      </c>
      <c r="AE53" s="12" t="str">
        <f t="shared" si="9"/>
        <v>(15;28)</v>
      </c>
      <c r="AF53" s="12" t="str">
        <f t="shared" si="9"/>
        <v>(15;29)</v>
      </c>
      <c r="AG53" s="12" t="str">
        <f t="shared" si="9"/>
        <v>(15;30)</v>
      </c>
      <c r="AH53" s="12" t="str">
        <f t="shared" si="9"/>
        <v>(15;31)</v>
      </c>
      <c r="AI53" s="12" t="str">
        <f t="shared" si="9"/>
        <v>(15;32)</v>
      </c>
      <c r="AJ53" s="12" t="str">
        <f t="shared" si="9"/>
        <v>(15;33)</v>
      </c>
      <c r="AK53" s="12" t="str">
        <f t="shared" si="9"/>
        <v>(15;34)</v>
      </c>
      <c r="AL53" s="12" t="str">
        <f t="shared" si="9"/>
        <v>(15;35)</v>
      </c>
      <c r="AM53" s="12" t="str">
        <f t="shared" si="10"/>
        <v>(15;36)</v>
      </c>
      <c r="AN53" s="12" t="str">
        <f t="shared" si="10"/>
        <v>(15;37)</v>
      </c>
      <c r="AO53" s="12" t="str">
        <f t="shared" si="10"/>
        <v>(15;38)</v>
      </c>
      <c r="AP53" s="12" t="str">
        <f t="shared" si="10"/>
        <v>(15;39)</v>
      </c>
      <c r="AQ53" s="12" t="str">
        <f t="shared" si="10"/>
        <v>(15;40)</v>
      </c>
      <c r="AR53" s="12" t="str">
        <f t="shared" si="10"/>
        <v>(15;41)</v>
      </c>
      <c r="AS53" s="12" t="str">
        <f t="shared" si="10"/>
        <v>(15;42)</v>
      </c>
      <c r="AT53" s="12" t="str">
        <f t="shared" si="10"/>
        <v>(15;43)</v>
      </c>
      <c r="AU53" s="12" t="str">
        <f t="shared" si="10"/>
        <v>(15;44)</v>
      </c>
      <c r="AV53" s="12" t="str">
        <f t="shared" si="10"/>
        <v>(15;45)</v>
      </c>
      <c r="AW53" s="12" t="str">
        <f t="shared" si="10"/>
        <v>(15;46)</v>
      </c>
      <c r="AX53" s="12" t="str">
        <f t="shared" si="10"/>
        <v>(15;47)</v>
      </c>
      <c r="AY53" s="12" t="str">
        <f t="shared" si="10"/>
        <v>(15;48)</v>
      </c>
      <c r="AZ53" s="12" t="str">
        <f t="shared" si="10"/>
        <v>(15;49)</v>
      </c>
      <c r="BA53" s="12" t="str">
        <f t="shared" si="10"/>
        <v>(15;50)</v>
      </c>
      <c r="BB53" s="12" t="str">
        <f t="shared" si="10"/>
        <v>(15;51)</v>
      </c>
      <c r="BC53" s="12" t="str">
        <f t="shared" si="11"/>
        <v>(15;52)</v>
      </c>
      <c r="BD53" s="12" t="str">
        <f t="shared" si="11"/>
        <v>(15;53)</v>
      </c>
      <c r="BE53" s="12" t="str">
        <f t="shared" si="11"/>
        <v>(15;54)</v>
      </c>
      <c r="BF53" s="12" t="str">
        <f t="shared" si="11"/>
        <v>(15;55)</v>
      </c>
      <c r="BG53" s="12" t="str">
        <f t="shared" si="11"/>
        <v>(15;56)</v>
      </c>
      <c r="BH53" s="12" t="str">
        <f t="shared" si="11"/>
        <v>(15;57)</v>
      </c>
      <c r="BI53" s="12" t="str">
        <f t="shared" si="11"/>
        <v>(15;58)</v>
      </c>
      <c r="BJ53" s="12" t="str">
        <f t="shared" si="11"/>
        <v>(15;59)</v>
      </c>
      <c r="BK53" s="12" t="str">
        <f t="shared" si="11"/>
        <v>(15;60)</v>
      </c>
      <c r="BL53" s="12" t="str">
        <f t="shared" si="11"/>
        <v>(15;61)</v>
      </c>
      <c r="BM53" s="12" t="str">
        <f t="shared" si="11"/>
        <v>(15;62)</v>
      </c>
      <c r="BN53" s="12" t="str">
        <f t="shared" si="11"/>
        <v>(15;63)</v>
      </c>
    </row>
    <row r="54" spans="1:66">
      <c r="A54">
        <f>VLOOKUP(B54,Teste!$A$137:$G$236,7,FALSE)</f>
        <v>0</v>
      </c>
      <c r="B54">
        <f t="shared" si="7"/>
        <v>16</v>
      </c>
      <c r="C54" s="12" t="str">
        <f t="shared" si="6"/>
        <v>(16;00)</v>
      </c>
      <c r="D54" s="12" t="str">
        <f t="shared" si="6"/>
        <v>(16;01)</v>
      </c>
      <c r="E54" s="12" t="str">
        <f t="shared" si="6"/>
        <v>(16;02)</v>
      </c>
      <c r="F54" s="12" t="str">
        <f t="shared" si="6"/>
        <v>(16;03)</v>
      </c>
      <c r="G54" s="12" t="str">
        <f t="shared" si="6"/>
        <v>(16;04)</v>
      </c>
      <c r="H54" s="12" t="str">
        <f t="shared" si="6"/>
        <v>(16;05)</v>
      </c>
      <c r="I54" s="12" t="str">
        <f t="shared" si="6"/>
        <v>(16;06)</v>
      </c>
      <c r="J54" s="12" t="str">
        <f t="shared" si="6"/>
        <v>(16;07)</v>
      </c>
      <c r="K54" s="12" t="str">
        <f t="shared" si="6"/>
        <v>(16;08)</v>
      </c>
      <c r="L54" s="12" t="str">
        <f t="shared" si="6"/>
        <v>(16;09)</v>
      </c>
      <c r="M54" s="12" t="str">
        <f t="shared" si="6"/>
        <v>(16;10)</v>
      </c>
      <c r="N54" s="12" t="str">
        <f t="shared" si="6"/>
        <v>(16;11)</v>
      </c>
      <c r="O54" s="12" t="str">
        <f t="shared" si="6"/>
        <v>(16;12)</v>
      </c>
      <c r="P54" s="12" t="str">
        <f t="shared" si="6"/>
        <v>(16;13)</v>
      </c>
      <c r="Q54" s="12" t="str">
        <f t="shared" si="6"/>
        <v>(16;14)</v>
      </c>
      <c r="R54" s="12" t="str">
        <f t="shared" si="6"/>
        <v>(16;15)</v>
      </c>
      <c r="S54" s="12" t="str">
        <f t="shared" si="8"/>
        <v>(16;16)</v>
      </c>
      <c r="T54" s="12" t="str">
        <f t="shared" si="8"/>
        <v>(16;17)</v>
      </c>
      <c r="U54" s="12" t="str">
        <f t="shared" si="8"/>
        <v>(16;18)</v>
      </c>
      <c r="V54" s="12" t="str">
        <f t="shared" si="8"/>
        <v>(16;19)</v>
      </c>
      <c r="W54" s="12" t="str">
        <f t="shared" si="9"/>
        <v>(16;20)</v>
      </c>
      <c r="X54" s="12" t="str">
        <f t="shared" si="9"/>
        <v>(16;21)</v>
      </c>
      <c r="Y54" s="12" t="str">
        <f t="shared" si="9"/>
        <v>(16;22)</v>
      </c>
      <c r="Z54" s="12" t="str">
        <f t="shared" si="9"/>
        <v>(16;23)</v>
      </c>
      <c r="AA54" s="12" t="str">
        <f t="shared" si="9"/>
        <v>(16;24)</v>
      </c>
      <c r="AB54" s="12" t="str">
        <f t="shared" si="9"/>
        <v>(16;25)</v>
      </c>
      <c r="AC54" s="12" t="str">
        <f t="shared" si="9"/>
        <v>(16;26)</v>
      </c>
      <c r="AD54" s="12" t="str">
        <f t="shared" si="9"/>
        <v>(16;27)</v>
      </c>
      <c r="AE54" s="12" t="str">
        <f t="shared" si="9"/>
        <v>(16;28)</v>
      </c>
      <c r="AF54" s="12" t="str">
        <f t="shared" si="9"/>
        <v>(16;29)</v>
      </c>
      <c r="AG54" s="12" t="str">
        <f t="shared" si="9"/>
        <v>(16;30)</v>
      </c>
      <c r="AH54" s="12" t="str">
        <f t="shared" si="9"/>
        <v>(16;31)</v>
      </c>
      <c r="AI54" s="12" t="str">
        <f t="shared" si="9"/>
        <v>(16;32)</v>
      </c>
      <c r="AJ54" s="12" t="str">
        <f t="shared" si="9"/>
        <v>(16;33)</v>
      </c>
      <c r="AK54" s="12" t="str">
        <f t="shared" si="9"/>
        <v>(16;34)</v>
      </c>
      <c r="AL54" s="12" t="str">
        <f t="shared" si="9"/>
        <v>(16;35)</v>
      </c>
      <c r="AM54" s="12" t="str">
        <f t="shared" si="10"/>
        <v>(16;36)</v>
      </c>
      <c r="AN54" s="12" t="str">
        <f t="shared" si="10"/>
        <v>(16;37)</v>
      </c>
      <c r="AO54" s="12" t="str">
        <f t="shared" si="10"/>
        <v>(16;38)</v>
      </c>
      <c r="AP54" s="12" t="str">
        <f t="shared" si="10"/>
        <v>(16;39)</v>
      </c>
      <c r="AQ54" s="12" t="str">
        <f t="shared" si="10"/>
        <v>(16;40)</v>
      </c>
      <c r="AR54" s="12" t="str">
        <f t="shared" si="10"/>
        <v>(16;41)</v>
      </c>
      <c r="AS54" s="12" t="str">
        <f t="shared" si="10"/>
        <v>(16;42)</v>
      </c>
      <c r="AT54" s="12" t="str">
        <f t="shared" si="10"/>
        <v>(16;43)</v>
      </c>
      <c r="AU54" s="12" t="str">
        <f t="shared" si="10"/>
        <v>(16;44)</v>
      </c>
      <c r="AV54" s="12" t="str">
        <f t="shared" si="10"/>
        <v>(16;45)</v>
      </c>
      <c r="AW54" s="12" t="str">
        <f t="shared" si="10"/>
        <v>(16;46)</v>
      </c>
      <c r="AX54" s="12" t="str">
        <f t="shared" si="10"/>
        <v>(16;47)</v>
      </c>
      <c r="AY54" s="12" t="str">
        <f t="shared" si="10"/>
        <v>(16;48)</v>
      </c>
      <c r="AZ54" s="12" t="str">
        <f t="shared" si="10"/>
        <v>(16;49)</v>
      </c>
      <c r="BA54" s="12" t="str">
        <f t="shared" si="10"/>
        <v>(16;50)</v>
      </c>
      <c r="BB54" s="12" t="str">
        <f t="shared" si="10"/>
        <v>(16;51)</v>
      </c>
      <c r="BC54" s="12" t="str">
        <f t="shared" si="11"/>
        <v>(16;52)</v>
      </c>
      <c r="BD54" s="12" t="str">
        <f t="shared" si="11"/>
        <v>(16;53)</v>
      </c>
      <c r="BE54" s="12" t="str">
        <f t="shared" si="11"/>
        <v>(16;54)</v>
      </c>
      <c r="BF54" s="12" t="str">
        <f t="shared" si="11"/>
        <v>(16;55)</v>
      </c>
      <c r="BG54" s="12" t="str">
        <f t="shared" si="11"/>
        <v>(16;56)</v>
      </c>
      <c r="BH54" s="12" t="str">
        <f t="shared" si="11"/>
        <v>(16;57)</v>
      </c>
      <c r="BI54" s="12" t="str">
        <f t="shared" si="11"/>
        <v>(16;58)</v>
      </c>
      <c r="BJ54" s="12" t="str">
        <f t="shared" si="11"/>
        <v>(16;59)</v>
      </c>
      <c r="BK54" s="12" t="str">
        <f t="shared" si="11"/>
        <v>(16;60)</v>
      </c>
      <c r="BL54" s="12" t="str">
        <f t="shared" si="11"/>
        <v>(16;61)</v>
      </c>
      <c r="BM54" s="12" t="str">
        <f t="shared" si="11"/>
        <v>(16;62)</v>
      </c>
      <c r="BN54" s="12" t="str">
        <f t="shared" si="11"/>
        <v>(16;63)</v>
      </c>
    </row>
    <row r="55" spans="1:66">
      <c r="A55">
        <f>VLOOKUP(B55,Teste!$A$137:$G$236,7,FALSE)</f>
        <v>0</v>
      </c>
      <c r="B55">
        <f t="shared" si="7"/>
        <v>17</v>
      </c>
      <c r="C55" s="12" t="str">
        <f t="shared" si="6"/>
        <v>(17;00)</v>
      </c>
      <c r="D55" s="12" t="str">
        <f t="shared" si="6"/>
        <v>(17;01)</v>
      </c>
      <c r="E55" s="12" t="str">
        <f t="shared" si="6"/>
        <v>(17;02)</v>
      </c>
      <c r="F55" s="12" t="str">
        <f t="shared" si="6"/>
        <v>(17;03)</v>
      </c>
      <c r="G55" s="12" t="str">
        <f t="shared" si="6"/>
        <v>(17;04)</v>
      </c>
      <c r="H55" s="12" t="str">
        <f t="shared" si="6"/>
        <v>(17;05)</v>
      </c>
      <c r="I55" s="12" t="str">
        <f t="shared" si="6"/>
        <v>(17;06)</v>
      </c>
      <c r="J55" s="12" t="str">
        <f t="shared" si="6"/>
        <v>(17;07)</v>
      </c>
      <c r="K55" s="12" t="str">
        <f t="shared" si="6"/>
        <v>(17;08)</v>
      </c>
      <c r="L55" s="12" t="str">
        <f t="shared" si="6"/>
        <v>(17;09)</v>
      </c>
      <c r="M55" s="12" t="str">
        <f t="shared" si="6"/>
        <v>(17;10)</v>
      </c>
      <c r="N55" s="12" t="str">
        <f t="shared" si="6"/>
        <v>(17;11)</v>
      </c>
      <c r="O55" s="12" t="str">
        <f t="shared" si="6"/>
        <v>(17;12)</v>
      </c>
      <c r="P55" s="12" t="str">
        <f t="shared" si="6"/>
        <v>(17;13)</v>
      </c>
      <c r="Q55" s="12" t="str">
        <f t="shared" si="6"/>
        <v>(17;14)</v>
      </c>
      <c r="R55" s="12" t="str">
        <f t="shared" si="6"/>
        <v>(17;15)</v>
      </c>
      <c r="S55" s="12" t="str">
        <f t="shared" si="8"/>
        <v>(17;16)</v>
      </c>
      <c r="T55" s="12" t="str">
        <f t="shared" si="8"/>
        <v>(17;17)</v>
      </c>
      <c r="U55" s="12" t="str">
        <f t="shared" si="8"/>
        <v>(17;18)</v>
      </c>
      <c r="V55" s="12" t="str">
        <f t="shared" si="8"/>
        <v>(17;19)</v>
      </c>
      <c r="W55" s="12" t="str">
        <f t="shared" si="9"/>
        <v>(17;20)</v>
      </c>
      <c r="X55" s="12" t="str">
        <f t="shared" si="9"/>
        <v>(17;21)</v>
      </c>
      <c r="Y55" s="12" t="str">
        <f t="shared" si="9"/>
        <v>(17;22)</v>
      </c>
      <c r="Z55" s="12" t="str">
        <f t="shared" si="9"/>
        <v>(17;23)</v>
      </c>
      <c r="AA55" s="12" t="str">
        <f t="shared" si="9"/>
        <v>(17;24)</v>
      </c>
      <c r="AB55" s="12" t="str">
        <f t="shared" si="9"/>
        <v>(17;25)</v>
      </c>
      <c r="AC55" s="12" t="str">
        <f t="shared" si="9"/>
        <v>(17;26)</v>
      </c>
      <c r="AD55" s="12" t="str">
        <f t="shared" si="9"/>
        <v>(17;27)</v>
      </c>
      <c r="AE55" s="12" t="str">
        <f t="shared" si="9"/>
        <v>(17;28)</v>
      </c>
      <c r="AF55" s="12" t="str">
        <f t="shared" si="9"/>
        <v>(17;29)</v>
      </c>
      <c r="AG55" s="12" t="str">
        <f t="shared" si="9"/>
        <v>(17;30)</v>
      </c>
      <c r="AH55" s="12" t="str">
        <f t="shared" si="9"/>
        <v>(17;31)</v>
      </c>
      <c r="AI55" s="12" t="str">
        <f t="shared" si="9"/>
        <v>(17;32)</v>
      </c>
      <c r="AJ55" s="12" t="str">
        <f t="shared" si="9"/>
        <v>(17;33)</v>
      </c>
      <c r="AK55" s="12" t="str">
        <f t="shared" si="9"/>
        <v>(17;34)</v>
      </c>
      <c r="AL55" s="12" t="str">
        <f t="shared" si="9"/>
        <v>(17;35)</v>
      </c>
      <c r="AM55" s="12" t="str">
        <f t="shared" si="10"/>
        <v>(17;36)</v>
      </c>
      <c r="AN55" s="12" t="str">
        <f t="shared" si="10"/>
        <v>(17;37)</v>
      </c>
      <c r="AO55" s="12" t="str">
        <f t="shared" si="10"/>
        <v>(17;38)</v>
      </c>
      <c r="AP55" s="12" t="str">
        <f t="shared" si="10"/>
        <v>(17;39)</v>
      </c>
      <c r="AQ55" s="12" t="str">
        <f t="shared" si="10"/>
        <v>(17;40)</v>
      </c>
      <c r="AR55" s="12" t="str">
        <f t="shared" si="10"/>
        <v>(17;41)</v>
      </c>
      <c r="AS55" s="12" t="str">
        <f t="shared" si="10"/>
        <v>(17;42)</v>
      </c>
      <c r="AT55" s="12" t="str">
        <f t="shared" si="10"/>
        <v>(17;43)</v>
      </c>
      <c r="AU55" s="12" t="str">
        <f t="shared" si="10"/>
        <v>(17;44)</v>
      </c>
      <c r="AV55" s="12" t="str">
        <f t="shared" si="10"/>
        <v>(17;45)</v>
      </c>
      <c r="AW55" s="12" t="str">
        <f t="shared" si="10"/>
        <v>(17;46)</v>
      </c>
      <c r="AX55" s="12" t="str">
        <f t="shared" si="10"/>
        <v>(17;47)</v>
      </c>
      <c r="AY55" s="12" t="str">
        <f t="shared" si="10"/>
        <v>(17;48)</v>
      </c>
      <c r="AZ55" s="12" t="str">
        <f t="shared" si="10"/>
        <v>(17;49)</v>
      </c>
      <c r="BA55" s="12" t="str">
        <f t="shared" si="10"/>
        <v>(17;50)</v>
      </c>
      <c r="BB55" s="12" t="str">
        <f t="shared" si="10"/>
        <v>(17;51)</v>
      </c>
      <c r="BC55" s="12" t="str">
        <f t="shared" si="11"/>
        <v>(17;52)</v>
      </c>
      <c r="BD55" s="12" t="str">
        <f t="shared" si="11"/>
        <v>(17;53)</v>
      </c>
      <c r="BE55" s="12" t="str">
        <f t="shared" si="11"/>
        <v>(17;54)</v>
      </c>
      <c r="BF55" s="12" t="str">
        <f t="shared" si="11"/>
        <v>(17;55)</v>
      </c>
      <c r="BG55" s="12" t="str">
        <f t="shared" si="11"/>
        <v>(17;56)</v>
      </c>
      <c r="BH55" s="12" t="str">
        <f t="shared" si="11"/>
        <v>(17;57)</v>
      </c>
      <c r="BI55" s="12" t="str">
        <f t="shared" si="11"/>
        <v>(17;58)</v>
      </c>
      <c r="BJ55" s="12" t="str">
        <f t="shared" si="11"/>
        <v>(17;59)</v>
      </c>
      <c r="BK55" s="12" t="str">
        <f t="shared" si="11"/>
        <v>(17;60)</v>
      </c>
      <c r="BL55" s="12" t="str">
        <f t="shared" si="11"/>
        <v>(17;61)</v>
      </c>
      <c r="BM55" s="12" t="str">
        <f t="shared" si="11"/>
        <v>(17;62)</v>
      </c>
      <c r="BN55" s="12" t="str">
        <f t="shared" si="11"/>
        <v>(17;63)</v>
      </c>
    </row>
    <row r="56" spans="1:66">
      <c r="A56">
        <f>VLOOKUP(B56,Teste!$A$137:$G$236,7,FALSE)</f>
        <v>0</v>
      </c>
      <c r="B56">
        <f t="shared" si="7"/>
        <v>18</v>
      </c>
      <c r="C56" s="12" t="str">
        <f t="shared" si="6"/>
        <v>(18;00)</v>
      </c>
      <c r="D56" s="12" t="str">
        <f t="shared" si="6"/>
        <v>(18;01)</v>
      </c>
      <c r="E56" s="12" t="str">
        <f t="shared" si="6"/>
        <v>(18;02)</v>
      </c>
      <c r="F56" s="12" t="str">
        <f t="shared" si="6"/>
        <v>(18;03)</v>
      </c>
      <c r="G56" s="12" t="str">
        <f t="shared" si="6"/>
        <v>(18;04)</v>
      </c>
      <c r="H56" s="12" t="str">
        <f t="shared" si="6"/>
        <v>(18;05)</v>
      </c>
      <c r="I56" s="12" t="str">
        <f t="shared" si="6"/>
        <v>(18;06)</v>
      </c>
      <c r="J56" s="12" t="str">
        <f t="shared" si="6"/>
        <v>(18;07)</v>
      </c>
      <c r="K56" s="12" t="str">
        <f t="shared" si="6"/>
        <v>(18;08)</v>
      </c>
      <c r="L56" s="12" t="str">
        <f t="shared" si="6"/>
        <v>(18;09)</v>
      </c>
      <c r="M56" s="12" t="str">
        <f t="shared" si="6"/>
        <v>(18;10)</v>
      </c>
      <c r="N56" s="12" t="str">
        <f t="shared" si="6"/>
        <v>(18;11)</v>
      </c>
      <c r="O56" s="12" t="str">
        <f t="shared" si="6"/>
        <v>(18;12)</v>
      </c>
      <c r="P56" s="12" t="str">
        <f t="shared" si="6"/>
        <v>(18;13)</v>
      </c>
      <c r="Q56" s="12" t="str">
        <f t="shared" si="6"/>
        <v>(18;14)</v>
      </c>
      <c r="R56" s="12" t="str">
        <f t="shared" si="6"/>
        <v>(18;15)</v>
      </c>
      <c r="S56" s="12" t="str">
        <f t="shared" si="8"/>
        <v>(18;16)</v>
      </c>
      <c r="T56" s="12" t="str">
        <f t="shared" si="8"/>
        <v>(18;17)</v>
      </c>
      <c r="U56" s="12" t="str">
        <f t="shared" si="8"/>
        <v>(18;18)</v>
      </c>
      <c r="V56" s="12" t="str">
        <f t="shared" si="8"/>
        <v>(18;19)</v>
      </c>
      <c r="W56" s="12" t="str">
        <f t="shared" si="9"/>
        <v>(18;20)</v>
      </c>
      <c r="X56" s="12" t="str">
        <f t="shared" si="9"/>
        <v>(18;21)</v>
      </c>
      <c r="Y56" s="12" t="str">
        <f t="shared" si="9"/>
        <v>(18;22)</v>
      </c>
      <c r="Z56" s="12" t="str">
        <f t="shared" si="9"/>
        <v>(18;23)</v>
      </c>
      <c r="AA56" s="12" t="str">
        <f t="shared" si="9"/>
        <v>(18;24)</v>
      </c>
      <c r="AB56" s="12" t="str">
        <f t="shared" si="9"/>
        <v>(18;25)</v>
      </c>
      <c r="AC56" s="12" t="str">
        <f t="shared" si="9"/>
        <v>(18;26)</v>
      </c>
      <c r="AD56" s="12" t="str">
        <f t="shared" si="9"/>
        <v>(18;27)</v>
      </c>
      <c r="AE56" s="12" t="str">
        <f t="shared" si="9"/>
        <v>(18;28)</v>
      </c>
      <c r="AF56" s="12" t="str">
        <f t="shared" si="9"/>
        <v>(18;29)</v>
      </c>
      <c r="AG56" s="12" t="str">
        <f t="shared" si="9"/>
        <v>(18;30)</v>
      </c>
      <c r="AH56" s="12" t="str">
        <f t="shared" si="9"/>
        <v>(18;31)</v>
      </c>
      <c r="AI56" s="12" t="str">
        <f t="shared" si="9"/>
        <v>(18;32)</v>
      </c>
      <c r="AJ56" s="12" t="str">
        <f t="shared" si="9"/>
        <v>(18;33)</v>
      </c>
      <c r="AK56" s="12" t="str">
        <f t="shared" si="9"/>
        <v>(18;34)</v>
      </c>
      <c r="AL56" s="12" t="str">
        <f t="shared" si="9"/>
        <v>(18;35)</v>
      </c>
      <c r="AM56" s="12" t="str">
        <f t="shared" si="10"/>
        <v>(18;36)</v>
      </c>
      <c r="AN56" s="12" t="str">
        <f t="shared" si="10"/>
        <v>(18;37)</v>
      </c>
      <c r="AO56" s="12" t="str">
        <f t="shared" si="10"/>
        <v>(18;38)</v>
      </c>
      <c r="AP56" s="12" t="str">
        <f t="shared" si="10"/>
        <v>(18;39)</v>
      </c>
      <c r="AQ56" s="12" t="str">
        <f t="shared" si="10"/>
        <v>(18;40)</v>
      </c>
      <c r="AR56" s="12" t="str">
        <f t="shared" si="10"/>
        <v>(18;41)</v>
      </c>
      <c r="AS56" s="12" t="str">
        <f t="shared" si="10"/>
        <v>(18;42)</v>
      </c>
      <c r="AT56" s="12" t="str">
        <f t="shared" si="10"/>
        <v>(18;43)</v>
      </c>
      <c r="AU56" s="12" t="str">
        <f t="shared" si="10"/>
        <v>(18;44)</v>
      </c>
      <c r="AV56" s="12" t="str">
        <f t="shared" si="10"/>
        <v>(18;45)</v>
      </c>
      <c r="AW56" s="12" t="str">
        <f t="shared" si="10"/>
        <v>(18;46)</v>
      </c>
      <c r="AX56" s="12" t="str">
        <f t="shared" si="10"/>
        <v>(18;47)</v>
      </c>
      <c r="AY56" s="12" t="str">
        <f t="shared" si="10"/>
        <v>(18;48)</v>
      </c>
      <c r="AZ56" s="12" t="str">
        <f t="shared" si="10"/>
        <v>(18;49)</v>
      </c>
      <c r="BA56" s="12" t="str">
        <f t="shared" si="10"/>
        <v>(18;50)</v>
      </c>
      <c r="BB56" s="12" t="str">
        <f t="shared" si="10"/>
        <v>(18;51)</v>
      </c>
      <c r="BC56" s="12" t="str">
        <f t="shared" si="11"/>
        <v>(18;52)</v>
      </c>
      <c r="BD56" s="12" t="str">
        <f t="shared" si="11"/>
        <v>(18;53)</v>
      </c>
      <c r="BE56" s="12" t="str">
        <f t="shared" si="11"/>
        <v>(18;54)</v>
      </c>
      <c r="BF56" s="12" t="str">
        <f t="shared" si="11"/>
        <v>(18;55)</v>
      </c>
      <c r="BG56" s="12" t="str">
        <f t="shared" si="11"/>
        <v>(18;56)</v>
      </c>
      <c r="BH56" s="12" t="str">
        <f t="shared" si="11"/>
        <v>(18;57)</v>
      </c>
      <c r="BI56" s="12" t="str">
        <f t="shared" si="11"/>
        <v>(18;58)</v>
      </c>
      <c r="BJ56" s="12" t="str">
        <f t="shared" si="11"/>
        <v>(18;59)</v>
      </c>
      <c r="BK56" s="12" t="str">
        <f t="shared" si="11"/>
        <v>(18;60)</v>
      </c>
      <c r="BL56" s="12" t="str">
        <f t="shared" si="11"/>
        <v>(18;61)</v>
      </c>
      <c r="BM56" s="12" t="str">
        <f t="shared" si="11"/>
        <v>(18;62)</v>
      </c>
      <c r="BN56" s="12" t="str">
        <f t="shared" si="11"/>
        <v>(18;63)</v>
      </c>
    </row>
    <row r="57" spans="1:66">
      <c r="A57">
        <f>VLOOKUP(B57,Teste!$A$137:$G$236,7,FALSE)</f>
        <v>0</v>
      </c>
      <c r="B57">
        <f t="shared" si="7"/>
        <v>19</v>
      </c>
      <c r="C57" s="12" t="str">
        <f t="shared" si="6"/>
        <v>(19;00)</v>
      </c>
      <c r="D57" s="12" t="str">
        <f t="shared" si="6"/>
        <v>(19;01)</v>
      </c>
      <c r="E57" s="12" t="str">
        <f t="shared" si="6"/>
        <v>(19;02)</v>
      </c>
      <c r="F57" s="12" t="str">
        <f t="shared" si="6"/>
        <v>(19;03)</v>
      </c>
      <c r="G57" s="12" t="str">
        <f t="shared" si="6"/>
        <v>(19;04)</v>
      </c>
      <c r="H57" s="12" t="str">
        <f t="shared" si="6"/>
        <v>(19;05)</v>
      </c>
      <c r="I57" s="12" t="str">
        <f t="shared" si="6"/>
        <v>(19;06)</v>
      </c>
      <c r="J57" s="12" t="str">
        <f t="shared" si="6"/>
        <v>(19;07)</v>
      </c>
      <c r="K57" s="12" t="str">
        <f t="shared" si="6"/>
        <v>(19;08)</v>
      </c>
      <c r="L57" s="12" t="str">
        <f t="shared" si="6"/>
        <v>(19;09)</v>
      </c>
      <c r="M57" s="12" t="str">
        <f t="shared" si="6"/>
        <v>(19;10)</v>
      </c>
      <c r="N57" s="12" t="str">
        <f t="shared" si="6"/>
        <v>(19;11)</v>
      </c>
      <c r="O57" s="12" t="str">
        <f t="shared" si="6"/>
        <v>(19;12)</v>
      </c>
      <c r="P57" s="12" t="str">
        <f t="shared" si="6"/>
        <v>(19;13)</v>
      </c>
      <c r="Q57" s="12" t="str">
        <f t="shared" si="6"/>
        <v>(19;14)</v>
      </c>
      <c r="R57" s="12" t="str">
        <f t="shared" si="6"/>
        <v>(19;15)</v>
      </c>
      <c r="S57" s="12" t="str">
        <f t="shared" si="8"/>
        <v>(19;16)</v>
      </c>
      <c r="T57" s="12" t="str">
        <f t="shared" si="8"/>
        <v>(19;17)</v>
      </c>
      <c r="U57" s="12" t="str">
        <f t="shared" si="8"/>
        <v>(19;18)</v>
      </c>
      <c r="V57" s="12" t="str">
        <f t="shared" si="8"/>
        <v>(19;19)</v>
      </c>
      <c r="W57" s="12" t="str">
        <f t="shared" si="9"/>
        <v>(19;20)</v>
      </c>
      <c r="X57" s="12" t="str">
        <f t="shared" si="9"/>
        <v>(19;21)</v>
      </c>
      <c r="Y57" s="12" t="str">
        <f t="shared" si="9"/>
        <v>(19;22)</v>
      </c>
      <c r="Z57" s="12" t="str">
        <f t="shared" si="9"/>
        <v>(19;23)</v>
      </c>
      <c r="AA57" s="12" t="str">
        <f t="shared" si="9"/>
        <v>(19;24)</v>
      </c>
      <c r="AB57" s="12" t="str">
        <f t="shared" si="9"/>
        <v>(19;25)</v>
      </c>
      <c r="AC57" s="12" t="str">
        <f t="shared" si="9"/>
        <v>(19;26)</v>
      </c>
      <c r="AD57" s="12" t="str">
        <f t="shared" si="9"/>
        <v>(19;27)</v>
      </c>
      <c r="AE57" s="12" t="str">
        <f t="shared" si="9"/>
        <v>(19;28)</v>
      </c>
      <c r="AF57" s="12" t="str">
        <f t="shared" si="9"/>
        <v>(19;29)</v>
      </c>
      <c r="AG57" s="12" t="str">
        <f t="shared" si="9"/>
        <v>(19;30)</v>
      </c>
      <c r="AH57" s="12" t="str">
        <f t="shared" si="9"/>
        <v>(19;31)</v>
      </c>
      <c r="AI57" s="12" t="str">
        <f t="shared" si="9"/>
        <v>(19;32)</v>
      </c>
      <c r="AJ57" s="12" t="str">
        <f t="shared" si="9"/>
        <v>(19;33)</v>
      </c>
      <c r="AK57" s="12" t="str">
        <f t="shared" si="9"/>
        <v>(19;34)</v>
      </c>
      <c r="AL57" s="12" t="str">
        <f t="shared" ref="AL57:BA72" si="12">CONCATENATE("(",TEXT($B57,"00"),";",TEXT(AL$37,"00"),")")</f>
        <v>(19;35)</v>
      </c>
      <c r="AM57" s="12" t="str">
        <f t="shared" si="12"/>
        <v>(19;36)</v>
      </c>
      <c r="AN57" s="12" t="str">
        <f t="shared" si="12"/>
        <v>(19;37)</v>
      </c>
      <c r="AO57" s="12" t="str">
        <f t="shared" si="12"/>
        <v>(19;38)</v>
      </c>
      <c r="AP57" s="12" t="str">
        <f t="shared" si="12"/>
        <v>(19;39)</v>
      </c>
      <c r="AQ57" s="12" t="str">
        <f t="shared" si="12"/>
        <v>(19;40)</v>
      </c>
      <c r="AR57" s="12" t="str">
        <f t="shared" si="12"/>
        <v>(19;41)</v>
      </c>
      <c r="AS57" s="12" t="str">
        <f t="shared" si="12"/>
        <v>(19;42)</v>
      </c>
      <c r="AT57" s="12" t="str">
        <f t="shared" si="12"/>
        <v>(19;43)</v>
      </c>
      <c r="AU57" s="12" t="str">
        <f t="shared" si="12"/>
        <v>(19;44)</v>
      </c>
      <c r="AV57" s="12" t="str">
        <f t="shared" si="12"/>
        <v>(19;45)</v>
      </c>
      <c r="AW57" s="12" t="str">
        <f t="shared" si="12"/>
        <v>(19;46)</v>
      </c>
      <c r="AX57" s="12" t="str">
        <f t="shared" si="12"/>
        <v>(19;47)</v>
      </c>
      <c r="AY57" s="12" t="str">
        <f t="shared" si="12"/>
        <v>(19;48)</v>
      </c>
      <c r="AZ57" s="12" t="str">
        <f t="shared" si="12"/>
        <v>(19;49)</v>
      </c>
      <c r="BA57" s="12" t="str">
        <f t="shared" si="12"/>
        <v>(19;50)</v>
      </c>
      <c r="BB57" s="12" t="str">
        <f t="shared" si="10"/>
        <v>(19;51)</v>
      </c>
      <c r="BC57" s="12" t="str">
        <f t="shared" si="11"/>
        <v>(19;52)</v>
      </c>
      <c r="BD57" s="12" t="str">
        <f t="shared" si="11"/>
        <v>(19;53)</v>
      </c>
      <c r="BE57" s="12" t="str">
        <f t="shared" si="11"/>
        <v>(19;54)</v>
      </c>
      <c r="BF57" s="12" t="str">
        <f t="shared" si="11"/>
        <v>(19;55)</v>
      </c>
      <c r="BG57" s="12" t="str">
        <f t="shared" si="11"/>
        <v>(19;56)</v>
      </c>
      <c r="BH57" s="12" t="str">
        <f t="shared" si="11"/>
        <v>(19;57)</v>
      </c>
      <c r="BI57" s="12" t="str">
        <f t="shared" si="11"/>
        <v>(19;58)</v>
      </c>
      <c r="BJ57" s="12" t="str">
        <f t="shared" si="11"/>
        <v>(19;59)</v>
      </c>
      <c r="BK57" s="12" t="str">
        <f t="shared" si="11"/>
        <v>(19;60)</v>
      </c>
      <c r="BL57" s="12" t="str">
        <f t="shared" si="11"/>
        <v>(19;61)</v>
      </c>
      <c r="BM57" s="12" t="str">
        <f t="shared" si="11"/>
        <v>(19;62)</v>
      </c>
      <c r="BN57" s="12" t="str">
        <f t="shared" si="11"/>
        <v>(19;63)</v>
      </c>
    </row>
    <row r="58" spans="1:66">
      <c r="A58">
        <f>VLOOKUP(B58,Teste!$A$137:$G$236,7,FALSE)</f>
        <v>0</v>
      </c>
      <c r="B58">
        <f t="shared" si="7"/>
        <v>20</v>
      </c>
      <c r="C58" s="12" t="str">
        <f t="shared" si="6"/>
        <v>(20;00)</v>
      </c>
      <c r="D58" s="12" t="str">
        <f t="shared" si="6"/>
        <v>(20;01)</v>
      </c>
      <c r="E58" s="12" t="str">
        <f t="shared" si="6"/>
        <v>(20;02)</v>
      </c>
      <c r="F58" s="12" t="str">
        <f t="shared" si="6"/>
        <v>(20;03)</v>
      </c>
      <c r="G58" s="12" t="str">
        <f t="shared" si="6"/>
        <v>(20;04)</v>
      </c>
      <c r="H58" s="12" t="str">
        <f t="shared" si="6"/>
        <v>(20;05)</v>
      </c>
      <c r="I58" s="12" t="str">
        <f t="shared" si="6"/>
        <v>(20;06)</v>
      </c>
      <c r="J58" s="12" t="str">
        <f t="shared" si="6"/>
        <v>(20;07)</v>
      </c>
      <c r="K58" s="12" t="str">
        <f t="shared" si="6"/>
        <v>(20;08)</v>
      </c>
      <c r="L58" s="12" t="str">
        <f t="shared" si="6"/>
        <v>(20;09)</v>
      </c>
      <c r="M58" s="12" t="str">
        <f t="shared" si="6"/>
        <v>(20;10)</v>
      </c>
      <c r="N58" s="12" t="str">
        <f t="shared" ref="N58:AC73" si="13">CONCATENATE("(",TEXT($B58,"00"),";",TEXT(N$37,"00"),")")</f>
        <v>(20;11)</v>
      </c>
      <c r="O58" s="12" t="str">
        <f t="shared" si="13"/>
        <v>(20;12)</v>
      </c>
      <c r="P58" s="12" t="str">
        <f t="shared" si="13"/>
        <v>(20;13)</v>
      </c>
      <c r="Q58" s="12" t="str">
        <f t="shared" si="13"/>
        <v>(20;14)</v>
      </c>
      <c r="R58" s="12" t="str">
        <f t="shared" si="13"/>
        <v>(20;15)</v>
      </c>
      <c r="S58" s="12" t="str">
        <f t="shared" si="13"/>
        <v>(20;16)</v>
      </c>
      <c r="T58" s="12" t="str">
        <f t="shared" si="13"/>
        <v>(20;17)</v>
      </c>
      <c r="U58" s="12" t="str">
        <f t="shared" si="13"/>
        <v>(20;18)</v>
      </c>
      <c r="V58" s="12" t="str">
        <f t="shared" si="13"/>
        <v>(20;19)</v>
      </c>
      <c r="W58" s="12" t="str">
        <f t="shared" si="13"/>
        <v>(20;20)</v>
      </c>
      <c r="X58" s="12" t="str">
        <f t="shared" si="13"/>
        <v>(20;21)</v>
      </c>
      <c r="Y58" s="12" t="str">
        <f t="shared" si="13"/>
        <v>(20;22)</v>
      </c>
      <c r="Z58" s="12" t="str">
        <f t="shared" si="13"/>
        <v>(20;23)</v>
      </c>
      <c r="AA58" s="12" t="str">
        <f t="shared" si="13"/>
        <v>(20;24)</v>
      </c>
      <c r="AB58" s="12" t="str">
        <f t="shared" si="13"/>
        <v>(20;25)</v>
      </c>
      <c r="AC58" s="12" t="str">
        <f t="shared" si="13"/>
        <v>(20;26)</v>
      </c>
      <c r="AD58" s="12" t="str">
        <f t="shared" ref="AD58:AS73" si="14">CONCATENATE("(",TEXT($B58,"00"),";",TEXT(AD$37,"00"),")")</f>
        <v>(20;27)</v>
      </c>
      <c r="AE58" s="12" t="str">
        <f t="shared" si="14"/>
        <v>(20;28)</v>
      </c>
      <c r="AF58" s="12" t="str">
        <f t="shared" si="14"/>
        <v>(20;29)</v>
      </c>
      <c r="AG58" s="12" t="str">
        <f t="shared" si="14"/>
        <v>(20;30)</v>
      </c>
      <c r="AH58" s="12" t="str">
        <f t="shared" si="14"/>
        <v>(20;31)</v>
      </c>
      <c r="AI58" s="12" t="str">
        <f t="shared" si="14"/>
        <v>(20;32)</v>
      </c>
      <c r="AJ58" s="12" t="str">
        <f t="shared" si="14"/>
        <v>(20;33)</v>
      </c>
      <c r="AK58" s="12" t="str">
        <f t="shared" si="14"/>
        <v>(20;34)</v>
      </c>
      <c r="AL58" s="12" t="str">
        <f t="shared" si="14"/>
        <v>(20;35)</v>
      </c>
      <c r="AM58" s="12" t="str">
        <f t="shared" si="14"/>
        <v>(20;36)</v>
      </c>
      <c r="AN58" s="12" t="str">
        <f t="shared" si="14"/>
        <v>(20;37)</v>
      </c>
      <c r="AO58" s="12" t="str">
        <f t="shared" si="14"/>
        <v>(20;38)</v>
      </c>
      <c r="AP58" s="12" t="str">
        <f t="shared" si="14"/>
        <v>(20;39)</v>
      </c>
      <c r="AQ58" s="12" t="str">
        <f t="shared" si="14"/>
        <v>(20;40)</v>
      </c>
      <c r="AR58" s="12" t="str">
        <f t="shared" si="14"/>
        <v>(20;41)</v>
      </c>
      <c r="AS58" s="12" t="str">
        <f t="shared" si="14"/>
        <v>(20;42)</v>
      </c>
      <c r="AT58" s="12" t="str">
        <f t="shared" si="12"/>
        <v>(20;43)</v>
      </c>
      <c r="AU58" s="12" t="str">
        <f t="shared" si="12"/>
        <v>(20;44)</v>
      </c>
      <c r="AV58" s="12" t="str">
        <f t="shared" si="12"/>
        <v>(20;45)</v>
      </c>
      <c r="AW58" s="12" t="str">
        <f t="shared" si="12"/>
        <v>(20;46)</v>
      </c>
      <c r="AX58" s="12" t="str">
        <f t="shared" si="12"/>
        <v>(20;47)</v>
      </c>
      <c r="AY58" s="12" t="str">
        <f t="shared" si="12"/>
        <v>(20;48)</v>
      </c>
      <c r="AZ58" s="12" t="str">
        <f t="shared" si="12"/>
        <v>(20;49)</v>
      </c>
      <c r="BA58" s="12" t="str">
        <f t="shared" si="12"/>
        <v>(20;50)</v>
      </c>
      <c r="BB58" s="12" t="str">
        <f t="shared" si="10"/>
        <v>(20;51)</v>
      </c>
      <c r="BC58" s="12" t="str">
        <f t="shared" si="11"/>
        <v>(20;52)</v>
      </c>
      <c r="BD58" s="12" t="str">
        <f t="shared" si="11"/>
        <v>(20;53)</v>
      </c>
      <c r="BE58" s="12" t="str">
        <f t="shared" si="11"/>
        <v>(20;54)</v>
      </c>
      <c r="BF58" s="12" t="str">
        <f t="shared" si="11"/>
        <v>(20;55)</v>
      </c>
      <c r="BG58" s="12" t="str">
        <f t="shared" si="11"/>
        <v>(20;56)</v>
      </c>
      <c r="BH58" s="12" t="str">
        <f t="shared" si="11"/>
        <v>(20;57)</v>
      </c>
      <c r="BI58" s="12" t="str">
        <f t="shared" si="11"/>
        <v>(20;58)</v>
      </c>
      <c r="BJ58" s="12" t="str">
        <f t="shared" si="11"/>
        <v>(20;59)</v>
      </c>
      <c r="BK58" s="12" t="str">
        <f t="shared" si="11"/>
        <v>(20;60)</v>
      </c>
      <c r="BL58" s="12" t="str">
        <f t="shared" si="11"/>
        <v>(20;61)</v>
      </c>
      <c r="BM58" s="12" t="str">
        <f t="shared" si="11"/>
        <v>(20;62)</v>
      </c>
      <c r="BN58" s="12" t="str">
        <f t="shared" si="11"/>
        <v>(20;63)</v>
      </c>
    </row>
    <row r="59" spans="1:66">
      <c r="A59">
        <f>VLOOKUP(B59,Teste!$A$137:$G$236,7,FALSE)</f>
        <v>0</v>
      </c>
      <c r="B59">
        <f t="shared" si="7"/>
        <v>21</v>
      </c>
      <c r="C59" s="12" t="str">
        <f t="shared" ref="C59:R74" si="15">CONCATENATE("(",TEXT($B59,"00"),";",TEXT(C$37,"00"),")")</f>
        <v>(21;00)</v>
      </c>
      <c r="D59" s="12" t="str">
        <f t="shared" si="15"/>
        <v>(21;01)</v>
      </c>
      <c r="E59" s="12" t="str">
        <f t="shared" si="15"/>
        <v>(21;02)</v>
      </c>
      <c r="F59" s="12" t="str">
        <f t="shared" si="15"/>
        <v>(21;03)</v>
      </c>
      <c r="G59" s="12" t="str">
        <f t="shared" si="15"/>
        <v>(21;04)</v>
      </c>
      <c r="H59" s="12" t="str">
        <f t="shared" si="15"/>
        <v>(21;05)</v>
      </c>
      <c r="I59" s="12" t="str">
        <f t="shared" si="15"/>
        <v>(21;06)</v>
      </c>
      <c r="J59" s="12" t="str">
        <f t="shared" si="15"/>
        <v>(21;07)</v>
      </c>
      <c r="K59" s="12" t="str">
        <f t="shared" si="15"/>
        <v>(21;08)</v>
      </c>
      <c r="L59" s="12" t="str">
        <f t="shared" si="15"/>
        <v>(21;09)</v>
      </c>
      <c r="M59" s="12" t="str">
        <f t="shared" si="15"/>
        <v>(21;10)</v>
      </c>
      <c r="N59" s="12" t="str">
        <f t="shared" si="15"/>
        <v>(21;11)</v>
      </c>
      <c r="O59" s="12" t="str">
        <f t="shared" si="15"/>
        <v>(21;12)</v>
      </c>
      <c r="P59" s="12" t="str">
        <f t="shared" si="15"/>
        <v>(21;13)</v>
      </c>
      <c r="Q59" s="12" t="str">
        <f t="shared" si="15"/>
        <v>(21;14)</v>
      </c>
      <c r="R59" s="12" t="str">
        <f t="shared" si="15"/>
        <v>(21;15)</v>
      </c>
      <c r="S59" s="12" t="str">
        <f t="shared" si="13"/>
        <v>(21;16)</v>
      </c>
      <c r="T59" s="12" t="str">
        <f t="shared" si="13"/>
        <v>(21;17)</v>
      </c>
      <c r="U59" s="12" t="str">
        <f t="shared" si="13"/>
        <v>(21;18)</v>
      </c>
      <c r="V59" s="12" t="str">
        <f t="shared" si="13"/>
        <v>(21;19)</v>
      </c>
      <c r="W59" s="12" t="str">
        <f t="shared" si="13"/>
        <v>(21;20)</v>
      </c>
      <c r="X59" s="12" t="str">
        <f t="shared" si="13"/>
        <v>(21;21)</v>
      </c>
      <c r="Y59" s="12" t="str">
        <f t="shared" si="13"/>
        <v>(21;22)</v>
      </c>
      <c r="Z59" s="12" t="str">
        <f t="shared" si="13"/>
        <v>(21;23)</v>
      </c>
      <c r="AA59" s="12" t="str">
        <f t="shared" si="13"/>
        <v>(21;24)</v>
      </c>
      <c r="AB59" s="12" t="str">
        <f t="shared" si="13"/>
        <v>(21;25)</v>
      </c>
      <c r="AC59" s="12" t="str">
        <f t="shared" si="13"/>
        <v>(21;26)</v>
      </c>
      <c r="AD59" s="12" t="str">
        <f t="shared" si="14"/>
        <v>(21;27)</v>
      </c>
      <c r="AE59" s="12" t="str">
        <f t="shared" si="14"/>
        <v>(21;28)</v>
      </c>
      <c r="AF59" s="12" t="str">
        <f t="shared" si="14"/>
        <v>(21;29)</v>
      </c>
      <c r="AG59" s="12" t="str">
        <f t="shared" si="14"/>
        <v>(21;30)</v>
      </c>
      <c r="AH59" s="12" t="str">
        <f t="shared" si="14"/>
        <v>(21;31)</v>
      </c>
      <c r="AI59" s="12" t="str">
        <f t="shared" si="14"/>
        <v>(21;32)</v>
      </c>
      <c r="AJ59" s="12" t="str">
        <f t="shared" si="14"/>
        <v>(21;33)</v>
      </c>
      <c r="AK59" s="12" t="str">
        <f t="shared" si="14"/>
        <v>(21;34)</v>
      </c>
      <c r="AL59" s="12" t="str">
        <f t="shared" si="14"/>
        <v>(21;35)</v>
      </c>
      <c r="AM59" s="12" t="str">
        <f t="shared" si="14"/>
        <v>(21;36)</v>
      </c>
      <c r="AN59" s="12" t="str">
        <f t="shared" si="14"/>
        <v>(21;37)</v>
      </c>
      <c r="AO59" s="12" t="str">
        <f t="shared" si="14"/>
        <v>(21;38)</v>
      </c>
      <c r="AP59" s="12" t="str">
        <f t="shared" si="14"/>
        <v>(21;39)</v>
      </c>
      <c r="AQ59" s="12" t="str">
        <f t="shared" si="14"/>
        <v>(21;40)</v>
      </c>
      <c r="AR59" s="12" t="str">
        <f t="shared" si="14"/>
        <v>(21;41)</v>
      </c>
      <c r="AS59" s="12" t="str">
        <f t="shared" si="14"/>
        <v>(21;42)</v>
      </c>
      <c r="AT59" s="12" t="str">
        <f t="shared" si="12"/>
        <v>(21;43)</v>
      </c>
      <c r="AU59" s="12" t="str">
        <f t="shared" si="12"/>
        <v>(21;44)</v>
      </c>
      <c r="AV59" s="12" t="str">
        <f t="shared" si="12"/>
        <v>(21;45)</v>
      </c>
      <c r="AW59" s="12" t="str">
        <f t="shared" si="12"/>
        <v>(21;46)</v>
      </c>
      <c r="AX59" s="12" t="str">
        <f t="shared" si="12"/>
        <v>(21;47)</v>
      </c>
      <c r="AY59" s="12" t="str">
        <f t="shared" si="12"/>
        <v>(21;48)</v>
      </c>
      <c r="AZ59" s="12" t="str">
        <f t="shared" si="12"/>
        <v>(21;49)</v>
      </c>
      <c r="BA59" s="12" t="str">
        <f t="shared" si="12"/>
        <v>(21;50)</v>
      </c>
      <c r="BB59" s="12" t="str">
        <f t="shared" si="10"/>
        <v>(21;51)</v>
      </c>
      <c r="BC59" s="12" t="str">
        <f t="shared" si="11"/>
        <v>(21;52)</v>
      </c>
      <c r="BD59" s="12" t="str">
        <f t="shared" si="11"/>
        <v>(21;53)</v>
      </c>
      <c r="BE59" s="12" t="str">
        <f t="shared" si="11"/>
        <v>(21;54)</v>
      </c>
      <c r="BF59" s="12" t="str">
        <f t="shared" si="11"/>
        <v>(21;55)</v>
      </c>
      <c r="BG59" s="12" t="str">
        <f t="shared" si="11"/>
        <v>(21;56)</v>
      </c>
      <c r="BH59" s="12" t="str">
        <f t="shared" si="11"/>
        <v>(21;57)</v>
      </c>
      <c r="BI59" s="12" t="str">
        <f t="shared" si="11"/>
        <v>(21;58)</v>
      </c>
      <c r="BJ59" s="12" t="str">
        <f t="shared" si="11"/>
        <v>(21;59)</v>
      </c>
      <c r="BK59" s="12" t="str">
        <f t="shared" si="11"/>
        <v>(21;60)</v>
      </c>
      <c r="BL59" s="12" t="str">
        <f t="shared" si="11"/>
        <v>(21;61)</v>
      </c>
      <c r="BM59" s="12" t="str">
        <f t="shared" si="11"/>
        <v>(21;62)</v>
      </c>
      <c r="BN59" s="12" t="str">
        <f t="shared" si="11"/>
        <v>(21;63)</v>
      </c>
    </row>
    <row r="60" spans="1:66">
      <c r="A60">
        <f>VLOOKUP(B60,Teste!$A$137:$G$236,7,FALSE)</f>
        <v>0</v>
      </c>
      <c r="B60">
        <f t="shared" si="7"/>
        <v>22</v>
      </c>
      <c r="C60" s="12" t="str">
        <f t="shared" si="15"/>
        <v>(22;00)</v>
      </c>
      <c r="D60" s="12" t="str">
        <f t="shared" si="15"/>
        <v>(22;01)</v>
      </c>
      <c r="E60" s="12" t="str">
        <f t="shared" si="15"/>
        <v>(22;02)</v>
      </c>
      <c r="F60" s="12" t="str">
        <f t="shared" si="15"/>
        <v>(22;03)</v>
      </c>
      <c r="G60" s="12" t="str">
        <f t="shared" si="15"/>
        <v>(22;04)</v>
      </c>
      <c r="H60" s="12" t="str">
        <f t="shared" si="15"/>
        <v>(22;05)</v>
      </c>
      <c r="I60" s="12" t="str">
        <f t="shared" si="15"/>
        <v>(22;06)</v>
      </c>
      <c r="J60" s="12" t="str">
        <f t="shared" si="15"/>
        <v>(22;07)</v>
      </c>
      <c r="K60" s="12" t="str">
        <f t="shared" si="15"/>
        <v>(22;08)</v>
      </c>
      <c r="L60" s="12" t="str">
        <f t="shared" si="15"/>
        <v>(22;09)</v>
      </c>
      <c r="M60" s="12" t="str">
        <f t="shared" si="15"/>
        <v>(22;10)</v>
      </c>
      <c r="N60" s="12" t="str">
        <f t="shared" si="15"/>
        <v>(22;11)</v>
      </c>
      <c r="O60" s="12" t="str">
        <f t="shared" si="15"/>
        <v>(22;12)</v>
      </c>
      <c r="P60" s="12" t="str">
        <f t="shared" si="15"/>
        <v>(22;13)</v>
      </c>
      <c r="Q60" s="12" t="str">
        <f t="shared" si="15"/>
        <v>(22;14)</v>
      </c>
      <c r="R60" s="12" t="str">
        <f t="shared" si="15"/>
        <v>(22;15)</v>
      </c>
      <c r="S60" s="12" t="str">
        <f t="shared" si="13"/>
        <v>(22;16)</v>
      </c>
      <c r="T60" s="12" t="str">
        <f t="shared" si="13"/>
        <v>(22;17)</v>
      </c>
      <c r="U60" s="12" t="str">
        <f t="shared" si="13"/>
        <v>(22;18)</v>
      </c>
      <c r="V60" s="12" t="str">
        <f t="shared" si="13"/>
        <v>(22;19)</v>
      </c>
      <c r="W60" s="12" t="str">
        <f t="shared" si="13"/>
        <v>(22;20)</v>
      </c>
      <c r="X60" s="12" t="str">
        <f t="shared" si="13"/>
        <v>(22;21)</v>
      </c>
      <c r="Y60" s="12" t="str">
        <f t="shared" si="13"/>
        <v>(22;22)</v>
      </c>
      <c r="Z60" s="12" t="str">
        <f t="shared" si="13"/>
        <v>(22;23)</v>
      </c>
      <c r="AA60" s="12" t="str">
        <f t="shared" si="13"/>
        <v>(22;24)</v>
      </c>
      <c r="AB60" s="12" t="str">
        <f t="shared" si="13"/>
        <v>(22;25)</v>
      </c>
      <c r="AC60" s="12" t="str">
        <f t="shared" si="13"/>
        <v>(22;26)</v>
      </c>
      <c r="AD60" s="12" t="str">
        <f t="shared" si="14"/>
        <v>(22;27)</v>
      </c>
      <c r="AE60" s="12" t="str">
        <f t="shared" si="14"/>
        <v>(22;28)</v>
      </c>
      <c r="AF60" s="12" t="str">
        <f t="shared" si="14"/>
        <v>(22;29)</v>
      </c>
      <c r="AG60" s="12" t="str">
        <f t="shared" si="14"/>
        <v>(22;30)</v>
      </c>
      <c r="AH60" s="12" t="str">
        <f t="shared" si="14"/>
        <v>(22;31)</v>
      </c>
      <c r="AI60" s="12" t="str">
        <f t="shared" si="14"/>
        <v>(22;32)</v>
      </c>
      <c r="AJ60" s="12" t="str">
        <f t="shared" si="14"/>
        <v>(22;33)</v>
      </c>
      <c r="AK60" s="12" t="str">
        <f t="shared" si="14"/>
        <v>(22;34)</v>
      </c>
      <c r="AL60" s="12" t="str">
        <f t="shared" si="14"/>
        <v>(22;35)</v>
      </c>
      <c r="AM60" s="12" t="str">
        <f t="shared" si="14"/>
        <v>(22;36)</v>
      </c>
      <c r="AN60" s="12" t="str">
        <f t="shared" si="14"/>
        <v>(22;37)</v>
      </c>
      <c r="AO60" s="12" t="str">
        <f t="shared" si="14"/>
        <v>(22;38)</v>
      </c>
      <c r="AP60" s="12" t="str">
        <f t="shared" si="14"/>
        <v>(22;39)</v>
      </c>
      <c r="AQ60" s="12" t="str">
        <f t="shared" si="14"/>
        <v>(22;40)</v>
      </c>
      <c r="AR60" s="12" t="str">
        <f t="shared" si="14"/>
        <v>(22;41)</v>
      </c>
      <c r="AS60" s="12" t="str">
        <f t="shared" si="14"/>
        <v>(22;42)</v>
      </c>
      <c r="AT60" s="12" t="str">
        <f t="shared" si="12"/>
        <v>(22;43)</v>
      </c>
      <c r="AU60" s="12" t="str">
        <f t="shared" si="12"/>
        <v>(22;44)</v>
      </c>
      <c r="AV60" s="12" t="str">
        <f t="shared" si="12"/>
        <v>(22;45)</v>
      </c>
      <c r="AW60" s="12" t="str">
        <f t="shared" si="12"/>
        <v>(22;46)</v>
      </c>
      <c r="AX60" s="12" t="str">
        <f t="shared" si="12"/>
        <v>(22;47)</v>
      </c>
      <c r="AY60" s="12" t="str">
        <f t="shared" si="12"/>
        <v>(22;48)</v>
      </c>
      <c r="AZ60" s="12" t="str">
        <f t="shared" si="12"/>
        <v>(22;49)</v>
      </c>
      <c r="BA60" s="12" t="str">
        <f t="shared" si="12"/>
        <v>(22;50)</v>
      </c>
      <c r="BB60" s="12" t="str">
        <f t="shared" si="10"/>
        <v>(22;51)</v>
      </c>
      <c r="BC60" s="12" t="str">
        <f t="shared" si="11"/>
        <v>(22;52)</v>
      </c>
      <c r="BD60" s="12" t="str">
        <f t="shared" si="11"/>
        <v>(22;53)</v>
      </c>
      <c r="BE60" s="12" t="str">
        <f t="shared" si="11"/>
        <v>(22;54)</v>
      </c>
      <c r="BF60" s="12" t="str">
        <f t="shared" si="11"/>
        <v>(22;55)</v>
      </c>
      <c r="BG60" s="12" t="str">
        <f t="shared" si="11"/>
        <v>(22;56)</v>
      </c>
      <c r="BH60" s="12" t="str">
        <f t="shared" si="11"/>
        <v>(22;57)</v>
      </c>
      <c r="BI60" s="12" t="str">
        <f t="shared" si="11"/>
        <v>(22;58)</v>
      </c>
      <c r="BJ60" s="12" t="str">
        <f t="shared" si="11"/>
        <v>(22;59)</v>
      </c>
      <c r="BK60" s="12" t="str">
        <f t="shared" si="11"/>
        <v>(22;60)</v>
      </c>
      <c r="BL60" s="12" t="str">
        <f t="shared" si="11"/>
        <v>(22;61)</v>
      </c>
      <c r="BM60" s="12" t="str">
        <f t="shared" si="11"/>
        <v>(22;62)</v>
      </c>
      <c r="BN60" s="12" t="str">
        <f t="shared" si="11"/>
        <v>(22;63)</v>
      </c>
    </row>
    <row r="61" spans="1:66">
      <c r="A61">
        <f>VLOOKUP(B61,Teste!$A$137:$G$236,7,FALSE)</f>
        <v>0</v>
      </c>
      <c r="B61">
        <f t="shared" si="7"/>
        <v>23</v>
      </c>
      <c r="C61" s="12" t="str">
        <f t="shared" si="15"/>
        <v>(23;00)</v>
      </c>
      <c r="D61" s="12" t="str">
        <f t="shared" si="15"/>
        <v>(23;01)</v>
      </c>
      <c r="E61" s="12" t="str">
        <f t="shared" si="15"/>
        <v>(23;02)</v>
      </c>
      <c r="F61" s="12" t="str">
        <f t="shared" si="15"/>
        <v>(23;03)</v>
      </c>
      <c r="G61" s="12" t="str">
        <f t="shared" si="15"/>
        <v>(23;04)</v>
      </c>
      <c r="H61" s="12" t="str">
        <f t="shared" si="15"/>
        <v>(23;05)</v>
      </c>
      <c r="I61" s="12" t="str">
        <f t="shared" si="15"/>
        <v>(23;06)</v>
      </c>
      <c r="J61" s="12" t="str">
        <f t="shared" si="15"/>
        <v>(23;07)</v>
      </c>
      <c r="K61" s="12" t="str">
        <f t="shared" si="15"/>
        <v>(23;08)</v>
      </c>
      <c r="L61" s="12" t="str">
        <f t="shared" si="15"/>
        <v>(23;09)</v>
      </c>
      <c r="M61" s="12" t="str">
        <f t="shared" si="15"/>
        <v>(23;10)</v>
      </c>
      <c r="N61" s="12" t="str">
        <f t="shared" si="15"/>
        <v>(23;11)</v>
      </c>
      <c r="O61" s="12" t="str">
        <f t="shared" si="15"/>
        <v>(23;12)</v>
      </c>
      <c r="P61" s="12" t="str">
        <f t="shared" si="15"/>
        <v>(23;13)</v>
      </c>
      <c r="Q61" s="12" t="str">
        <f t="shared" si="15"/>
        <v>(23;14)</v>
      </c>
      <c r="R61" s="12" t="str">
        <f t="shared" si="15"/>
        <v>(23;15)</v>
      </c>
      <c r="S61" s="12" t="str">
        <f t="shared" si="13"/>
        <v>(23;16)</v>
      </c>
      <c r="T61" s="12" t="str">
        <f t="shared" si="13"/>
        <v>(23;17)</v>
      </c>
      <c r="U61" s="12" t="str">
        <f t="shared" si="13"/>
        <v>(23;18)</v>
      </c>
      <c r="V61" s="12" t="str">
        <f t="shared" si="13"/>
        <v>(23;19)</v>
      </c>
      <c r="W61" s="12" t="str">
        <f t="shared" si="13"/>
        <v>(23;20)</v>
      </c>
      <c r="X61" s="12" t="str">
        <f t="shared" si="13"/>
        <v>(23;21)</v>
      </c>
      <c r="Y61" s="12" t="str">
        <f t="shared" si="13"/>
        <v>(23;22)</v>
      </c>
      <c r="Z61" s="12" t="str">
        <f t="shared" si="13"/>
        <v>(23;23)</v>
      </c>
      <c r="AA61" s="12" t="str">
        <f t="shared" si="13"/>
        <v>(23;24)</v>
      </c>
      <c r="AB61" s="12" t="str">
        <f t="shared" si="13"/>
        <v>(23;25)</v>
      </c>
      <c r="AC61" s="12" t="str">
        <f t="shared" si="13"/>
        <v>(23;26)</v>
      </c>
      <c r="AD61" s="12" t="str">
        <f t="shared" si="14"/>
        <v>(23;27)</v>
      </c>
      <c r="AE61" s="12" t="str">
        <f t="shared" si="14"/>
        <v>(23;28)</v>
      </c>
      <c r="AF61" s="12" t="str">
        <f t="shared" si="14"/>
        <v>(23;29)</v>
      </c>
      <c r="AG61" s="12" t="str">
        <f t="shared" si="14"/>
        <v>(23;30)</v>
      </c>
      <c r="AH61" s="12" t="str">
        <f t="shared" si="14"/>
        <v>(23;31)</v>
      </c>
      <c r="AI61" s="12" t="str">
        <f t="shared" si="14"/>
        <v>(23;32)</v>
      </c>
      <c r="AJ61" s="12" t="str">
        <f t="shared" si="14"/>
        <v>(23;33)</v>
      </c>
      <c r="AK61" s="12" t="str">
        <f t="shared" si="14"/>
        <v>(23;34)</v>
      </c>
      <c r="AL61" s="12" t="str">
        <f t="shared" si="14"/>
        <v>(23;35)</v>
      </c>
      <c r="AM61" s="12" t="str">
        <f t="shared" si="14"/>
        <v>(23;36)</v>
      </c>
      <c r="AN61" s="12" t="str">
        <f t="shared" si="14"/>
        <v>(23;37)</v>
      </c>
      <c r="AO61" s="12" t="str">
        <f t="shared" si="14"/>
        <v>(23;38)</v>
      </c>
      <c r="AP61" s="12" t="str">
        <f t="shared" si="14"/>
        <v>(23;39)</v>
      </c>
      <c r="AQ61" s="12" t="str">
        <f t="shared" si="14"/>
        <v>(23;40)</v>
      </c>
      <c r="AR61" s="12" t="str">
        <f t="shared" si="14"/>
        <v>(23;41)</v>
      </c>
      <c r="AS61" s="12" t="str">
        <f t="shared" si="14"/>
        <v>(23;42)</v>
      </c>
      <c r="AT61" s="12" t="str">
        <f t="shared" si="12"/>
        <v>(23;43)</v>
      </c>
      <c r="AU61" s="12" t="str">
        <f t="shared" si="12"/>
        <v>(23;44)</v>
      </c>
      <c r="AV61" s="12" t="str">
        <f t="shared" si="12"/>
        <v>(23;45)</v>
      </c>
      <c r="AW61" s="12" t="str">
        <f t="shared" si="12"/>
        <v>(23;46)</v>
      </c>
      <c r="AX61" s="12" t="str">
        <f t="shared" si="12"/>
        <v>(23;47)</v>
      </c>
      <c r="AY61" s="12" t="str">
        <f t="shared" si="12"/>
        <v>(23;48)</v>
      </c>
      <c r="AZ61" s="12" t="str">
        <f t="shared" si="12"/>
        <v>(23;49)</v>
      </c>
      <c r="BA61" s="12" t="str">
        <f t="shared" si="12"/>
        <v>(23;50)</v>
      </c>
      <c r="BB61" s="12" t="str">
        <f t="shared" si="10"/>
        <v>(23;51)</v>
      </c>
      <c r="BC61" s="12" t="str">
        <f t="shared" si="11"/>
        <v>(23;52)</v>
      </c>
      <c r="BD61" s="12" t="str">
        <f t="shared" si="11"/>
        <v>(23;53)</v>
      </c>
      <c r="BE61" s="12" t="str">
        <f t="shared" si="11"/>
        <v>(23;54)</v>
      </c>
      <c r="BF61" s="12" t="str">
        <f t="shared" si="11"/>
        <v>(23;55)</v>
      </c>
      <c r="BG61" s="12" t="str">
        <f t="shared" si="11"/>
        <v>(23;56)</v>
      </c>
      <c r="BH61" s="12" t="str">
        <f t="shared" si="11"/>
        <v>(23;57)</v>
      </c>
      <c r="BI61" s="12" t="str">
        <f t="shared" si="11"/>
        <v>(23;58)</v>
      </c>
      <c r="BJ61" s="12" t="str">
        <f t="shared" si="11"/>
        <v>(23;59)</v>
      </c>
      <c r="BK61" s="12" t="str">
        <f t="shared" si="11"/>
        <v>(23;60)</v>
      </c>
      <c r="BL61" s="12" t="str">
        <f t="shared" si="11"/>
        <v>(23;61)</v>
      </c>
      <c r="BM61" s="12" t="str">
        <f t="shared" si="11"/>
        <v>(23;62)</v>
      </c>
      <c r="BN61" s="12" t="str">
        <f t="shared" si="11"/>
        <v>(23;63)</v>
      </c>
    </row>
    <row r="62" spans="1:66">
      <c r="A62">
        <f>VLOOKUP(B62,Teste!$A$137:$G$236,7,FALSE)</f>
        <v>0</v>
      </c>
      <c r="B62">
        <f t="shared" si="7"/>
        <v>24</v>
      </c>
      <c r="C62" s="12" t="str">
        <f t="shared" si="15"/>
        <v>(24;00)</v>
      </c>
      <c r="D62" s="12" t="str">
        <f t="shared" si="15"/>
        <v>(24;01)</v>
      </c>
      <c r="E62" s="12" t="str">
        <f t="shared" si="15"/>
        <v>(24;02)</v>
      </c>
      <c r="F62" s="12" t="str">
        <f t="shared" si="15"/>
        <v>(24;03)</v>
      </c>
      <c r="G62" s="12" t="str">
        <f t="shared" si="15"/>
        <v>(24;04)</v>
      </c>
      <c r="H62" s="12" t="str">
        <f t="shared" si="15"/>
        <v>(24;05)</v>
      </c>
      <c r="I62" s="12" t="str">
        <f t="shared" si="15"/>
        <v>(24;06)</v>
      </c>
      <c r="J62" s="12" t="str">
        <f t="shared" si="15"/>
        <v>(24;07)</v>
      </c>
      <c r="K62" s="12" t="str">
        <f t="shared" si="15"/>
        <v>(24;08)</v>
      </c>
      <c r="L62" s="12" t="str">
        <f t="shared" si="15"/>
        <v>(24;09)</v>
      </c>
      <c r="M62" s="12" t="str">
        <f t="shared" si="15"/>
        <v>(24;10)</v>
      </c>
      <c r="N62" s="12" t="str">
        <f t="shared" si="15"/>
        <v>(24;11)</v>
      </c>
      <c r="O62" s="12" t="str">
        <f t="shared" si="15"/>
        <v>(24;12)</v>
      </c>
      <c r="P62" s="12" t="str">
        <f t="shared" si="15"/>
        <v>(24;13)</v>
      </c>
      <c r="Q62" s="12" t="str">
        <f t="shared" si="15"/>
        <v>(24;14)</v>
      </c>
      <c r="R62" s="12" t="str">
        <f t="shared" si="15"/>
        <v>(24;15)</v>
      </c>
      <c r="S62" s="12" t="str">
        <f t="shared" si="13"/>
        <v>(24;16)</v>
      </c>
      <c r="T62" s="12" t="str">
        <f t="shared" si="13"/>
        <v>(24;17)</v>
      </c>
      <c r="U62" s="12" t="str">
        <f t="shared" si="13"/>
        <v>(24;18)</v>
      </c>
      <c r="V62" s="12" t="str">
        <f t="shared" si="13"/>
        <v>(24;19)</v>
      </c>
      <c r="W62" s="12" t="str">
        <f t="shared" si="13"/>
        <v>(24;20)</v>
      </c>
      <c r="X62" s="12" t="str">
        <f t="shared" si="13"/>
        <v>(24;21)</v>
      </c>
      <c r="Y62" s="12" t="str">
        <f t="shared" si="13"/>
        <v>(24;22)</v>
      </c>
      <c r="Z62" s="12" t="str">
        <f t="shared" si="13"/>
        <v>(24;23)</v>
      </c>
      <c r="AA62" s="12" t="str">
        <f t="shared" si="13"/>
        <v>(24;24)</v>
      </c>
      <c r="AB62" s="12" t="str">
        <f t="shared" si="13"/>
        <v>(24;25)</v>
      </c>
      <c r="AC62" s="12" t="str">
        <f t="shared" si="13"/>
        <v>(24;26)</v>
      </c>
      <c r="AD62" s="12" t="str">
        <f t="shared" si="14"/>
        <v>(24;27)</v>
      </c>
      <c r="AE62" s="12" t="str">
        <f t="shared" si="14"/>
        <v>(24;28)</v>
      </c>
      <c r="AF62" s="12" t="str">
        <f t="shared" si="14"/>
        <v>(24;29)</v>
      </c>
      <c r="AG62" s="12" t="str">
        <f t="shared" si="14"/>
        <v>(24;30)</v>
      </c>
      <c r="AH62" s="12" t="str">
        <f t="shared" si="14"/>
        <v>(24;31)</v>
      </c>
      <c r="AI62" s="12" t="str">
        <f t="shared" si="14"/>
        <v>(24;32)</v>
      </c>
      <c r="AJ62" s="12" t="str">
        <f t="shared" si="14"/>
        <v>(24;33)</v>
      </c>
      <c r="AK62" s="12" t="str">
        <f t="shared" si="14"/>
        <v>(24;34)</v>
      </c>
      <c r="AL62" s="12" t="str">
        <f t="shared" si="14"/>
        <v>(24;35)</v>
      </c>
      <c r="AM62" s="12" t="str">
        <f t="shared" si="14"/>
        <v>(24;36)</v>
      </c>
      <c r="AN62" s="12" t="str">
        <f t="shared" si="14"/>
        <v>(24;37)</v>
      </c>
      <c r="AO62" s="12" t="str">
        <f t="shared" si="14"/>
        <v>(24;38)</v>
      </c>
      <c r="AP62" s="12" t="str">
        <f t="shared" si="14"/>
        <v>(24;39)</v>
      </c>
      <c r="AQ62" s="12" t="str">
        <f t="shared" si="14"/>
        <v>(24;40)</v>
      </c>
      <c r="AR62" s="12" t="str">
        <f t="shared" si="14"/>
        <v>(24;41)</v>
      </c>
      <c r="AS62" s="12" t="str">
        <f t="shared" si="14"/>
        <v>(24;42)</v>
      </c>
      <c r="AT62" s="12" t="str">
        <f t="shared" si="12"/>
        <v>(24;43)</v>
      </c>
      <c r="AU62" s="12" t="str">
        <f t="shared" si="12"/>
        <v>(24;44)</v>
      </c>
      <c r="AV62" s="12" t="str">
        <f t="shared" si="12"/>
        <v>(24;45)</v>
      </c>
      <c r="AW62" s="12" t="str">
        <f t="shared" si="12"/>
        <v>(24;46)</v>
      </c>
      <c r="AX62" s="12" t="str">
        <f t="shared" si="12"/>
        <v>(24;47)</v>
      </c>
      <c r="AY62" s="12" t="str">
        <f t="shared" si="12"/>
        <v>(24;48)</v>
      </c>
      <c r="AZ62" s="12" t="str">
        <f t="shared" si="12"/>
        <v>(24;49)</v>
      </c>
      <c r="BA62" s="12" t="str">
        <f t="shared" si="12"/>
        <v>(24;50)</v>
      </c>
      <c r="BB62" s="12" t="str">
        <f t="shared" si="10"/>
        <v>(24;51)</v>
      </c>
      <c r="BC62" s="12" t="str">
        <f t="shared" si="11"/>
        <v>(24;52)</v>
      </c>
      <c r="BD62" s="12" t="str">
        <f t="shared" si="11"/>
        <v>(24;53)</v>
      </c>
      <c r="BE62" s="12" t="str">
        <f t="shared" si="11"/>
        <v>(24;54)</v>
      </c>
      <c r="BF62" s="12" t="str">
        <f t="shared" si="11"/>
        <v>(24;55)</v>
      </c>
      <c r="BG62" s="12" t="str">
        <f t="shared" si="11"/>
        <v>(24;56)</v>
      </c>
      <c r="BH62" s="12" t="str">
        <f t="shared" si="11"/>
        <v>(24;57)</v>
      </c>
      <c r="BI62" s="12" t="str">
        <f t="shared" si="11"/>
        <v>(24;58)</v>
      </c>
      <c r="BJ62" s="12" t="str">
        <f t="shared" si="11"/>
        <v>(24;59)</v>
      </c>
      <c r="BK62" s="12" t="str">
        <f t="shared" si="11"/>
        <v>(24;60)</v>
      </c>
      <c r="BL62" s="12" t="str">
        <f t="shared" si="11"/>
        <v>(24;61)</v>
      </c>
      <c r="BM62" s="12" t="str">
        <f t="shared" si="11"/>
        <v>(24;62)</v>
      </c>
      <c r="BN62" s="12" t="str">
        <f t="shared" si="11"/>
        <v>(24;63)</v>
      </c>
    </row>
    <row r="63" spans="1:66">
      <c r="A63">
        <f>VLOOKUP(B63,Teste!$A$137:$G$236,7,FALSE)</f>
        <v>0</v>
      </c>
      <c r="B63">
        <f t="shared" si="7"/>
        <v>25</v>
      </c>
      <c r="C63" s="12" t="str">
        <f t="shared" si="15"/>
        <v>(25;00)</v>
      </c>
      <c r="D63" s="12" t="str">
        <f t="shared" si="15"/>
        <v>(25;01)</v>
      </c>
      <c r="E63" s="12" t="str">
        <f t="shared" si="15"/>
        <v>(25;02)</v>
      </c>
      <c r="F63" s="12" t="str">
        <f t="shared" si="15"/>
        <v>(25;03)</v>
      </c>
      <c r="G63" s="12" t="str">
        <f t="shared" si="15"/>
        <v>(25;04)</v>
      </c>
      <c r="H63" s="12" t="str">
        <f t="shared" si="15"/>
        <v>(25;05)</v>
      </c>
      <c r="I63" s="12" t="str">
        <f t="shared" si="15"/>
        <v>(25;06)</v>
      </c>
      <c r="J63" s="12" t="str">
        <f t="shared" si="15"/>
        <v>(25;07)</v>
      </c>
      <c r="K63" s="12" t="str">
        <f t="shared" si="15"/>
        <v>(25;08)</v>
      </c>
      <c r="L63" s="12" t="str">
        <f t="shared" si="15"/>
        <v>(25;09)</v>
      </c>
      <c r="M63" s="12" t="str">
        <f t="shared" si="15"/>
        <v>(25;10)</v>
      </c>
      <c r="N63" s="12" t="str">
        <f t="shared" si="15"/>
        <v>(25;11)</v>
      </c>
      <c r="O63" s="12" t="str">
        <f t="shared" si="15"/>
        <v>(25;12)</v>
      </c>
      <c r="P63" s="12" t="str">
        <f t="shared" si="15"/>
        <v>(25;13)</v>
      </c>
      <c r="Q63" s="12" t="str">
        <f t="shared" si="15"/>
        <v>(25;14)</v>
      </c>
      <c r="R63" s="12" t="str">
        <f t="shared" si="15"/>
        <v>(25;15)</v>
      </c>
      <c r="S63" s="12" t="str">
        <f t="shared" si="13"/>
        <v>(25;16)</v>
      </c>
      <c r="T63" s="12" t="str">
        <f t="shared" si="13"/>
        <v>(25;17)</v>
      </c>
      <c r="U63" s="12" t="str">
        <f t="shared" si="13"/>
        <v>(25;18)</v>
      </c>
      <c r="V63" s="12" t="str">
        <f t="shared" si="13"/>
        <v>(25;19)</v>
      </c>
      <c r="W63" s="12" t="str">
        <f t="shared" si="13"/>
        <v>(25;20)</v>
      </c>
      <c r="X63" s="12" t="str">
        <f t="shared" si="13"/>
        <v>(25;21)</v>
      </c>
      <c r="Y63" s="12" t="str">
        <f t="shared" si="13"/>
        <v>(25;22)</v>
      </c>
      <c r="Z63" s="12" t="str">
        <f t="shared" si="13"/>
        <v>(25;23)</v>
      </c>
      <c r="AA63" s="12" t="str">
        <f t="shared" si="13"/>
        <v>(25;24)</v>
      </c>
      <c r="AB63" s="12" t="str">
        <f t="shared" si="13"/>
        <v>(25;25)</v>
      </c>
      <c r="AC63" s="12" t="str">
        <f t="shared" si="13"/>
        <v>(25;26)</v>
      </c>
      <c r="AD63" s="12" t="str">
        <f t="shared" si="14"/>
        <v>(25;27)</v>
      </c>
      <c r="AE63" s="12" t="str">
        <f t="shared" si="14"/>
        <v>(25;28)</v>
      </c>
      <c r="AF63" s="12" t="str">
        <f t="shared" si="14"/>
        <v>(25;29)</v>
      </c>
      <c r="AG63" s="12" t="str">
        <f t="shared" si="14"/>
        <v>(25;30)</v>
      </c>
      <c r="AH63" s="12" t="str">
        <f t="shared" si="14"/>
        <v>(25;31)</v>
      </c>
      <c r="AI63" s="12" t="str">
        <f t="shared" si="14"/>
        <v>(25;32)</v>
      </c>
      <c r="AJ63" s="12" t="str">
        <f t="shared" si="14"/>
        <v>(25;33)</v>
      </c>
      <c r="AK63" s="12" t="str">
        <f t="shared" si="14"/>
        <v>(25;34)</v>
      </c>
      <c r="AL63" s="12" t="str">
        <f t="shared" si="14"/>
        <v>(25;35)</v>
      </c>
      <c r="AM63" s="12" t="str">
        <f t="shared" si="14"/>
        <v>(25;36)</v>
      </c>
      <c r="AN63" s="12" t="str">
        <f t="shared" si="14"/>
        <v>(25;37)</v>
      </c>
      <c r="AO63" s="12" t="str">
        <f t="shared" si="14"/>
        <v>(25;38)</v>
      </c>
      <c r="AP63" s="12" t="str">
        <f t="shared" si="14"/>
        <v>(25;39)</v>
      </c>
      <c r="AQ63" s="12" t="str">
        <f t="shared" si="14"/>
        <v>(25;40)</v>
      </c>
      <c r="AR63" s="12" t="str">
        <f t="shared" si="14"/>
        <v>(25;41)</v>
      </c>
      <c r="AS63" s="12" t="str">
        <f t="shared" si="14"/>
        <v>(25;42)</v>
      </c>
      <c r="AT63" s="12" t="str">
        <f t="shared" si="12"/>
        <v>(25;43)</v>
      </c>
      <c r="AU63" s="12" t="str">
        <f t="shared" si="12"/>
        <v>(25;44)</v>
      </c>
      <c r="AV63" s="12" t="str">
        <f t="shared" si="12"/>
        <v>(25;45)</v>
      </c>
      <c r="AW63" s="12" t="str">
        <f t="shared" si="12"/>
        <v>(25;46)</v>
      </c>
      <c r="AX63" s="12" t="str">
        <f t="shared" si="12"/>
        <v>(25;47)</v>
      </c>
      <c r="AY63" s="12" t="str">
        <f t="shared" si="12"/>
        <v>(25;48)</v>
      </c>
      <c r="AZ63" s="12" t="str">
        <f t="shared" si="12"/>
        <v>(25;49)</v>
      </c>
      <c r="BA63" s="12" t="str">
        <f t="shared" si="12"/>
        <v>(25;50)</v>
      </c>
      <c r="BB63" s="12" t="str">
        <f t="shared" si="10"/>
        <v>(25;51)</v>
      </c>
      <c r="BC63" s="12" t="str">
        <f t="shared" si="11"/>
        <v>(25;52)</v>
      </c>
      <c r="BD63" s="12" t="str">
        <f t="shared" si="11"/>
        <v>(25;53)</v>
      </c>
      <c r="BE63" s="12" t="str">
        <f t="shared" si="11"/>
        <v>(25;54)</v>
      </c>
      <c r="BF63" s="12" t="str">
        <f t="shared" ref="BF63:BN63" si="16">CONCATENATE("(",TEXT($B63,"00"),";",TEXT(BF$37,"00"),")")</f>
        <v>(25;55)</v>
      </c>
      <c r="BG63" s="12" t="str">
        <f t="shared" si="16"/>
        <v>(25;56)</v>
      </c>
      <c r="BH63" s="12" t="str">
        <f t="shared" si="16"/>
        <v>(25;57)</v>
      </c>
      <c r="BI63" s="12" t="str">
        <f t="shared" si="16"/>
        <v>(25;58)</v>
      </c>
      <c r="BJ63" s="12" t="str">
        <f t="shared" si="16"/>
        <v>(25;59)</v>
      </c>
      <c r="BK63" s="12" t="str">
        <f t="shared" si="16"/>
        <v>(25;60)</v>
      </c>
      <c r="BL63" s="12" t="str">
        <f t="shared" si="16"/>
        <v>(25;61)</v>
      </c>
      <c r="BM63" s="12" t="str">
        <f t="shared" si="16"/>
        <v>(25;62)</v>
      </c>
      <c r="BN63" s="12" t="str">
        <f t="shared" si="16"/>
        <v>(25;63)</v>
      </c>
    </row>
    <row r="64" spans="1:66">
      <c r="A64">
        <f>VLOOKUP(B64,Teste!$A$137:$G$236,7,FALSE)</f>
        <v>0</v>
      </c>
      <c r="B64">
        <f t="shared" si="7"/>
        <v>26</v>
      </c>
      <c r="C64" s="12" t="str">
        <f t="shared" si="15"/>
        <v>(26;00)</v>
      </c>
      <c r="D64" s="12" t="str">
        <f t="shared" si="15"/>
        <v>(26;01)</v>
      </c>
      <c r="E64" s="12" t="str">
        <f t="shared" si="15"/>
        <v>(26;02)</v>
      </c>
      <c r="F64" s="12" t="str">
        <f t="shared" si="15"/>
        <v>(26;03)</v>
      </c>
      <c r="G64" s="12" t="str">
        <f t="shared" si="15"/>
        <v>(26;04)</v>
      </c>
      <c r="H64" s="12" t="str">
        <f t="shared" si="15"/>
        <v>(26;05)</v>
      </c>
      <c r="I64" s="12" t="str">
        <f t="shared" si="15"/>
        <v>(26;06)</v>
      </c>
      <c r="J64" s="12" t="str">
        <f t="shared" si="15"/>
        <v>(26;07)</v>
      </c>
      <c r="K64" s="12" t="str">
        <f t="shared" si="15"/>
        <v>(26;08)</v>
      </c>
      <c r="L64" s="12" t="str">
        <f t="shared" si="15"/>
        <v>(26;09)</v>
      </c>
      <c r="M64" s="12" t="str">
        <f t="shared" si="15"/>
        <v>(26;10)</v>
      </c>
      <c r="N64" s="12" t="str">
        <f t="shared" si="15"/>
        <v>(26;11)</v>
      </c>
      <c r="O64" s="12" t="str">
        <f t="shared" si="15"/>
        <v>(26;12)</v>
      </c>
      <c r="P64" s="12" t="str">
        <f t="shared" si="15"/>
        <v>(26;13)</v>
      </c>
      <c r="Q64" s="12" t="str">
        <f t="shared" si="15"/>
        <v>(26;14)</v>
      </c>
      <c r="R64" s="12" t="str">
        <f t="shared" si="15"/>
        <v>(26;15)</v>
      </c>
      <c r="S64" s="12" t="str">
        <f t="shared" si="13"/>
        <v>(26;16)</v>
      </c>
      <c r="T64" s="12" t="str">
        <f t="shared" si="13"/>
        <v>(26;17)</v>
      </c>
      <c r="U64" s="12" t="str">
        <f t="shared" si="13"/>
        <v>(26;18)</v>
      </c>
      <c r="V64" s="12" t="str">
        <f t="shared" si="13"/>
        <v>(26;19)</v>
      </c>
      <c r="W64" s="12" t="str">
        <f t="shared" si="13"/>
        <v>(26;20)</v>
      </c>
      <c r="X64" s="12" t="str">
        <f t="shared" si="13"/>
        <v>(26;21)</v>
      </c>
      <c r="Y64" s="12" t="str">
        <f t="shared" si="13"/>
        <v>(26;22)</v>
      </c>
      <c r="Z64" s="12" t="str">
        <f t="shared" si="13"/>
        <v>(26;23)</v>
      </c>
      <c r="AA64" s="12" t="str">
        <f t="shared" si="13"/>
        <v>(26;24)</v>
      </c>
      <c r="AB64" s="12" t="str">
        <f t="shared" si="13"/>
        <v>(26;25)</v>
      </c>
      <c r="AC64" s="12" t="str">
        <f t="shared" si="13"/>
        <v>(26;26)</v>
      </c>
      <c r="AD64" s="12" t="str">
        <f t="shared" si="14"/>
        <v>(26;27)</v>
      </c>
      <c r="AE64" s="12" t="str">
        <f t="shared" si="14"/>
        <v>(26;28)</v>
      </c>
      <c r="AF64" s="12" t="str">
        <f t="shared" si="14"/>
        <v>(26;29)</v>
      </c>
      <c r="AG64" s="12" t="str">
        <f t="shared" si="14"/>
        <v>(26;30)</v>
      </c>
      <c r="AH64" s="12" t="str">
        <f t="shared" si="14"/>
        <v>(26;31)</v>
      </c>
      <c r="AI64" s="12" t="str">
        <f t="shared" si="14"/>
        <v>(26;32)</v>
      </c>
      <c r="AJ64" s="12" t="str">
        <f t="shared" si="14"/>
        <v>(26;33)</v>
      </c>
      <c r="AK64" s="12" t="str">
        <f t="shared" si="14"/>
        <v>(26;34)</v>
      </c>
      <c r="AL64" s="12" t="str">
        <f t="shared" si="14"/>
        <v>(26;35)</v>
      </c>
      <c r="AM64" s="12" t="str">
        <f t="shared" si="14"/>
        <v>(26;36)</v>
      </c>
      <c r="AN64" s="12" t="str">
        <f t="shared" si="14"/>
        <v>(26;37)</v>
      </c>
      <c r="AO64" s="12" t="str">
        <f t="shared" si="14"/>
        <v>(26;38)</v>
      </c>
      <c r="AP64" s="12" t="str">
        <f t="shared" si="14"/>
        <v>(26;39)</v>
      </c>
      <c r="AQ64" s="12" t="str">
        <f t="shared" si="14"/>
        <v>(26;40)</v>
      </c>
      <c r="AR64" s="12" t="str">
        <f t="shared" si="14"/>
        <v>(26;41)</v>
      </c>
      <c r="AS64" s="12" t="str">
        <f t="shared" si="14"/>
        <v>(26;42)</v>
      </c>
      <c r="AT64" s="12" t="str">
        <f t="shared" si="12"/>
        <v>(26;43)</v>
      </c>
      <c r="AU64" s="12" t="str">
        <f t="shared" si="12"/>
        <v>(26;44)</v>
      </c>
      <c r="AV64" s="12" t="str">
        <f t="shared" si="12"/>
        <v>(26;45)</v>
      </c>
      <c r="AW64" s="12" t="str">
        <f t="shared" si="12"/>
        <v>(26;46)</v>
      </c>
      <c r="AX64" s="12" t="str">
        <f t="shared" si="12"/>
        <v>(26;47)</v>
      </c>
      <c r="AY64" s="12" t="str">
        <f t="shared" si="12"/>
        <v>(26;48)</v>
      </c>
      <c r="AZ64" s="12" t="str">
        <f t="shared" si="12"/>
        <v>(26;49)</v>
      </c>
      <c r="BA64" s="12" t="str">
        <f t="shared" si="12"/>
        <v>(26;50)</v>
      </c>
      <c r="BB64" s="12" t="str">
        <f t="shared" si="10"/>
        <v>(26;51)</v>
      </c>
      <c r="BC64" s="12" t="str">
        <f t="shared" ref="BC64:BN71" si="17">CONCATENATE("(",TEXT($B64,"00"),";",TEXT(BC$37,"00"),")")</f>
        <v>(26;52)</v>
      </c>
      <c r="BD64" s="12" t="str">
        <f t="shared" si="17"/>
        <v>(26;53)</v>
      </c>
      <c r="BE64" s="12" t="str">
        <f t="shared" si="17"/>
        <v>(26;54)</v>
      </c>
      <c r="BF64" s="12" t="str">
        <f t="shared" si="17"/>
        <v>(26;55)</v>
      </c>
      <c r="BG64" s="12" t="str">
        <f t="shared" si="17"/>
        <v>(26;56)</v>
      </c>
      <c r="BH64" s="12" t="str">
        <f t="shared" si="17"/>
        <v>(26;57)</v>
      </c>
      <c r="BI64" s="12" t="str">
        <f t="shared" si="17"/>
        <v>(26;58)</v>
      </c>
      <c r="BJ64" s="12" t="str">
        <f t="shared" si="17"/>
        <v>(26;59)</v>
      </c>
      <c r="BK64" s="12" t="str">
        <f t="shared" si="17"/>
        <v>(26;60)</v>
      </c>
      <c r="BL64" s="12" t="str">
        <f t="shared" si="17"/>
        <v>(26;61)</v>
      </c>
      <c r="BM64" s="12" t="str">
        <f t="shared" si="17"/>
        <v>(26;62)</v>
      </c>
      <c r="BN64" s="12" t="str">
        <f t="shared" si="17"/>
        <v>(26;63)</v>
      </c>
    </row>
    <row r="65" spans="1:66">
      <c r="A65">
        <f>VLOOKUP(B65,Teste!$A$137:$G$236,7,FALSE)</f>
        <v>0</v>
      </c>
      <c r="B65">
        <f t="shared" si="7"/>
        <v>27</v>
      </c>
      <c r="C65" s="12" t="str">
        <f t="shared" si="15"/>
        <v>(27;00)</v>
      </c>
      <c r="D65" s="12" t="str">
        <f t="shared" si="15"/>
        <v>(27;01)</v>
      </c>
      <c r="E65" s="12" t="str">
        <f t="shared" si="15"/>
        <v>(27;02)</v>
      </c>
      <c r="F65" s="12" t="str">
        <f t="shared" si="15"/>
        <v>(27;03)</v>
      </c>
      <c r="G65" s="12" t="str">
        <f t="shared" si="15"/>
        <v>(27;04)</v>
      </c>
      <c r="H65" s="12" t="str">
        <f t="shared" si="15"/>
        <v>(27;05)</v>
      </c>
      <c r="I65" s="12" t="str">
        <f t="shared" si="15"/>
        <v>(27;06)</v>
      </c>
      <c r="J65" s="12" t="str">
        <f t="shared" si="15"/>
        <v>(27;07)</v>
      </c>
      <c r="K65" s="12" t="str">
        <f t="shared" si="15"/>
        <v>(27;08)</v>
      </c>
      <c r="L65" s="12" t="str">
        <f t="shared" si="15"/>
        <v>(27;09)</v>
      </c>
      <c r="M65" s="12" t="str">
        <f t="shared" si="15"/>
        <v>(27;10)</v>
      </c>
      <c r="N65" s="12" t="str">
        <f t="shared" si="15"/>
        <v>(27;11)</v>
      </c>
      <c r="O65" s="12" t="str">
        <f t="shared" si="15"/>
        <v>(27;12)</v>
      </c>
      <c r="P65" s="12" t="str">
        <f t="shared" si="15"/>
        <v>(27;13)</v>
      </c>
      <c r="Q65" s="12" t="str">
        <f t="shared" si="15"/>
        <v>(27;14)</v>
      </c>
      <c r="R65" s="12" t="str">
        <f t="shared" si="15"/>
        <v>(27;15)</v>
      </c>
      <c r="S65" s="12" t="str">
        <f t="shared" si="13"/>
        <v>(27;16)</v>
      </c>
      <c r="T65" s="12" t="str">
        <f t="shared" si="13"/>
        <v>(27;17)</v>
      </c>
      <c r="U65" s="12" t="str">
        <f t="shared" si="13"/>
        <v>(27;18)</v>
      </c>
      <c r="V65" s="12" t="str">
        <f t="shared" si="13"/>
        <v>(27;19)</v>
      </c>
      <c r="W65" s="12" t="str">
        <f t="shared" si="13"/>
        <v>(27;20)</v>
      </c>
      <c r="X65" s="12" t="str">
        <f t="shared" si="13"/>
        <v>(27;21)</v>
      </c>
      <c r="Y65" s="12" t="str">
        <f t="shared" si="13"/>
        <v>(27;22)</v>
      </c>
      <c r="Z65" s="12" t="str">
        <f t="shared" si="13"/>
        <v>(27;23)</v>
      </c>
      <c r="AA65" s="12" t="str">
        <f t="shared" si="13"/>
        <v>(27;24)</v>
      </c>
      <c r="AB65" s="12" t="str">
        <f t="shared" si="13"/>
        <v>(27;25)</v>
      </c>
      <c r="AC65" s="12" t="str">
        <f t="shared" si="13"/>
        <v>(27;26)</v>
      </c>
      <c r="AD65" s="12" t="str">
        <f t="shared" si="14"/>
        <v>(27;27)</v>
      </c>
      <c r="AE65" s="12" t="str">
        <f t="shared" si="14"/>
        <v>(27;28)</v>
      </c>
      <c r="AF65" s="12" t="str">
        <f t="shared" si="14"/>
        <v>(27;29)</v>
      </c>
      <c r="AG65" s="12" t="str">
        <f t="shared" si="14"/>
        <v>(27;30)</v>
      </c>
      <c r="AH65" s="12" t="str">
        <f t="shared" si="14"/>
        <v>(27;31)</v>
      </c>
      <c r="AI65" s="12" t="str">
        <f t="shared" si="14"/>
        <v>(27;32)</v>
      </c>
      <c r="AJ65" s="12" t="str">
        <f t="shared" si="14"/>
        <v>(27;33)</v>
      </c>
      <c r="AK65" s="12" t="str">
        <f t="shared" si="14"/>
        <v>(27;34)</v>
      </c>
      <c r="AL65" s="12" t="str">
        <f t="shared" si="14"/>
        <v>(27;35)</v>
      </c>
      <c r="AM65" s="12" t="str">
        <f t="shared" si="14"/>
        <v>(27;36)</v>
      </c>
      <c r="AN65" s="12" t="str">
        <f t="shared" si="14"/>
        <v>(27;37)</v>
      </c>
      <c r="AO65" s="12" t="str">
        <f t="shared" si="14"/>
        <v>(27;38)</v>
      </c>
      <c r="AP65" s="12" t="str">
        <f t="shared" si="14"/>
        <v>(27;39)</v>
      </c>
      <c r="AQ65" s="12" t="str">
        <f t="shared" si="14"/>
        <v>(27;40)</v>
      </c>
      <c r="AR65" s="12" t="str">
        <f t="shared" si="14"/>
        <v>(27;41)</v>
      </c>
      <c r="AS65" s="12" t="str">
        <f t="shared" si="14"/>
        <v>(27;42)</v>
      </c>
      <c r="AT65" s="12" t="str">
        <f t="shared" si="12"/>
        <v>(27;43)</v>
      </c>
      <c r="AU65" s="12" t="str">
        <f t="shared" si="12"/>
        <v>(27;44)</v>
      </c>
      <c r="AV65" s="12" t="str">
        <f t="shared" si="12"/>
        <v>(27;45)</v>
      </c>
      <c r="AW65" s="12" t="str">
        <f t="shared" si="12"/>
        <v>(27;46)</v>
      </c>
      <c r="AX65" s="12" t="str">
        <f t="shared" si="12"/>
        <v>(27;47)</v>
      </c>
      <c r="AY65" s="12" t="str">
        <f t="shared" si="12"/>
        <v>(27;48)</v>
      </c>
      <c r="AZ65" s="12" t="str">
        <f t="shared" si="12"/>
        <v>(27;49)</v>
      </c>
      <c r="BA65" s="12" t="str">
        <f t="shared" si="12"/>
        <v>(27;50)</v>
      </c>
      <c r="BB65" s="12" t="str">
        <f t="shared" si="10"/>
        <v>(27;51)</v>
      </c>
      <c r="BC65" s="12" t="str">
        <f t="shared" si="17"/>
        <v>(27;52)</v>
      </c>
      <c r="BD65" s="12" t="str">
        <f t="shared" si="17"/>
        <v>(27;53)</v>
      </c>
      <c r="BE65" s="12" t="str">
        <f t="shared" si="17"/>
        <v>(27;54)</v>
      </c>
      <c r="BF65" s="12" t="str">
        <f t="shared" si="17"/>
        <v>(27;55)</v>
      </c>
      <c r="BG65" s="12" t="str">
        <f t="shared" si="17"/>
        <v>(27;56)</v>
      </c>
      <c r="BH65" s="12" t="str">
        <f t="shared" si="17"/>
        <v>(27;57)</v>
      </c>
      <c r="BI65" s="12" t="str">
        <f t="shared" si="17"/>
        <v>(27;58)</v>
      </c>
      <c r="BJ65" s="12" t="str">
        <f t="shared" si="17"/>
        <v>(27;59)</v>
      </c>
      <c r="BK65" s="12" t="str">
        <f t="shared" si="17"/>
        <v>(27;60)</v>
      </c>
      <c r="BL65" s="12" t="str">
        <f t="shared" si="17"/>
        <v>(27;61)</v>
      </c>
      <c r="BM65" s="12" t="str">
        <f t="shared" si="17"/>
        <v>(27;62)</v>
      </c>
      <c r="BN65" s="12" t="str">
        <f t="shared" si="17"/>
        <v>(27;63)</v>
      </c>
    </row>
    <row r="66" spans="1:66">
      <c r="A66">
        <f>VLOOKUP(B66,Teste!$A$137:$G$236,7,FALSE)</f>
        <v>0</v>
      </c>
      <c r="B66">
        <f t="shared" si="7"/>
        <v>28</v>
      </c>
      <c r="C66" s="12" t="str">
        <f t="shared" si="15"/>
        <v>(28;00)</v>
      </c>
      <c r="D66" s="12" t="str">
        <f t="shared" si="15"/>
        <v>(28;01)</v>
      </c>
      <c r="E66" s="12" t="str">
        <f t="shared" si="15"/>
        <v>(28;02)</v>
      </c>
      <c r="F66" s="12" t="str">
        <f t="shared" si="15"/>
        <v>(28;03)</v>
      </c>
      <c r="G66" s="12" t="str">
        <f t="shared" si="15"/>
        <v>(28;04)</v>
      </c>
      <c r="H66" s="12" t="str">
        <f t="shared" si="15"/>
        <v>(28;05)</v>
      </c>
      <c r="I66" s="12" t="str">
        <f t="shared" si="15"/>
        <v>(28;06)</v>
      </c>
      <c r="J66" s="12" t="str">
        <f t="shared" si="15"/>
        <v>(28;07)</v>
      </c>
      <c r="K66" s="12" t="str">
        <f t="shared" si="15"/>
        <v>(28;08)</v>
      </c>
      <c r="L66" s="12" t="str">
        <f t="shared" si="15"/>
        <v>(28;09)</v>
      </c>
      <c r="M66" s="12" t="str">
        <f t="shared" si="15"/>
        <v>(28;10)</v>
      </c>
      <c r="N66" s="12" t="str">
        <f t="shared" si="15"/>
        <v>(28;11)</v>
      </c>
      <c r="O66" s="12" t="str">
        <f t="shared" si="15"/>
        <v>(28;12)</v>
      </c>
      <c r="P66" s="12" t="str">
        <f t="shared" si="15"/>
        <v>(28;13)</v>
      </c>
      <c r="Q66" s="12" t="str">
        <f t="shared" si="15"/>
        <v>(28;14)</v>
      </c>
      <c r="R66" s="12" t="str">
        <f t="shared" si="15"/>
        <v>(28;15)</v>
      </c>
      <c r="S66" s="12" t="str">
        <f t="shared" si="13"/>
        <v>(28;16)</v>
      </c>
      <c r="T66" s="12" t="str">
        <f t="shared" si="13"/>
        <v>(28;17)</v>
      </c>
      <c r="U66" s="12" t="str">
        <f t="shared" si="13"/>
        <v>(28;18)</v>
      </c>
      <c r="V66" s="12" t="str">
        <f t="shared" si="13"/>
        <v>(28;19)</v>
      </c>
      <c r="W66" s="12" t="str">
        <f t="shared" si="13"/>
        <v>(28;20)</v>
      </c>
      <c r="X66" s="12" t="str">
        <f t="shared" si="13"/>
        <v>(28;21)</v>
      </c>
      <c r="Y66" s="12" t="str">
        <f t="shared" si="13"/>
        <v>(28;22)</v>
      </c>
      <c r="Z66" s="12" t="str">
        <f t="shared" si="13"/>
        <v>(28;23)</v>
      </c>
      <c r="AA66" s="12" t="str">
        <f t="shared" si="13"/>
        <v>(28;24)</v>
      </c>
      <c r="AB66" s="12" t="str">
        <f t="shared" si="13"/>
        <v>(28;25)</v>
      </c>
      <c r="AC66" s="12" t="str">
        <f t="shared" si="13"/>
        <v>(28;26)</v>
      </c>
      <c r="AD66" s="12" t="str">
        <f t="shared" si="14"/>
        <v>(28;27)</v>
      </c>
      <c r="AE66" s="12" t="str">
        <f t="shared" si="14"/>
        <v>(28;28)</v>
      </c>
      <c r="AF66" s="12" t="str">
        <f t="shared" si="14"/>
        <v>(28;29)</v>
      </c>
      <c r="AG66" s="12" t="str">
        <f t="shared" si="14"/>
        <v>(28;30)</v>
      </c>
      <c r="AH66" s="12" t="str">
        <f t="shared" si="14"/>
        <v>(28;31)</v>
      </c>
      <c r="AI66" s="12" t="str">
        <f t="shared" si="14"/>
        <v>(28;32)</v>
      </c>
      <c r="AJ66" s="12" t="str">
        <f t="shared" si="14"/>
        <v>(28;33)</v>
      </c>
      <c r="AK66" s="12" t="str">
        <f t="shared" si="14"/>
        <v>(28;34)</v>
      </c>
      <c r="AL66" s="12" t="str">
        <f t="shared" si="14"/>
        <v>(28;35)</v>
      </c>
      <c r="AM66" s="12" t="str">
        <f t="shared" si="14"/>
        <v>(28;36)</v>
      </c>
      <c r="AN66" s="12" t="str">
        <f t="shared" si="14"/>
        <v>(28;37)</v>
      </c>
      <c r="AO66" s="12" t="str">
        <f t="shared" si="14"/>
        <v>(28;38)</v>
      </c>
      <c r="AP66" s="12" t="str">
        <f t="shared" si="14"/>
        <v>(28;39)</v>
      </c>
      <c r="AQ66" s="12" t="str">
        <f t="shared" si="14"/>
        <v>(28;40)</v>
      </c>
      <c r="AR66" s="12" t="str">
        <f t="shared" si="14"/>
        <v>(28;41)</v>
      </c>
      <c r="AS66" s="12" t="str">
        <f t="shared" si="14"/>
        <v>(28;42)</v>
      </c>
      <c r="AT66" s="12" t="str">
        <f t="shared" si="12"/>
        <v>(28;43)</v>
      </c>
      <c r="AU66" s="12" t="str">
        <f t="shared" si="12"/>
        <v>(28;44)</v>
      </c>
      <c r="AV66" s="12" t="str">
        <f t="shared" si="12"/>
        <v>(28;45)</v>
      </c>
      <c r="AW66" s="12" t="str">
        <f t="shared" si="12"/>
        <v>(28;46)</v>
      </c>
      <c r="AX66" s="12" t="str">
        <f t="shared" si="12"/>
        <v>(28;47)</v>
      </c>
      <c r="AY66" s="12" t="str">
        <f t="shared" si="12"/>
        <v>(28;48)</v>
      </c>
      <c r="AZ66" s="12" t="str">
        <f t="shared" si="12"/>
        <v>(28;49)</v>
      </c>
      <c r="BA66" s="12" t="str">
        <f t="shared" si="12"/>
        <v>(28;50)</v>
      </c>
      <c r="BB66" s="12" t="str">
        <f t="shared" si="10"/>
        <v>(28;51)</v>
      </c>
      <c r="BC66" s="12" t="str">
        <f t="shared" si="17"/>
        <v>(28;52)</v>
      </c>
      <c r="BD66" s="12" t="str">
        <f t="shared" si="17"/>
        <v>(28;53)</v>
      </c>
      <c r="BE66" s="12" t="str">
        <f t="shared" si="17"/>
        <v>(28;54)</v>
      </c>
      <c r="BF66" s="12" t="str">
        <f t="shared" si="17"/>
        <v>(28;55)</v>
      </c>
      <c r="BG66" s="12" t="str">
        <f t="shared" si="17"/>
        <v>(28;56)</v>
      </c>
      <c r="BH66" s="12" t="str">
        <f t="shared" si="17"/>
        <v>(28;57)</v>
      </c>
      <c r="BI66" s="12" t="str">
        <f t="shared" si="17"/>
        <v>(28;58)</v>
      </c>
      <c r="BJ66" s="12" t="str">
        <f t="shared" si="17"/>
        <v>(28;59)</v>
      </c>
      <c r="BK66" s="12" t="str">
        <f t="shared" si="17"/>
        <v>(28;60)</v>
      </c>
      <c r="BL66" s="12" t="str">
        <f t="shared" si="17"/>
        <v>(28;61)</v>
      </c>
      <c r="BM66" s="12" t="str">
        <f t="shared" si="17"/>
        <v>(28;62)</v>
      </c>
      <c r="BN66" s="12" t="str">
        <f t="shared" si="17"/>
        <v>(28;63)</v>
      </c>
    </row>
    <row r="67" spans="1:66">
      <c r="A67">
        <f>VLOOKUP(B67,Teste!$A$137:$G$236,7,FALSE)</f>
        <v>0</v>
      </c>
      <c r="B67">
        <f t="shared" si="7"/>
        <v>29</v>
      </c>
      <c r="C67" s="12" t="str">
        <f t="shared" si="15"/>
        <v>(29;00)</v>
      </c>
      <c r="D67" s="12" t="str">
        <f t="shared" si="15"/>
        <v>(29;01)</v>
      </c>
      <c r="E67" s="12" t="str">
        <f t="shared" si="15"/>
        <v>(29;02)</v>
      </c>
      <c r="F67" s="12" t="str">
        <f t="shared" si="15"/>
        <v>(29;03)</v>
      </c>
      <c r="G67" s="12" t="str">
        <f t="shared" si="15"/>
        <v>(29;04)</v>
      </c>
      <c r="H67" s="12" t="str">
        <f t="shared" si="15"/>
        <v>(29;05)</v>
      </c>
      <c r="I67" s="12" t="str">
        <f t="shared" si="15"/>
        <v>(29;06)</v>
      </c>
      <c r="J67" s="12" t="str">
        <f t="shared" si="15"/>
        <v>(29;07)</v>
      </c>
      <c r="K67" s="12" t="str">
        <f t="shared" si="15"/>
        <v>(29;08)</v>
      </c>
      <c r="L67" s="12" t="str">
        <f t="shared" si="15"/>
        <v>(29;09)</v>
      </c>
      <c r="M67" s="12" t="str">
        <f t="shared" si="15"/>
        <v>(29;10)</v>
      </c>
      <c r="N67" s="12" t="str">
        <f t="shared" si="15"/>
        <v>(29;11)</v>
      </c>
      <c r="O67" s="12" t="str">
        <f t="shared" si="15"/>
        <v>(29;12)</v>
      </c>
      <c r="P67" s="12" t="str">
        <f t="shared" si="15"/>
        <v>(29;13)</v>
      </c>
      <c r="Q67" s="12" t="str">
        <f t="shared" si="15"/>
        <v>(29;14)</v>
      </c>
      <c r="R67" s="12" t="str">
        <f t="shared" si="15"/>
        <v>(29;15)</v>
      </c>
      <c r="S67" s="12" t="str">
        <f t="shared" si="13"/>
        <v>(29;16)</v>
      </c>
      <c r="T67" s="12" t="str">
        <f t="shared" si="13"/>
        <v>(29;17)</v>
      </c>
      <c r="U67" s="12" t="str">
        <f t="shared" si="13"/>
        <v>(29;18)</v>
      </c>
      <c r="V67" s="12" t="str">
        <f t="shared" si="13"/>
        <v>(29;19)</v>
      </c>
      <c r="W67" s="12" t="str">
        <f t="shared" si="13"/>
        <v>(29;20)</v>
      </c>
      <c r="X67" s="12" t="str">
        <f t="shared" si="13"/>
        <v>(29;21)</v>
      </c>
      <c r="Y67" s="12" t="str">
        <f t="shared" si="13"/>
        <v>(29;22)</v>
      </c>
      <c r="Z67" s="12" t="str">
        <f t="shared" si="13"/>
        <v>(29;23)</v>
      </c>
      <c r="AA67" s="12" t="str">
        <f t="shared" si="13"/>
        <v>(29;24)</v>
      </c>
      <c r="AB67" s="12" t="str">
        <f t="shared" si="13"/>
        <v>(29;25)</v>
      </c>
      <c r="AC67" s="12" t="str">
        <f t="shared" si="13"/>
        <v>(29;26)</v>
      </c>
      <c r="AD67" s="12" t="str">
        <f t="shared" si="14"/>
        <v>(29;27)</v>
      </c>
      <c r="AE67" s="12" t="str">
        <f t="shared" si="14"/>
        <v>(29;28)</v>
      </c>
      <c r="AF67" s="12" t="str">
        <f t="shared" si="14"/>
        <v>(29;29)</v>
      </c>
      <c r="AG67" s="12" t="str">
        <f t="shared" si="14"/>
        <v>(29;30)</v>
      </c>
      <c r="AH67" s="12" t="str">
        <f t="shared" si="14"/>
        <v>(29;31)</v>
      </c>
      <c r="AI67" s="12" t="str">
        <f t="shared" si="14"/>
        <v>(29;32)</v>
      </c>
      <c r="AJ67" s="12" t="str">
        <f t="shared" si="14"/>
        <v>(29;33)</v>
      </c>
      <c r="AK67" s="12" t="str">
        <f t="shared" si="14"/>
        <v>(29;34)</v>
      </c>
      <c r="AL67" s="12" t="str">
        <f t="shared" si="14"/>
        <v>(29;35)</v>
      </c>
      <c r="AM67" s="12" t="str">
        <f t="shared" si="14"/>
        <v>(29;36)</v>
      </c>
      <c r="AN67" s="12" t="str">
        <f t="shared" si="14"/>
        <v>(29;37)</v>
      </c>
      <c r="AO67" s="12" t="str">
        <f t="shared" si="14"/>
        <v>(29;38)</v>
      </c>
      <c r="AP67" s="12" t="str">
        <f t="shared" si="14"/>
        <v>(29;39)</v>
      </c>
      <c r="AQ67" s="12" t="str">
        <f t="shared" si="14"/>
        <v>(29;40)</v>
      </c>
      <c r="AR67" s="12" t="str">
        <f t="shared" si="14"/>
        <v>(29;41)</v>
      </c>
      <c r="AS67" s="12" t="str">
        <f t="shared" si="14"/>
        <v>(29;42)</v>
      </c>
      <c r="AT67" s="12" t="str">
        <f t="shared" si="12"/>
        <v>(29;43)</v>
      </c>
      <c r="AU67" s="12" t="str">
        <f t="shared" si="12"/>
        <v>(29;44)</v>
      </c>
      <c r="AV67" s="12" t="str">
        <f t="shared" si="12"/>
        <v>(29;45)</v>
      </c>
      <c r="AW67" s="12" t="str">
        <f t="shared" si="12"/>
        <v>(29;46)</v>
      </c>
      <c r="AX67" s="12" t="str">
        <f t="shared" si="12"/>
        <v>(29;47)</v>
      </c>
      <c r="AY67" s="12" t="str">
        <f t="shared" si="12"/>
        <v>(29;48)</v>
      </c>
      <c r="AZ67" s="12" t="str">
        <f t="shared" si="12"/>
        <v>(29;49)</v>
      </c>
      <c r="BA67" s="12" t="str">
        <f t="shared" si="12"/>
        <v>(29;50)</v>
      </c>
      <c r="BB67" s="12" t="str">
        <f t="shared" si="10"/>
        <v>(29;51)</v>
      </c>
      <c r="BC67" s="12" t="str">
        <f t="shared" si="17"/>
        <v>(29;52)</v>
      </c>
      <c r="BD67" s="12" t="str">
        <f t="shared" si="17"/>
        <v>(29;53)</v>
      </c>
      <c r="BE67" s="12" t="str">
        <f t="shared" si="17"/>
        <v>(29;54)</v>
      </c>
      <c r="BF67" s="12" t="str">
        <f t="shared" si="17"/>
        <v>(29;55)</v>
      </c>
      <c r="BG67" s="12" t="str">
        <f t="shared" si="17"/>
        <v>(29;56)</v>
      </c>
      <c r="BH67" s="12" t="str">
        <f t="shared" si="17"/>
        <v>(29;57)</v>
      </c>
      <c r="BI67" s="12" t="str">
        <f t="shared" si="17"/>
        <v>(29;58)</v>
      </c>
      <c r="BJ67" s="12" t="str">
        <f t="shared" si="17"/>
        <v>(29;59)</v>
      </c>
      <c r="BK67" s="12" t="str">
        <f t="shared" si="17"/>
        <v>(29;60)</v>
      </c>
      <c r="BL67" s="12" t="str">
        <f t="shared" si="17"/>
        <v>(29;61)</v>
      </c>
      <c r="BM67" s="12" t="str">
        <f t="shared" si="17"/>
        <v>(29;62)</v>
      </c>
      <c r="BN67" s="12" t="str">
        <f t="shared" si="17"/>
        <v>(29;63)</v>
      </c>
    </row>
    <row r="68" spans="1:66">
      <c r="A68">
        <f>VLOOKUP(B68,Teste!$A$137:$G$236,7,FALSE)</f>
        <v>0</v>
      </c>
      <c r="B68">
        <f t="shared" si="7"/>
        <v>30</v>
      </c>
      <c r="C68" s="12" t="str">
        <f t="shared" si="15"/>
        <v>(30;00)</v>
      </c>
      <c r="D68" s="12" t="str">
        <f t="shared" si="15"/>
        <v>(30;01)</v>
      </c>
      <c r="E68" s="12" t="str">
        <f t="shared" si="15"/>
        <v>(30;02)</v>
      </c>
      <c r="F68" s="12" t="str">
        <f t="shared" si="15"/>
        <v>(30;03)</v>
      </c>
      <c r="G68" s="12" t="str">
        <f t="shared" si="15"/>
        <v>(30;04)</v>
      </c>
      <c r="H68" s="12" t="str">
        <f t="shared" si="15"/>
        <v>(30;05)</v>
      </c>
      <c r="I68" s="12" t="str">
        <f t="shared" si="15"/>
        <v>(30;06)</v>
      </c>
      <c r="J68" s="12" t="str">
        <f t="shared" si="15"/>
        <v>(30;07)</v>
      </c>
      <c r="K68" s="12" t="str">
        <f t="shared" si="15"/>
        <v>(30;08)</v>
      </c>
      <c r="L68" s="12" t="str">
        <f t="shared" si="15"/>
        <v>(30;09)</v>
      </c>
      <c r="M68" s="12" t="str">
        <f t="shared" si="15"/>
        <v>(30;10)</v>
      </c>
      <c r="N68" s="12" t="str">
        <f t="shared" si="15"/>
        <v>(30;11)</v>
      </c>
      <c r="O68" s="12" t="str">
        <f t="shared" si="15"/>
        <v>(30;12)</v>
      </c>
      <c r="P68" s="12" t="str">
        <f t="shared" si="15"/>
        <v>(30;13)</v>
      </c>
      <c r="Q68" s="12" t="str">
        <f t="shared" si="15"/>
        <v>(30;14)</v>
      </c>
      <c r="R68" s="12" t="str">
        <f t="shared" si="15"/>
        <v>(30;15)</v>
      </c>
      <c r="S68" s="12" t="str">
        <f t="shared" si="13"/>
        <v>(30;16)</v>
      </c>
      <c r="T68" s="12" t="str">
        <f t="shared" si="13"/>
        <v>(30;17)</v>
      </c>
      <c r="U68" s="12" t="str">
        <f t="shared" si="13"/>
        <v>(30;18)</v>
      </c>
      <c r="V68" s="12" t="str">
        <f t="shared" si="13"/>
        <v>(30;19)</v>
      </c>
      <c r="W68" s="12" t="str">
        <f t="shared" si="13"/>
        <v>(30;20)</v>
      </c>
      <c r="X68" s="12" t="str">
        <f t="shared" si="13"/>
        <v>(30;21)</v>
      </c>
      <c r="Y68" s="12" t="str">
        <f t="shared" si="13"/>
        <v>(30;22)</v>
      </c>
      <c r="Z68" s="12" t="str">
        <f t="shared" si="13"/>
        <v>(30;23)</v>
      </c>
      <c r="AA68" s="12" t="str">
        <f t="shared" si="13"/>
        <v>(30;24)</v>
      </c>
      <c r="AB68" s="12" t="str">
        <f t="shared" si="13"/>
        <v>(30;25)</v>
      </c>
      <c r="AC68" s="12" t="str">
        <f t="shared" si="13"/>
        <v>(30;26)</v>
      </c>
      <c r="AD68" s="12" t="str">
        <f t="shared" si="14"/>
        <v>(30;27)</v>
      </c>
      <c r="AE68" s="12" t="str">
        <f t="shared" si="14"/>
        <v>(30;28)</v>
      </c>
      <c r="AF68" s="12" t="str">
        <f t="shared" si="14"/>
        <v>(30;29)</v>
      </c>
      <c r="AG68" s="12" t="str">
        <f t="shared" si="14"/>
        <v>(30;30)</v>
      </c>
      <c r="AH68" s="12" t="str">
        <f t="shared" si="14"/>
        <v>(30;31)</v>
      </c>
      <c r="AI68" s="12" t="str">
        <f t="shared" si="14"/>
        <v>(30;32)</v>
      </c>
      <c r="AJ68" s="12" t="str">
        <f t="shared" si="14"/>
        <v>(30;33)</v>
      </c>
      <c r="AK68" s="12" t="str">
        <f t="shared" si="14"/>
        <v>(30;34)</v>
      </c>
      <c r="AL68" s="12" t="str">
        <f t="shared" si="14"/>
        <v>(30;35)</v>
      </c>
      <c r="AM68" s="12" t="str">
        <f t="shared" si="14"/>
        <v>(30;36)</v>
      </c>
      <c r="AN68" s="12" t="str">
        <f t="shared" si="14"/>
        <v>(30;37)</v>
      </c>
      <c r="AO68" s="12" t="str">
        <f t="shared" si="14"/>
        <v>(30;38)</v>
      </c>
      <c r="AP68" s="12" t="str">
        <f t="shared" si="14"/>
        <v>(30;39)</v>
      </c>
      <c r="AQ68" s="12" t="str">
        <f t="shared" si="14"/>
        <v>(30;40)</v>
      </c>
      <c r="AR68" s="12" t="str">
        <f t="shared" si="14"/>
        <v>(30;41)</v>
      </c>
      <c r="AS68" s="12" t="str">
        <f t="shared" si="14"/>
        <v>(30;42)</v>
      </c>
      <c r="AT68" s="12" t="str">
        <f t="shared" si="12"/>
        <v>(30;43)</v>
      </c>
      <c r="AU68" s="12" t="str">
        <f t="shared" si="12"/>
        <v>(30;44)</v>
      </c>
      <c r="AV68" s="12" t="str">
        <f t="shared" si="12"/>
        <v>(30;45)</v>
      </c>
      <c r="AW68" s="12" t="str">
        <f t="shared" si="12"/>
        <v>(30;46)</v>
      </c>
      <c r="AX68" s="12" t="str">
        <f t="shared" si="12"/>
        <v>(30;47)</v>
      </c>
      <c r="AY68" s="12" t="str">
        <f t="shared" si="12"/>
        <v>(30;48)</v>
      </c>
      <c r="AZ68" s="12" t="str">
        <f t="shared" si="12"/>
        <v>(30;49)</v>
      </c>
      <c r="BA68" s="12" t="str">
        <f t="shared" si="12"/>
        <v>(30;50)</v>
      </c>
      <c r="BB68" s="12" t="str">
        <f t="shared" si="10"/>
        <v>(30;51)</v>
      </c>
      <c r="BC68" s="12" t="str">
        <f t="shared" si="17"/>
        <v>(30;52)</v>
      </c>
      <c r="BD68" s="12" t="str">
        <f t="shared" si="17"/>
        <v>(30;53)</v>
      </c>
      <c r="BE68" s="12" t="str">
        <f t="shared" si="17"/>
        <v>(30;54)</v>
      </c>
      <c r="BF68" s="12" t="str">
        <f t="shared" si="17"/>
        <v>(30;55)</v>
      </c>
      <c r="BG68" s="12" t="str">
        <f t="shared" si="17"/>
        <v>(30;56)</v>
      </c>
      <c r="BH68" s="12" t="str">
        <f t="shared" si="17"/>
        <v>(30;57)</v>
      </c>
      <c r="BI68" s="12" t="str">
        <f t="shared" si="17"/>
        <v>(30;58)</v>
      </c>
      <c r="BJ68" s="12" t="str">
        <f t="shared" si="17"/>
        <v>(30;59)</v>
      </c>
      <c r="BK68" s="12" t="str">
        <f t="shared" si="17"/>
        <v>(30;60)</v>
      </c>
      <c r="BL68" s="12" t="str">
        <f t="shared" si="17"/>
        <v>(30;61)</v>
      </c>
      <c r="BM68" s="12" t="str">
        <f t="shared" si="17"/>
        <v>(30;62)</v>
      </c>
      <c r="BN68" s="12" t="str">
        <f t="shared" si="17"/>
        <v>(30;63)</v>
      </c>
    </row>
    <row r="69" spans="1:66">
      <c r="A69">
        <f>VLOOKUP(B69,Teste!$A$137:$G$236,7,FALSE)</f>
        <v>0</v>
      </c>
      <c r="B69">
        <f t="shared" si="7"/>
        <v>31</v>
      </c>
      <c r="C69" s="12" t="str">
        <f t="shared" si="15"/>
        <v>(31;00)</v>
      </c>
      <c r="D69" s="12" t="str">
        <f t="shared" si="15"/>
        <v>(31;01)</v>
      </c>
      <c r="E69" s="12" t="str">
        <f t="shared" si="15"/>
        <v>(31;02)</v>
      </c>
      <c r="F69" s="12" t="str">
        <f t="shared" si="15"/>
        <v>(31;03)</v>
      </c>
      <c r="G69" s="12" t="str">
        <f t="shared" si="15"/>
        <v>(31;04)</v>
      </c>
      <c r="H69" s="12" t="str">
        <f t="shared" si="15"/>
        <v>(31;05)</v>
      </c>
      <c r="I69" s="12" t="str">
        <f t="shared" si="15"/>
        <v>(31;06)</v>
      </c>
      <c r="J69" s="12" t="str">
        <f t="shared" si="15"/>
        <v>(31;07)</v>
      </c>
      <c r="K69" s="12" t="str">
        <f t="shared" si="15"/>
        <v>(31;08)</v>
      </c>
      <c r="L69" s="12" t="str">
        <f t="shared" si="15"/>
        <v>(31;09)</v>
      </c>
      <c r="M69" s="12" t="str">
        <f t="shared" si="15"/>
        <v>(31;10)</v>
      </c>
      <c r="N69" s="12" t="str">
        <f t="shared" si="15"/>
        <v>(31;11)</v>
      </c>
      <c r="O69" s="12" t="str">
        <f t="shared" si="15"/>
        <v>(31;12)</v>
      </c>
      <c r="P69" s="12" t="str">
        <f t="shared" si="15"/>
        <v>(31;13)</v>
      </c>
      <c r="Q69" s="12" t="str">
        <f t="shared" si="15"/>
        <v>(31;14)</v>
      </c>
      <c r="R69" s="12" t="str">
        <f t="shared" si="15"/>
        <v>(31;15)</v>
      </c>
      <c r="S69" s="12" t="str">
        <f t="shared" si="13"/>
        <v>(31;16)</v>
      </c>
      <c r="T69" s="12" t="str">
        <f t="shared" si="13"/>
        <v>(31;17)</v>
      </c>
      <c r="U69" s="12" t="str">
        <f t="shared" si="13"/>
        <v>(31;18)</v>
      </c>
      <c r="V69" s="12" t="str">
        <f t="shared" si="13"/>
        <v>(31;19)</v>
      </c>
      <c r="W69" s="12" t="str">
        <f t="shared" si="13"/>
        <v>(31;20)</v>
      </c>
      <c r="X69" s="12" t="str">
        <f t="shared" si="13"/>
        <v>(31;21)</v>
      </c>
      <c r="Y69" s="12" t="str">
        <f t="shared" si="13"/>
        <v>(31;22)</v>
      </c>
      <c r="Z69" s="12" t="str">
        <f t="shared" si="13"/>
        <v>(31;23)</v>
      </c>
      <c r="AA69" s="12" t="str">
        <f t="shared" si="13"/>
        <v>(31;24)</v>
      </c>
      <c r="AB69" s="12" t="str">
        <f t="shared" si="13"/>
        <v>(31;25)</v>
      </c>
      <c r="AC69" s="12" t="str">
        <f t="shared" si="13"/>
        <v>(31;26)</v>
      </c>
      <c r="AD69" s="12" t="str">
        <f t="shared" si="14"/>
        <v>(31;27)</v>
      </c>
      <c r="AE69" s="12" t="str">
        <f t="shared" si="14"/>
        <v>(31;28)</v>
      </c>
      <c r="AF69" s="12" t="str">
        <f t="shared" si="14"/>
        <v>(31;29)</v>
      </c>
      <c r="AG69" s="12" t="str">
        <f t="shared" si="14"/>
        <v>(31;30)</v>
      </c>
      <c r="AH69" s="12" t="str">
        <f t="shared" si="14"/>
        <v>(31;31)</v>
      </c>
      <c r="AI69" s="12" t="str">
        <f t="shared" si="14"/>
        <v>(31;32)</v>
      </c>
      <c r="AJ69" s="12" t="str">
        <f t="shared" si="14"/>
        <v>(31;33)</v>
      </c>
      <c r="AK69" s="12" t="str">
        <f t="shared" si="14"/>
        <v>(31;34)</v>
      </c>
      <c r="AL69" s="12" t="str">
        <f t="shared" si="14"/>
        <v>(31;35)</v>
      </c>
      <c r="AM69" s="12" t="str">
        <f t="shared" si="14"/>
        <v>(31;36)</v>
      </c>
      <c r="AN69" s="12" t="str">
        <f t="shared" si="14"/>
        <v>(31;37)</v>
      </c>
      <c r="AO69" s="12" t="str">
        <f t="shared" si="14"/>
        <v>(31;38)</v>
      </c>
      <c r="AP69" s="12" t="str">
        <f t="shared" si="14"/>
        <v>(31;39)</v>
      </c>
      <c r="AQ69" s="12" t="str">
        <f t="shared" si="14"/>
        <v>(31;40)</v>
      </c>
      <c r="AR69" s="12" t="str">
        <f t="shared" si="14"/>
        <v>(31;41)</v>
      </c>
      <c r="AS69" s="12" t="str">
        <f t="shared" si="14"/>
        <v>(31;42)</v>
      </c>
      <c r="AT69" s="12" t="str">
        <f t="shared" si="12"/>
        <v>(31;43)</v>
      </c>
      <c r="AU69" s="12" t="str">
        <f t="shared" si="12"/>
        <v>(31;44)</v>
      </c>
      <c r="AV69" s="12" t="str">
        <f t="shared" si="12"/>
        <v>(31;45)</v>
      </c>
      <c r="AW69" s="12" t="str">
        <f t="shared" si="12"/>
        <v>(31;46)</v>
      </c>
      <c r="AX69" s="12" t="str">
        <f t="shared" si="12"/>
        <v>(31;47)</v>
      </c>
      <c r="AY69" s="12" t="str">
        <f t="shared" si="12"/>
        <v>(31;48)</v>
      </c>
      <c r="AZ69" s="12" t="str">
        <f t="shared" si="12"/>
        <v>(31;49)</v>
      </c>
      <c r="BA69" s="12" t="str">
        <f t="shared" si="12"/>
        <v>(31;50)</v>
      </c>
      <c r="BB69" s="12" t="str">
        <f t="shared" si="10"/>
        <v>(31;51)</v>
      </c>
      <c r="BC69" s="12" t="str">
        <f t="shared" si="17"/>
        <v>(31;52)</v>
      </c>
      <c r="BD69" s="12" t="str">
        <f t="shared" si="17"/>
        <v>(31;53)</v>
      </c>
      <c r="BE69" s="12" t="str">
        <f t="shared" si="17"/>
        <v>(31;54)</v>
      </c>
      <c r="BF69" s="12" t="str">
        <f t="shared" si="17"/>
        <v>(31;55)</v>
      </c>
      <c r="BG69" s="12" t="str">
        <f t="shared" si="17"/>
        <v>(31;56)</v>
      </c>
      <c r="BH69" s="12" t="str">
        <f t="shared" si="17"/>
        <v>(31;57)</v>
      </c>
      <c r="BI69" s="12" t="str">
        <f t="shared" si="17"/>
        <v>(31;58)</v>
      </c>
      <c r="BJ69" s="12" t="str">
        <f t="shared" si="17"/>
        <v>(31;59)</v>
      </c>
      <c r="BK69" s="12" t="str">
        <f t="shared" si="17"/>
        <v>(31;60)</v>
      </c>
      <c r="BL69" s="12" t="str">
        <f t="shared" si="17"/>
        <v>(31;61)</v>
      </c>
      <c r="BM69" s="12" t="str">
        <f t="shared" si="17"/>
        <v>(31;62)</v>
      </c>
      <c r="BN69" s="12" t="str">
        <f t="shared" si="17"/>
        <v>(31;63)</v>
      </c>
    </row>
    <row r="70" spans="1:66">
      <c r="A70">
        <f>VLOOKUP(B70,Teste!$A$137:$G$236,7,FALSE)</f>
        <v>0</v>
      </c>
      <c r="B70">
        <f t="shared" si="7"/>
        <v>32</v>
      </c>
      <c r="C70" s="12" t="str">
        <f t="shared" si="15"/>
        <v>(32;00)</v>
      </c>
      <c r="D70" s="12" t="str">
        <f t="shared" si="15"/>
        <v>(32;01)</v>
      </c>
      <c r="E70" s="12" t="str">
        <f t="shared" si="15"/>
        <v>(32;02)</v>
      </c>
      <c r="F70" s="12" t="str">
        <f t="shared" si="15"/>
        <v>(32;03)</v>
      </c>
      <c r="G70" s="12" t="str">
        <f t="shared" si="15"/>
        <v>(32;04)</v>
      </c>
      <c r="H70" s="12" t="str">
        <f t="shared" si="15"/>
        <v>(32;05)</v>
      </c>
      <c r="I70" s="12" t="str">
        <f t="shared" si="15"/>
        <v>(32;06)</v>
      </c>
      <c r="J70" s="12" t="str">
        <f t="shared" si="15"/>
        <v>(32;07)</v>
      </c>
      <c r="K70" s="12" t="str">
        <f t="shared" si="15"/>
        <v>(32;08)</v>
      </c>
      <c r="L70" s="12" t="str">
        <f t="shared" si="15"/>
        <v>(32;09)</v>
      </c>
      <c r="M70" s="12" t="str">
        <f t="shared" si="15"/>
        <v>(32;10)</v>
      </c>
      <c r="N70" s="12" t="str">
        <f t="shared" si="15"/>
        <v>(32;11)</v>
      </c>
      <c r="O70" s="12" t="str">
        <f t="shared" si="15"/>
        <v>(32;12)</v>
      </c>
      <c r="P70" s="12" t="str">
        <f t="shared" si="15"/>
        <v>(32;13)</v>
      </c>
      <c r="Q70" s="12" t="str">
        <f t="shared" si="15"/>
        <v>(32;14)</v>
      </c>
      <c r="R70" s="12" t="str">
        <f t="shared" si="15"/>
        <v>(32;15)</v>
      </c>
      <c r="S70" s="12" t="str">
        <f t="shared" si="13"/>
        <v>(32;16)</v>
      </c>
      <c r="T70" s="12" t="str">
        <f t="shared" si="13"/>
        <v>(32;17)</v>
      </c>
      <c r="U70" s="12" t="str">
        <f t="shared" si="13"/>
        <v>(32;18)</v>
      </c>
      <c r="V70" s="12" t="str">
        <f t="shared" si="13"/>
        <v>(32;19)</v>
      </c>
      <c r="W70" s="12" t="str">
        <f t="shared" si="13"/>
        <v>(32;20)</v>
      </c>
      <c r="X70" s="12" t="str">
        <f t="shared" si="13"/>
        <v>(32;21)</v>
      </c>
      <c r="Y70" s="12" t="str">
        <f t="shared" si="13"/>
        <v>(32;22)</v>
      </c>
      <c r="Z70" s="12" t="str">
        <f t="shared" si="13"/>
        <v>(32;23)</v>
      </c>
      <c r="AA70" s="12" t="str">
        <f t="shared" si="13"/>
        <v>(32;24)</v>
      </c>
      <c r="AB70" s="12" t="str">
        <f t="shared" si="13"/>
        <v>(32;25)</v>
      </c>
      <c r="AC70" s="12" t="str">
        <f t="shared" si="13"/>
        <v>(32;26)</v>
      </c>
      <c r="AD70" s="12" t="str">
        <f t="shared" si="14"/>
        <v>(32;27)</v>
      </c>
      <c r="AE70" s="12" t="str">
        <f t="shared" si="14"/>
        <v>(32;28)</v>
      </c>
      <c r="AF70" s="12" t="str">
        <f t="shared" si="14"/>
        <v>(32;29)</v>
      </c>
      <c r="AG70" s="12" t="str">
        <f t="shared" si="14"/>
        <v>(32;30)</v>
      </c>
      <c r="AH70" s="12" t="str">
        <f t="shared" si="14"/>
        <v>(32;31)</v>
      </c>
      <c r="AI70" s="12" t="str">
        <f t="shared" si="14"/>
        <v>(32;32)</v>
      </c>
      <c r="AJ70" s="12" t="str">
        <f t="shared" si="14"/>
        <v>(32;33)</v>
      </c>
      <c r="AK70" s="12" t="str">
        <f t="shared" si="14"/>
        <v>(32;34)</v>
      </c>
      <c r="AL70" s="12" t="str">
        <f t="shared" si="14"/>
        <v>(32;35)</v>
      </c>
      <c r="AM70" s="12" t="str">
        <f t="shared" si="14"/>
        <v>(32;36)</v>
      </c>
      <c r="AN70" s="12" t="str">
        <f t="shared" si="14"/>
        <v>(32;37)</v>
      </c>
      <c r="AO70" s="12" t="str">
        <f t="shared" si="14"/>
        <v>(32;38)</v>
      </c>
      <c r="AP70" s="12" t="str">
        <f t="shared" si="14"/>
        <v>(32;39)</v>
      </c>
      <c r="AQ70" s="12" t="str">
        <f t="shared" si="14"/>
        <v>(32;40)</v>
      </c>
      <c r="AR70" s="12" t="str">
        <f t="shared" si="14"/>
        <v>(32;41)</v>
      </c>
      <c r="AS70" s="12" t="str">
        <f t="shared" si="14"/>
        <v>(32;42)</v>
      </c>
      <c r="AT70" s="12" t="str">
        <f t="shared" si="12"/>
        <v>(32;43)</v>
      </c>
      <c r="AU70" s="12" t="str">
        <f t="shared" si="12"/>
        <v>(32;44)</v>
      </c>
      <c r="AV70" s="12" t="str">
        <f t="shared" si="12"/>
        <v>(32;45)</v>
      </c>
      <c r="AW70" s="12" t="str">
        <f t="shared" si="12"/>
        <v>(32;46)</v>
      </c>
      <c r="AX70" s="12" t="str">
        <f t="shared" si="12"/>
        <v>(32;47)</v>
      </c>
      <c r="AY70" s="12" t="str">
        <f t="shared" si="12"/>
        <v>(32;48)</v>
      </c>
      <c r="AZ70" s="12" t="str">
        <f t="shared" si="12"/>
        <v>(32;49)</v>
      </c>
      <c r="BA70" s="12" t="str">
        <f t="shared" si="12"/>
        <v>(32;50)</v>
      </c>
      <c r="BB70" s="12" t="str">
        <f t="shared" si="10"/>
        <v>(32;51)</v>
      </c>
      <c r="BC70" s="12" t="str">
        <f t="shared" si="17"/>
        <v>(32;52)</v>
      </c>
      <c r="BD70" s="12" t="str">
        <f t="shared" si="17"/>
        <v>(32;53)</v>
      </c>
      <c r="BE70" s="12" t="str">
        <f t="shared" si="17"/>
        <v>(32;54)</v>
      </c>
      <c r="BF70" s="12" t="str">
        <f t="shared" si="17"/>
        <v>(32;55)</v>
      </c>
      <c r="BG70" s="12" t="str">
        <f t="shared" si="17"/>
        <v>(32;56)</v>
      </c>
      <c r="BH70" s="12" t="str">
        <f t="shared" si="17"/>
        <v>(32;57)</v>
      </c>
      <c r="BI70" s="12" t="str">
        <f t="shared" si="17"/>
        <v>(32;58)</v>
      </c>
      <c r="BJ70" s="12" t="str">
        <f t="shared" si="17"/>
        <v>(32;59)</v>
      </c>
      <c r="BK70" s="12" t="str">
        <f t="shared" si="17"/>
        <v>(32;60)</v>
      </c>
      <c r="BL70" s="12" t="str">
        <f t="shared" si="17"/>
        <v>(32;61)</v>
      </c>
      <c r="BM70" s="12" t="str">
        <f t="shared" si="17"/>
        <v>(32;62)</v>
      </c>
      <c r="BN70" s="12" t="str">
        <f t="shared" si="17"/>
        <v>(32;63)</v>
      </c>
    </row>
    <row r="71" spans="1:66">
      <c r="A71">
        <f>VLOOKUP(B71,Teste!$A$137:$G$236,7,FALSE)</f>
        <v>0</v>
      </c>
      <c r="B71">
        <f t="shared" si="7"/>
        <v>33</v>
      </c>
      <c r="C71" s="12" t="str">
        <f t="shared" si="15"/>
        <v>(33;00)</v>
      </c>
      <c r="D71" s="12" t="str">
        <f t="shared" si="15"/>
        <v>(33;01)</v>
      </c>
      <c r="E71" s="12" t="str">
        <f t="shared" si="15"/>
        <v>(33;02)</v>
      </c>
      <c r="F71" s="12" t="str">
        <f t="shared" si="15"/>
        <v>(33;03)</v>
      </c>
      <c r="G71" s="12" t="str">
        <f t="shared" si="15"/>
        <v>(33;04)</v>
      </c>
      <c r="H71" s="12" t="str">
        <f t="shared" si="15"/>
        <v>(33;05)</v>
      </c>
      <c r="I71" s="12" t="str">
        <f t="shared" si="15"/>
        <v>(33;06)</v>
      </c>
      <c r="J71" s="12" t="str">
        <f t="shared" si="15"/>
        <v>(33;07)</v>
      </c>
      <c r="K71" s="12" t="str">
        <f t="shared" si="15"/>
        <v>(33;08)</v>
      </c>
      <c r="L71" s="12" t="str">
        <f t="shared" si="15"/>
        <v>(33;09)</v>
      </c>
      <c r="M71" s="12" t="str">
        <f t="shared" si="15"/>
        <v>(33;10)</v>
      </c>
      <c r="N71" s="12" t="str">
        <f t="shared" si="15"/>
        <v>(33;11)</v>
      </c>
      <c r="O71" s="12" t="str">
        <f t="shared" si="15"/>
        <v>(33;12)</v>
      </c>
      <c r="P71" s="12" t="str">
        <f t="shared" si="15"/>
        <v>(33;13)</v>
      </c>
      <c r="Q71" s="12" t="str">
        <f t="shared" si="15"/>
        <v>(33;14)</v>
      </c>
      <c r="R71" s="12" t="str">
        <f t="shared" si="15"/>
        <v>(33;15)</v>
      </c>
      <c r="S71" s="12" t="str">
        <f t="shared" si="13"/>
        <v>(33;16)</v>
      </c>
      <c r="T71" s="12" t="str">
        <f t="shared" si="13"/>
        <v>(33;17)</v>
      </c>
      <c r="U71" s="12" t="str">
        <f t="shared" si="13"/>
        <v>(33;18)</v>
      </c>
      <c r="V71" s="12" t="str">
        <f t="shared" si="13"/>
        <v>(33;19)</v>
      </c>
      <c r="W71" s="12" t="str">
        <f t="shared" si="13"/>
        <v>(33;20)</v>
      </c>
      <c r="X71" s="12" t="str">
        <f t="shared" si="13"/>
        <v>(33;21)</v>
      </c>
      <c r="Y71" s="12" t="str">
        <f t="shared" si="13"/>
        <v>(33;22)</v>
      </c>
      <c r="Z71" s="12" t="str">
        <f t="shared" si="13"/>
        <v>(33;23)</v>
      </c>
      <c r="AA71" s="12" t="str">
        <f t="shared" si="13"/>
        <v>(33;24)</v>
      </c>
      <c r="AB71" s="12" t="str">
        <f t="shared" si="13"/>
        <v>(33;25)</v>
      </c>
      <c r="AC71" s="12" t="str">
        <f t="shared" si="13"/>
        <v>(33;26)</v>
      </c>
      <c r="AD71" s="12" t="str">
        <f t="shared" si="14"/>
        <v>(33;27)</v>
      </c>
      <c r="AE71" s="12" t="str">
        <f t="shared" si="14"/>
        <v>(33;28)</v>
      </c>
      <c r="AF71" s="12" t="str">
        <f t="shared" si="14"/>
        <v>(33;29)</v>
      </c>
      <c r="AG71" s="12" t="str">
        <f t="shared" si="14"/>
        <v>(33;30)</v>
      </c>
      <c r="AH71" s="12" t="str">
        <f t="shared" si="14"/>
        <v>(33;31)</v>
      </c>
      <c r="AI71" s="12" t="str">
        <f t="shared" si="14"/>
        <v>(33;32)</v>
      </c>
      <c r="AJ71" s="12" t="str">
        <f t="shared" si="14"/>
        <v>(33;33)</v>
      </c>
      <c r="AK71" s="12" t="str">
        <f t="shared" si="14"/>
        <v>(33;34)</v>
      </c>
      <c r="AL71" s="12" t="str">
        <f t="shared" si="14"/>
        <v>(33;35)</v>
      </c>
      <c r="AM71" s="12" t="str">
        <f t="shared" si="14"/>
        <v>(33;36)</v>
      </c>
      <c r="AN71" s="12" t="str">
        <f t="shared" si="14"/>
        <v>(33;37)</v>
      </c>
      <c r="AO71" s="12" t="str">
        <f t="shared" si="14"/>
        <v>(33;38)</v>
      </c>
      <c r="AP71" s="12" t="str">
        <f t="shared" si="14"/>
        <v>(33;39)</v>
      </c>
      <c r="AQ71" s="12" t="str">
        <f t="shared" si="14"/>
        <v>(33;40)</v>
      </c>
      <c r="AR71" s="12" t="str">
        <f t="shared" si="14"/>
        <v>(33;41)</v>
      </c>
      <c r="AS71" s="12" t="str">
        <f t="shared" si="14"/>
        <v>(33;42)</v>
      </c>
      <c r="AT71" s="12" t="str">
        <f t="shared" si="12"/>
        <v>(33;43)</v>
      </c>
      <c r="AU71" s="12" t="str">
        <f t="shared" si="12"/>
        <v>(33;44)</v>
      </c>
      <c r="AV71" s="12" t="str">
        <f t="shared" si="12"/>
        <v>(33;45)</v>
      </c>
      <c r="AW71" s="12" t="str">
        <f t="shared" si="12"/>
        <v>(33;46)</v>
      </c>
      <c r="AX71" s="12" t="str">
        <f t="shared" si="12"/>
        <v>(33;47)</v>
      </c>
      <c r="AY71" s="12" t="str">
        <f t="shared" si="12"/>
        <v>(33;48)</v>
      </c>
      <c r="AZ71" s="12" t="str">
        <f t="shared" si="12"/>
        <v>(33;49)</v>
      </c>
      <c r="BA71" s="12" t="str">
        <f t="shared" si="12"/>
        <v>(33;50)</v>
      </c>
      <c r="BB71" s="12" t="str">
        <f t="shared" si="10"/>
        <v>(33;51)</v>
      </c>
      <c r="BC71" s="12" t="str">
        <f t="shared" si="17"/>
        <v>(33;52)</v>
      </c>
      <c r="BD71" s="12" t="str">
        <f t="shared" si="17"/>
        <v>(33;53)</v>
      </c>
      <c r="BE71" s="12" t="str">
        <f t="shared" si="17"/>
        <v>(33;54)</v>
      </c>
      <c r="BF71" s="12" t="str">
        <f t="shared" si="17"/>
        <v>(33;55)</v>
      </c>
      <c r="BG71" s="12" t="str">
        <f t="shared" si="17"/>
        <v>(33;56)</v>
      </c>
      <c r="BH71" s="12" t="str">
        <f t="shared" si="17"/>
        <v>(33;57)</v>
      </c>
      <c r="BI71" s="12" t="str">
        <f t="shared" si="17"/>
        <v>(33;58)</v>
      </c>
      <c r="BJ71" s="12" t="str">
        <f t="shared" si="17"/>
        <v>(33;59)</v>
      </c>
      <c r="BK71" s="12" t="str">
        <f t="shared" si="17"/>
        <v>(33;60)</v>
      </c>
      <c r="BL71" s="12" t="str">
        <f t="shared" si="17"/>
        <v>(33;61)</v>
      </c>
      <c r="BM71" s="12" t="str">
        <f t="shared" si="17"/>
        <v>(33;62)</v>
      </c>
      <c r="BN71" s="12" t="str">
        <f t="shared" si="17"/>
        <v>(33;63)</v>
      </c>
    </row>
    <row r="72" spans="1:66">
      <c r="A72">
        <f>VLOOKUP(B72,Teste!$A$137:$G$236,7,FALSE)</f>
        <v>0</v>
      </c>
      <c r="B72">
        <f t="shared" si="7"/>
        <v>34</v>
      </c>
      <c r="C72" s="12" t="str">
        <f t="shared" si="15"/>
        <v>(34;00)</v>
      </c>
      <c r="D72" s="12" t="str">
        <f t="shared" si="15"/>
        <v>(34;01)</v>
      </c>
      <c r="E72" s="12" t="str">
        <f t="shared" si="15"/>
        <v>(34;02)</v>
      </c>
      <c r="F72" s="12" t="str">
        <f t="shared" si="15"/>
        <v>(34;03)</v>
      </c>
      <c r="G72" s="12" t="str">
        <f t="shared" si="15"/>
        <v>(34;04)</v>
      </c>
      <c r="H72" s="12" t="str">
        <f t="shared" si="15"/>
        <v>(34;05)</v>
      </c>
      <c r="I72" s="12" t="str">
        <f t="shared" si="15"/>
        <v>(34;06)</v>
      </c>
      <c r="J72" s="12" t="str">
        <f t="shared" si="15"/>
        <v>(34;07)</v>
      </c>
      <c r="K72" s="12" t="str">
        <f t="shared" si="15"/>
        <v>(34;08)</v>
      </c>
      <c r="L72" s="12" t="str">
        <f t="shared" si="15"/>
        <v>(34;09)</v>
      </c>
      <c r="M72" s="12" t="str">
        <f t="shared" si="15"/>
        <v>(34;10)</v>
      </c>
      <c r="N72" s="12" t="str">
        <f t="shared" si="15"/>
        <v>(34;11)</v>
      </c>
      <c r="O72" s="12" t="str">
        <f t="shared" si="15"/>
        <v>(34;12)</v>
      </c>
      <c r="P72" s="12" t="str">
        <f t="shared" si="15"/>
        <v>(34;13)</v>
      </c>
      <c r="Q72" s="12" t="str">
        <f t="shared" si="15"/>
        <v>(34;14)</v>
      </c>
      <c r="R72" s="12" t="str">
        <f t="shared" si="15"/>
        <v>(34;15)</v>
      </c>
      <c r="S72" s="12" t="str">
        <f t="shared" si="13"/>
        <v>(34;16)</v>
      </c>
      <c r="T72" s="12" t="str">
        <f t="shared" si="13"/>
        <v>(34;17)</v>
      </c>
      <c r="U72" s="12" t="str">
        <f t="shared" si="13"/>
        <v>(34;18)</v>
      </c>
      <c r="V72" s="12" t="str">
        <f t="shared" si="13"/>
        <v>(34;19)</v>
      </c>
      <c r="W72" s="12" t="str">
        <f t="shared" si="13"/>
        <v>(34;20)</v>
      </c>
      <c r="X72" s="12" t="str">
        <f t="shared" si="13"/>
        <v>(34;21)</v>
      </c>
      <c r="Y72" s="12" t="str">
        <f t="shared" si="13"/>
        <v>(34;22)</v>
      </c>
      <c r="Z72" s="12" t="str">
        <f t="shared" si="13"/>
        <v>(34;23)</v>
      </c>
      <c r="AA72" s="12" t="str">
        <f t="shared" si="13"/>
        <v>(34;24)</v>
      </c>
      <c r="AB72" s="12" t="str">
        <f t="shared" si="13"/>
        <v>(34;25)</v>
      </c>
      <c r="AC72" s="12" t="str">
        <f t="shared" si="13"/>
        <v>(34;26)</v>
      </c>
      <c r="AD72" s="12" t="str">
        <f t="shared" si="14"/>
        <v>(34;27)</v>
      </c>
      <c r="AE72" s="12" t="str">
        <f t="shared" si="14"/>
        <v>(34;28)</v>
      </c>
      <c r="AF72" s="12" t="str">
        <f t="shared" si="14"/>
        <v>(34;29)</v>
      </c>
      <c r="AG72" s="12" t="str">
        <f t="shared" si="14"/>
        <v>(34;30)</v>
      </c>
      <c r="AH72" s="12" t="str">
        <f t="shared" si="14"/>
        <v>(34;31)</v>
      </c>
      <c r="AI72" s="12" t="str">
        <f t="shared" si="14"/>
        <v>(34;32)</v>
      </c>
      <c r="AJ72" s="12" t="str">
        <f t="shared" si="14"/>
        <v>(34;33)</v>
      </c>
      <c r="AK72" s="12" t="str">
        <f t="shared" si="14"/>
        <v>(34;34)</v>
      </c>
      <c r="AL72" s="12" t="str">
        <f t="shared" si="14"/>
        <v>(34;35)</v>
      </c>
      <c r="AM72" s="12" t="str">
        <f t="shared" si="14"/>
        <v>(34;36)</v>
      </c>
      <c r="AN72" s="12" t="str">
        <f t="shared" si="14"/>
        <v>(34;37)</v>
      </c>
      <c r="AO72" s="12" t="str">
        <f t="shared" si="14"/>
        <v>(34;38)</v>
      </c>
      <c r="AP72" s="12" t="str">
        <f t="shared" si="14"/>
        <v>(34;39)</v>
      </c>
      <c r="AQ72" s="12" t="str">
        <f t="shared" si="14"/>
        <v>(34;40)</v>
      </c>
      <c r="AR72" s="12" t="str">
        <f t="shared" si="14"/>
        <v>(34;41)</v>
      </c>
      <c r="AS72" s="12" t="str">
        <f t="shared" si="14"/>
        <v>(34;42)</v>
      </c>
      <c r="AT72" s="12" t="str">
        <f t="shared" si="12"/>
        <v>(34;43)</v>
      </c>
      <c r="AU72" s="12" t="str">
        <f t="shared" si="12"/>
        <v>(34;44)</v>
      </c>
      <c r="AV72" s="12" t="str">
        <f t="shared" si="12"/>
        <v>(34;45)</v>
      </c>
      <c r="AW72" s="12" t="str">
        <f t="shared" si="12"/>
        <v>(34;46)</v>
      </c>
      <c r="AX72" s="12" t="str">
        <f t="shared" si="12"/>
        <v>(34;47)</v>
      </c>
      <c r="AY72" s="12" t="str">
        <f t="shared" si="12"/>
        <v>(34;48)</v>
      </c>
      <c r="AZ72" s="12" t="str">
        <f t="shared" si="12"/>
        <v>(34;49)</v>
      </c>
      <c r="BA72" s="12" t="str">
        <f t="shared" si="12"/>
        <v>(34;50)</v>
      </c>
      <c r="BB72" s="12" t="str">
        <f t="shared" ref="BB72:BN135" si="18">CONCATENATE("(",TEXT($B72,"00"),";",TEXT(BB$37,"00"),")")</f>
        <v>(34;51)</v>
      </c>
      <c r="BC72" s="12" t="str">
        <f t="shared" si="18"/>
        <v>(34;52)</v>
      </c>
      <c r="BD72" s="12" t="str">
        <f t="shared" si="18"/>
        <v>(34;53)</v>
      </c>
      <c r="BE72" s="12" t="str">
        <f t="shared" si="18"/>
        <v>(34;54)</v>
      </c>
      <c r="BF72" s="12" t="str">
        <f t="shared" si="18"/>
        <v>(34;55)</v>
      </c>
      <c r="BG72" s="12" t="str">
        <f t="shared" si="18"/>
        <v>(34;56)</v>
      </c>
      <c r="BH72" s="12" t="str">
        <f t="shared" si="18"/>
        <v>(34;57)</v>
      </c>
      <c r="BI72" s="12" t="str">
        <f t="shared" si="18"/>
        <v>(34;58)</v>
      </c>
      <c r="BJ72" s="12" t="str">
        <f t="shared" si="18"/>
        <v>(34;59)</v>
      </c>
      <c r="BK72" s="12" t="str">
        <f t="shared" si="18"/>
        <v>(34;60)</v>
      </c>
      <c r="BL72" s="12" t="str">
        <f t="shared" si="18"/>
        <v>(34;61)</v>
      </c>
      <c r="BM72" s="12" t="str">
        <f t="shared" si="18"/>
        <v>(34;62)</v>
      </c>
      <c r="BN72" s="12" t="str">
        <f t="shared" si="18"/>
        <v>(34;63)</v>
      </c>
    </row>
    <row r="73" spans="1:66">
      <c r="A73">
        <f>VLOOKUP(B73,Teste!$A$137:$G$236,7,FALSE)</f>
        <v>0</v>
      </c>
      <c r="B73">
        <f t="shared" si="7"/>
        <v>35</v>
      </c>
      <c r="C73" s="12" t="str">
        <f t="shared" si="15"/>
        <v>(35;00)</v>
      </c>
      <c r="D73" s="12" t="str">
        <f t="shared" si="15"/>
        <v>(35;01)</v>
      </c>
      <c r="E73" s="12" t="str">
        <f t="shared" si="15"/>
        <v>(35;02)</v>
      </c>
      <c r="F73" s="12" t="str">
        <f t="shared" si="15"/>
        <v>(35;03)</v>
      </c>
      <c r="G73" s="12" t="str">
        <f t="shared" si="15"/>
        <v>(35;04)</v>
      </c>
      <c r="H73" s="12" t="str">
        <f t="shared" si="15"/>
        <v>(35;05)</v>
      </c>
      <c r="I73" s="12" t="str">
        <f t="shared" si="15"/>
        <v>(35;06)</v>
      </c>
      <c r="J73" s="12" t="str">
        <f t="shared" si="15"/>
        <v>(35;07)</v>
      </c>
      <c r="K73" s="12" t="str">
        <f t="shared" si="15"/>
        <v>(35;08)</v>
      </c>
      <c r="L73" s="12" t="str">
        <f t="shared" si="15"/>
        <v>(35;09)</v>
      </c>
      <c r="M73" s="12" t="str">
        <f t="shared" si="15"/>
        <v>(35;10)</v>
      </c>
      <c r="N73" s="12" t="str">
        <f t="shared" si="15"/>
        <v>(35;11)</v>
      </c>
      <c r="O73" s="12" t="str">
        <f t="shared" si="15"/>
        <v>(35;12)</v>
      </c>
      <c r="P73" s="12" t="str">
        <f t="shared" si="15"/>
        <v>(35;13)</v>
      </c>
      <c r="Q73" s="12" t="str">
        <f t="shared" si="15"/>
        <v>(35;14)</v>
      </c>
      <c r="R73" s="12" t="str">
        <f t="shared" si="15"/>
        <v>(35;15)</v>
      </c>
      <c r="S73" s="12" t="str">
        <f t="shared" si="13"/>
        <v>(35;16)</v>
      </c>
      <c r="T73" s="12" t="str">
        <f t="shared" si="13"/>
        <v>(35;17)</v>
      </c>
      <c r="U73" s="12" t="str">
        <f t="shared" si="13"/>
        <v>(35;18)</v>
      </c>
      <c r="V73" s="12" t="str">
        <f t="shared" si="13"/>
        <v>(35;19)</v>
      </c>
      <c r="W73" s="12" t="str">
        <f t="shared" si="13"/>
        <v>(35;20)</v>
      </c>
      <c r="X73" s="12" t="str">
        <f t="shared" si="13"/>
        <v>(35;21)</v>
      </c>
      <c r="Y73" s="12" t="str">
        <f t="shared" si="13"/>
        <v>(35;22)</v>
      </c>
      <c r="Z73" s="12" t="str">
        <f t="shared" si="13"/>
        <v>(35;23)</v>
      </c>
      <c r="AA73" s="12" t="str">
        <f t="shared" si="13"/>
        <v>(35;24)</v>
      </c>
      <c r="AB73" s="12" t="str">
        <f t="shared" si="13"/>
        <v>(35;25)</v>
      </c>
      <c r="AC73" s="12" t="str">
        <f t="shared" si="13"/>
        <v>(35;26)</v>
      </c>
      <c r="AD73" s="12" t="str">
        <f t="shared" si="14"/>
        <v>(35;27)</v>
      </c>
      <c r="AE73" s="12" t="str">
        <f t="shared" si="14"/>
        <v>(35;28)</v>
      </c>
      <c r="AF73" s="12" t="str">
        <f t="shared" si="14"/>
        <v>(35;29)</v>
      </c>
      <c r="AG73" s="12" t="str">
        <f t="shared" si="14"/>
        <v>(35;30)</v>
      </c>
      <c r="AH73" s="12" t="str">
        <f t="shared" si="14"/>
        <v>(35;31)</v>
      </c>
      <c r="AI73" s="12" t="str">
        <f t="shared" si="14"/>
        <v>(35;32)</v>
      </c>
      <c r="AJ73" s="12" t="str">
        <f t="shared" si="14"/>
        <v>(35;33)</v>
      </c>
      <c r="AK73" s="12" t="str">
        <f t="shared" si="14"/>
        <v>(35;34)</v>
      </c>
      <c r="AL73" s="12" t="str">
        <f t="shared" si="14"/>
        <v>(35;35)</v>
      </c>
      <c r="AM73" s="12" t="str">
        <f t="shared" si="14"/>
        <v>(35;36)</v>
      </c>
      <c r="AN73" s="12" t="str">
        <f t="shared" si="14"/>
        <v>(35;37)</v>
      </c>
      <c r="AO73" s="12" t="str">
        <f t="shared" si="14"/>
        <v>(35;38)</v>
      </c>
      <c r="AP73" s="12" t="str">
        <f t="shared" si="14"/>
        <v>(35;39)</v>
      </c>
      <c r="AQ73" s="12" t="str">
        <f t="shared" si="14"/>
        <v>(35;40)</v>
      </c>
      <c r="AR73" s="12" t="str">
        <f t="shared" si="14"/>
        <v>(35;41)</v>
      </c>
      <c r="AS73" s="12" t="str">
        <f t="shared" ref="AS73:BH88" si="19">CONCATENATE("(",TEXT($B73,"00"),";",TEXT(AS$37,"00"),")")</f>
        <v>(35;42)</v>
      </c>
      <c r="AT73" s="12" t="str">
        <f t="shared" si="19"/>
        <v>(35;43)</v>
      </c>
      <c r="AU73" s="12" t="str">
        <f t="shared" si="19"/>
        <v>(35;44)</v>
      </c>
      <c r="AV73" s="12" t="str">
        <f t="shared" si="19"/>
        <v>(35;45)</v>
      </c>
      <c r="AW73" s="12" t="str">
        <f t="shared" si="19"/>
        <v>(35;46)</v>
      </c>
      <c r="AX73" s="12" t="str">
        <f t="shared" si="19"/>
        <v>(35;47)</v>
      </c>
      <c r="AY73" s="12" t="str">
        <f t="shared" si="19"/>
        <v>(35;48)</v>
      </c>
      <c r="AZ73" s="12" t="str">
        <f t="shared" si="19"/>
        <v>(35;49)</v>
      </c>
      <c r="BA73" s="12" t="str">
        <f t="shared" si="19"/>
        <v>(35;50)</v>
      </c>
      <c r="BB73" s="12" t="str">
        <f t="shared" si="19"/>
        <v>(35;51)</v>
      </c>
      <c r="BC73" s="12" t="str">
        <f t="shared" si="19"/>
        <v>(35;52)</v>
      </c>
      <c r="BD73" s="12" t="str">
        <f t="shared" si="19"/>
        <v>(35;53)</v>
      </c>
      <c r="BE73" s="12" t="str">
        <f t="shared" si="19"/>
        <v>(35;54)</v>
      </c>
      <c r="BF73" s="12" t="str">
        <f t="shared" si="19"/>
        <v>(35;55)</v>
      </c>
      <c r="BG73" s="12" t="str">
        <f t="shared" si="19"/>
        <v>(35;56)</v>
      </c>
      <c r="BH73" s="12" t="str">
        <f t="shared" si="19"/>
        <v>(35;57)</v>
      </c>
      <c r="BI73" s="12" t="str">
        <f t="shared" si="18"/>
        <v>(35;58)</v>
      </c>
      <c r="BJ73" s="12" t="str">
        <f t="shared" si="18"/>
        <v>(35;59)</v>
      </c>
      <c r="BK73" s="12" t="str">
        <f t="shared" si="18"/>
        <v>(35;60)</v>
      </c>
      <c r="BL73" s="12" t="str">
        <f t="shared" si="18"/>
        <v>(35;61)</v>
      </c>
      <c r="BM73" s="12" t="str">
        <f t="shared" si="18"/>
        <v>(35;62)</v>
      </c>
      <c r="BN73" s="12" t="str">
        <f t="shared" si="18"/>
        <v>(35;63)</v>
      </c>
    </row>
    <row r="74" spans="1:66">
      <c r="A74">
        <f>VLOOKUP(B74,Teste!$A$137:$G$236,7,FALSE)</f>
        <v>0</v>
      </c>
      <c r="B74">
        <f t="shared" si="7"/>
        <v>36</v>
      </c>
      <c r="C74" s="12" t="str">
        <f t="shared" si="15"/>
        <v>(36;00)</v>
      </c>
      <c r="D74" s="12" t="str">
        <f t="shared" si="15"/>
        <v>(36;01)</v>
      </c>
      <c r="E74" s="12" t="str">
        <f t="shared" si="15"/>
        <v>(36;02)</v>
      </c>
      <c r="F74" s="12" t="str">
        <f t="shared" si="15"/>
        <v>(36;03)</v>
      </c>
      <c r="G74" s="12" t="str">
        <f t="shared" si="15"/>
        <v>(36;04)</v>
      </c>
      <c r="H74" s="12" t="str">
        <f t="shared" si="15"/>
        <v>(36;05)</v>
      </c>
      <c r="I74" s="12" t="str">
        <f t="shared" si="15"/>
        <v>(36;06)</v>
      </c>
      <c r="J74" s="12" t="str">
        <f t="shared" si="15"/>
        <v>(36;07)</v>
      </c>
      <c r="K74" s="12" t="str">
        <f t="shared" si="15"/>
        <v>(36;08)</v>
      </c>
      <c r="L74" s="12" t="str">
        <f t="shared" si="15"/>
        <v>(36;09)</v>
      </c>
      <c r="M74" s="12" t="str">
        <f t="shared" si="15"/>
        <v>(36;10)</v>
      </c>
      <c r="N74" s="12" t="str">
        <f t="shared" si="15"/>
        <v>(36;11)</v>
      </c>
      <c r="O74" s="12" t="str">
        <f t="shared" si="15"/>
        <v>(36;12)</v>
      </c>
      <c r="P74" s="12" t="str">
        <f t="shared" si="15"/>
        <v>(36;13)</v>
      </c>
      <c r="Q74" s="12" t="str">
        <f t="shared" si="15"/>
        <v>(36;14)</v>
      </c>
      <c r="R74" s="12" t="str">
        <f t="shared" ref="R74:AG89" si="20">CONCATENATE("(",TEXT($B74,"00"),";",TEXT(R$37,"00"),")")</f>
        <v>(36;15)</v>
      </c>
      <c r="S74" s="12" t="str">
        <f t="shared" si="20"/>
        <v>(36;16)</v>
      </c>
      <c r="T74" s="12" t="str">
        <f t="shared" si="20"/>
        <v>(36;17)</v>
      </c>
      <c r="U74" s="12" t="str">
        <f t="shared" si="20"/>
        <v>(36;18)</v>
      </c>
      <c r="V74" s="12" t="str">
        <f t="shared" si="20"/>
        <v>(36;19)</v>
      </c>
      <c r="W74" s="12" t="str">
        <f t="shared" si="20"/>
        <v>(36;20)</v>
      </c>
      <c r="X74" s="12" t="str">
        <f t="shared" si="20"/>
        <v>(36;21)</v>
      </c>
      <c r="Y74" s="12" t="str">
        <f t="shared" si="20"/>
        <v>(36;22)</v>
      </c>
      <c r="Z74" s="12" t="str">
        <f t="shared" si="20"/>
        <v>(36;23)</v>
      </c>
      <c r="AA74" s="12" t="str">
        <f t="shared" si="20"/>
        <v>(36;24)</v>
      </c>
      <c r="AB74" s="12" t="str">
        <f t="shared" si="20"/>
        <v>(36;25)</v>
      </c>
      <c r="AC74" s="12" t="str">
        <f t="shared" si="20"/>
        <v>(36;26)</v>
      </c>
      <c r="AD74" s="12" t="str">
        <f t="shared" si="20"/>
        <v>(36;27)</v>
      </c>
      <c r="AE74" s="12" t="str">
        <f t="shared" si="20"/>
        <v>(36;28)</v>
      </c>
      <c r="AF74" s="12" t="str">
        <f t="shared" si="20"/>
        <v>(36;29)</v>
      </c>
      <c r="AG74" s="12" t="str">
        <f t="shared" si="20"/>
        <v>(36;30)</v>
      </c>
      <c r="AH74" s="12" t="str">
        <f t="shared" ref="AH74:AW89" si="21">CONCATENATE("(",TEXT($B74,"00"),";",TEXT(AH$37,"00"),")")</f>
        <v>(36;31)</v>
      </c>
      <c r="AI74" s="12" t="str">
        <f t="shared" si="21"/>
        <v>(36;32)</v>
      </c>
      <c r="AJ74" s="12" t="str">
        <f t="shared" si="21"/>
        <v>(36;33)</v>
      </c>
      <c r="AK74" s="12" t="str">
        <f t="shared" si="21"/>
        <v>(36;34)</v>
      </c>
      <c r="AL74" s="12" t="str">
        <f t="shared" si="21"/>
        <v>(36;35)</v>
      </c>
      <c r="AM74" s="12" t="str">
        <f t="shared" si="21"/>
        <v>(36;36)</v>
      </c>
      <c r="AN74" s="12" t="str">
        <f t="shared" si="21"/>
        <v>(36;37)</v>
      </c>
      <c r="AO74" s="12" t="str">
        <f t="shared" si="21"/>
        <v>(36;38)</v>
      </c>
      <c r="AP74" s="12" t="str">
        <f t="shared" si="21"/>
        <v>(36;39)</v>
      </c>
      <c r="AQ74" s="12" t="str">
        <f t="shared" si="21"/>
        <v>(36;40)</v>
      </c>
      <c r="AR74" s="12" t="str">
        <f t="shared" si="21"/>
        <v>(36;41)</v>
      </c>
      <c r="AS74" s="12" t="str">
        <f t="shared" si="21"/>
        <v>(36;42)</v>
      </c>
      <c r="AT74" s="12" t="str">
        <f t="shared" si="21"/>
        <v>(36;43)</v>
      </c>
      <c r="AU74" s="12" t="str">
        <f t="shared" si="21"/>
        <v>(36;44)</v>
      </c>
      <c r="AV74" s="12" t="str">
        <f t="shared" si="21"/>
        <v>(36;45)</v>
      </c>
      <c r="AW74" s="12" t="str">
        <f t="shared" si="21"/>
        <v>(36;46)</v>
      </c>
      <c r="AX74" s="12" t="str">
        <f t="shared" si="19"/>
        <v>(36;47)</v>
      </c>
      <c r="AY74" s="12" t="str">
        <f t="shared" si="19"/>
        <v>(36;48)</v>
      </c>
      <c r="AZ74" s="12" t="str">
        <f t="shared" si="19"/>
        <v>(36;49)</v>
      </c>
      <c r="BA74" s="12" t="str">
        <f t="shared" si="19"/>
        <v>(36;50)</v>
      </c>
      <c r="BB74" s="12" t="str">
        <f t="shared" si="19"/>
        <v>(36;51)</v>
      </c>
      <c r="BC74" s="12" t="str">
        <f t="shared" si="19"/>
        <v>(36;52)</v>
      </c>
      <c r="BD74" s="12" t="str">
        <f t="shared" si="19"/>
        <v>(36;53)</v>
      </c>
      <c r="BE74" s="12" t="str">
        <f t="shared" si="19"/>
        <v>(36;54)</v>
      </c>
      <c r="BF74" s="12" t="str">
        <f t="shared" si="19"/>
        <v>(36;55)</v>
      </c>
      <c r="BG74" s="12" t="str">
        <f t="shared" si="19"/>
        <v>(36;56)</v>
      </c>
      <c r="BH74" s="12" t="str">
        <f t="shared" si="19"/>
        <v>(36;57)</v>
      </c>
      <c r="BI74" s="12" t="str">
        <f t="shared" si="18"/>
        <v>(36;58)</v>
      </c>
      <c r="BJ74" s="12" t="str">
        <f t="shared" si="18"/>
        <v>(36;59)</v>
      </c>
      <c r="BK74" s="12" t="str">
        <f t="shared" si="18"/>
        <v>(36;60)</v>
      </c>
      <c r="BL74" s="12" t="str">
        <f t="shared" si="18"/>
        <v>(36;61)</v>
      </c>
      <c r="BM74" s="12" t="str">
        <f t="shared" si="18"/>
        <v>(36;62)</v>
      </c>
      <c r="BN74" s="12" t="str">
        <f t="shared" si="18"/>
        <v>(36;63)</v>
      </c>
    </row>
    <row r="75" spans="1:66">
      <c r="A75">
        <f>VLOOKUP(B75,Teste!$A$137:$G$236,7,FALSE)</f>
        <v>0</v>
      </c>
      <c r="B75">
        <f t="shared" si="7"/>
        <v>37</v>
      </c>
      <c r="C75" s="12" t="str">
        <f t="shared" ref="C75:R90" si="22">CONCATENATE("(",TEXT($B75,"00"),";",TEXT(C$37,"00"),")")</f>
        <v>(37;00)</v>
      </c>
      <c r="D75" s="12" t="str">
        <f t="shared" si="22"/>
        <v>(37;01)</v>
      </c>
      <c r="E75" s="12" t="str">
        <f t="shared" si="22"/>
        <v>(37;02)</v>
      </c>
      <c r="F75" s="12" t="str">
        <f t="shared" si="22"/>
        <v>(37;03)</v>
      </c>
      <c r="G75" s="12" t="str">
        <f t="shared" si="22"/>
        <v>(37;04)</v>
      </c>
      <c r="H75" s="12" t="str">
        <f t="shared" si="22"/>
        <v>(37;05)</v>
      </c>
      <c r="I75" s="12" t="str">
        <f t="shared" si="22"/>
        <v>(37;06)</v>
      </c>
      <c r="J75" s="12" t="str">
        <f t="shared" si="22"/>
        <v>(37;07)</v>
      </c>
      <c r="K75" s="12" t="str">
        <f t="shared" si="22"/>
        <v>(37;08)</v>
      </c>
      <c r="L75" s="12" t="str">
        <f t="shared" si="22"/>
        <v>(37;09)</v>
      </c>
      <c r="M75" s="12" t="str">
        <f t="shared" si="22"/>
        <v>(37;10)</v>
      </c>
      <c r="N75" s="12" t="str">
        <f t="shared" si="22"/>
        <v>(37;11)</v>
      </c>
      <c r="O75" s="12" t="str">
        <f t="shared" si="22"/>
        <v>(37;12)</v>
      </c>
      <c r="P75" s="12" t="str">
        <f t="shared" si="22"/>
        <v>(37;13)</v>
      </c>
      <c r="Q75" s="12" t="str">
        <f t="shared" si="22"/>
        <v>(37;14)</v>
      </c>
      <c r="R75" s="12" t="str">
        <f t="shared" si="22"/>
        <v>(37;15)</v>
      </c>
      <c r="S75" s="12" t="str">
        <f t="shared" si="20"/>
        <v>(37;16)</v>
      </c>
      <c r="T75" s="12" t="str">
        <f t="shared" si="20"/>
        <v>(37;17)</v>
      </c>
      <c r="U75" s="12" t="str">
        <f t="shared" si="20"/>
        <v>(37;18)</v>
      </c>
      <c r="V75" s="12" t="str">
        <f t="shared" si="20"/>
        <v>(37;19)</v>
      </c>
      <c r="W75" s="12" t="str">
        <f t="shared" si="20"/>
        <v>(37;20)</v>
      </c>
      <c r="X75" s="12" t="str">
        <f t="shared" si="20"/>
        <v>(37;21)</v>
      </c>
      <c r="Y75" s="12" t="str">
        <f t="shared" si="20"/>
        <v>(37;22)</v>
      </c>
      <c r="Z75" s="12" t="str">
        <f t="shared" si="20"/>
        <v>(37;23)</v>
      </c>
      <c r="AA75" s="12" t="str">
        <f t="shared" si="20"/>
        <v>(37;24)</v>
      </c>
      <c r="AB75" s="12" t="str">
        <f t="shared" si="20"/>
        <v>(37;25)</v>
      </c>
      <c r="AC75" s="12" t="str">
        <f t="shared" si="20"/>
        <v>(37;26)</v>
      </c>
      <c r="AD75" s="12" t="str">
        <f t="shared" si="20"/>
        <v>(37;27)</v>
      </c>
      <c r="AE75" s="12" t="str">
        <f t="shared" si="20"/>
        <v>(37;28)</v>
      </c>
      <c r="AF75" s="12" t="str">
        <f t="shared" si="20"/>
        <v>(37;29)</v>
      </c>
      <c r="AG75" s="12" t="str">
        <f t="shared" si="20"/>
        <v>(37;30)</v>
      </c>
      <c r="AH75" s="12" t="str">
        <f t="shared" si="21"/>
        <v>(37;31)</v>
      </c>
      <c r="AI75" s="12" t="str">
        <f t="shared" si="21"/>
        <v>(37;32)</v>
      </c>
      <c r="AJ75" s="12" t="str">
        <f t="shared" si="21"/>
        <v>(37;33)</v>
      </c>
      <c r="AK75" s="12" t="str">
        <f t="shared" si="21"/>
        <v>(37;34)</v>
      </c>
      <c r="AL75" s="12" t="str">
        <f t="shared" si="21"/>
        <v>(37;35)</v>
      </c>
      <c r="AM75" s="12" t="str">
        <f t="shared" si="21"/>
        <v>(37;36)</v>
      </c>
      <c r="AN75" s="12" t="str">
        <f t="shared" si="21"/>
        <v>(37;37)</v>
      </c>
      <c r="AO75" s="12" t="str">
        <f t="shared" si="21"/>
        <v>(37;38)</v>
      </c>
      <c r="AP75" s="12" t="str">
        <f t="shared" si="21"/>
        <v>(37;39)</v>
      </c>
      <c r="AQ75" s="12" t="str">
        <f t="shared" si="21"/>
        <v>(37;40)</v>
      </c>
      <c r="AR75" s="12" t="str">
        <f t="shared" si="21"/>
        <v>(37;41)</v>
      </c>
      <c r="AS75" s="12" t="str">
        <f t="shared" si="21"/>
        <v>(37;42)</v>
      </c>
      <c r="AT75" s="12" t="str">
        <f t="shared" si="21"/>
        <v>(37;43)</v>
      </c>
      <c r="AU75" s="12" t="str">
        <f t="shared" si="21"/>
        <v>(37;44)</v>
      </c>
      <c r="AV75" s="12" t="str">
        <f t="shared" si="21"/>
        <v>(37;45)</v>
      </c>
      <c r="AW75" s="12" t="str">
        <f t="shared" si="21"/>
        <v>(37;46)</v>
      </c>
      <c r="AX75" s="12" t="str">
        <f t="shared" si="19"/>
        <v>(37;47)</v>
      </c>
      <c r="AY75" s="12" t="str">
        <f t="shared" si="19"/>
        <v>(37;48)</v>
      </c>
      <c r="AZ75" s="12" t="str">
        <f t="shared" si="19"/>
        <v>(37;49)</v>
      </c>
      <c r="BA75" s="12" t="str">
        <f t="shared" si="19"/>
        <v>(37;50)</v>
      </c>
      <c r="BB75" s="12" t="str">
        <f t="shared" si="19"/>
        <v>(37;51)</v>
      </c>
      <c r="BC75" s="12" t="str">
        <f t="shared" si="19"/>
        <v>(37;52)</v>
      </c>
      <c r="BD75" s="12" t="str">
        <f t="shared" si="19"/>
        <v>(37;53)</v>
      </c>
      <c r="BE75" s="12" t="str">
        <f t="shared" si="19"/>
        <v>(37;54)</v>
      </c>
      <c r="BF75" s="12" t="str">
        <f t="shared" si="19"/>
        <v>(37;55)</v>
      </c>
      <c r="BG75" s="12" t="str">
        <f t="shared" si="19"/>
        <v>(37;56)</v>
      </c>
      <c r="BH75" s="12" t="str">
        <f t="shared" si="19"/>
        <v>(37;57)</v>
      </c>
      <c r="BI75" s="12" t="str">
        <f t="shared" si="18"/>
        <v>(37;58)</v>
      </c>
      <c r="BJ75" s="12" t="str">
        <f t="shared" si="18"/>
        <v>(37;59)</v>
      </c>
      <c r="BK75" s="12" t="str">
        <f t="shared" si="18"/>
        <v>(37;60)</v>
      </c>
      <c r="BL75" s="12" t="str">
        <f t="shared" si="18"/>
        <v>(37;61)</v>
      </c>
      <c r="BM75" s="12" t="str">
        <f t="shared" si="18"/>
        <v>(37;62)</v>
      </c>
      <c r="BN75" s="12" t="str">
        <f t="shared" si="18"/>
        <v>(37;63)</v>
      </c>
    </row>
    <row r="76" spans="1:66">
      <c r="A76">
        <f>VLOOKUP(B76,Teste!$A$137:$G$236,7,FALSE)</f>
        <v>0</v>
      </c>
      <c r="B76">
        <f t="shared" si="7"/>
        <v>38</v>
      </c>
      <c r="C76" s="12" t="str">
        <f t="shared" si="22"/>
        <v>(38;00)</v>
      </c>
      <c r="D76" s="12" t="str">
        <f t="shared" si="22"/>
        <v>(38;01)</v>
      </c>
      <c r="E76" s="12" t="str">
        <f t="shared" si="22"/>
        <v>(38;02)</v>
      </c>
      <c r="F76" s="12" t="str">
        <f t="shared" si="22"/>
        <v>(38;03)</v>
      </c>
      <c r="G76" s="12" t="str">
        <f t="shared" si="22"/>
        <v>(38;04)</v>
      </c>
      <c r="H76" s="12" t="str">
        <f t="shared" si="22"/>
        <v>(38;05)</v>
      </c>
      <c r="I76" s="12" t="str">
        <f t="shared" si="22"/>
        <v>(38;06)</v>
      </c>
      <c r="J76" s="12" t="str">
        <f t="shared" si="22"/>
        <v>(38;07)</v>
      </c>
      <c r="K76" s="12" t="str">
        <f t="shared" si="22"/>
        <v>(38;08)</v>
      </c>
      <c r="L76" s="12" t="str">
        <f t="shared" si="22"/>
        <v>(38;09)</v>
      </c>
      <c r="M76" s="12" t="str">
        <f t="shared" si="22"/>
        <v>(38;10)</v>
      </c>
      <c r="N76" s="12" t="str">
        <f t="shared" si="22"/>
        <v>(38;11)</v>
      </c>
      <c r="O76" s="12" t="str">
        <f t="shared" si="22"/>
        <v>(38;12)</v>
      </c>
      <c r="P76" s="12" t="str">
        <f t="shared" si="22"/>
        <v>(38;13)</v>
      </c>
      <c r="Q76" s="12" t="str">
        <f t="shared" si="22"/>
        <v>(38;14)</v>
      </c>
      <c r="R76" s="12" t="str">
        <f t="shared" si="22"/>
        <v>(38;15)</v>
      </c>
      <c r="S76" s="12" t="str">
        <f t="shared" si="20"/>
        <v>(38;16)</v>
      </c>
      <c r="T76" s="12" t="str">
        <f t="shared" si="20"/>
        <v>(38;17)</v>
      </c>
      <c r="U76" s="12" t="str">
        <f t="shared" si="20"/>
        <v>(38;18)</v>
      </c>
      <c r="V76" s="12" t="str">
        <f t="shared" si="20"/>
        <v>(38;19)</v>
      </c>
      <c r="W76" s="12" t="str">
        <f t="shared" si="20"/>
        <v>(38;20)</v>
      </c>
      <c r="X76" s="12" t="str">
        <f t="shared" si="20"/>
        <v>(38;21)</v>
      </c>
      <c r="Y76" s="12" t="str">
        <f t="shared" si="20"/>
        <v>(38;22)</v>
      </c>
      <c r="Z76" s="12" t="str">
        <f t="shared" si="20"/>
        <v>(38;23)</v>
      </c>
      <c r="AA76" s="12" t="str">
        <f t="shared" si="20"/>
        <v>(38;24)</v>
      </c>
      <c r="AB76" s="12" t="str">
        <f t="shared" si="20"/>
        <v>(38;25)</v>
      </c>
      <c r="AC76" s="12" t="str">
        <f t="shared" si="20"/>
        <v>(38;26)</v>
      </c>
      <c r="AD76" s="12" t="str">
        <f t="shared" si="20"/>
        <v>(38;27)</v>
      </c>
      <c r="AE76" s="12" t="str">
        <f t="shared" si="20"/>
        <v>(38;28)</v>
      </c>
      <c r="AF76" s="12" t="str">
        <f t="shared" si="20"/>
        <v>(38;29)</v>
      </c>
      <c r="AG76" s="12" t="str">
        <f t="shared" si="20"/>
        <v>(38;30)</v>
      </c>
      <c r="AH76" s="12" t="str">
        <f t="shared" si="21"/>
        <v>(38;31)</v>
      </c>
      <c r="AI76" s="12" t="str">
        <f t="shared" si="21"/>
        <v>(38;32)</v>
      </c>
      <c r="AJ76" s="12" t="str">
        <f t="shared" si="21"/>
        <v>(38;33)</v>
      </c>
      <c r="AK76" s="12" t="str">
        <f t="shared" si="21"/>
        <v>(38;34)</v>
      </c>
      <c r="AL76" s="12" t="str">
        <f t="shared" si="21"/>
        <v>(38;35)</v>
      </c>
      <c r="AM76" s="12" t="str">
        <f t="shared" si="21"/>
        <v>(38;36)</v>
      </c>
      <c r="AN76" s="12" t="str">
        <f t="shared" si="21"/>
        <v>(38;37)</v>
      </c>
      <c r="AO76" s="12" t="str">
        <f t="shared" si="21"/>
        <v>(38;38)</v>
      </c>
      <c r="AP76" s="12" t="str">
        <f t="shared" si="21"/>
        <v>(38;39)</v>
      </c>
      <c r="AQ76" s="12" t="str">
        <f t="shared" si="21"/>
        <v>(38;40)</v>
      </c>
      <c r="AR76" s="12" t="str">
        <f t="shared" si="21"/>
        <v>(38;41)</v>
      </c>
      <c r="AS76" s="12" t="str">
        <f t="shared" si="21"/>
        <v>(38;42)</v>
      </c>
      <c r="AT76" s="12" t="str">
        <f t="shared" si="21"/>
        <v>(38;43)</v>
      </c>
      <c r="AU76" s="12" t="str">
        <f t="shared" si="21"/>
        <v>(38;44)</v>
      </c>
      <c r="AV76" s="12" t="str">
        <f t="shared" si="21"/>
        <v>(38;45)</v>
      </c>
      <c r="AW76" s="12" t="str">
        <f t="shared" si="21"/>
        <v>(38;46)</v>
      </c>
      <c r="AX76" s="12" t="str">
        <f t="shared" si="19"/>
        <v>(38;47)</v>
      </c>
      <c r="AY76" s="12" t="str">
        <f t="shared" si="19"/>
        <v>(38;48)</v>
      </c>
      <c r="AZ76" s="12" t="str">
        <f t="shared" si="19"/>
        <v>(38;49)</v>
      </c>
      <c r="BA76" s="12" t="str">
        <f t="shared" si="19"/>
        <v>(38;50)</v>
      </c>
      <c r="BB76" s="12" t="str">
        <f t="shared" si="19"/>
        <v>(38;51)</v>
      </c>
      <c r="BC76" s="12" t="str">
        <f t="shared" si="19"/>
        <v>(38;52)</v>
      </c>
      <c r="BD76" s="12" t="str">
        <f t="shared" si="19"/>
        <v>(38;53)</v>
      </c>
      <c r="BE76" s="12" t="str">
        <f t="shared" si="19"/>
        <v>(38;54)</v>
      </c>
      <c r="BF76" s="12" t="str">
        <f t="shared" si="19"/>
        <v>(38;55)</v>
      </c>
      <c r="BG76" s="12" t="str">
        <f t="shared" si="19"/>
        <v>(38;56)</v>
      </c>
      <c r="BH76" s="12" t="str">
        <f t="shared" si="19"/>
        <v>(38;57)</v>
      </c>
      <c r="BI76" s="12" t="str">
        <f t="shared" si="18"/>
        <v>(38;58)</v>
      </c>
      <c r="BJ76" s="12" t="str">
        <f t="shared" si="18"/>
        <v>(38;59)</v>
      </c>
      <c r="BK76" s="12" t="str">
        <f t="shared" si="18"/>
        <v>(38;60)</v>
      </c>
      <c r="BL76" s="12" t="str">
        <f t="shared" si="18"/>
        <v>(38;61)</v>
      </c>
      <c r="BM76" s="12" t="str">
        <f t="shared" si="18"/>
        <v>(38;62)</v>
      </c>
      <c r="BN76" s="12" t="str">
        <f t="shared" si="18"/>
        <v>(38;63)</v>
      </c>
    </row>
    <row r="77" spans="1:66">
      <c r="A77">
        <f>VLOOKUP(B77,Teste!$A$137:$G$236,7,FALSE)</f>
        <v>0</v>
      </c>
      <c r="B77">
        <f t="shared" si="7"/>
        <v>39</v>
      </c>
      <c r="C77" s="12" t="str">
        <f t="shared" si="22"/>
        <v>(39;00)</v>
      </c>
      <c r="D77" s="12" t="str">
        <f t="shared" si="22"/>
        <v>(39;01)</v>
      </c>
      <c r="E77" s="12" t="str">
        <f t="shared" si="22"/>
        <v>(39;02)</v>
      </c>
      <c r="F77" s="12" t="str">
        <f t="shared" si="22"/>
        <v>(39;03)</v>
      </c>
      <c r="G77" s="12" t="str">
        <f t="shared" si="22"/>
        <v>(39;04)</v>
      </c>
      <c r="H77" s="12" t="str">
        <f t="shared" si="22"/>
        <v>(39;05)</v>
      </c>
      <c r="I77" s="12" t="str">
        <f t="shared" si="22"/>
        <v>(39;06)</v>
      </c>
      <c r="J77" s="12" t="str">
        <f t="shared" si="22"/>
        <v>(39;07)</v>
      </c>
      <c r="K77" s="12" t="str">
        <f t="shared" si="22"/>
        <v>(39;08)</v>
      </c>
      <c r="L77" s="12" t="str">
        <f t="shared" si="22"/>
        <v>(39;09)</v>
      </c>
      <c r="M77" s="12" t="str">
        <f t="shared" si="22"/>
        <v>(39;10)</v>
      </c>
      <c r="N77" s="12" t="str">
        <f t="shared" si="22"/>
        <v>(39;11)</v>
      </c>
      <c r="O77" s="12" t="str">
        <f t="shared" si="22"/>
        <v>(39;12)</v>
      </c>
      <c r="P77" s="12" t="str">
        <f t="shared" si="22"/>
        <v>(39;13)</v>
      </c>
      <c r="Q77" s="12" t="str">
        <f t="shared" si="22"/>
        <v>(39;14)</v>
      </c>
      <c r="R77" s="12" t="str">
        <f t="shared" si="22"/>
        <v>(39;15)</v>
      </c>
      <c r="S77" s="12" t="str">
        <f t="shared" si="20"/>
        <v>(39;16)</v>
      </c>
      <c r="T77" s="12" t="str">
        <f t="shared" si="20"/>
        <v>(39;17)</v>
      </c>
      <c r="U77" s="12" t="str">
        <f t="shared" si="20"/>
        <v>(39;18)</v>
      </c>
      <c r="V77" s="12" t="str">
        <f t="shared" si="20"/>
        <v>(39;19)</v>
      </c>
      <c r="W77" s="12" t="str">
        <f t="shared" si="20"/>
        <v>(39;20)</v>
      </c>
      <c r="X77" s="12" t="str">
        <f t="shared" si="20"/>
        <v>(39;21)</v>
      </c>
      <c r="Y77" s="12" t="str">
        <f t="shared" si="20"/>
        <v>(39;22)</v>
      </c>
      <c r="Z77" s="12" t="str">
        <f t="shared" si="20"/>
        <v>(39;23)</v>
      </c>
      <c r="AA77" s="12" t="str">
        <f t="shared" si="20"/>
        <v>(39;24)</v>
      </c>
      <c r="AB77" s="12" t="str">
        <f t="shared" si="20"/>
        <v>(39;25)</v>
      </c>
      <c r="AC77" s="12" t="str">
        <f t="shared" si="20"/>
        <v>(39;26)</v>
      </c>
      <c r="AD77" s="12" t="str">
        <f t="shared" si="20"/>
        <v>(39;27)</v>
      </c>
      <c r="AE77" s="12" t="str">
        <f t="shared" si="20"/>
        <v>(39;28)</v>
      </c>
      <c r="AF77" s="12" t="str">
        <f t="shared" si="20"/>
        <v>(39;29)</v>
      </c>
      <c r="AG77" s="12" t="str">
        <f t="shared" si="20"/>
        <v>(39;30)</v>
      </c>
      <c r="AH77" s="12" t="str">
        <f t="shared" si="21"/>
        <v>(39;31)</v>
      </c>
      <c r="AI77" s="12" t="str">
        <f t="shared" si="21"/>
        <v>(39;32)</v>
      </c>
      <c r="AJ77" s="12" t="str">
        <f t="shared" si="21"/>
        <v>(39;33)</v>
      </c>
      <c r="AK77" s="12" t="str">
        <f t="shared" si="21"/>
        <v>(39;34)</v>
      </c>
      <c r="AL77" s="12" t="str">
        <f t="shared" si="21"/>
        <v>(39;35)</v>
      </c>
      <c r="AM77" s="12" t="str">
        <f t="shared" si="21"/>
        <v>(39;36)</v>
      </c>
      <c r="AN77" s="12" t="str">
        <f t="shared" si="21"/>
        <v>(39;37)</v>
      </c>
      <c r="AO77" s="12" t="str">
        <f t="shared" si="21"/>
        <v>(39;38)</v>
      </c>
      <c r="AP77" s="12" t="str">
        <f t="shared" si="21"/>
        <v>(39;39)</v>
      </c>
      <c r="AQ77" s="12" t="str">
        <f t="shared" si="21"/>
        <v>(39;40)</v>
      </c>
      <c r="AR77" s="12" t="str">
        <f t="shared" si="21"/>
        <v>(39;41)</v>
      </c>
      <c r="AS77" s="12" t="str">
        <f t="shared" si="21"/>
        <v>(39;42)</v>
      </c>
      <c r="AT77" s="12" t="str">
        <f t="shared" si="21"/>
        <v>(39;43)</v>
      </c>
      <c r="AU77" s="12" t="str">
        <f t="shared" si="21"/>
        <v>(39;44)</v>
      </c>
      <c r="AV77" s="12" t="str">
        <f t="shared" si="21"/>
        <v>(39;45)</v>
      </c>
      <c r="AW77" s="12" t="str">
        <f t="shared" si="21"/>
        <v>(39;46)</v>
      </c>
      <c r="AX77" s="12" t="str">
        <f t="shared" si="19"/>
        <v>(39;47)</v>
      </c>
      <c r="AY77" s="12" t="str">
        <f t="shared" si="19"/>
        <v>(39;48)</v>
      </c>
      <c r="AZ77" s="12" t="str">
        <f t="shared" si="19"/>
        <v>(39;49)</v>
      </c>
      <c r="BA77" s="12" t="str">
        <f t="shared" si="19"/>
        <v>(39;50)</v>
      </c>
      <c r="BB77" s="12" t="str">
        <f t="shared" si="19"/>
        <v>(39;51)</v>
      </c>
      <c r="BC77" s="12" t="str">
        <f t="shared" si="19"/>
        <v>(39;52)</v>
      </c>
      <c r="BD77" s="12" t="str">
        <f t="shared" si="19"/>
        <v>(39;53)</v>
      </c>
      <c r="BE77" s="12" t="str">
        <f t="shared" si="19"/>
        <v>(39;54)</v>
      </c>
      <c r="BF77" s="12" t="str">
        <f t="shared" si="19"/>
        <v>(39;55)</v>
      </c>
      <c r="BG77" s="12" t="str">
        <f t="shared" si="19"/>
        <v>(39;56)</v>
      </c>
      <c r="BH77" s="12" t="str">
        <f t="shared" si="19"/>
        <v>(39;57)</v>
      </c>
      <c r="BI77" s="12" t="str">
        <f t="shared" si="18"/>
        <v>(39;58)</v>
      </c>
      <c r="BJ77" s="12" t="str">
        <f t="shared" si="18"/>
        <v>(39;59)</v>
      </c>
      <c r="BK77" s="12" t="str">
        <f t="shared" si="18"/>
        <v>(39;60)</v>
      </c>
      <c r="BL77" s="12" t="str">
        <f t="shared" si="18"/>
        <v>(39;61)</v>
      </c>
      <c r="BM77" s="12" t="str">
        <f t="shared" si="18"/>
        <v>(39;62)</v>
      </c>
      <c r="BN77" s="12" t="str">
        <f t="shared" si="18"/>
        <v>(39;63)</v>
      </c>
    </row>
    <row r="78" spans="1:66">
      <c r="A78">
        <f>VLOOKUP(B78,Teste!$A$137:$G$236,7,FALSE)</f>
        <v>0</v>
      </c>
      <c r="B78">
        <f t="shared" si="7"/>
        <v>40</v>
      </c>
      <c r="C78" s="12" t="str">
        <f t="shared" si="22"/>
        <v>(40;00)</v>
      </c>
      <c r="D78" s="12" t="str">
        <f t="shared" si="22"/>
        <v>(40;01)</v>
      </c>
      <c r="E78" s="12" t="str">
        <f t="shared" si="22"/>
        <v>(40;02)</v>
      </c>
      <c r="F78" s="12" t="str">
        <f t="shared" si="22"/>
        <v>(40;03)</v>
      </c>
      <c r="G78" s="12" t="str">
        <f t="shared" si="22"/>
        <v>(40;04)</v>
      </c>
      <c r="H78" s="12" t="str">
        <f t="shared" si="22"/>
        <v>(40;05)</v>
      </c>
      <c r="I78" s="12" t="str">
        <f t="shared" si="22"/>
        <v>(40;06)</v>
      </c>
      <c r="J78" s="12" t="str">
        <f t="shared" si="22"/>
        <v>(40;07)</v>
      </c>
      <c r="K78" s="12" t="str">
        <f t="shared" si="22"/>
        <v>(40;08)</v>
      </c>
      <c r="L78" s="12" t="str">
        <f t="shared" si="22"/>
        <v>(40;09)</v>
      </c>
      <c r="M78" s="12" t="str">
        <f t="shared" si="22"/>
        <v>(40;10)</v>
      </c>
      <c r="N78" s="12" t="str">
        <f t="shared" si="22"/>
        <v>(40;11)</v>
      </c>
      <c r="O78" s="12" t="str">
        <f t="shared" si="22"/>
        <v>(40;12)</v>
      </c>
      <c r="P78" s="12" t="str">
        <f t="shared" si="22"/>
        <v>(40;13)</v>
      </c>
      <c r="Q78" s="12" t="str">
        <f t="shared" si="22"/>
        <v>(40;14)</v>
      </c>
      <c r="R78" s="12" t="str">
        <f t="shared" si="22"/>
        <v>(40;15)</v>
      </c>
      <c r="S78" s="12" t="str">
        <f t="shared" si="20"/>
        <v>(40;16)</v>
      </c>
      <c r="T78" s="12" t="str">
        <f t="shared" si="20"/>
        <v>(40;17)</v>
      </c>
      <c r="U78" s="12" t="str">
        <f t="shared" si="20"/>
        <v>(40;18)</v>
      </c>
      <c r="V78" s="12" t="str">
        <f t="shared" si="20"/>
        <v>(40;19)</v>
      </c>
      <c r="W78" s="12" t="str">
        <f t="shared" si="20"/>
        <v>(40;20)</v>
      </c>
      <c r="X78" s="12" t="str">
        <f t="shared" si="20"/>
        <v>(40;21)</v>
      </c>
      <c r="Y78" s="12" t="str">
        <f t="shared" si="20"/>
        <v>(40;22)</v>
      </c>
      <c r="Z78" s="12" t="str">
        <f t="shared" si="20"/>
        <v>(40;23)</v>
      </c>
      <c r="AA78" s="12" t="str">
        <f t="shared" si="20"/>
        <v>(40;24)</v>
      </c>
      <c r="AB78" s="12" t="str">
        <f t="shared" si="20"/>
        <v>(40;25)</v>
      </c>
      <c r="AC78" s="12" t="str">
        <f t="shared" si="20"/>
        <v>(40;26)</v>
      </c>
      <c r="AD78" s="12" t="str">
        <f t="shared" si="20"/>
        <v>(40;27)</v>
      </c>
      <c r="AE78" s="12" t="str">
        <f t="shared" si="20"/>
        <v>(40;28)</v>
      </c>
      <c r="AF78" s="12" t="str">
        <f t="shared" si="20"/>
        <v>(40;29)</v>
      </c>
      <c r="AG78" s="12" t="str">
        <f t="shared" si="20"/>
        <v>(40;30)</v>
      </c>
      <c r="AH78" s="12" t="str">
        <f t="shared" si="21"/>
        <v>(40;31)</v>
      </c>
      <c r="AI78" s="12" t="str">
        <f t="shared" si="21"/>
        <v>(40;32)</v>
      </c>
      <c r="AJ78" s="12" t="str">
        <f t="shared" si="21"/>
        <v>(40;33)</v>
      </c>
      <c r="AK78" s="12" t="str">
        <f t="shared" si="21"/>
        <v>(40;34)</v>
      </c>
      <c r="AL78" s="12" t="str">
        <f t="shared" si="21"/>
        <v>(40;35)</v>
      </c>
      <c r="AM78" s="12" t="str">
        <f t="shared" si="21"/>
        <v>(40;36)</v>
      </c>
      <c r="AN78" s="12" t="str">
        <f t="shared" si="21"/>
        <v>(40;37)</v>
      </c>
      <c r="AO78" s="12" t="str">
        <f t="shared" si="21"/>
        <v>(40;38)</v>
      </c>
      <c r="AP78" s="12" t="str">
        <f t="shared" si="21"/>
        <v>(40;39)</v>
      </c>
      <c r="AQ78" s="12" t="str">
        <f t="shared" si="21"/>
        <v>(40;40)</v>
      </c>
      <c r="AR78" s="12" t="str">
        <f t="shared" si="21"/>
        <v>(40;41)</v>
      </c>
      <c r="AS78" s="12" t="str">
        <f t="shared" si="21"/>
        <v>(40;42)</v>
      </c>
      <c r="AT78" s="12" t="str">
        <f t="shared" si="21"/>
        <v>(40;43)</v>
      </c>
      <c r="AU78" s="12" t="str">
        <f t="shared" si="21"/>
        <v>(40;44)</v>
      </c>
      <c r="AV78" s="12" t="str">
        <f t="shared" si="21"/>
        <v>(40;45)</v>
      </c>
      <c r="AW78" s="12" t="str">
        <f t="shared" si="21"/>
        <v>(40;46)</v>
      </c>
      <c r="AX78" s="12" t="str">
        <f t="shared" si="19"/>
        <v>(40;47)</v>
      </c>
      <c r="AY78" s="12" t="str">
        <f t="shared" si="19"/>
        <v>(40;48)</v>
      </c>
      <c r="AZ78" s="12" t="str">
        <f t="shared" si="19"/>
        <v>(40;49)</v>
      </c>
      <c r="BA78" s="12" t="str">
        <f t="shared" si="19"/>
        <v>(40;50)</v>
      </c>
      <c r="BB78" s="12" t="str">
        <f t="shared" si="19"/>
        <v>(40;51)</v>
      </c>
      <c r="BC78" s="12" t="str">
        <f t="shared" si="19"/>
        <v>(40;52)</v>
      </c>
      <c r="BD78" s="12" t="str">
        <f t="shared" si="19"/>
        <v>(40;53)</v>
      </c>
      <c r="BE78" s="12" t="str">
        <f t="shared" si="19"/>
        <v>(40;54)</v>
      </c>
      <c r="BF78" s="12" t="str">
        <f t="shared" si="19"/>
        <v>(40;55)</v>
      </c>
      <c r="BG78" s="12" t="str">
        <f t="shared" si="19"/>
        <v>(40;56)</v>
      </c>
      <c r="BH78" s="12" t="str">
        <f t="shared" si="19"/>
        <v>(40;57)</v>
      </c>
      <c r="BI78" s="12" t="str">
        <f t="shared" si="18"/>
        <v>(40;58)</v>
      </c>
      <c r="BJ78" s="12" t="str">
        <f t="shared" si="18"/>
        <v>(40;59)</v>
      </c>
      <c r="BK78" s="12" t="str">
        <f t="shared" si="18"/>
        <v>(40;60)</v>
      </c>
      <c r="BL78" s="12" t="str">
        <f t="shared" si="18"/>
        <v>(40;61)</v>
      </c>
      <c r="BM78" s="12" t="str">
        <f t="shared" si="18"/>
        <v>(40;62)</v>
      </c>
      <c r="BN78" s="12" t="str">
        <f t="shared" si="18"/>
        <v>(40;63)</v>
      </c>
    </row>
    <row r="79" spans="1:66">
      <c r="A79">
        <f>VLOOKUP(B79,Teste!$A$137:$G$236,7,FALSE)</f>
        <v>0</v>
      </c>
      <c r="B79">
        <f t="shared" si="7"/>
        <v>41</v>
      </c>
      <c r="C79" s="12" t="str">
        <f t="shared" si="22"/>
        <v>(41;00)</v>
      </c>
      <c r="D79" s="12" t="str">
        <f t="shared" si="22"/>
        <v>(41;01)</v>
      </c>
      <c r="E79" s="12" t="str">
        <f t="shared" si="22"/>
        <v>(41;02)</v>
      </c>
      <c r="F79" s="12" t="str">
        <f t="shared" si="22"/>
        <v>(41;03)</v>
      </c>
      <c r="G79" s="12" t="str">
        <f t="shared" si="22"/>
        <v>(41;04)</v>
      </c>
      <c r="H79" s="12" t="str">
        <f t="shared" si="22"/>
        <v>(41;05)</v>
      </c>
      <c r="I79" s="12" t="str">
        <f t="shared" si="22"/>
        <v>(41;06)</v>
      </c>
      <c r="J79" s="12" t="str">
        <f t="shared" si="22"/>
        <v>(41;07)</v>
      </c>
      <c r="K79" s="12" t="str">
        <f t="shared" si="22"/>
        <v>(41;08)</v>
      </c>
      <c r="L79" s="12" t="str">
        <f t="shared" si="22"/>
        <v>(41;09)</v>
      </c>
      <c r="M79" s="12" t="str">
        <f t="shared" si="22"/>
        <v>(41;10)</v>
      </c>
      <c r="N79" s="12" t="str">
        <f t="shared" si="22"/>
        <v>(41;11)</v>
      </c>
      <c r="O79" s="12" t="str">
        <f t="shared" si="22"/>
        <v>(41;12)</v>
      </c>
      <c r="P79" s="12" t="str">
        <f t="shared" si="22"/>
        <v>(41;13)</v>
      </c>
      <c r="Q79" s="12" t="str">
        <f t="shared" si="22"/>
        <v>(41;14)</v>
      </c>
      <c r="R79" s="12" t="str">
        <f t="shared" si="22"/>
        <v>(41;15)</v>
      </c>
      <c r="S79" s="12" t="str">
        <f t="shared" si="20"/>
        <v>(41;16)</v>
      </c>
      <c r="T79" s="12" t="str">
        <f t="shared" si="20"/>
        <v>(41;17)</v>
      </c>
      <c r="U79" s="12" t="str">
        <f t="shared" si="20"/>
        <v>(41;18)</v>
      </c>
      <c r="V79" s="12" t="str">
        <f t="shared" si="20"/>
        <v>(41;19)</v>
      </c>
      <c r="W79" s="12" t="str">
        <f t="shared" si="20"/>
        <v>(41;20)</v>
      </c>
      <c r="X79" s="12" t="str">
        <f t="shared" si="20"/>
        <v>(41;21)</v>
      </c>
      <c r="Y79" s="12" t="str">
        <f t="shared" si="20"/>
        <v>(41;22)</v>
      </c>
      <c r="Z79" s="12" t="str">
        <f t="shared" si="20"/>
        <v>(41;23)</v>
      </c>
      <c r="AA79" s="12" t="str">
        <f t="shared" si="20"/>
        <v>(41;24)</v>
      </c>
      <c r="AB79" s="12" t="str">
        <f t="shared" si="20"/>
        <v>(41;25)</v>
      </c>
      <c r="AC79" s="12" t="str">
        <f t="shared" si="20"/>
        <v>(41;26)</v>
      </c>
      <c r="AD79" s="12" t="str">
        <f t="shared" si="20"/>
        <v>(41;27)</v>
      </c>
      <c r="AE79" s="12" t="str">
        <f t="shared" si="20"/>
        <v>(41;28)</v>
      </c>
      <c r="AF79" s="12" t="str">
        <f t="shared" si="20"/>
        <v>(41;29)</v>
      </c>
      <c r="AG79" s="12" t="str">
        <f t="shared" si="20"/>
        <v>(41;30)</v>
      </c>
      <c r="AH79" s="12" t="str">
        <f t="shared" si="21"/>
        <v>(41;31)</v>
      </c>
      <c r="AI79" s="12" t="str">
        <f t="shared" si="21"/>
        <v>(41;32)</v>
      </c>
      <c r="AJ79" s="12" t="str">
        <f t="shared" si="21"/>
        <v>(41;33)</v>
      </c>
      <c r="AK79" s="12" t="str">
        <f t="shared" si="21"/>
        <v>(41;34)</v>
      </c>
      <c r="AL79" s="12" t="str">
        <f t="shared" si="21"/>
        <v>(41;35)</v>
      </c>
      <c r="AM79" s="12" t="str">
        <f t="shared" si="21"/>
        <v>(41;36)</v>
      </c>
      <c r="AN79" s="12" t="str">
        <f t="shared" si="21"/>
        <v>(41;37)</v>
      </c>
      <c r="AO79" s="12" t="str">
        <f t="shared" si="21"/>
        <v>(41;38)</v>
      </c>
      <c r="AP79" s="12" t="str">
        <f t="shared" si="21"/>
        <v>(41;39)</v>
      </c>
      <c r="AQ79" s="12" t="str">
        <f t="shared" si="21"/>
        <v>(41;40)</v>
      </c>
      <c r="AR79" s="12" t="str">
        <f t="shared" si="21"/>
        <v>(41;41)</v>
      </c>
      <c r="AS79" s="12" t="str">
        <f t="shared" si="21"/>
        <v>(41;42)</v>
      </c>
      <c r="AT79" s="12" t="str">
        <f t="shared" si="21"/>
        <v>(41;43)</v>
      </c>
      <c r="AU79" s="12" t="str">
        <f t="shared" si="21"/>
        <v>(41;44)</v>
      </c>
      <c r="AV79" s="12" t="str">
        <f t="shared" si="21"/>
        <v>(41;45)</v>
      </c>
      <c r="AW79" s="12" t="str">
        <f t="shared" si="21"/>
        <v>(41;46)</v>
      </c>
      <c r="AX79" s="12" t="str">
        <f t="shared" si="19"/>
        <v>(41;47)</v>
      </c>
      <c r="AY79" s="12" t="str">
        <f t="shared" si="19"/>
        <v>(41;48)</v>
      </c>
      <c r="AZ79" s="12" t="str">
        <f t="shared" si="19"/>
        <v>(41;49)</v>
      </c>
      <c r="BA79" s="12" t="str">
        <f t="shared" si="19"/>
        <v>(41;50)</v>
      </c>
      <c r="BB79" s="12" t="str">
        <f t="shared" si="19"/>
        <v>(41;51)</v>
      </c>
      <c r="BC79" s="12" t="str">
        <f t="shared" si="19"/>
        <v>(41;52)</v>
      </c>
      <c r="BD79" s="12" t="str">
        <f t="shared" si="19"/>
        <v>(41;53)</v>
      </c>
      <c r="BE79" s="12" t="str">
        <f t="shared" si="19"/>
        <v>(41;54)</v>
      </c>
      <c r="BF79" s="12" t="str">
        <f t="shared" si="19"/>
        <v>(41;55)</v>
      </c>
      <c r="BG79" s="12" t="str">
        <f t="shared" si="19"/>
        <v>(41;56)</v>
      </c>
      <c r="BH79" s="12" t="str">
        <f t="shared" si="19"/>
        <v>(41;57)</v>
      </c>
      <c r="BI79" s="12" t="str">
        <f t="shared" si="18"/>
        <v>(41;58)</v>
      </c>
      <c r="BJ79" s="12" t="str">
        <f t="shared" si="18"/>
        <v>(41;59)</v>
      </c>
      <c r="BK79" s="12" t="str">
        <f t="shared" si="18"/>
        <v>(41;60)</v>
      </c>
      <c r="BL79" s="12" t="str">
        <f t="shared" si="18"/>
        <v>(41;61)</v>
      </c>
      <c r="BM79" s="12" t="str">
        <f t="shared" si="18"/>
        <v>(41;62)</v>
      </c>
      <c r="BN79" s="12" t="str">
        <f t="shared" si="18"/>
        <v>(41;63)</v>
      </c>
    </row>
    <row r="80" spans="1:66">
      <c r="A80">
        <f>VLOOKUP(B80,Teste!$A$137:$G$236,7,FALSE)</f>
        <v>0</v>
      </c>
      <c r="B80">
        <f t="shared" si="7"/>
        <v>42</v>
      </c>
      <c r="C80" s="12" t="str">
        <f t="shared" si="22"/>
        <v>(42;00)</v>
      </c>
      <c r="D80" s="12" t="str">
        <f t="shared" si="22"/>
        <v>(42;01)</v>
      </c>
      <c r="E80" s="12" t="str">
        <f t="shared" si="22"/>
        <v>(42;02)</v>
      </c>
      <c r="F80" s="12" t="str">
        <f t="shared" si="22"/>
        <v>(42;03)</v>
      </c>
      <c r="G80" s="12" t="str">
        <f t="shared" si="22"/>
        <v>(42;04)</v>
      </c>
      <c r="H80" s="12" t="str">
        <f t="shared" si="22"/>
        <v>(42;05)</v>
      </c>
      <c r="I80" s="12" t="str">
        <f t="shared" si="22"/>
        <v>(42;06)</v>
      </c>
      <c r="J80" s="12" t="str">
        <f t="shared" si="22"/>
        <v>(42;07)</v>
      </c>
      <c r="K80" s="12" t="str">
        <f t="shared" si="22"/>
        <v>(42;08)</v>
      </c>
      <c r="L80" s="12" t="str">
        <f t="shared" si="22"/>
        <v>(42;09)</v>
      </c>
      <c r="M80" s="12" t="str">
        <f t="shared" si="22"/>
        <v>(42;10)</v>
      </c>
      <c r="N80" s="12" t="str">
        <f t="shared" si="22"/>
        <v>(42;11)</v>
      </c>
      <c r="O80" s="12" t="str">
        <f t="shared" si="22"/>
        <v>(42;12)</v>
      </c>
      <c r="P80" s="12" t="str">
        <f t="shared" si="22"/>
        <v>(42;13)</v>
      </c>
      <c r="Q80" s="12" t="str">
        <f t="shared" si="22"/>
        <v>(42;14)</v>
      </c>
      <c r="R80" s="12" t="str">
        <f t="shared" si="22"/>
        <v>(42;15)</v>
      </c>
      <c r="S80" s="12" t="str">
        <f t="shared" si="20"/>
        <v>(42;16)</v>
      </c>
      <c r="T80" s="12" t="str">
        <f t="shared" si="20"/>
        <v>(42;17)</v>
      </c>
      <c r="U80" s="12" t="str">
        <f t="shared" si="20"/>
        <v>(42;18)</v>
      </c>
      <c r="V80" s="12" t="str">
        <f t="shared" si="20"/>
        <v>(42;19)</v>
      </c>
      <c r="W80" s="12" t="str">
        <f t="shared" si="20"/>
        <v>(42;20)</v>
      </c>
      <c r="X80" s="12" t="str">
        <f t="shared" si="20"/>
        <v>(42;21)</v>
      </c>
      <c r="Y80" s="12" t="str">
        <f t="shared" si="20"/>
        <v>(42;22)</v>
      </c>
      <c r="Z80" s="12" t="str">
        <f t="shared" si="20"/>
        <v>(42;23)</v>
      </c>
      <c r="AA80" s="12" t="str">
        <f t="shared" si="20"/>
        <v>(42;24)</v>
      </c>
      <c r="AB80" s="12" t="str">
        <f t="shared" si="20"/>
        <v>(42;25)</v>
      </c>
      <c r="AC80" s="12" t="str">
        <f t="shared" si="20"/>
        <v>(42;26)</v>
      </c>
      <c r="AD80" s="12" t="str">
        <f t="shared" si="20"/>
        <v>(42;27)</v>
      </c>
      <c r="AE80" s="12" t="str">
        <f t="shared" si="20"/>
        <v>(42;28)</v>
      </c>
      <c r="AF80" s="12" t="str">
        <f t="shared" si="20"/>
        <v>(42;29)</v>
      </c>
      <c r="AG80" s="12" t="str">
        <f t="shared" si="20"/>
        <v>(42;30)</v>
      </c>
      <c r="AH80" s="12" t="str">
        <f t="shared" si="21"/>
        <v>(42;31)</v>
      </c>
      <c r="AI80" s="12" t="str">
        <f t="shared" si="21"/>
        <v>(42;32)</v>
      </c>
      <c r="AJ80" s="12" t="str">
        <f t="shared" si="21"/>
        <v>(42;33)</v>
      </c>
      <c r="AK80" s="12" t="str">
        <f t="shared" si="21"/>
        <v>(42;34)</v>
      </c>
      <c r="AL80" s="12" t="str">
        <f t="shared" si="21"/>
        <v>(42;35)</v>
      </c>
      <c r="AM80" s="12" t="str">
        <f t="shared" si="21"/>
        <v>(42;36)</v>
      </c>
      <c r="AN80" s="12" t="str">
        <f t="shared" si="21"/>
        <v>(42;37)</v>
      </c>
      <c r="AO80" s="12" t="str">
        <f t="shared" si="21"/>
        <v>(42;38)</v>
      </c>
      <c r="AP80" s="12" t="str">
        <f t="shared" si="21"/>
        <v>(42;39)</v>
      </c>
      <c r="AQ80" s="12" t="str">
        <f t="shared" si="21"/>
        <v>(42;40)</v>
      </c>
      <c r="AR80" s="12" t="str">
        <f t="shared" si="21"/>
        <v>(42;41)</v>
      </c>
      <c r="AS80" s="12" t="str">
        <f t="shared" si="21"/>
        <v>(42;42)</v>
      </c>
      <c r="AT80" s="12" t="str">
        <f t="shared" si="21"/>
        <v>(42;43)</v>
      </c>
      <c r="AU80" s="12" t="str">
        <f t="shared" si="21"/>
        <v>(42;44)</v>
      </c>
      <c r="AV80" s="12" t="str">
        <f t="shared" si="21"/>
        <v>(42;45)</v>
      </c>
      <c r="AW80" s="12" t="str">
        <f t="shared" si="21"/>
        <v>(42;46)</v>
      </c>
      <c r="AX80" s="12" t="str">
        <f t="shared" si="19"/>
        <v>(42;47)</v>
      </c>
      <c r="AY80" s="12" t="str">
        <f t="shared" si="19"/>
        <v>(42;48)</v>
      </c>
      <c r="AZ80" s="12" t="str">
        <f t="shared" si="19"/>
        <v>(42;49)</v>
      </c>
      <c r="BA80" s="12" t="str">
        <f t="shared" si="19"/>
        <v>(42;50)</v>
      </c>
      <c r="BB80" s="12" t="str">
        <f t="shared" si="19"/>
        <v>(42;51)</v>
      </c>
      <c r="BC80" s="12" t="str">
        <f t="shared" si="19"/>
        <v>(42;52)</v>
      </c>
      <c r="BD80" s="12" t="str">
        <f t="shared" si="19"/>
        <v>(42;53)</v>
      </c>
      <c r="BE80" s="12" t="str">
        <f t="shared" si="19"/>
        <v>(42;54)</v>
      </c>
      <c r="BF80" s="12" t="str">
        <f t="shared" si="19"/>
        <v>(42;55)</v>
      </c>
      <c r="BG80" s="12" t="str">
        <f t="shared" si="19"/>
        <v>(42;56)</v>
      </c>
      <c r="BH80" s="12" t="str">
        <f t="shared" si="19"/>
        <v>(42;57)</v>
      </c>
      <c r="BI80" s="12" t="str">
        <f t="shared" si="18"/>
        <v>(42;58)</v>
      </c>
      <c r="BJ80" s="12" t="str">
        <f t="shared" si="18"/>
        <v>(42;59)</v>
      </c>
      <c r="BK80" s="12" t="str">
        <f t="shared" si="18"/>
        <v>(42;60)</v>
      </c>
      <c r="BL80" s="12" t="str">
        <f t="shared" si="18"/>
        <v>(42;61)</v>
      </c>
      <c r="BM80" s="12" t="str">
        <f t="shared" si="18"/>
        <v>(42;62)</v>
      </c>
      <c r="BN80" s="12" t="str">
        <f t="shared" si="18"/>
        <v>(42;63)</v>
      </c>
    </row>
    <row r="81" spans="1:66">
      <c r="A81">
        <f>VLOOKUP(B81,Teste!$A$137:$G$236,7,FALSE)</f>
        <v>0</v>
      </c>
      <c r="B81">
        <f t="shared" si="7"/>
        <v>43</v>
      </c>
      <c r="C81" s="12" t="str">
        <f t="shared" si="22"/>
        <v>(43;00)</v>
      </c>
      <c r="D81" s="12" t="str">
        <f t="shared" si="22"/>
        <v>(43;01)</v>
      </c>
      <c r="E81" s="12" t="str">
        <f t="shared" si="22"/>
        <v>(43;02)</v>
      </c>
      <c r="F81" s="12" t="str">
        <f t="shared" si="22"/>
        <v>(43;03)</v>
      </c>
      <c r="G81" s="12" t="str">
        <f t="shared" si="22"/>
        <v>(43;04)</v>
      </c>
      <c r="H81" s="12" t="str">
        <f t="shared" si="22"/>
        <v>(43;05)</v>
      </c>
      <c r="I81" s="12" t="str">
        <f t="shared" si="22"/>
        <v>(43;06)</v>
      </c>
      <c r="J81" s="12" t="str">
        <f t="shared" si="22"/>
        <v>(43;07)</v>
      </c>
      <c r="K81" s="12" t="str">
        <f t="shared" si="22"/>
        <v>(43;08)</v>
      </c>
      <c r="L81" s="12" t="str">
        <f t="shared" si="22"/>
        <v>(43;09)</v>
      </c>
      <c r="M81" s="12" t="str">
        <f t="shared" si="22"/>
        <v>(43;10)</v>
      </c>
      <c r="N81" s="12" t="str">
        <f t="shared" si="22"/>
        <v>(43;11)</v>
      </c>
      <c r="O81" s="12" t="str">
        <f t="shared" si="22"/>
        <v>(43;12)</v>
      </c>
      <c r="P81" s="12" t="str">
        <f t="shared" si="22"/>
        <v>(43;13)</v>
      </c>
      <c r="Q81" s="12" t="str">
        <f t="shared" si="22"/>
        <v>(43;14)</v>
      </c>
      <c r="R81" s="12" t="str">
        <f t="shared" si="22"/>
        <v>(43;15)</v>
      </c>
      <c r="S81" s="12" t="str">
        <f t="shared" si="20"/>
        <v>(43;16)</v>
      </c>
      <c r="T81" s="12" t="str">
        <f t="shared" si="20"/>
        <v>(43;17)</v>
      </c>
      <c r="U81" s="12" t="str">
        <f t="shared" si="20"/>
        <v>(43;18)</v>
      </c>
      <c r="V81" s="12" t="str">
        <f t="shared" si="20"/>
        <v>(43;19)</v>
      </c>
      <c r="W81" s="12" t="str">
        <f t="shared" si="20"/>
        <v>(43;20)</v>
      </c>
      <c r="X81" s="12" t="str">
        <f t="shared" si="20"/>
        <v>(43;21)</v>
      </c>
      <c r="Y81" s="12" t="str">
        <f t="shared" si="20"/>
        <v>(43;22)</v>
      </c>
      <c r="Z81" s="12" t="str">
        <f t="shared" si="20"/>
        <v>(43;23)</v>
      </c>
      <c r="AA81" s="12" t="str">
        <f t="shared" si="20"/>
        <v>(43;24)</v>
      </c>
      <c r="AB81" s="12" t="str">
        <f t="shared" si="20"/>
        <v>(43;25)</v>
      </c>
      <c r="AC81" s="12" t="str">
        <f t="shared" si="20"/>
        <v>(43;26)</v>
      </c>
      <c r="AD81" s="12" t="str">
        <f t="shared" si="20"/>
        <v>(43;27)</v>
      </c>
      <c r="AE81" s="12" t="str">
        <f t="shared" si="20"/>
        <v>(43;28)</v>
      </c>
      <c r="AF81" s="12" t="str">
        <f t="shared" si="20"/>
        <v>(43;29)</v>
      </c>
      <c r="AG81" s="12" t="str">
        <f t="shared" si="20"/>
        <v>(43;30)</v>
      </c>
      <c r="AH81" s="12" t="str">
        <f t="shared" si="21"/>
        <v>(43;31)</v>
      </c>
      <c r="AI81" s="12" t="str">
        <f t="shared" si="21"/>
        <v>(43;32)</v>
      </c>
      <c r="AJ81" s="12" t="str">
        <f t="shared" si="21"/>
        <v>(43;33)</v>
      </c>
      <c r="AK81" s="12" t="str">
        <f t="shared" si="21"/>
        <v>(43;34)</v>
      </c>
      <c r="AL81" s="12" t="str">
        <f t="shared" si="21"/>
        <v>(43;35)</v>
      </c>
      <c r="AM81" s="12" t="str">
        <f t="shared" si="21"/>
        <v>(43;36)</v>
      </c>
      <c r="AN81" s="12" t="str">
        <f t="shared" si="21"/>
        <v>(43;37)</v>
      </c>
      <c r="AO81" s="12" t="str">
        <f t="shared" si="21"/>
        <v>(43;38)</v>
      </c>
      <c r="AP81" s="12" t="str">
        <f t="shared" si="21"/>
        <v>(43;39)</v>
      </c>
      <c r="AQ81" s="12" t="str">
        <f t="shared" si="21"/>
        <v>(43;40)</v>
      </c>
      <c r="AR81" s="12" t="str">
        <f t="shared" si="21"/>
        <v>(43;41)</v>
      </c>
      <c r="AS81" s="12" t="str">
        <f t="shared" si="21"/>
        <v>(43;42)</v>
      </c>
      <c r="AT81" s="12" t="str">
        <f t="shared" si="21"/>
        <v>(43;43)</v>
      </c>
      <c r="AU81" s="12" t="str">
        <f t="shared" si="21"/>
        <v>(43;44)</v>
      </c>
      <c r="AV81" s="12" t="str">
        <f t="shared" si="21"/>
        <v>(43;45)</v>
      </c>
      <c r="AW81" s="12" t="str">
        <f t="shared" si="21"/>
        <v>(43;46)</v>
      </c>
      <c r="AX81" s="12" t="str">
        <f t="shared" si="19"/>
        <v>(43;47)</v>
      </c>
      <c r="AY81" s="12" t="str">
        <f t="shared" si="19"/>
        <v>(43;48)</v>
      </c>
      <c r="AZ81" s="12" t="str">
        <f t="shared" si="19"/>
        <v>(43;49)</v>
      </c>
      <c r="BA81" s="12" t="str">
        <f t="shared" si="19"/>
        <v>(43;50)</v>
      </c>
      <c r="BB81" s="12" t="str">
        <f t="shared" si="19"/>
        <v>(43;51)</v>
      </c>
      <c r="BC81" s="12" t="str">
        <f t="shared" si="19"/>
        <v>(43;52)</v>
      </c>
      <c r="BD81" s="12" t="str">
        <f t="shared" si="19"/>
        <v>(43;53)</v>
      </c>
      <c r="BE81" s="12" t="str">
        <f t="shared" si="19"/>
        <v>(43;54)</v>
      </c>
      <c r="BF81" s="12" t="str">
        <f t="shared" si="19"/>
        <v>(43;55)</v>
      </c>
      <c r="BG81" s="12" t="str">
        <f t="shared" si="19"/>
        <v>(43;56)</v>
      </c>
      <c r="BH81" s="12" t="str">
        <f t="shared" si="19"/>
        <v>(43;57)</v>
      </c>
      <c r="BI81" s="12" t="str">
        <f t="shared" si="18"/>
        <v>(43;58)</v>
      </c>
      <c r="BJ81" s="12" t="str">
        <f t="shared" si="18"/>
        <v>(43;59)</v>
      </c>
      <c r="BK81" s="12" t="str">
        <f t="shared" si="18"/>
        <v>(43;60)</v>
      </c>
      <c r="BL81" s="12" t="str">
        <f t="shared" si="18"/>
        <v>(43;61)</v>
      </c>
      <c r="BM81" s="12" t="str">
        <f t="shared" si="18"/>
        <v>(43;62)</v>
      </c>
      <c r="BN81" s="12" t="str">
        <f t="shared" si="18"/>
        <v>(43;63)</v>
      </c>
    </row>
    <row r="82" spans="1:66">
      <c r="A82">
        <f>VLOOKUP(B82,Teste!$A$137:$G$236,7,FALSE)</f>
        <v>0</v>
      </c>
      <c r="B82">
        <f t="shared" si="7"/>
        <v>44</v>
      </c>
      <c r="C82" s="12" t="str">
        <f t="shared" si="22"/>
        <v>(44;00)</v>
      </c>
      <c r="D82" s="12" t="str">
        <f t="shared" si="22"/>
        <v>(44;01)</v>
      </c>
      <c r="E82" s="12" t="str">
        <f t="shared" si="22"/>
        <v>(44;02)</v>
      </c>
      <c r="F82" s="12" t="str">
        <f t="shared" si="22"/>
        <v>(44;03)</v>
      </c>
      <c r="G82" s="12" t="str">
        <f t="shared" si="22"/>
        <v>(44;04)</v>
      </c>
      <c r="H82" s="12" t="str">
        <f t="shared" si="22"/>
        <v>(44;05)</v>
      </c>
      <c r="I82" s="12" t="str">
        <f t="shared" si="22"/>
        <v>(44;06)</v>
      </c>
      <c r="J82" s="12" t="str">
        <f t="shared" si="22"/>
        <v>(44;07)</v>
      </c>
      <c r="K82" s="12" t="str">
        <f t="shared" si="22"/>
        <v>(44;08)</v>
      </c>
      <c r="L82" s="12" t="str">
        <f t="shared" si="22"/>
        <v>(44;09)</v>
      </c>
      <c r="M82" s="12" t="str">
        <f t="shared" si="22"/>
        <v>(44;10)</v>
      </c>
      <c r="N82" s="12" t="str">
        <f t="shared" si="22"/>
        <v>(44;11)</v>
      </c>
      <c r="O82" s="12" t="str">
        <f t="shared" si="22"/>
        <v>(44;12)</v>
      </c>
      <c r="P82" s="12" t="str">
        <f t="shared" si="22"/>
        <v>(44;13)</v>
      </c>
      <c r="Q82" s="12" t="str">
        <f t="shared" si="22"/>
        <v>(44;14)</v>
      </c>
      <c r="R82" s="12" t="str">
        <f t="shared" si="22"/>
        <v>(44;15)</v>
      </c>
      <c r="S82" s="12" t="str">
        <f t="shared" si="20"/>
        <v>(44;16)</v>
      </c>
      <c r="T82" s="12" t="str">
        <f t="shared" si="20"/>
        <v>(44;17)</v>
      </c>
      <c r="U82" s="12" t="str">
        <f t="shared" si="20"/>
        <v>(44;18)</v>
      </c>
      <c r="V82" s="12" t="str">
        <f t="shared" si="20"/>
        <v>(44;19)</v>
      </c>
      <c r="W82" s="12" t="str">
        <f t="shared" si="20"/>
        <v>(44;20)</v>
      </c>
      <c r="X82" s="12" t="str">
        <f t="shared" si="20"/>
        <v>(44;21)</v>
      </c>
      <c r="Y82" s="12" t="str">
        <f t="shared" si="20"/>
        <v>(44;22)</v>
      </c>
      <c r="Z82" s="12" t="str">
        <f t="shared" si="20"/>
        <v>(44;23)</v>
      </c>
      <c r="AA82" s="12" t="str">
        <f t="shared" si="20"/>
        <v>(44;24)</v>
      </c>
      <c r="AB82" s="12" t="str">
        <f t="shared" si="20"/>
        <v>(44;25)</v>
      </c>
      <c r="AC82" s="12" t="str">
        <f t="shared" si="20"/>
        <v>(44;26)</v>
      </c>
      <c r="AD82" s="12" t="str">
        <f t="shared" si="20"/>
        <v>(44;27)</v>
      </c>
      <c r="AE82" s="12" t="str">
        <f t="shared" si="20"/>
        <v>(44;28)</v>
      </c>
      <c r="AF82" s="12" t="str">
        <f t="shared" si="20"/>
        <v>(44;29)</v>
      </c>
      <c r="AG82" s="12" t="str">
        <f t="shared" si="20"/>
        <v>(44;30)</v>
      </c>
      <c r="AH82" s="12" t="str">
        <f t="shared" si="21"/>
        <v>(44;31)</v>
      </c>
      <c r="AI82" s="12" t="str">
        <f t="shared" si="21"/>
        <v>(44;32)</v>
      </c>
      <c r="AJ82" s="12" t="str">
        <f t="shared" si="21"/>
        <v>(44;33)</v>
      </c>
      <c r="AK82" s="12" t="str">
        <f t="shared" si="21"/>
        <v>(44;34)</v>
      </c>
      <c r="AL82" s="12" t="str">
        <f t="shared" si="21"/>
        <v>(44;35)</v>
      </c>
      <c r="AM82" s="12" t="str">
        <f t="shared" si="21"/>
        <v>(44;36)</v>
      </c>
      <c r="AN82" s="12" t="str">
        <f t="shared" si="21"/>
        <v>(44;37)</v>
      </c>
      <c r="AO82" s="12" t="str">
        <f t="shared" si="21"/>
        <v>(44;38)</v>
      </c>
      <c r="AP82" s="12" t="str">
        <f t="shared" si="21"/>
        <v>(44;39)</v>
      </c>
      <c r="AQ82" s="12" t="str">
        <f t="shared" si="21"/>
        <v>(44;40)</v>
      </c>
      <c r="AR82" s="12" t="str">
        <f t="shared" si="21"/>
        <v>(44;41)</v>
      </c>
      <c r="AS82" s="12" t="str">
        <f t="shared" si="21"/>
        <v>(44;42)</v>
      </c>
      <c r="AT82" s="12" t="str">
        <f t="shared" si="21"/>
        <v>(44;43)</v>
      </c>
      <c r="AU82" s="12" t="str">
        <f t="shared" si="21"/>
        <v>(44;44)</v>
      </c>
      <c r="AV82" s="12" t="str">
        <f t="shared" si="21"/>
        <v>(44;45)</v>
      </c>
      <c r="AW82" s="12" t="str">
        <f t="shared" si="21"/>
        <v>(44;46)</v>
      </c>
      <c r="AX82" s="12" t="str">
        <f t="shared" si="19"/>
        <v>(44;47)</v>
      </c>
      <c r="AY82" s="12" t="str">
        <f t="shared" si="19"/>
        <v>(44;48)</v>
      </c>
      <c r="AZ82" s="12" t="str">
        <f t="shared" si="19"/>
        <v>(44;49)</v>
      </c>
      <c r="BA82" s="12" t="str">
        <f t="shared" si="19"/>
        <v>(44;50)</v>
      </c>
      <c r="BB82" s="12" t="str">
        <f t="shared" si="19"/>
        <v>(44;51)</v>
      </c>
      <c r="BC82" s="12" t="str">
        <f t="shared" si="19"/>
        <v>(44;52)</v>
      </c>
      <c r="BD82" s="12" t="str">
        <f t="shared" si="19"/>
        <v>(44;53)</v>
      </c>
      <c r="BE82" s="12" t="str">
        <f t="shared" si="19"/>
        <v>(44;54)</v>
      </c>
      <c r="BF82" s="12" t="str">
        <f t="shared" si="19"/>
        <v>(44;55)</v>
      </c>
      <c r="BG82" s="12" t="str">
        <f t="shared" si="19"/>
        <v>(44;56)</v>
      </c>
      <c r="BH82" s="12" t="str">
        <f t="shared" si="19"/>
        <v>(44;57)</v>
      </c>
      <c r="BI82" s="12" t="str">
        <f t="shared" si="18"/>
        <v>(44;58)</v>
      </c>
      <c r="BJ82" s="12" t="str">
        <f t="shared" si="18"/>
        <v>(44;59)</v>
      </c>
      <c r="BK82" s="12" t="str">
        <f t="shared" si="18"/>
        <v>(44;60)</v>
      </c>
      <c r="BL82" s="12" t="str">
        <f t="shared" si="18"/>
        <v>(44;61)</v>
      </c>
      <c r="BM82" s="12" t="str">
        <f t="shared" si="18"/>
        <v>(44;62)</v>
      </c>
      <c r="BN82" s="12" t="str">
        <f t="shared" si="18"/>
        <v>(44;63)</v>
      </c>
    </row>
    <row r="83" spans="1:66">
      <c r="A83">
        <f>VLOOKUP(B83,Teste!$A$137:$G$236,7,FALSE)</f>
        <v>0</v>
      </c>
      <c r="B83">
        <f t="shared" si="7"/>
        <v>45</v>
      </c>
      <c r="C83" s="12" t="str">
        <f t="shared" si="22"/>
        <v>(45;00)</v>
      </c>
      <c r="D83" s="12" t="str">
        <f t="shared" si="22"/>
        <v>(45;01)</v>
      </c>
      <c r="E83" s="12" t="str">
        <f t="shared" si="22"/>
        <v>(45;02)</v>
      </c>
      <c r="F83" s="12" t="str">
        <f t="shared" si="22"/>
        <v>(45;03)</v>
      </c>
      <c r="G83" s="12" t="str">
        <f t="shared" si="22"/>
        <v>(45;04)</v>
      </c>
      <c r="H83" s="12" t="str">
        <f t="shared" si="22"/>
        <v>(45;05)</v>
      </c>
      <c r="I83" s="12" t="str">
        <f t="shared" si="22"/>
        <v>(45;06)</v>
      </c>
      <c r="J83" s="12" t="str">
        <f t="shared" si="22"/>
        <v>(45;07)</v>
      </c>
      <c r="K83" s="12" t="str">
        <f t="shared" si="22"/>
        <v>(45;08)</v>
      </c>
      <c r="L83" s="12" t="str">
        <f t="shared" si="22"/>
        <v>(45;09)</v>
      </c>
      <c r="M83" s="12" t="str">
        <f t="shared" si="22"/>
        <v>(45;10)</v>
      </c>
      <c r="N83" s="12" t="str">
        <f t="shared" si="22"/>
        <v>(45;11)</v>
      </c>
      <c r="O83" s="12" t="str">
        <f t="shared" si="22"/>
        <v>(45;12)</v>
      </c>
      <c r="P83" s="12" t="str">
        <f t="shared" si="22"/>
        <v>(45;13)</v>
      </c>
      <c r="Q83" s="12" t="str">
        <f t="shared" si="22"/>
        <v>(45;14)</v>
      </c>
      <c r="R83" s="12" t="str">
        <f t="shared" si="22"/>
        <v>(45;15)</v>
      </c>
      <c r="S83" s="12" t="str">
        <f t="shared" si="20"/>
        <v>(45;16)</v>
      </c>
      <c r="T83" s="12" t="str">
        <f t="shared" si="20"/>
        <v>(45;17)</v>
      </c>
      <c r="U83" s="12" t="str">
        <f t="shared" si="20"/>
        <v>(45;18)</v>
      </c>
      <c r="V83" s="12" t="str">
        <f t="shared" si="20"/>
        <v>(45;19)</v>
      </c>
      <c r="W83" s="12" t="str">
        <f t="shared" si="20"/>
        <v>(45;20)</v>
      </c>
      <c r="X83" s="12" t="str">
        <f t="shared" si="20"/>
        <v>(45;21)</v>
      </c>
      <c r="Y83" s="12" t="str">
        <f t="shared" si="20"/>
        <v>(45;22)</v>
      </c>
      <c r="Z83" s="12" t="str">
        <f t="shared" si="20"/>
        <v>(45;23)</v>
      </c>
      <c r="AA83" s="12" t="str">
        <f t="shared" si="20"/>
        <v>(45;24)</v>
      </c>
      <c r="AB83" s="12" t="str">
        <f t="shared" si="20"/>
        <v>(45;25)</v>
      </c>
      <c r="AC83" s="12" t="str">
        <f t="shared" si="20"/>
        <v>(45;26)</v>
      </c>
      <c r="AD83" s="12" t="str">
        <f t="shared" si="20"/>
        <v>(45;27)</v>
      </c>
      <c r="AE83" s="12" t="str">
        <f t="shared" si="20"/>
        <v>(45;28)</v>
      </c>
      <c r="AF83" s="12" t="str">
        <f t="shared" si="20"/>
        <v>(45;29)</v>
      </c>
      <c r="AG83" s="12" t="str">
        <f t="shared" si="20"/>
        <v>(45;30)</v>
      </c>
      <c r="AH83" s="12" t="str">
        <f t="shared" si="21"/>
        <v>(45;31)</v>
      </c>
      <c r="AI83" s="12" t="str">
        <f t="shared" si="21"/>
        <v>(45;32)</v>
      </c>
      <c r="AJ83" s="12" t="str">
        <f t="shared" si="21"/>
        <v>(45;33)</v>
      </c>
      <c r="AK83" s="12" t="str">
        <f t="shared" si="21"/>
        <v>(45;34)</v>
      </c>
      <c r="AL83" s="12" t="str">
        <f t="shared" si="21"/>
        <v>(45;35)</v>
      </c>
      <c r="AM83" s="12" t="str">
        <f t="shared" si="21"/>
        <v>(45;36)</v>
      </c>
      <c r="AN83" s="12" t="str">
        <f t="shared" si="21"/>
        <v>(45;37)</v>
      </c>
      <c r="AO83" s="12" t="str">
        <f t="shared" si="21"/>
        <v>(45;38)</v>
      </c>
      <c r="AP83" s="12" t="str">
        <f t="shared" si="21"/>
        <v>(45;39)</v>
      </c>
      <c r="AQ83" s="12" t="str">
        <f t="shared" si="21"/>
        <v>(45;40)</v>
      </c>
      <c r="AR83" s="12" t="str">
        <f t="shared" si="21"/>
        <v>(45;41)</v>
      </c>
      <c r="AS83" s="12" t="str">
        <f t="shared" si="21"/>
        <v>(45;42)</v>
      </c>
      <c r="AT83" s="12" t="str">
        <f t="shared" si="21"/>
        <v>(45;43)</v>
      </c>
      <c r="AU83" s="12" t="str">
        <f t="shared" si="21"/>
        <v>(45;44)</v>
      </c>
      <c r="AV83" s="12" t="str">
        <f t="shared" si="21"/>
        <v>(45;45)</v>
      </c>
      <c r="AW83" s="12" t="str">
        <f t="shared" si="21"/>
        <v>(45;46)</v>
      </c>
      <c r="AX83" s="12" t="str">
        <f t="shared" si="19"/>
        <v>(45;47)</v>
      </c>
      <c r="AY83" s="12" t="str">
        <f t="shared" si="19"/>
        <v>(45;48)</v>
      </c>
      <c r="AZ83" s="12" t="str">
        <f t="shared" si="19"/>
        <v>(45;49)</v>
      </c>
      <c r="BA83" s="12" t="str">
        <f t="shared" si="19"/>
        <v>(45;50)</v>
      </c>
      <c r="BB83" s="12" t="str">
        <f t="shared" si="19"/>
        <v>(45;51)</v>
      </c>
      <c r="BC83" s="12" t="str">
        <f t="shared" si="19"/>
        <v>(45;52)</v>
      </c>
      <c r="BD83" s="12" t="str">
        <f t="shared" si="19"/>
        <v>(45;53)</v>
      </c>
      <c r="BE83" s="12" t="str">
        <f t="shared" si="19"/>
        <v>(45;54)</v>
      </c>
      <c r="BF83" s="12" t="str">
        <f t="shared" si="19"/>
        <v>(45;55)</v>
      </c>
      <c r="BG83" s="12" t="str">
        <f t="shared" si="19"/>
        <v>(45;56)</v>
      </c>
      <c r="BH83" s="12" t="str">
        <f t="shared" si="19"/>
        <v>(45;57)</v>
      </c>
      <c r="BI83" s="12" t="str">
        <f t="shared" si="18"/>
        <v>(45;58)</v>
      </c>
      <c r="BJ83" s="12" t="str">
        <f t="shared" si="18"/>
        <v>(45;59)</v>
      </c>
      <c r="BK83" s="12" t="str">
        <f t="shared" si="18"/>
        <v>(45;60)</v>
      </c>
      <c r="BL83" s="12" t="str">
        <f t="shared" si="18"/>
        <v>(45;61)</v>
      </c>
      <c r="BM83" s="12" t="str">
        <f t="shared" si="18"/>
        <v>(45;62)</v>
      </c>
      <c r="BN83" s="12" t="str">
        <f t="shared" si="18"/>
        <v>(45;63)</v>
      </c>
    </row>
    <row r="84" spans="1:66">
      <c r="A84">
        <f>VLOOKUP(B84,Teste!$A$137:$G$236,7,FALSE)</f>
        <v>0</v>
      </c>
      <c r="B84">
        <f t="shared" si="7"/>
        <v>46</v>
      </c>
      <c r="C84" s="12" t="str">
        <f t="shared" si="22"/>
        <v>(46;00)</v>
      </c>
      <c r="D84" s="12" t="str">
        <f t="shared" si="22"/>
        <v>(46;01)</v>
      </c>
      <c r="E84" s="12" t="str">
        <f t="shared" si="22"/>
        <v>(46;02)</v>
      </c>
      <c r="F84" s="12" t="str">
        <f t="shared" si="22"/>
        <v>(46;03)</v>
      </c>
      <c r="G84" s="12" t="str">
        <f t="shared" si="22"/>
        <v>(46;04)</v>
      </c>
      <c r="H84" s="12" t="str">
        <f t="shared" si="22"/>
        <v>(46;05)</v>
      </c>
      <c r="I84" s="12" t="str">
        <f t="shared" si="22"/>
        <v>(46;06)</v>
      </c>
      <c r="J84" s="12" t="str">
        <f t="shared" si="22"/>
        <v>(46;07)</v>
      </c>
      <c r="K84" s="12" t="str">
        <f t="shared" si="22"/>
        <v>(46;08)</v>
      </c>
      <c r="L84" s="12" t="str">
        <f t="shared" si="22"/>
        <v>(46;09)</v>
      </c>
      <c r="M84" s="12" t="str">
        <f t="shared" si="22"/>
        <v>(46;10)</v>
      </c>
      <c r="N84" s="12" t="str">
        <f t="shared" si="22"/>
        <v>(46;11)</v>
      </c>
      <c r="O84" s="12" t="str">
        <f t="shared" si="22"/>
        <v>(46;12)</v>
      </c>
      <c r="P84" s="12" t="str">
        <f t="shared" si="22"/>
        <v>(46;13)</v>
      </c>
      <c r="Q84" s="12" t="str">
        <f t="shared" si="22"/>
        <v>(46;14)</v>
      </c>
      <c r="R84" s="12" t="str">
        <f t="shared" si="22"/>
        <v>(46;15)</v>
      </c>
      <c r="S84" s="12" t="str">
        <f t="shared" si="20"/>
        <v>(46;16)</v>
      </c>
      <c r="T84" s="12" t="str">
        <f t="shared" si="20"/>
        <v>(46;17)</v>
      </c>
      <c r="U84" s="12" t="str">
        <f t="shared" si="20"/>
        <v>(46;18)</v>
      </c>
      <c r="V84" s="12" t="str">
        <f t="shared" si="20"/>
        <v>(46;19)</v>
      </c>
      <c r="W84" s="12" t="str">
        <f t="shared" si="20"/>
        <v>(46;20)</v>
      </c>
      <c r="X84" s="12" t="str">
        <f t="shared" si="20"/>
        <v>(46;21)</v>
      </c>
      <c r="Y84" s="12" t="str">
        <f t="shared" si="20"/>
        <v>(46;22)</v>
      </c>
      <c r="Z84" s="12" t="str">
        <f t="shared" si="20"/>
        <v>(46;23)</v>
      </c>
      <c r="AA84" s="12" t="str">
        <f t="shared" si="20"/>
        <v>(46;24)</v>
      </c>
      <c r="AB84" s="12" t="str">
        <f t="shared" si="20"/>
        <v>(46;25)</v>
      </c>
      <c r="AC84" s="12" t="str">
        <f t="shared" si="20"/>
        <v>(46;26)</v>
      </c>
      <c r="AD84" s="12" t="str">
        <f t="shared" si="20"/>
        <v>(46;27)</v>
      </c>
      <c r="AE84" s="12" t="str">
        <f t="shared" si="20"/>
        <v>(46;28)</v>
      </c>
      <c r="AF84" s="12" t="str">
        <f t="shared" si="20"/>
        <v>(46;29)</v>
      </c>
      <c r="AG84" s="12" t="str">
        <f t="shared" si="20"/>
        <v>(46;30)</v>
      </c>
      <c r="AH84" s="12" t="str">
        <f t="shared" si="21"/>
        <v>(46;31)</v>
      </c>
      <c r="AI84" s="12" t="str">
        <f t="shared" si="21"/>
        <v>(46;32)</v>
      </c>
      <c r="AJ84" s="12" t="str">
        <f t="shared" si="21"/>
        <v>(46;33)</v>
      </c>
      <c r="AK84" s="12" t="str">
        <f t="shared" si="21"/>
        <v>(46;34)</v>
      </c>
      <c r="AL84" s="12" t="str">
        <f t="shared" si="21"/>
        <v>(46;35)</v>
      </c>
      <c r="AM84" s="12" t="str">
        <f t="shared" si="21"/>
        <v>(46;36)</v>
      </c>
      <c r="AN84" s="12" t="str">
        <f t="shared" si="21"/>
        <v>(46;37)</v>
      </c>
      <c r="AO84" s="12" t="str">
        <f t="shared" si="21"/>
        <v>(46;38)</v>
      </c>
      <c r="AP84" s="12" t="str">
        <f t="shared" si="21"/>
        <v>(46;39)</v>
      </c>
      <c r="AQ84" s="12" t="str">
        <f t="shared" si="21"/>
        <v>(46;40)</v>
      </c>
      <c r="AR84" s="12" t="str">
        <f t="shared" si="21"/>
        <v>(46;41)</v>
      </c>
      <c r="AS84" s="12" t="str">
        <f t="shared" si="21"/>
        <v>(46;42)</v>
      </c>
      <c r="AT84" s="12" t="str">
        <f t="shared" si="21"/>
        <v>(46;43)</v>
      </c>
      <c r="AU84" s="12" t="str">
        <f t="shared" si="21"/>
        <v>(46;44)</v>
      </c>
      <c r="AV84" s="12" t="str">
        <f t="shared" si="21"/>
        <v>(46;45)</v>
      </c>
      <c r="AW84" s="12" t="str">
        <f t="shared" si="21"/>
        <v>(46;46)</v>
      </c>
      <c r="AX84" s="12" t="str">
        <f t="shared" si="19"/>
        <v>(46;47)</v>
      </c>
      <c r="AY84" s="12" t="str">
        <f t="shared" si="19"/>
        <v>(46;48)</v>
      </c>
      <c r="AZ84" s="12" t="str">
        <f t="shared" si="19"/>
        <v>(46;49)</v>
      </c>
      <c r="BA84" s="12" t="str">
        <f t="shared" si="19"/>
        <v>(46;50)</v>
      </c>
      <c r="BB84" s="12" t="str">
        <f t="shared" si="19"/>
        <v>(46;51)</v>
      </c>
      <c r="BC84" s="12" t="str">
        <f t="shared" si="19"/>
        <v>(46;52)</v>
      </c>
      <c r="BD84" s="12" t="str">
        <f t="shared" si="19"/>
        <v>(46;53)</v>
      </c>
      <c r="BE84" s="12" t="str">
        <f t="shared" si="19"/>
        <v>(46;54)</v>
      </c>
      <c r="BF84" s="12" t="str">
        <f t="shared" si="19"/>
        <v>(46;55)</v>
      </c>
      <c r="BG84" s="12" t="str">
        <f t="shared" si="19"/>
        <v>(46;56)</v>
      </c>
      <c r="BH84" s="12" t="str">
        <f t="shared" si="19"/>
        <v>(46;57)</v>
      </c>
      <c r="BI84" s="12" t="str">
        <f t="shared" si="18"/>
        <v>(46;58)</v>
      </c>
      <c r="BJ84" s="12" t="str">
        <f t="shared" si="18"/>
        <v>(46;59)</v>
      </c>
      <c r="BK84" s="12" t="str">
        <f t="shared" si="18"/>
        <v>(46;60)</v>
      </c>
      <c r="BL84" s="12" t="str">
        <f t="shared" si="18"/>
        <v>(46;61)</v>
      </c>
      <c r="BM84" s="12" t="str">
        <f t="shared" si="18"/>
        <v>(46;62)</v>
      </c>
      <c r="BN84" s="12" t="str">
        <f t="shared" si="18"/>
        <v>(46;63)</v>
      </c>
    </row>
    <row r="85" spans="1:66">
      <c r="A85">
        <f>VLOOKUP(B85,Teste!$A$137:$G$236,7,FALSE)</f>
        <v>0</v>
      </c>
      <c r="B85">
        <f t="shared" si="7"/>
        <v>47</v>
      </c>
      <c r="C85" s="12" t="str">
        <f t="shared" si="22"/>
        <v>(47;00)</v>
      </c>
      <c r="D85" s="12" t="str">
        <f t="shared" si="22"/>
        <v>(47;01)</v>
      </c>
      <c r="E85" s="12" t="str">
        <f t="shared" si="22"/>
        <v>(47;02)</v>
      </c>
      <c r="F85" s="12" t="str">
        <f t="shared" si="22"/>
        <v>(47;03)</v>
      </c>
      <c r="G85" s="12" t="str">
        <f t="shared" si="22"/>
        <v>(47;04)</v>
      </c>
      <c r="H85" s="12" t="str">
        <f t="shared" si="22"/>
        <v>(47;05)</v>
      </c>
      <c r="I85" s="12" t="str">
        <f t="shared" si="22"/>
        <v>(47;06)</v>
      </c>
      <c r="J85" s="12" t="str">
        <f t="shared" si="22"/>
        <v>(47;07)</v>
      </c>
      <c r="K85" s="12" t="str">
        <f t="shared" si="22"/>
        <v>(47;08)</v>
      </c>
      <c r="L85" s="12" t="str">
        <f t="shared" si="22"/>
        <v>(47;09)</v>
      </c>
      <c r="M85" s="12" t="str">
        <f t="shared" si="22"/>
        <v>(47;10)</v>
      </c>
      <c r="N85" s="12" t="str">
        <f t="shared" si="22"/>
        <v>(47;11)</v>
      </c>
      <c r="O85" s="12" t="str">
        <f t="shared" si="22"/>
        <v>(47;12)</v>
      </c>
      <c r="P85" s="12" t="str">
        <f t="shared" si="22"/>
        <v>(47;13)</v>
      </c>
      <c r="Q85" s="12" t="str">
        <f t="shared" si="22"/>
        <v>(47;14)</v>
      </c>
      <c r="R85" s="12" t="str">
        <f t="shared" si="22"/>
        <v>(47;15)</v>
      </c>
      <c r="S85" s="12" t="str">
        <f t="shared" si="20"/>
        <v>(47;16)</v>
      </c>
      <c r="T85" s="12" t="str">
        <f t="shared" si="20"/>
        <v>(47;17)</v>
      </c>
      <c r="U85" s="12" t="str">
        <f t="shared" si="20"/>
        <v>(47;18)</v>
      </c>
      <c r="V85" s="12" t="str">
        <f t="shared" si="20"/>
        <v>(47;19)</v>
      </c>
      <c r="W85" s="12" t="str">
        <f t="shared" si="20"/>
        <v>(47;20)</v>
      </c>
      <c r="X85" s="12" t="str">
        <f t="shared" si="20"/>
        <v>(47;21)</v>
      </c>
      <c r="Y85" s="12" t="str">
        <f t="shared" si="20"/>
        <v>(47;22)</v>
      </c>
      <c r="Z85" s="12" t="str">
        <f t="shared" si="20"/>
        <v>(47;23)</v>
      </c>
      <c r="AA85" s="12" t="str">
        <f t="shared" si="20"/>
        <v>(47;24)</v>
      </c>
      <c r="AB85" s="12" t="str">
        <f t="shared" si="20"/>
        <v>(47;25)</v>
      </c>
      <c r="AC85" s="12" t="str">
        <f t="shared" si="20"/>
        <v>(47;26)</v>
      </c>
      <c r="AD85" s="12" t="str">
        <f t="shared" si="20"/>
        <v>(47;27)</v>
      </c>
      <c r="AE85" s="12" t="str">
        <f t="shared" si="20"/>
        <v>(47;28)</v>
      </c>
      <c r="AF85" s="12" t="str">
        <f t="shared" si="20"/>
        <v>(47;29)</v>
      </c>
      <c r="AG85" s="12" t="str">
        <f t="shared" si="20"/>
        <v>(47;30)</v>
      </c>
      <c r="AH85" s="12" t="str">
        <f t="shared" si="21"/>
        <v>(47;31)</v>
      </c>
      <c r="AI85" s="12" t="str">
        <f t="shared" si="21"/>
        <v>(47;32)</v>
      </c>
      <c r="AJ85" s="12" t="str">
        <f t="shared" si="21"/>
        <v>(47;33)</v>
      </c>
      <c r="AK85" s="12" t="str">
        <f t="shared" si="21"/>
        <v>(47;34)</v>
      </c>
      <c r="AL85" s="12" t="str">
        <f t="shared" si="21"/>
        <v>(47;35)</v>
      </c>
      <c r="AM85" s="12" t="str">
        <f t="shared" si="21"/>
        <v>(47;36)</v>
      </c>
      <c r="AN85" s="12" t="str">
        <f t="shared" si="21"/>
        <v>(47;37)</v>
      </c>
      <c r="AO85" s="12" t="str">
        <f t="shared" si="21"/>
        <v>(47;38)</v>
      </c>
      <c r="AP85" s="12" t="str">
        <f t="shared" si="21"/>
        <v>(47;39)</v>
      </c>
      <c r="AQ85" s="12" t="str">
        <f t="shared" si="21"/>
        <v>(47;40)</v>
      </c>
      <c r="AR85" s="12" t="str">
        <f t="shared" si="21"/>
        <v>(47;41)</v>
      </c>
      <c r="AS85" s="12" t="str">
        <f t="shared" si="21"/>
        <v>(47;42)</v>
      </c>
      <c r="AT85" s="12" t="str">
        <f t="shared" si="21"/>
        <v>(47;43)</v>
      </c>
      <c r="AU85" s="12" t="str">
        <f t="shared" si="21"/>
        <v>(47;44)</v>
      </c>
      <c r="AV85" s="12" t="str">
        <f t="shared" si="21"/>
        <v>(47;45)</v>
      </c>
      <c r="AW85" s="12" t="str">
        <f t="shared" si="21"/>
        <v>(47;46)</v>
      </c>
      <c r="AX85" s="12" t="str">
        <f t="shared" si="19"/>
        <v>(47;47)</v>
      </c>
      <c r="AY85" s="12" t="str">
        <f t="shared" si="19"/>
        <v>(47;48)</v>
      </c>
      <c r="AZ85" s="12" t="str">
        <f t="shared" si="19"/>
        <v>(47;49)</v>
      </c>
      <c r="BA85" s="12" t="str">
        <f t="shared" si="19"/>
        <v>(47;50)</v>
      </c>
      <c r="BB85" s="12" t="str">
        <f t="shared" si="19"/>
        <v>(47;51)</v>
      </c>
      <c r="BC85" s="12" t="str">
        <f t="shared" si="19"/>
        <v>(47;52)</v>
      </c>
      <c r="BD85" s="12" t="str">
        <f t="shared" si="19"/>
        <v>(47;53)</v>
      </c>
      <c r="BE85" s="12" t="str">
        <f t="shared" si="19"/>
        <v>(47;54)</v>
      </c>
      <c r="BF85" s="12" t="str">
        <f t="shared" si="19"/>
        <v>(47;55)</v>
      </c>
      <c r="BG85" s="12" t="str">
        <f t="shared" si="19"/>
        <v>(47;56)</v>
      </c>
      <c r="BH85" s="12" t="str">
        <f t="shared" si="19"/>
        <v>(47;57)</v>
      </c>
      <c r="BI85" s="12" t="str">
        <f t="shared" si="18"/>
        <v>(47;58)</v>
      </c>
      <c r="BJ85" s="12" t="str">
        <f t="shared" si="18"/>
        <v>(47;59)</v>
      </c>
      <c r="BK85" s="12" t="str">
        <f t="shared" si="18"/>
        <v>(47;60)</v>
      </c>
      <c r="BL85" s="12" t="str">
        <f t="shared" si="18"/>
        <v>(47;61)</v>
      </c>
      <c r="BM85" s="12" t="str">
        <f t="shared" si="18"/>
        <v>(47;62)</v>
      </c>
      <c r="BN85" s="12" t="str">
        <f t="shared" si="18"/>
        <v>(47;63)</v>
      </c>
    </row>
    <row r="86" spans="1:66">
      <c r="A86">
        <f>VLOOKUP(B86,Teste!$A$137:$G$236,7,FALSE)</f>
        <v>0</v>
      </c>
      <c r="B86">
        <f t="shared" si="7"/>
        <v>48</v>
      </c>
      <c r="C86" s="12" t="str">
        <f t="shared" si="22"/>
        <v>(48;00)</v>
      </c>
      <c r="D86" s="12" t="str">
        <f t="shared" si="22"/>
        <v>(48;01)</v>
      </c>
      <c r="E86" s="12" t="str">
        <f t="shared" si="22"/>
        <v>(48;02)</v>
      </c>
      <c r="F86" s="12" t="str">
        <f t="shared" si="22"/>
        <v>(48;03)</v>
      </c>
      <c r="G86" s="12" t="str">
        <f t="shared" si="22"/>
        <v>(48;04)</v>
      </c>
      <c r="H86" s="12" t="str">
        <f t="shared" si="22"/>
        <v>(48;05)</v>
      </c>
      <c r="I86" s="12" t="str">
        <f t="shared" si="22"/>
        <v>(48;06)</v>
      </c>
      <c r="J86" s="12" t="str">
        <f t="shared" si="22"/>
        <v>(48;07)</v>
      </c>
      <c r="K86" s="12" t="str">
        <f t="shared" si="22"/>
        <v>(48;08)</v>
      </c>
      <c r="L86" s="12" t="str">
        <f t="shared" si="22"/>
        <v>(48;09)</v>
      </c>
      <c r="M86" s="12" t="str">
        <f t="shared" si="22"/>
        <v>(48;10)</v>
      </c>
      <c r="N86" s="12" t="str">
        <f t="shared" si="22"/>
        <v>(48;11)</v>
      </c>
      <c r="O86" s="12" t="str">
        <f t="shared" si="22"/>
        <v>(48;12)</v>
      </c>
      <c r="P86" s="12" t="str">
        <f t="shared" si="22"/>
        <v>(48;13)</v>
      </c>
      <c r="Q86" s="12" t="str">
        <f t="shared" si="22"/>
        <v>(48;14)</v>
      </c>
      <c r="R86" s="12" t="str">
        <f t="shared" si="22"/>
        <v>(48;15)</v>
      </c>
      <c r="S86" s="12" t="str">
        <f t="shared" si="20"/>
        <v>(48;16)</v>
      </c>
      <c r="T86" s="12" t="str">
        <f t="shared" si="20"/>
        <v>(48;17)</v>
      </c>
      <c r="U86" s="12" t="str">
        <f t="shared" si="20"/>
        <v>(48;18)</v>
      </c>
      <c r="V86" s="12" t="str">
        <f t="shared" si="20"/>
        <v>(48;19)</v>
      </c>
      <c r="W86" s="12" t="str">
        <f t="shared" si="20"/>
        <v>(48;20)</v>
      </c>
      <c r="X86" s="12" t="str">
        <f t="shared" si="20"/>
        <v>(48;21)</v>
      </c>
      <c r="Y86" s="12" t="str">
        <f t="shared" si="20"/>
        <v>(48;22)</v>
      </c>
      <c r="Z86" s="12" t="str">
        <f t="shared" si="20"/>
        <v>(48;23)</v>
      </c>
      <c r="AA86" s="12" t="str">
        <f t="shared" si="20"/>
        <v>(48;24)</v>
      </c>
      <c r="AB86" s="12" t="str">
        <f t="shared" si="20"/>
        <v>(48;25)</v>
      </c>
      <c r="AC86" s="12" t="str">
        <f t="shared" si="20"/>
        <v>(48;26)</v>
      </c>
      <c r="AD86" s="12" t="str">
        <f t="shared" si="20"/>
        <v>(48;27)</v>
      </c>
      <c r="AE86" s="12" t="str">
        <f t="shared" si="20"/>
        <v>(48;28)</v>
      </c>
      <c r="AF86" s="12" t="str">
        <f t="shared" si="20"/>
        <v>(48;29)</v>
      </c>
      <c r="AG86" s="12" t="str">
        <f t="shared" si="20"/>
        <v>(48;30)</v>
      </c>
      <c r="AH86" s="12" t="str">
        <f t="shared" si="21"/>
        <v>(48;31)</v>
      </c>
      <c r="AI86" s="12" t="str">
        <f t="shared" si="21"/>
        <v>(48;32)</v>
      </c>
      <c r="AJ86" s="12" t="str">
        <f t="shared" si="21"/>
        <v>(48;33)</v>
      </c>
      <c r="AK86" s="12" t="str">
        <f t="shared" si="21"/>
        <v>(48;34)</v>
      </c>
      <c r="AL86" s="12" t="str">
        <f t="shared" si="21"/>
        <v>(48;35)</v>
      </c>
      <c r="AM86" s="12" t="str">
        <f t="shared" si="21"/>
        <v>(48;36)</v>
      </c>
      <c r="AN86" s="12" t="str">
        <f t="shared" si="21"/>
        <v>(48;37)</v>
      </c>
      <c r="AO86" s="12" t="str">
        <f t="shared" si="21"/>
        <v>(48;38)</v>
      </c>
      <c r="AP86" s="12" t="str">
        <f t="shared" si="21"/>
        <v>(48;39)</v>
      </c>
      <c r="AQ86" s="12" t="str">
        <f t="shared" si="21"/>
        <v>(48;40)</v>
      </c>
      <c r="AR86" s="12" t="str">
        <f t="shared" si="21"/>
        <v>(48;41)</v>
      </c>
      <c r="AS86" s="12" t="str">
        <f t="shared" si="21"/>
        <v>(48;42)</v>
      </c>
      <c r="AT86" s="12" t="str">
        <f t="shared" si="21"/>
        <v>(48;43)</v>
      </c>
      <c r="AU86" s="12" t="str">
        <f t="shared" si="21"/>
        <v>(48;44)</v>
      </c>
      <c r="AV86" s="12" t="str">
        <f t="shared" si="21"/>
        <v>(48;45)</v>
      </c>
      <c r="AW86" s="12" t="str">
        <f t="shared" si="21"/>
        <v>(48;46)</v>
      </c>
      <c r="AX86" s="12" t="str">
        <f t="shared" si="19"/>
        <v>(48;47)</v>
      </c>
      <c r="AY86" s="12" t="str">
        <f t="shared" si="19"/>
        <v>(48;48)</v>
      </c>
      <c r="AZ86" s="12" t="str">
        <f t="shared" si="19"/>
        <v>(48;49)</v>
      </c>
      <c r="BA86" s="12" t="str">
        <f t="shared" si="19"/>
        <v>(48;50)</v>
      </c>
      <c r="BB86" s="12" t="str">
        <f t="shared" si="19"/>
        <v>(48;51)</v>
      </c>
      <c r="BC86" s="12" t="str">
        <f t="shared" si="19"/>
        <v>(48;52)</v>
      </c>
      <c r="BD86" s="12" t="str">
        <f t="shared" si="19"/>
        <v>(48;53)</v>
      </c>
      <c r="BE86" s="12" t="str">
        <f t="shared" si="19"/>
        <v>(48;54)</v>
      </c>
      <c r="BF86" s="12" t="str">
        <f t="shared" si="19"/>
        <v>(48;55)</v>
      </c>
      <c r="BG86" s="12" t="str">
        <f t="shared" si="19"/>
        <v>(48;56)</v>
      </c>
      <c r="BH86" s="12" t="str">
        <f t="shared" si="19"/>
        <v>(48;57)</v>
      </c>
      <c r="BI86" s="12" t="str">
        <f t="shared" si="18"/>
        <v>(48;58)</v>
      </c>
      <c r="BJ86" s="12" t="str">
        <f t="shared" si="18"/>
        <v>(48;59)</v>
      </c>
      <c r="BK86" s="12" t="str">
        <f t="shared" si="18"/>
        <v>(48;60)</v>
      </c>
      <c r="BL86" s="12" t="str">
        <f t="shared" si="18"/>
        <v>(48;61)</v>
      </c>
      <c r="BM86" s="12" t="str">
        <f t="shared" si="18"/>
        <v>(48;62)</v>
      </c>
      <c r="BN86" s="12" t="str">
        <f t="shared" si="18"/>
        <v>(48;63)</v>
      </c>
    </row>
    <row r="87" spans="1:66">
      <c r="A87">
        <f>VLOOKUP(B87,Teste!$A$137:$G$236,7,FALSE)</f>
        <v>0</v>
      </c>
      <c r="B87">
        <f t="shared" si="7"/>
        <v>49</v>
      </c>
      <c r="C87" s="12" t="str">
        <f t="shared" si="22"/>
        <v>(49;00)</v>
      </c>
      <c r="D87" s="12" t="str">
        <f t="shared" si="22"/>
        <v>(49;01)</v>
      </c>
      <c r="E87" s="12" t="str">
        <f t="shared" si="22"/>
        <v>(49;02)</v>
      </c>
      <c r="F87" s="12" t="str">
        <f t="shared" si="22"/>
        <v>(49;03)</v>
      </c>
      <c r="G87" s="12" t="str">
        <f t="shared" si="22"/>
        <v>(49;04)</v>
      </c>
      <c r="H87" s="12" t="str">
        <f t="shared" si="22"/>
        <v>(49;05)</v>
      </c>
      <c r="I87" s="12" t="str">
        <f t="shared" si="22"/>
        <v>(49;06)</v>
      </c>
      <c r="J87" s="12" t="str">
        <f t="shared" si="22"/>
        <v>(49;07)</v>
      </c>
      <c r="K87" s="12" t="str">
        <f t="shared" si="22"/>
        <v>(49;08)</v>
      </c>
      <c r="L87" s="12" t="str">
        <f t="shared" si="22"/>
        <v>(49;09)</v>
      </c>
      <c r="M87" s="12" t="str">
        <f t="shared" si="22"/>
        <v>(49;10)</v>
      </c>
      <c r="N87" s="12" t="str">
        <f t="shared" si="22"/>
        <v>(49;11)</v>
      </c>
      <c r="O87" s="12" t="str">
        <f t="shared" si="22"/>
        <v>(49;12)</v>
      </c>
      <c r="P87" s="12" t="str">
        <f t="shared" si="22"/>
        <v>(49;13)</v>
      </c>
      <c r="Q87" s="12" t="str">
        <f t="shared" si="22"/>
        <v>(49;14)</v>
      </c>
      <c r="R87" s="12" t="str">
        <f t="shared" si="22"/>
        <v>(49;15)</v>
      </c>
      <c r="S87" s="12" t="str">
        <f t="shared" si="20"/>
        <v>(49;16)</v>
      </c>
      <c r="T87" s="12" t="str">
        <f t="shared" si="20"/>
        <v>(49;17)</v>
      </c>
      <c r="U87" s="12" t="str">
        <f t="shared" si="20"/>
        <v>(49;18)</v>
      </c>
      <c r="V87" s="12" t="str">
        <f t="shared" si="20"/>
        <v>(49;19)</v>
      </c>
      <c r="W87" s="12" t="str">
        <f t="shared" si="20"/>
        <v>(49;20)</v>
      </c>
      <c r="X87" s="12" t="str">
        <f t="shared" si="20"/>
        <v>(49;21)</v>
      </c>
      <c r="Y87" s="12" t="str">
        <f t="shared" si="20"/>
        <v>(49;22)</v>
      </c>
      <c r="Z87" s="12" t="str">
        <f t="shared" si="20"/>
        <v>(49;23)</v>
      </c>
      <c r="AA87" s="12" t="str">
        <f t="shared" si="20"/>
        <v>(49;24)</v>
      </c>
      <c r="AB87" s="12" t="str">
        <f t="shared" si="20"/>
        <v>(49;25)</v>
      </c>
      <c r="AC87" s="12" t="str">
        <f t="shared" si="20"/>
        <v>(49;26)</v>
      </c>
      <c r="AD87" s="12" t="str">
        <f t="shared" si="20"/>
        <v>(49;27)</v>
      </c>
      <c r="AE87" s="12" t="str">
        <f t="shared" si="20"/>
        <v>(49;28)</v>
      </c>
      <c r="AF87" s="12" t="str">
        <f t="shared" si="20"/>
        <v>(49;29)</v>
      </c>
      <c r="AG87" s="12" t="str">
        <f t="shared" si="20"/>
        <v>(49;30)</v>
      </c>
      <c r="AH87" s="12" t="str">
        <f t="shared" si="21"/>
        <v>(49;31)</v>
      </c>
      <c r="AI87" s="12" t="str">
        <f t="shared" si="21"/>
        <v>(49;32)</v>
      </c>
      <c r="AJ87" s="12" t="str">
        <f t="shared" si="21"/>
        <v>(49;33)</v>
      </c>
      <c r="AK87" s="12" t="str">
        <f t="shared" si="21"/>
        <v>(49;34)</v>
      </c>
      <c r="AL87" s="12" t="str">
        <f t="shared" si="21"/>
        <v>(49;35)</v>
      </c>
      <c r="AM87" s="12" t="str">
        <f t="shared" si="21"/>
        <v>(49;36)</v>
      </c>
      <c r="AN87" s="12" t="str">
        <f t="shared" si="21"/>
        <v>(49;37)</v>
      </c>
      <c r="AO87" s="12" t="str">
        <f t="shared" si="21"/>
        <v>(49;38)</v>
      </c>
      <c r="AP87" s="12" t="str">
        <f t="shared" si="21"/>
        <v>(49;39)</v>
      </c>
      <c r="AQ87" s="12" t="str">
        <f t="shared" si="21"/>
        <v>(49;40)</v>
      </c>
      <c r="AR87" s="12" t="str">
        <f t="shared" si="21"/>
        <v>(49;41)</v>
      </c>
      <c r="AS87" s="12" t="str">
        <f t="shared" si="21"/>
        <v>(49;42)</v>
      </c>
      <c r="AT87" s="12" t="str">
        <f t="shared" si="21"/>
        <v>(49;43)</v>
      </c>
      <c r="AU87" s="12" t="str">
        <f t="shared" si="21"/>
        <v>(49;44)</v>
      </c>
      <c r="AV87" s="12" t="str">
        <f t="shared" si="21"/>
        <v>(49;45)</v>
      </c>
      <c r="AW87" s="12" t="str">
        <f t="shared" si="21"/>
        <v>(49;46)</v>
      </c>
      <c r="AX87" s="12" t="str">
        <f t="shared" si="19"/>
        <v>(49;47)</v>
      </c>
      <c r="AY87" s="12" t="str">
        <f t="shared" si="19"/>
        <v>(49;48)</v>
      </c>
      <c r="AZ87" s="12" t="str">
        <f t="shared" si="19"/>
        <v>(49;49)</v>
      </c>
      <c r="BA87" s="12" t="str">
        <f t="shared" si="19"/>
        <v>(49;50)</v>
      </c>
      <c r="BB87" s="12" t="str">
        <f t="shared" si="19"/>
        <v>(49;51)</v>
      </c>
      <c r="BC87" s="12" t="str">
        <f t="shared" si="19"/>
        <v>(49;52)</v>
      </c>
      <c r="BD87" s="12" t="str">
        <f t="shared" si="19"/>
        <v>(49;53)</v>
      </c>
      <c r="BE87" s="12" t="str">
        <f t="shared" si="19"/>
        <v>(49;54)</v>
      </c>
      <c r="BF87" s="12" t="str">
        <f t="shared" si="19"/>
        <v>(49;55)</v>
      </c>
      <c r="BG87" s="12" t="str">
        <f t="shared" si="19"/>
        <v>(49;56)</v>
      </c>
      <c r="BH87" s="12" t="str">
        <f t="shared" si="19"/>
        <v>(49;57)</v>
      </c>
      <c r="BI87" s="12" t="str">
        <f t="shared" si="18"/>
        <v>(49;58)</v>
      </c>
      <c r="BJ87" s="12" t="str">
        <f t="shared" si="18"/>
        <v>(49;59)</v>
      </c>
      <c r="BK87" s="12" t="str">
        <f t="shared" si="18"/>
        <v>(49;60)</v>
      </c>
      <c r="BL87" s="12" t="str">
        <f t="shared" si="18"/>
        <v>(49;61)</v>
      </c>
      <c r="BM87" s="12" t="str">
        <f t="shared" si="18"/>
        <v>(49;62)</v>
      </c>
      <c r="BN87" s="12" t="str">
        <f t="shared" si="18"/>
        <v>(49;63)</v>
      </c>
    </row>
    <row r="88" spans="1:66">
      <c r="A88">
        <f>VLOOKUP(B88,Teste!$A$137:$G$236,7,FALSE)</f>
        <v>0</v>
      </c>
      <c r="B88">
        <f t="shared" si="7"/>
        <v>50</v>
      </c>
      <c r="C88" s="12" t="str">
        <f t="shared" si="22"/>
        <v>(50;00)</v>
      </c>
      <c r="D88" s="12" t="str">
        <f t="shared" si="22"/>
        <v>(50;01)</v>
      </c>
      <c r="E88" s="12" t="str">
        <f t="shared" si="22"/>
        <v>(50;02)</v>
      </c>
      <c r="F88" s="12" t="str">
        <f t="shared" si="22"/>
        <v>(50;03)</v>
      </c>
      <c r="G88" s="12" t="str">
        <f t="shared" si="22"/>
        <v>(50;04)</v>
      </c>
      <c r="H88" s="12" t="str">
        <f t="shared" si="22"/>
        <v>(50;05)</v>
      </c>
      <c r="I88" s="12" t="str">
        <f t="shared" si="22"/>
        <v>(50;06)</v>
      </c>
      <c r="J88" s="12" t="str">
        <f t="shared" si="22"/>
        <v>(50;07)</v>
      </c>
      <c r="K88" s="12" t="str">
        <f t="shared" si="22"/>
        <v>(50;08)</v>
      </c>
      <c r="L88" s="12" t="str">
        <f t="shared" si="22"/>
        <v>(50;09)</v>
      </c>
      <c r="M88" s="12" t="str">
        <f t="shared" si="22"/>
        <v>(50;10)</v>
      </c>
      <c r="N88" s="12" t="str">
        <f t="shared" si="22"/>
        <v>(50;11)</v>
      </c>
      <c r="O88" s="12" t="str">
        <f t="shared" si="22"/>
        <v>(50;12)</v>
      </c>
      <c r="P88" s="12" t="str">
        <f t="shared" si="22"/>
        <v>(50;13)</v>
      </c>
      <c r="Q88" s="12" t="str">
        <f t="shared" si="22"/>
        <v>(50;14)</v>
      </c>
      <c r="R88" s="12" t="str">
        <f t="shared" si="22"/>
        <v>(50;15)</v>
      </c>
      <c r="S88" s="12" t="str">
        <f t="shared" si="20"/>
        <v>(50;16)</v>
      </c>
      <c r="T88" s="12" t="str">
        <f t="shared" si="20"/>
        <v>(50;17)</v>
      </c>
      <c r="U88" s="12" t="str">
        <f t="shared" si="20"/>
        <v>(50;18)</v>
      </c>
      <c r="V88" s="12" t="str">
        <f t="shared" si="20"/>
        <v>(50;19)</v>
      </c>
      <c r="W88" s="12" t="str">
        <f t="shared" si="20"/>
        <v>(50;20)</v>
      </c>
      <c r="X88" s="12" t="str">
        <f t="shared" si="20"/>
        <v>(50;21)</v>
      </c>
      <c r="Y88" s="12" t="str">
        <f t="shared" si="20"/>
        <v>(50;22)</v>
      </c>
      <c r="Z88" s="12" t="str">
        <f t="shared" si="20"/>
        <v>(50;23)</v>
      </c>
      <c r="AA88" s="12" t="str">
        <f t="shared" si="20"/>
        <v>(50;24)</v>
      </c>
      <c r="AB88" s="12" t="str">
        <f t="shared" si="20"/>
        <v>(50;25)</v>
      </c>
      <c r="AC88" s="12" t="str">
        <f t="shared" si="20"/>
        <v>(50;26)</v>
      </c>
      <c r="AD88" s="12" t="str">
        <f t="shared" si="20"/>
        <v>(50;27)</v>
      </c>
      <c r="AE88" s="12" t="str">
        <f t="shared" si="20"/>
        <v>(50;28)</v>
      </c>
      <c r="AF88" s="12" t="str">
        <f t="shared" si="20"/>
        <v>(50;29)</v>
      </c>
      <c r="AG88" s="12" t="str">
        <f t="shared" si="20"/>
        <v>(50;30)</v>
      </c>
      <c r="AH88" s="12" t="str">
        <f t="shared" si="21"/>
        <v>(50;31)</v>
      </c>
      <c r="AI88" s="12" t="str">
        <f t="shared" si="21"/>
        <v>(50;32)</v>
      </c>
      <c r="AJ88" s="12" t="str">
        <f t="shared" si="21"/>
        <v>(50;33)</v>
      </c>
      <c r="AK88" s="12" t="str">
        <f t="shared" si="21"/>
        <v>(50;34)</v>
      </c>
      <c r="AL88" s="12" t="str">
        <f t="shared" si="21"/>
        <v>(50;35)</v>
      </c>
      <c r="AM88" s="12" t="str">
        <f t="shared" si="21"/>
        <v>(50;36)</v>
      </c>
      <c r="AN88" s="12" t="str">
        <f t="shared" si="21"/>
        <v>(50;37)</v>
      </c>
      <c r="AO88" s="12" t="str">
        <f t="shared" si="21"/>
        <v>(50;38)</v>
      </c>
      <c r="AP88" s="12" t="str">
        <f t="shared" si="21"/>
        <v>(50;39)</v>
      </c>
      <c r="AQ88" s="12" t="str">
        <f t="shared" si="21"/>
        <v>(50;40)</v>
      </c>
      <c r="AR88" s="12" t="str">
        <f t="shared" si="21"/>
        <v>(50;41)</v>
      </c>
      <c r="AS88" s="12" t="str">
        <f t="shared" si="21"/>
        <v>(50;42)</v>
      </c>
      <c r="AT88" s="12" t="str">
        <f t="shared" si="21"/>
        <v>(50;43)</v>
      </c>
      <c r="AU88" s="12" t="str">
        <f t="shared" si="21"/>
        <v>(50;44)</v>
      </c>
      <c r="AV88" s="12" t="str">
        <f t="shared" si="21"/>
        <v>(50;45)</v>
      </c>
      <c r="AW88" s="12" t="str">
        <f t="shared" si="21"/>
        <v>(50;46)</v>
      </c>
      <c r="AX88" s="12" t="str">
        <f t="shared" si="19"/>
        <v>(50;47)</v>
      </c>
      <c r="AY88" s="12" t="str">
        <f t="shared" si="19"/>
        <v>(50;48)</v>
      </c>
      <c r="AZ88" s="12" t="str">
        <f t="shared" si="19"/>
        <v>(50;49)</v>
      </c>
      <c r="BA88" s="12" t="str">
        <f t="shared" si="19"/>
        <v>(50;50)</v>
      </c>
      <c r="BB88" s="12" t="str">
        <f t="shared" si="19"/>
        <v>(50;51)</v>
      </c>
      <c r="BC88" s="12" t="str">
        <f t="shared" si="19"/>
        <v>(50;52)</v>
      </c>
      <c r="BD88" s="12" t="str">
        <f t="shared" si="19"/>
        <v>(50;53)</v>
      </c>
      <c r="BE88" s="12" t="str">
        <f t="shared" si="19"/>
        <v>(50;54)</v>
      </c>
      <c r="BF88" s="12" t="str">
        <f t="shared" si="19"/>
        <v>(50;55)</v>
      </c>
      <c r="BG88" s="12" t="str">
        <f t="shared" si="19"/>
        <v>(50;56)</v>
      </c>
      <c r="BH88" s="12" t="str">
        <f t="shared" si="19"/>
        <v>(50;57)</v>
      </c>
      <c r="BI88" s="12" t="str">
        <f t="shared" si="18"/>
        <v>(50;58)</v>
      </c>
      <c r="BJ88" s="12" t="str">
        <f t="shared" si="18"/>
        <v>(50;59)</v>
      </c>
      <c r="BK88" s="12" t="str">
        <f t="shared" si="18"/>
        <v>(50;60)</v>
      </c>
      <c r="BL88" s="12" t="str">
        <f t="shared" si="18"/>
        <v>(50;61)</v>
      </c>
      <c r="BM88" s="12" t="str">
        <f t="shared" si="18"/>
        <v>(50;62)</v>
      </c>
      <c r="BN88" s="12" t="str">
        <f t="shared" si="18"/>
        <v>(50;63)</v>
      </c>
    </row>
    <row r="89" spans="1:66">
      <c r="A89">
        <f>VLOOKUP(B89,Teste!$A$137:$G$236,7,FALSE)</f>
        <v>0</v>
      </c>
      <c r="B89">
        <f t="shared" si="7"/>
        <v>51</v>
      </c>
      <c r="C89" s="12" t="str">
        <f t="shared" si="22"/>
        <v>(51;00)</v>
      </c>
      <c r="D89" s="12" t="str">
        <f t="shared" si="22"/>
        <v>(51;01)</v>
      </c>
      <c r="E89" s="12" t="str">
        <f t="shared" si="22"/>
        <v>(51;02)</v>
      </c>
      <c r="F89" s="12" t="str">
        <f t="shared" si="22"/>
        <v>(51;03)</v>
      </c>
      <c r="G89" s="12" t="str">
        <f t="shared" si="22"/>
        <v>(51;04)</v>
      </c>
      <c r="H89" s="12" t="str">
        <f t="shared" si="22"/>
        <v>(51;05)</v>
      </c>
      <c r="I89" s="12" t="str">
        <f t="shared" si="22"/>
        <v>(51;06)</v>
      </c>
      <c r="J89" s="12" t="str">
        <f t="shared" si="22"/>
        <v>(51;07)</v>
      </c>
      <c r="K89" s="12" t="str">
        <f t="shared" si="22"/>
        <v>(51;08)</v>
      </c>
      <c r="L89" s="12" t="str">
        <f t="shared" si="22"/>
        <v>(51;09)</v>
      </c>
      <c r="M89" s="12" t="str">
        <f t="shared" si="22"/>
        <v>(51;10)</v>
      </c>
      <c r="N89" s="12" t="str">
        <f t="shared" si="22"/>
        <v>(51;11)</v>
      </c>
      <c r="O89" s="12" t="str">
        <f t="shared" si="22"/>
        <v>(51;12)</v>
      </c>
      <c r="P89" s="12" t="str">
        <f t="shared" si="22"/>
        <v>(51;13)</v>
      </c>
      <c r="Q89" s="12" t="str">
        <f t="shared" si="22"/>
        <v>(51;14)</v>
      </c>
      <c r="R89" s="12" t="str">
        <f t="shared" si="22"/>
        <v>(51;15)</v>
      </c>
      <c r="S89" s="12" t="str">
        <f t="shared" si="20"/>
        <v>(51;16)</v>
      </c>
      <c r="T89" s="12" t="str">
        <f t="shared" si="20"/>
        <v>(51;17)</v>
      </c>
      <c r="U89" s="12" t="str">
        <f t="shared" si="20"/>
        <v>(51;18)</v>
      </c>
      <c r="V89" s="12" t="str">
        <f t="shared" si="20"/>
        <v>(51;19)</v>
      </c>
      <c r="W89" s="12" t="str">
        <f t="shared" si="20"/>
        <v>(51;20)</v>
      </c>
      <c r="X89" s="12" t="str">
        <f t="shared" si="20"/>
        <v>(51;21)</v>
      </c>
      <c r="Y89" s="12" t="str">
        <f t="shared" si="20"/>
        <v>(51;22)</v>
      </c>
      <c r="Z89" s="12" t="str">
        <f t="shared" si="20"/>
        <v>(51;23)</v>
      </c>
      <c r="AA89" s="12" t="str">
        <f t="shared" si="20"/>
        <v>(51;24)</v>
      </c>
      <c r="AB89" s="12" t="str">
        <f t="shared" si="20"/>
        <v>(51;25)</v>
      </c>
      <c r="AC89" s="12" t="str">
        <f t="shared" si="20"/>
        <v>(51;26)</v>
      </c>
      <c r="AD89" s="12" t="str">
        <f t="shared" si="20"/>
        <v>(51;27)</v>
      </c>
      <c r="AE89" s="12" t="str">
        <f t="shared" si="20"/>
        <v>(51;28)</v>
      </c>
      <c r="AF89" s="12" t="str">
        <f t="shared" si="20"/>
        <v>(51;29)</v>
      </c>
      <c r="AG89" s="12" t="str">
        <f t="shared" si="20"/>
        <v>(51;30)</v>
      </c>
      <c r="AH89" s="12" t="str">
        <f t="shared" si="21"/>
        <v>(51;31)</v>
      </c>
      <c r="AI89" s="12" t="str">
        <f t="shared" si="21"/>
        <v>(51;32)</v>
      </c>
      <c r="AJ89" s="12" t="str">
        <f t="shared" si="21"/>
        <v>(51;33)</v>
      </c>
      <c r="AK89" s="12" t="str">
        <f t="shared" si="21"/>
        <v>(51;34)</v>
      </c>
      <c r="AL89" s="12" t="str">
        <f t="shared" si="21"/>
        <v>(51;35)</v>
      </c>
      <c r="AM89" s="12" t="str">
        <f t="shared" si="21"/>
        <v>(51;36)</v>
      </c>
      <c r="AN89" s="12" t="str">
        <f t="shared" si="21"/>
        <v>(51;37)</v>
      </c>
      <c r="AO89" s="12" t="str">
        <f t="shared" si="21"/>
        <v>(51;38)</v>
      </c>
      <c r="AP89" s="12" t="str">
        <f t="shared" si="21"/>
        <v>(51;39)</v>
      </c>
      <c r="AQ89" s="12" t="str">
        <f t="shared" si="21"/>
        <v>(51;40)</v>
      </c>
      <c r="AR89" s="12" t="str">
        <f t="shared" si="21"/>
        <v>(51;41)</v>
      </c>
      <c r="AS89" s="12" t="str">
        <f t="shared" si="21"/>
        <v>(51;42)</v>
      </c>
      <c r="AT89" s="12" t="str">
        <f t="shared" si="21"/>
        <v>(51;43)</v>
      </c>
      <c r="AU89" s="12" t="str">
        <f t="shared" si="21"/>
        <v>(51;44)</v>
      </c>
      <c r="AV89" s="12" t="str">
        <f t="shared" si="21"/>
        <v>(51;45)</v>
      </c>
      <c r="AW89" s="12" t="str">
        <f t="shared" ref="AW89:BL104" si="23">CONCATENATE("(",TEXT($B89,"00"),";",TEXT(AW$37,"00"),")")</f>
        <v>(51;46)</v>
      </c>
      <c r="AX89" s="12" t="str">
        <f t="shared" si="23"/>
        <v>(51;47)</v>
      </c>
      <c r="AY89" s="12" t="str">
        <f t="shared" si="23"/>
        <v>(51;48)</v>
      </c>
      <c r="AZ89" s="12" t="str">
        <f t="shared" si="23"/>
        <v>(51;49)</v>
      </c>
      <c r="BA89" s="12" t="str">
        <f t="shared" si="23"/>
        <v>(51;50)</v>
      </c>
      <c r="BB89" s="12" t="str">
        <f t="shared" si="23"/>
        <v>(51;51)</v>
      </c>
      <c r="BC89" s="12" t="str">
        <f t="shared" si="23"/>
        <v>(51;52)</v>
      </c>
      <c r="BD89" s="12" t="str">
        <f t="shared" si="23"/>
        <v>(51;53)</v>
      </c>
      <c r="BE89" s="12" t="str">
        <f t="shared" si="23"/>
        <v>(51;54)</v>
      </c>
      <c r="BF89" s="12" t="str">
        <f t="shared" si="23"/>
        <v>(51;55)</v>
      </c>
      <c r="BG89" s="12" t="str">
        <f t="shared" si="23"/>
        <v>(51;56)</v>
      </c>
      <c r="BH89" s="12" t="str">
        <f t="shared" si="23"/>
        <v>(51;57)</v>
      </c>
      <c r="BI89" s="12" t="str">
        <f t="shared" si="23"/>
        <v>(51;58)</v>
      </c>
      <c r="BJ89" s="12" t="str">
        <f t="shared" si="23"/>
        <v>(51;59)</v>
      </c>
      <c r="BK89" s="12" t="str">
        <f t="shared" si="23"/>
        <v>(51;60)</v>
      </c>
      <c r="BL89" s="12" t="str">
        <f t="shared" si="23"/>
        <v>(51;61)</v>
      </c>
      <c r="BM89" s="12" t="str">
        <f t="shared" si="18"/>
        <v>(51;62)</v>
      </c>
      <c r="BN89" s="12" t="str">
        <f t="shared" si="18"/>
        <v>(51;63)</v>
      </c>
    </row>
    <row r="90" spans="1:66">
      <c r="A90">
        <f>VLOOKUP(B90,Teste!$A$137:$G$236,7,FALSE)</f>
        <v>0</v>
      </c>
      <c r="B90">
        <f t="shared" si="7"/>
        <v>52</v>
      </c>
      <c r="C90" s="12" t="str">
        <f t="shared" si="22"/>
        <v>(52;00)</v>
      </c>
      <c r="D90" s="12" t="str">
        <f t="shared" si="22"/>
        <v>(52;01)</v>
      </c>
      <c r="E90" s="12" t="str">
        <f t="shared" si="22"/>
        <v>(52;02)</v>
      </c>
      <c r="F90" s="12" t="str">
        <f t="shared" si="22"/>
        <v>(52;03)</v>
      </c>
      <c r="G90" s="12" t="str">
        <f t="shared" si="22"/>
        <v>(52;04)</v>
      </c>
      <c r="H90" s="12" t="str">
        <f t="shared" si="22"/>
        <v>(52;05)</v>
      </c>
      <c r="I90" s="12" t="str">
        <f t="shared" si="22"/>
        <v>(52;06)</v>
      </c>
      <c r="J90" s="12" t="str">
        <f t="shared" si="22"/>
        <v>(52;07)</v>
      </c>
      <c r="K90" s="12" t="str">
        <f t="shared" si="22"/>
        <v>(52;08)</v>
      </c>
      <c r="L90" s="12" t="str">
        <f t="shared" si="22"/>
        <v>(52;09)</v>
      </c>
      <c r="M90" s="12" t="str">
        <f t="shared" si="22"/>
        <v>(52;10)</v>
      </c>
      <c r="N90" s="12" t="str">
        <f t="shared" si="22"/>
        <v>(52;11)</v>
      </c>
      <c r="O90" s="12" t="str">
        <f t="shared" si="22"/>
        <v>(52;12)</v>
      </c>
      <c r="P90" s="12" t="str">
        <f t="shared" si="22"/>
        <v>(52;13)</v>
      </c>
      <c r="Q90" s="12" t="str">
        <f t="shared" si="22"/>
        <v>(52;14)</v>
      </c>
      <c r="R90" s="12" t="str">
        <f t="shared" ref="R90:AG105" si="24">CONCATENATE("(",TEXT($B90,"00"),";",TEXT(R$37,"00"),")")</f>
        <v>(52;15)</v>
      </c>
      <c r="S90" s="12" t="str">
        <f t="shared" si="24"/>
        <v>(52;16)</v>
      </c>
      <c r="T90" s="12" t="str">
        <f t="shared" si="24"/>
        <v>(52;17)</v>
      </c>
      <c r="U90" s="12" t="str">
        <f t="shared" si="24"/>
        <v>(52;18)</v>
      </c>
      <c r="V90" s="12" t="str">
        <f t="shared" si="24"/>
        <v>(52;19)</v>
      </c>
      <c r="W90" s="12" t="str">
        <f t="shared" si="24"/>
        <v>(52;20)</v>
      </c>
      <c r="X90" s="12" t="str">
        <f t="shared" si="24"/>
        <v>(52;21)</v>
      </c>
      <c r="Y90" s="12" t="str">
        <f t="shared" si="24"/>
        <v>(52;22)</v>
      </c>
      <c r="Z90" s="12" t="str">
        <f t="shared" si="24"/>
        <v>(52;23)</v>
      </c>
      <c r="AA90" s="12" t="str">
        <f t="shared" si="24"/>
        <v>(52;24)</v>
      </c>
      <c r="AB90" s="12" t="str">
        <f t="shared" si="24"/>
        <v>(52;25)</v>
      </c>
      <c r="AC90" s="12" t="str">
        <f t="shared" si="24"/>
        <v>(52;26)</v>
      </c>
      <c r="AD90" s="12" t="str">
        <f t="shared" si="24"/>
        <v>(52;27)</v>
      </c>
      <c r="AE90" s="12" t="str">
        <f t="shared" si="24"/>
        <v>(52;28)</v>
      </c>
      <c r="AF90" s="12" t="str">
        <f t="shared" si="24"/>
        <v>(52;29)</v>
      </c>
      <c r="AG90" s="12" t="str">
        <f t="shared" si="24"/>
        <v>(52;30)</v>
      </c>
      <c r="AH90" s="12" t="str">
        <f t="shared" ref="AH90:AW105" si="25">CONCATENATE("(",TEXT($B90,"00"),";",TEXT(AH$37,"00"),")")</f>
        <v>(52;31)</v>
      </c>
      <c r="AI90" s="12" t="str">
        <f t="shared" si="25"/>
        <v>(52;32)</v>
      </c>
      <c r="AJ90" s="12" t="str">
        <f t="shared" si="25"/>
        <v>(52;33)</v>
      </c>
      <c r="AK90" s="12" t="str">
        <f t="shared" si="25"/>
        <v>(52;34)</v>
      </c>
      <c r="AL90" s="12" t="str">
        <f t="shared" si="25"/>
        <v>(52;35)</v>
      </c>
      <c r="AM90" s="12" t="str">
        <f t="shared" si="25"/>
        <v>(52;36)</v>
      </c>
      <c r="AN90" s="12" t="str">
        <f t="shared" si="25"/>
        <v>(52;37)</v>
      </c>
      <c r="AO90" s="12" t="str">
        <f t="shared" si="25"/>
        <v>(52;38)</v>
      </c>
      <c r="AP90" s="12" t="str">
        <f t="shared" si="25"/>
        <v>(52;39)</v>
      </c>
      <c r="AQ90" s="12" t="str">
        <f t="shared" si="25"/>
        <v>(52;40)</v>
      </c>
      <c r="AR90" s="12" t="str">
        <f t="shared" si="25"/>
        <v>(52;41)</v>
      </c>
      <c r="AS90" s="12" t="str">
        <f t="shared" si="25"/>
        <v>(52;42)</v>
      </c>
      <c r="AT90" s="12" t="str">
        <f t="shared" si="25"/>
        <v>(52;43)</v>
      </c>
      <c r="AU90" s="12" t="str">
        <f t="shared" si="25"/>
        <v>(52;44)</v>
      </c>
      <c r="AV90" s="12" t="str">
        <f t="shared" si="25"/>
        <v>(52;45)</v>
      </c>
      <c r="AW90" s="12" t="str">
        <f t="shared" si="25"/>
        <v>(52;46)</v>
      </c>
      <c r="AX90" s="12" t="str">
        <f t="shared" si="23"/>
        <v>(52;47)</v>
      </c>
      <c r="AY90" s="12" t="str">
        <f t="shared" si="23"/>
        <v>(52;48)</v>
      </c>
      <c r="AZ90" s="12" t="str">
        <f t="shared" si="23"/>
        <v>(52;49)</v>
      </c>
      <c r="BA90" s="12" t="str">
        <f t="shared" si="23"/>
        <v>(52;50)</v>
      </c>
      <c r="BB90" s="12" t="str">
        <f t="shared" si="23"/>
        <v>(52;51)</v>
      </c>
      <c r="BC90" s="12" t="str">
        <f t="shared" si="23"/>
        <v>(52;52)</v>
      </c>
      <c r="BD90" s="12" t="str">
        <f t="shared" si="23"/>
        <v>(52;53)</v>
      </c>
      <c r="BE90" s="12" t="str">
        <f t="shared" si="23"/>
        <v>(52;54)</v>
      </c>
      <c r="BF90" s="12" t="str">
        <f t="shared" si="23"/>
        <v>(52;55)</v>
      </c>
      <c r="BG90" s="12" t="str">
        <f t="shared" si="23"/>
        <v>(52;56)</v>
      </c>
      <c r="BH90" s="12" t="str">
        <f t="shared" si="23"/>
        <v>(52;57)</v>
      </c>
      <c r="BI90" s="12" t="str">
        <f t="shared" si="23"/>
        <v>(52;58)</v>
      </c>
      <c r="BJ90" s="12" t="str">
        <f t="shared" si="23"/>
        <v>(52;59)</v>
      </c>
      <c r="BK90" s="12" t="str">
        <f t="shared" si="23"/>
        <v>(52;60)</v>
      </c>
      <c r="BL90" s="12" t="str">
        <f t="shared" si="23"/>
        <v>(52;61)</v>
      </c>
      <c r="BM90" s="12" t="str">
        <f t="shared" si="18"/>
        <v>(52;62)</v>
      </c>
      <c r="BN90" s="12" t="str">
        <f t="shared" si="18"/>
        <v>(52;63)</v>
      </c>
    </row>
    <row r="91" spans="1:66">
      <c r="A91">
        <f>VLOOKUP(B91,Teste!$A$137:$G$236,7,FALSE)</f>
        <v>0</v>
      </c>
      <c r="B91">
        <f t="shared" si="7"/>
        <v>53</v>
      </c>
      <c r="C91" s="12" t="str">
        <f t="shared" ref="C91:R106" si="26">CONCATENATE("(",TEXT($B91,"00"),";",TEXT(C$37,"00"),")")</f>
        <v>(53;00)</v>
      </c>
      <c r="D91" s="12" t="str">
        <f t="shared" si="26"/>
        <v>(53;01)</v>
      </c>
      <c r="E91" s="12" t="str">
        <f t="shared" si="26"/>
        <v>(53;02)</v>
      </c>
      <c r="F91" s="12" t="str">
        <f t="shared" si="26"/>
        <v>(53;03)</v>
      </c>
      <c r="G91" s="12" t="str">
        <f t="shared" si="26"/>
        <v>(53;04)</v>
      </c>
      <c r="H91" s="12" t="str">
        <f t="shared" si="26"/>
        <v>(53;05)</v>
      </c>
      <c r="I91" s="12" t="str">
        <f t="shared" si="26"/>
        <v>(53;06)</v>
      </c>
      <c r="J91" s="12" t="str">
        <f t="shared" si="26"/>
        <v>(53;07)</v>
      </c>
      <c r="K91" s="12" t="str">
        <f t="shared" si="26"/>
        <v>(53;08)</v>
      </c>
      <c r="L91" s="12" t="str">
        <f t="shared" si="26"/>
        <v>(53;09)</v>
      </c>
      <c r="M91" s="12" t="str">
        <f t="shared" si="26"/>
        <v>(53;10)</v>
      </c>
      <c r="N91" s="12" t="str">
        <f t="shared" si="26"/>
        <v>(53;11)</v>
      </c>
      <c r="O91" s="12" t="str">
        <f t="shared" si="26"/>
        <v>(53;12)</v>
      </c>
      <c r="P91" s="12" t="str">
        <f t="shared" si="26"/>
        <v>(53;13)</v>
      </c>
      <c r="Q91" s="12" t="str">
        <f t="shared" si="26"/>
        <v>(53;14)</v>
      </c>
      <c r="R91" s="12" t="str">
        <f t="shared" si="26"/>
        <v>(53;15)</v>
      </c>
      <c r="S91" s="12" t="str">
        <f t="shared" si="24"/>
        <v>(53;16)</v>
      </c>
      <c r="T91" s="12" t="str">
        <f t="shared" si="24"/>
        <v>(53;17)</v>
      </c>
      <c r="U91" s="12" t="str">
        <f t="shared" si="24"/>
        <v>(53;18)</v>
      </c>
      <c r="V91" s="12" t="str">
        <f t="shared" si="24"/>
        <v>(53;19)</v>
      </c>
      <c r="W91" s="12" t="str">
        <f t="shared" si="24"/>
        <v>(53;20)</v>
      </c>
      <c r="X91" s="12" t="str">
        <f t="shared" si="24"/>
        <v>(53;21)</v>
      </c>
      <c r="Y91" s="12" t="str">
        <f t="shared" si="24"/>
        <v>(53;22)</v>
      </c>
      <c r="Z91" s="12" t="str">
        <f t="shared" si="24"/>
        <v>(53;23)</v>
      </c>
      <c r="AA91" s="12" t="str">
        <f t="shared" si="24"/>
        <v>(53;24)</v>
      </c>
      <c r="AB91" s="12" t="str">
        <f t="shared" si="24"/>
        <v>(53;25)</v>
      </c>
      <c r="AC91" s="12" t="str">
        <f t="shared" si="24"/>
        <v>(53;26)</v>
      </c>
      <c r="AD91" s="12" t="str">
        <f t="shared" si="24"/>
        <v>(53;27)</v>
      </c>
      <c r="AE91" s="12" t="str">
        <f t="shared" si="24"/>
        <v>(53;28)</v>
      </c>
      <c r="AF91" s="12" t="str">
        <f t="shared" si="24"/>
        <v>(53;29)</v>
      </c>
      <c r="AG91" s="12" t="str">
        <f t="shared" si="24"/>
        <v>(53;30)</v>
      </c>
      <c r="AH91" s="12" t="str">
        <f t="shared" si="25"/>
        <v>(53;31)</v>
      </c>
      <c r="AI91" s="12" t="str">
        <f t="shared" si="25"/>
        <v>(53;32)</v>
      </c>
      <c r="AJ91" s="12" t="str">
        <f t="shared" si="25"/>
        <v>(53;33)</v>
      </c>
      <c r="AK91" s="12" t="str">
        <f t="shared" si="25"/>
        <v>(53;34)</v>
      </c>
      <c r="AL91" s="12" t="str">
        <f t="shared" si="25"/>
        <v>(53;35)</v>
      </c>
      <c r="AM91" s="12" t="str">
        <f t="shared" si="25"/>
        <v>(53;36)</v>
      </c>
      <c r="AN91" s="12" t="str">
        <f t="shared" si="25"/>
        <v>(53;37)</v>
      </c>
      <c r="AO91" s="12" t="str">
        <f t="shared" si="25"/>
        <v>(53;38)</v>
      </c>
      <c r="AP91" s="12" t="str">
        <f t="shared" si="25"/>
        <v>(53;39)</v>
      </c>
      <c r="AQ91" s="12" t="str">
        <f t="shared" si="25"/>
        <v>(53;40)</v>
      </c>
      <c r="AR91" s="12" t="str">
        <f t="shared" si="25"/>
        <v>(53;41)</v>
      </c>
      <c r="AS91" s="12" t="str">
        <f t="shared" si="25"/>
        <v>(53;42)</v>
      </c>
      <c r="AT91" s="12" t="str">
        <f t="shared" si="25"/>
        <v>(53;43)</v>
      </c>
      <c r="AU91" s="12" t="str">
        <f t="shared" si="25"/>
        <v>(53;44)</v>
      </c>
      <c r="AV91" s="12" t="str">
        <f t="shared" si="25"/>
        <v>(53;45)</v>
      </c>
      <c r="AW91" s="12" t="str">
        <f t="shared" si="25"/>
        <v>(53;46)</v>
      </c>
      <c r="AX91" s="12" t="str">
        <f t="shared" si="23"/>
        <v>(53;47)</v>
      </c>
      <c r="AY91" s="12" t="str">
        <f t="shared" si="23"/>
        <v>(53;48)</v>
      </c>
      <c r="AZ91" s="12" t="str">
        <f t="shared" si="23"/>
        <v>(53;49)</v>
      </c>
      <c r="BA91" s="12" t="str">
        <f t="shared" si="23"/>
        <v>(53;50)</v>
      </c>
      <c r="BB91" s="12" t="str">
        <f t="shared" si="23"/>
        <v>(53;51)</v>
      </c>
      <c r="BC91" s="12" t="str">
        <f t="shared" si="23"/>
        <v>(53;52)</v>
      </c>
      <c r="BD91" s="12" t="str">
        <f t="shared" si="23"/>
        <v>(53;53)</v>
      </c>
      <c r="BE91" s="12" t="str">
        <f t="shared" si="23"/>
        <v>(53;54)</v>
      </c>
      <c r="BF91" s="12" t="str">
        <f t="shared" si="23"/>
        <v>(53;55)</v>
      </c>
      <c r="BG91" s="12" t="str">
        <f t="shared" si="23"/>
        <v>(53;56)</v>
      </c>
      <c r="BH91" s="12" t="str">
        <f t="shared" si="23"/>
        <v>(53;57)</v>
      </c>
      <c r="BI91" s="12" t="str">
        <f t="shared" si="23"/>
        <v>(53;58)</v>
      </c>
      <c r="BJ91" s="12" t="str">
        <f t="shared" si="23"/>
        <v>(53;59)</v>
      </c>
      <c r="BK91" s="12" t="str">
        <f t="shared" si="23"/>
        <v>(53;60)</v>
      </c>
      <c r="BL91" s="12" t="str">
        <f t="shared" si="23"/>
        <v>(53;61)</v>
      </c>
      <c r="BM91" s="12" t="str">
        <f t="shared" si="18"/>
        <v>(53;62)</v>
      </c>
      <c r="BN91" s="12" t="str">
        <f t="shared" si="18"/>
        <v>(53;63)</v>
      </c>
    </row>
    <row r="92" spans="1:66">
      <c r="A92">
        <f>VLOOKUP(B92,Teste!$A$137:$G$236,7,FALSE)</f>
        <v>0</v>
      </c>
      <c r="B92">
        <f t="shared" si="7"/>
        <v>54</v>
      </c>
      <c r="C92" s="12" t="str">
        <f t="shared" si="26"/>
        <v>(54;00)</v>
      </c>
      <c r="D92" s="12" t="str">
        <f t="shared" si="26"/>
        <v>(54;01)</v>
      </c>
      <c r="E92" s="12" t="str">
        <f t="shared" si="26"/>
        <v>(54;02)</v>
      </c>
      <c r="F92" s="12" t="str">
        <f t="shared" si="26"/>
        <v>(54;03)</v>
      </c>
      <c r="G92" s="12" t="str">
        <f t="shared" si="26"/>
        <v>(54;04)</v>
      </c>
      <c r="H92" s="12" t="str">
        <f t="shared" si="26"/>
        <v>(54;05)</v>
      </c>
      <c r="I92" s="12" t="str">
        <f t="shared" si="26"/>
        <v>(54;06)</v>
      </c>
      <c r="J92" s="12" t="str">
        <f t="shared" si="26"/>
        <v>(54;07)</v>
      </c>
      <c r="K92" s="12" t="str">
        <f t="shared" si="26"/>
        <v>(54;08)</v>
      </c>
      <c r="L92" s="12" t="str">
        <f t="shared" si="26"/>
        <v>(54;09)</v>
      </c>
      <c r="M92" s="12" t="str">
        <f t="shared" si="26"/>
        <v>(54;10)</v>
      </c>
      <c r="N92" s="12" t="str">
        <f t="shared" si="26"/>
        <v>(54;11)</v>
      </c>
      <c r="O92" s="12" t="str">
        <f t="shared" si="26"/>
        <v>(54;12)</v>
      </c>
      <c r="P92" s="12" t="str">
        <f t="shared" si="26"/>
        <v>(54;13)</v>
      </c>
      <c r="Q92" s="12" t="str">
        <f t="shared" si="26"/>
        <v>(54;14)</v>
      </c>
      <c r="R92" s="12" t="str">
        <f t="shared" si="26"/>
        <v>(54;15)</v>
      </c>
      <c r="S92" s="12" t="str">
        <f t="shared" si="24"/>
        <v>(54;16)</v>
      </c>
      <c r="T92" s="12" t="str">
        <f t="shared" si="24"/>
        <v>(54;17)</v>
      </c>
      <c r="U92" s="12" t="str">
        <f t="shared" si="24"/>
        <v>(54;18)</v>
      </c>
      <c r="V92" s="12" t="str">
        <f t="shared" si="24"/>
        <v>(54;19)</v>
      </c>
      <c r="W92" s="12" t="str">
        <f t="shared" si="24"/>
        <v>(54;20)</v>
      </c>
      <c r="X92" s="12" t="str">
        <f t="shared" si="24"/>
        <v>(54;21)</v>
      </c>
      <c r="Y92" s="12" t="str">
        <f t="shared" si="24"/>
        <v>(54;22)</v>
      </c>
      <c r="Z92" s="12" t="str">
        <f t="shared" si="24"/>
        <v>(54;23)</v>
      </c>
      <c r="AA92" s="12" t="str">
        <f t="shared" si="24"/>
        <v>(54;24)</v>
      </c>
      <c r="AB92" s="12" t="str">
        <f t="shared" si="24"/>
        <v>(54;25)</v>
      </c>
      <c r="AC92" s="12" t="str">
        <f t="shared" si="24"/>
        <v>(54;26)</v>
      </c>
      <c r="AD92" s="12" t="str">
        <f t="shared" si="24"/>
        <v>(54;27)</v>
      </c>
      <c r="AE92" s="12" t="str">
        <f t="shared" si="24"/>
        <v>(54;28)</v>
      </c>
      <c r="AF92" s="12" t="str">
        <f t="shared" si="24"/>
        <v>(54;29)</v>
      </c>
      <c r="AG92" s="12" t="str">
        <f t="shared" si="24"/>
        <v>(54;30)</v>
      </c>
      <c r="AH92" s="12" t="str">
        <f t="shared" si="25"/>
        <v>(54;31)</v>
      </c>
      <c r="AI92" s="12" t="str">
        <f t="shared" si="25"/>
        <v>(54;32)</v>
      </c>
      <c r="AJ92" s="12" t="str">
        <f t="shared" si="25"/>
        <v>(54;33)</v>
      </c>
      <c r="AK92" s="12" t="str">
        <f t="shared" si="25"/>
        <v>(54;34)</v>
      </c>
      <c r="AL92" s="12" t="str">
        <f t="shared" si="25"/>
        <v>(54;35)</v>
      </c>
      <c r="AM92" s="12" t="str">
        <f t="shared" si="25"/>
        <v>(54;36)</v>
      </c>
      <c r="AN92" s="12" t="str">
        <f t="shared" si="25"/>
        <v>(54;37)</v>
      </c>
      <c r="AO92" s="12" t="str">
        <f t="shared" si="25"/>
        <v>(54;38)</v>
      </c>
      <c r="AP92" s="12" t="str">
        <f t="shared" si="25"/>
        <v>(54;39)</v>
      </c>
      <c r="AQ92" s="12" t="str">
        <f t="shared" si="25"/>
        <v>(54;40)</v>
      </c>
      <c r="AR92" s="12" t="str">
        <f t="shared" si="25"/>
        <v>(54;41)</v>
      </c>
      <c r="AS92" s="12" t="str">
        <f t="shared" si="25"/>
        <v>(54;42)</v>
      </c>
      <c r="AT92" s="12" t="str">
        <f t="shared" si="25"/>
        <v>(54;43)</v>
      </c>
      <c r="AU92" s="12" t="str">
        <f t="shared" si="25"/>
        <v>(54;44)</v>
      </c>
      <c r="AV92" s="12" t="str">
        <f t="shared" si="25"/>
        <v>(54;45)</v>
      </c>
      <c r="AW92" s="12" t="str">
        <f t="shared" si="25"/>
        <v>(54;46)</v>
      </c>
      <c r="AX92" s="12" t="str">
        <f t="shared" si="23"/>
        <v>(54;47)</v>
      </c>
      <c r="AY92" s="12" t="str">
        <f t="shared" si="23"/>
        <v>(54;48)</v>
      </c>
      <c r="AZ92" s="12" t="str">
        <f t="shared" si="23"/>
        <v>(54;49)</v>
      </c>
      <c r="BA92" s="12" t="str">
        <f t="shared" si="23"/>
        <v>(54;50)</v>
      </c>
      <c r="BB92" s="12" t="str">
        <f t="shared" si="23"/>
        <v>(54;51)</v>
      </c>
      <c r="BC92" s="12" t="str">
        <f t="shared" si="23"/>
        <v>(54;52)</v>
      </c>
      <c r="BD92" s="12" t="str">
        <f t="shared" si="23"/>
        <v>(54;53)</v>
      </c>
      <c r="BE92" s="12" t="str">
        <f t="shared" si="23"/>
        <v>(54;54)</v>
      </c>
      <c r="BF92" s="12" t="str">
        <f t="shared" si="23"/>
        <v>(54;55)</v>
      </c>
      <c r="BG92" s="12" t="str">
        <f t="shared" si="23"/>
        <v>(54;56)</v>
      </c>
      <c r="BH92" s="12" t="str">
        <f t="shared" si="23"/>
        <v>(54;57)</v>
      </c>
      <c r="BI92" s="12" t="str">
        <f t="shared" si="23"/>
        <v>(54;58)</v>
      </c>
      <c r="BJ92" s="12" t="str">
        <f t="shared" si="23"/>
        <v>(54;59)</v>
      </c>
      <c r="BK92" s="12" t="str">
        <f t="shared" si="23"/>
        <v>(54;60)</v>
      </c>
      <c r="BL92" s="12" t="str">
        <f t="shared" si="23"/>
        <v>(54;61)</v>
      </c>
      <c r="BM92" s="12" t="str">
        <f t="shared" si="18"/>
        <v>(54;62)</v>
      </c>
      <c r="BN92" s="12" t="str">
        <f t="shared" si="18"/>
        <v>(54;63)</v>
      </c>
    </row>
    <row r="93" spans="1:66">
      <c r="A93">
        <f>VLOOKUP(B93,Teste!$A$137:$G$236,7,FALSE)</f>
        <v>0</v>
      </c>
      <c r="B93">
        <f t="shared" si="7"/>
        <v>55</v>
      </c>
      <c r="C93" s="12" t="str">
        <f t="shared" si="26"/>
        <v>(55;00)</v>
      </c>
      <c r="D93" s="12" t="str">
        <f t="shared" si="26"/>
        <v>(55;01)</v>
      </c>
      <c r="E93" s="12" t="str">
        <f t="shared" si="26"/>
        <v>(55;02)</v>
      </c>
      <c r="F93" s="12" t="str">
        <f t="shared" si="26"/>
        <v>(55;03)</v>
      </c>
      <c r="G93" s="12" t="str">
        <f t="shared" si="26"/>
        <v>(55;04)</v>
      </c>
      <c r="H93" s="12" t="str">
        <f t="shared" si="26"/>
        <v>(55;05)</v>
      </c>
      <c r="I93" s="12" t="str">
        <f t="shared" si="26"/>
        <v>(55;06)</v>
      </c>
      <c r="J93" s="12" t="str">
        <f t="shared" si="26"/>
        <v>(55;07)</v>
      </c>
      <c r="K93" s="12" t="str">
        <f t="shared" si="26"/>
        <v>(55;08)</v>
      </c>
      <c r="L93" s="12" t="str">
        <f t="shared" si="26"/>
        <v>(55;09)</v>
      </c>
      <c r="M93" s="12" t="str">
        <f t="shared" si="26"/>
        <v>(55;10)</v>
      </c>
      <c r="N93" s="12" t="str">
        <f t="shared" si="26"/>
        <v>(55;11)</v>
      </c>
      <c r="O93" s="12" t="str">
        <f t="shared" si="26"/>
        <v>(55;12)</v>
      </c>
      <c r="P93" s="12" t="str">
        <f t="shared" si="26"/>
        <v>(55;13)</v>
      </c>
      <c r="Q93" s="12" t="str">
        <f t="shared" si="26"/>
        <v>(55;14)</v>
      </c>
      <c r="R93" s="12" t="str">
        <f t="shared" si="26"/>
        <v>(55;15)</v>
      </c>
      <c r="S93" s="12" t="str">
        <f t="shared" si="24"/>
        <v>(55;16)</v>
      </c>
      <c r="T93" s="12" t="str">
        <f t="shared" si="24"/>
        <v>(55;17)</v>
      </c>
      <c r="U93" s="12" t="str">
        <f t="shared" si="24"/>
        <v>(55;18)</v>
      </c>
      <c r="V93" s="12" t="str">
        <f t="shared" si="24"/>
        <v>(55;19)</v>
      </c>
      <c r="W93" s="12" t="str">
        <f t="shared" si="24"/>
        <v>(55;20)</v>
      </c>
      <c r="X93" s="12" t="str">
        <f t="shared" si="24"/>
        <v>(55;21)</v>
      </c>
      <c r="Y93" s="12" t="str">
        <f t="shared" si="24"/>
        <v>(55;22)</v>
      </c>
      <c r="Z93" s="12" t="str">
        <f t="shared" si="24"/>
        <v>(55;23)</v>
      </c>
      <c r="AA93" s="12" t="str">
        <f t="shared" si="24"/>
        <v>(55;24)</v>
      </c>
      <c r="AB93" s="12" t="str">
        <f t="shared" si="24"/>
        <v>(55;25)</v>
      </c>
      <c r="AC93" s="12" t="str">
        <f t="shared" si="24"/>
        <v>(55;26)</v>
      </c>
      <c r="AD93" s="12" t="str">
        <f t="shared" si="24"/>
        <v>(55;27)</v>
      </c>
      <c r="AE93" s="12" t="str">
        <f t="shared" si="24"/>
        <v>(55;28)</v>
      </c>
      <c r="AF93" s="12" t="str">
        <f t="shared" si="24"/>
        <v>(55;29)</v>
      </c>
      <c r="AG93" s="12" t="str">
        <f t="shared" si="24"/>
        <v>(55;30)</v>
      </c>
      <c r="AH93" s="12" t="str">
        <f t="shared" si="25"/>
        <v>(55;31)</v>
      </c>
      <c r="AI93" s="12" t="str">
        <f t="shared" si="25"/>
        <v>(55;32)</v>
      </c>
      <c r="AJ93" s="12" t="str">
        <f t="shared" si="25"/>
        <v>(55;33)</v>
      </c>
      <c r="AK93" s="12" t="str">
        <f t="shared" si="25"/>
        <v>(55;34)</v>
      </c>
      <c r="AL93" s="12" t="str">
        <f t="shared" si="25"/>
        <v>(55;35)</v>
      </c>
      <c r="AM93" s="12" t="str">
        <f t="shared" si="25"/>
        <v>(55;36)</v>
      </c>
      <c r="AN93" s="12" t="str">
        <f t="shared" si="25"/>
        <v>(55;37)</v>
      </c>
      <c r="AO93" s="12" t="str">
        <f t="shared" si="25"/>
        <v>(55;38)</v>
      </c>
      <c r="AP93" s="12" t="str">
        <f t="shared" si="25"/>
        <v>(55;39)</v>
      </c>
      <c r="AQ93" s="12" t="str">
        <f t="shared" si="25"/>
        <v>(55;40)</v>
      </c>
      <c r="AR93" s="12" t="str">
        <f t="shared" si="25"/>
        <v>(55;41)</v>
      </c>
      <c r="AS93" s="12" t="str">
        <f t="shared" si="25"/>
        <v>(55;42)</v>
      </c>
      <c r="AT93" s="12" t="str">
        <f t="shared" si="25"/>
        <v>(55;43)</v>
      </c>
      <c r="AU93" s="12" t="str">
        <f t="shared" si="25"/>
        <v>(55;44)</v>
      </c>
      <c r="AV93" s="12" t="str">
        <f t="shared" si="25"/>
        <v>(55;45)</v>
      </c>
      <c r="AW93" s="12" t="str">
        <f t="shared" si="25"/>
        <v>(55;46)</v>
      </c>
      <c r="AX93" s="12" t="str">
        <f t="shared" si="23"/>
        <v>(55;47)</v>
      </c>
      <c r="AY93" s="12" t="str">
        <f t="shared" si="23"/>
        <v>(55;48)</v>
      </c>
      <c r="AZ93" s="12" t="str">
        <f t="shared" si="23"/>
        <v>(55;49)</v>
      </c>
      <c r="BA93" s="12" t="str">
        <f t="shared" si="23"/>
        <v>(55;50)</v>
      </c>
      <c r="BB93" s="12" t="str">
        <f t="shared" si="23"/>
        <v>(55;51)</v>
      </c>
      <c r="BC93" s="12" t="str">
        <f t="shared" si="23"/>
        <v>(55;52)</v>
      </c>
      <c r="BD93" s="12" t="str">
        <f t="shared" si="23"/>
        <v>(55;53)</v>
      </c>
      <c r="BE93" s="12" t="str">
        <f t="shared" si="23"/>
        <v>(55;54)</v>
      </c>
      <c r="BF93" s="12" t="str">
        <f t="shared" si="23"/>
        <v>(55;55)</v>
      </c>
      <c r="BG93" s="12" t="str">
        <f t="shared" si="23"/>
        <v>(55;56)</v>
      </c>
      <c r="BH93" s="12" t="str">
        <f t="shared" si="23"/>
        <v>(55;57)</v>
      </c>
      <c r="BI93" s="12" t="str">
        <f t="shared" si="23"/>
        <v>(55;58)</v>
      </c>
      <c r="BJ93" s="12" t="str">
        <f t="shared" si="23"/>
        <v>(55;59)</v>
      </c>
      <c r="BK93" s="12" t="str">
        <f t="shared" si="23"/>
        <v>(55;60)</v>
      </c>
      <c r="BL93" s="12" t="str">
        <f t="shared" si="23"/>
        <v>(55;61)</v>
      </c>
      <c r="BM93" s="12" t="str">
        <f t="shared" si="18"/>
        <v>(55;62)</v>
      </c>
      <c r="BN93" s="12" t="str">
        <f t="shared" si="18"/>
        <v>(55;63)</v>
      </c>
    </row>
    <row r="94" spans="1:66">
      <c r="A94">
        <f>VLOOKUP(B94,Teste!$A$137:$G$236,7,FALSE)</f>
        <v>0</v>
      </c>
      <c r="B94">
        <f t="shared" si="7"/>
        <v>56</v>
      </c>
      <c r="C94" s="12" t="str">
        <f t="shared" si="26"/>
        <v>(56;00)</v>
      </c>
      <c r="D94" s="12" t="str">
        <f t="shared" si="26"/>
        <v>(56;01)</v>
      </c>
      <c r="E94" s="12" t="str">
        <f t="shared" si="26"/>
        <v>(56;02)</v>
      </c>
      <c r="F94" s="12" t="str">
        <f t="shared" si="26"/>
        <v>(56;03)</v>
      </c>
      <c r="G94" s="12" t="str">
        <f t="shared" si="26"/>
        <v>(56;04)</v>
      </c>
      <c r="H94" s="12" t="str">
        <f t="shared" si="26"/>
        <v>(56;05)</v>
      </c>
      <c r="I94" s="12" t="str">
        <f t="shared" si="26"/>
        <v>(56;06)</v>
      </c>
      <c r="J94" s="12" t="str">
        <f t="shared" si="26"/>
        <v>(56;07)</v>
      </c>
      <c r="K94" s="12" t="str">
        <f t="shared" si="26"/>
        <v>(56;08)</v>
      </c>
      <c r="L94" s="12" t="str">
        <f t="shared" si="26"/>
        <v>(56;09)</v>
      </c>
      <c r="M94" s="12" t="str">
        <f t="shared" si="26"/>
        <v>(56;10)</v>
      </c>
      <c r="N94" s="12" t="str">
        <f t="shared" si="26"/>
        <v>(56;11)</v>
      </c>
      <c r="O94" s="12" t="str">
        <f t="shared" si="26"/>
        <v>(56;12)</v>
      </c>
      <c r="P94" s="12" t="str">
        <f t="shared" si="26"/>
        <v>(56;13)</v>
      </c>
      <c r="Q94" s="12" t="str">
        <f t="shared" si="26"/>
        <v>(56;14)</v>
      </c>
      <c r="R94" s="12" t="str">
        <f t="shared" si="26"/>
        <v>(56;15)</v>
      </c>
      <c r="S94" s="12" t="str">
        <f t="shared" si="24"/>
        <v>(56;16)</v>
      </c>
      <c r="T94" s="12" t="str">
        <f t="shared" si="24"/>
        <v>(56;17)</v>
      </c>
      <c r="U94" s="12" t="str">
        <f t="shared" si="24"/>
        <v>(56;18)</v>
      </c>
      <c r="V94" s="12" t="str">
        <f t="shared" si="24"/>
        <v>(56;19)</v>
      </c>
      <c r="W94" s="12" t="str">
        <f t="shared" si="24"/>
        <v>(56;20)</v>
      </c>
      <c r="X94" s="12" t="str">
        <f t="shared" si="24"/>
        <v>(56;21)</v>
      </c>
      <c r="Y94" s="12" t="str">
        <f t="shared" si="24"/>
        <v>(56;22)</v>
      </c>
      <c r="Z94" s="12" t="str">
        <f t="shared" si="24"/>
        <v>(56;23)</v>
      </c>
      <c r="AA94" s="12" t="str">
        <f t="shared" si="24"/>
        <v>(56;24)</v>
      </c>
      <c r="AB94" s="12" t="str">
        <f t="shared" si="24"/>
        <v>(56;25)</v>
      </c>
      <c r="AC94" s="12" t="str">
        <f t="shared" si="24"/>
        <v>(56;26)</v>
      </c>
      <c r="AD94" s="12" t="str">
        <f t="shared" si="24"/>
        <v>(56;27)</v>
      </c>
      <c r="AE94" s="12" t="str">
        <f t="shared" si="24"/>
        <v>(56;28)</v>
      </c>
      <c r="AF94" s="12" t="str">
        <f t="shared" si="24"/>
        <v>(56;29)</v>
      </c>
      <c r="AG94" s="12" t="str">
        <f t="shared" si="24"/>
        <v>(56;30)</v>
      </c>
      <c r="AH94" s="12" t="str">
        <f t="shared" si="25"/>
        <v>(56;31)</v>
      </c>
      <c r="AI94" s="12" t="str">
        <f t="shared" si="25"/>
        <v>(56;32)</v>
      </c>
      <c r="AJ94" s="12" t="str">
        <f t="shared" si="25"/>
        <v>(56;33)</v>
      </c>
      <c r="AK94" s="12" t="str">
        <f t="shared" si="25"/>
        <v>(56;34)</v>
      </c>
      <c r="AL94" s="12" t="str">
        <f t="shared" si="25"/>
        <v>(56;35)</v>
      </c>
      <c r="AM94" s="12" t="str">
        <f t="shared" si="25"/>
        <v>(56;36)</v>
      </c>
      <c r="AN94" s="12" t="str">
        <f t="shared" si="25"/>
        <v>(56;37)</v>
      </c>
      <c r="AO94" s="12" t="str">
        <f t="shared" si="25"/>
        <v>(56;38)</v>
      </c>
      <c r="AP94" s="12" t="str">
        <f t="shared" si="25"/>
        <v>(56;39)</v>
      </c>
      <c r="AQ94" s="12" t="str">
        <f t="shared" si="25"/>
        <v>(56;40)</v>
      </c>
      <c r="AR94" s="12" t="str">
        <f t="shared" si="25"/>
        <v>(56;41)</v>
      </c>
      <c r="AS94" s="12" t="str">
        <f t="shared" si="25"/>
        <v>(56;42)</v>
      </c>
      <c r="AT94" s="12" t="str">
        <f t="shared" si="25"/>
        <v>(56;43)</v>
      </c>
      <c r="AU94" s="12" t="str">
        <f t="shared" si="25"/>
        <v>(56;44)</v>
      </c>
      <c r="AV94" s="12" t="str">
        <f t="shared" si="25"/>
        <v>(56;45)</v>
      </c>
      <c r="AW94" s="12" t="str">
        <f t="shared" si="25"/>
        <v>(56;46)</v>
      </c>
      <c r="AX94" s="12" t="str">
        <f t="shared" si="23"/>
        <v>(56;47)</v>
      </c>
      <c r="AY94" s="12" t="str">
        <f t="shared" si="23"/>
        <v>(56;48)</v>
      </c>
      <c r="AZ94" s="12" t="str">
        <f t="shared" si="23"/>
        <v>(56;49)</v>
      </c>
      <c r="BA94" s="12" t="str">
        <f t="shared" si="23"/>
        <v>(56;50)</v>
      </c>
      <c r="BB94" s="12" t="str">
        <f t="shared" si="23"/>
        <v>(56;51)</v>
      </c>
      <c r="BC94" s="12" t="str">
        <f t="shared" si="23"/>
        <v>(56;52)</v>
      </c>
      <c r="BD94" s="12" t="str">
        <f t="shared" si="23"/>
        <v>(56;53)</v>
      </c>
      <c r="BE94" s="12" t="str">
        <f t="shared" si="23"/>
        <v>(56;54)</v>
      </c>
      <c r="BF94" s="12" t="str">
        <f t="shared" si="23"/>
        <v>(56;55)</v>
      </c>
      <c r="BG94" s="12" t="str">
        <f t="shared" si="23"/>
        <v>(56;56)</v>
      </c>
      <c r="BH94" s="12" t="str">
        <f t="shared" si="23"/>
        <v>(56;57)</v>
      </c>
      <c r="BI94" s="12" t="str">
        <f t="shared" si="23"/>
        <v>(56;58)</v>
      </c>
      <c r="BJ94" s="12" t="str">
        <f t="shared" si="23"/>
        <v>(56;59)</v>
      </c>
      <c r="BK94" s="12" t="str">
        <f t="shared" si="23"/>
        <v>(56;60)</v>
      </c>
      <c r="BL94" s="12" t="str">
        <f t="shared" si="23"/>
        <v>(56;61)</v>
      </c>
      <c r="BM94" s="12" t="str">
        <f t="shared" si="18"/>
        <v>(56;62)</v>
      </c>
      <c r="BN94" s="12" t="str">
        <f t="shared" si="18"/>
        <v>(56;63)</v>
      </c>
    </row>
    <row r="95" spans="1:66">
      <c r="A95">
        <f>VLOOKUP(B95,Teste!$A$137:$G$236,7,FALSE)</f>
        <v>0</v>
      </c>
      <c r="B95">
        <f t="shared" si="7"/>
        <v>57</v>
      </c>
      <c r="C95" s="12" t="str">
        <f t="shared" si="26"/>
        <v>(57;00)</v>
      </c>
      <c r="D95" s="12" t="str">
        <f t="shared" si="26"/>
        <v>(57;01)</v>
      </c>
      <c r="E95" s="12" t="str">
        <f t="shared" si="26"/>
        <v>(57;02)</v>
      </c>
      <c r="F95" s="12" t="str">
        <f t="shared" si="26"/>
        <v>(57;03)</v>
      </c>
      <c r="G95" s="12" t="str">
        <f t="shared" si="26"/>
        <v>(57;04)</v>
      </c>
      <c r="H95" s="12" t="str">
        <f t="shared" si="26"/>
        <v>(57;05)</v>
      </c>
      <c r="I95" s="12" t="str">
        <f t="shared" si="26"/>
        <v>(57;06)</v>
      </c>
      <c r="J95" s="12" t="str">
        <f t="shared" si="26"/>
        <v>(57;07)</v>
      </c>
      <c r="K95" s="12" t="str">
        <f t="shared" si="26"/>
        <v>(57;08)</v>
      </c>
      <c r="L95" s="12" t="str">
        <f t="shared" si="26"/>
        <v>(57;09)</v>
      </c>
      <c r="M95" s="12" t="str">
        <f t="shared" si="26"/>
        <v>(57;10)</v>
      </c>
      <c r="N95" s="12" t="str">
        <f t="shared" si="26"/>
        <v>(57;11)</v>
      </c>
      <c r="O95" s="12" t="str">
        <f t="shared" si="26"/>
        <v>(57;12)</v>
      </c>
      <c r="P95" s="12" t="str">
        <f t="shared" si="26"/>
        <v>(57;13)</v>
      </c>
      <c r="Q95" s="12" t="str">
        <f t="shared" si="26"/>
        <v>(57;14)</v>
      </c>
      <c r="R95" s="12" t="str">
        <f t="shared" si="26"/>
        <v>(57;15)</v>
      </c>
      <c r="S95" s="12" t="str">
        <f t="shared" si="24"/>
        <v>(57;16)</v>
      </c>
      <c r="T95" s="12" t="str">
        <f t="shared" si="24"/>
        <v>(57;17)</v>
      </c>
      <c r="U95" s="12" t="str">
        <f t="shared" si="24"/>
        <v>(57;18)</v>
      </c>
      <c r="V95" s="12" t="str">
        <f t="shared" si="24"/>
        <v>(57;19)</v>
      </c>
      <c r="W95" s="12" t="str">
        <f t="shared" si="24"/>
        <v>(57;20)</v>
      </c>
      <c r="X95" s="12" t="str">
        <f t="shared" si="24"/>
        <v>(57;21)</v>
      </c>
      <c r="Y95" s="12" t="str">
        <f t="shared" si="24"/>
        <v>(57;22)</v>
      </c>
      <c r="Z95" s="12" t="str">
        <f t="shared" si="24"/>
        <v>(57;23)</v>
      </c>
      <c r="AA95" s="12" t="str">
        <f t="shared" si="24"/>
        <v>(57;24)</v>
      </c>
      <c r="AB95" s="12" t="str">
        <f t="shared" si="24"/>
        <v>(57;25)</v>
      </c>
      <c r="AC95" s="12" t="str">
        <f t="shared" si="24"/>
        <v>(57;26)</v>
      </c>
      <c r="AD95" s="12" t="str">
        <f t="shared" si="24"/>
        <v>(57;27)</v>
      </c>
      <c r="AE95" s="12" t="str">
        <f t="shared" si="24"/>
        <v>(57;28)</v>
      </c>
      <c r="AF95" s="12" t="str">
        <f t="shared" si="24"/>
        <v>(57;29)</v>
      </c>
      <c r="AG95" s="12" t="str">
        <f t="shared" si="24"/>
        <v>(57;30)</v>
      </c>
      <c r="AH95" s="12" t="str">
        <f t="shared" si="25"/>
        <v>(57;31)</v>
      </c>
      <c r="AI95" s="12" t="str">
        <f t="shared" si="25"/>
        <v>(57;32)</v>
      </c>
      <c r="AJ95" s="12" t="str">
        <f t="shared" si="25"/>
        <v>(57;33)</v>
      </c>
      <c r="AK95" s="12" t="str">
        <f t="shared" si="25"/>
        <v>(57;34)</v>
      </c>
      <c r="AL95" s="12" t="str">
        <f t="shared" si="25"/>
        <v>(57;35)</v>
      </c>
      <c r="AM95" s="12" t="str">
        <f t="shared" si="25"/>
        <v>(57;36)</v>
      </c>
      <c r="AN95" s="12" t="str">
        <f t="shared" si="25"/>
        <v>(57;37)</v>
      </c>
      <c r="AO95" s="12" t="str">
        <f t="shared" si="25"/>
        <v>(57;38)</v>
      </c>
      <c r="AP95" s="12" t="str">
        <f t="shared" si="25"/>
        <v>(57;39)</v>
      </c>
      <c r="AQ95" s="12" t="str">
        <f t="shared" si="25"/>
        <v>(57;40)</v>
      </c>
      <c r="AR95" s="12" t="str">
        <f t="shared" si="25"/>
        <v>(57;41)</v>
      </c>
      <c r="AS95" s="12" t="str">
        <f t="shared" si="25"/>
        <v>(57;42)</v>
      </c>
      <c r="AT95" s="12" t="str">
        <f t="shared" si="25"/>
        <v>(57;43)</v>
      </c>
      <c r="AU95" s="12" t="str">
        <f t="shared" si="25"/>
        <v>(57;44)</v>
      </c>
      <c r="AV95" s="12" t="str">
        <f t="shared" si="25"/>
        <v>(57;45)</v>
      </c>
      <c r="AW95" s="12" t="str">
        <f t="shared" si="25"/>
        <v>(57;46)</v>
      </c>
      <c r="AX95" s="12" t="str">
        <f t="shared" si="23"/>
        <v>(57;47)</v>
      </c>
      <c r="AY95" s="12" t="str">
        <f t="shared" si="23"/>
        <v>(57;48)</v>
      </c>
      <c r="AZ95" s="12" t="str">
        <f t="shared" si="23"/>
        <v>(57;49)</v>
      </c>
      <c r="BA95" s="12" t="str">
        <f t="shared" si="23"/>
        <v>(57;50)</v>
      </c>
      <c r="BB95" s="12" t="str">
        <f t="shared" si="23"/>
        <v>(57;51)</v>
      </c>
      <c r="BC95" s="12" t="str">
        <f t="shared" si="23"/>
        <v>(57;52)</v>
      </c>
      <c r="BD95" s="12" t="str">
        <f t="shared" si="23"/>
        <v>(57;53)</v>
      </c>
      <c r="BE95" s="12" t="str">
        <f t="shared" si="23"/>
        <v>(57;54)</v>
      </c>
      <c r="BF95" s="12" t="str">
        <f t="shared" si="23"/>
        <v>(57;55)</v>
      </c>
      <c r="BG95" s="12" t="str">
        <f t="shared" si="23"/>
        <v>(57;56)</v>
      </c>
      <c r="BH95" s="12" t="str">
        <f t="shared" si="23"/>
        <v>(57;57)</v>
      </c>
      <c r="BI95" s="12" t="str">
        <f t="shared" si="23"/>
        <v>(57;58)</v>
      </c>
      <c r="BJ95" s="12" t="str">
        <f t="shared" si="23"/>
        <v>(57;59)</v>
      </c>
      <c r="BK95" s="12" t="str">
        <f t="shared" si="23"/>
        <v>(57;60)</v>
      </c>
      <c r="BL95" s="12" t="str">
        <f t="shared" si="23"/>
        <v>(57;61)</v>
      </c>
      <c r="BM95" s="12" t="str">
        <f t="shared" si="18"/>
        <v>(57;62)</v>
      </c>
      <c r="BN95" s="12" t="str">
        <f t="shared" si="18"/>
        <v>(57;63)</v>
      </c>
    </row>
    <row r="96" spans="1:66">
      <c r="A96">
        <f>VLOOKUP(B96,Teste!$A$137:$G$236,7,FALSE)</f>
        <v>0</v>
      </c>
      <c r="B96">
        <f t="shared" si="7"/>
        <v>58</v>
      </c>
      <c r="C96" s="12" t="str">
        <f t="shared" si="26"/>
        <v>(58;00)</v>
      </c>
      <c r="D96" s="12" t="str">
        <f t="shared" si="26"/>
        <v>(58;01)</v>
      </c>
      <c r="E96" s="12" t="str">
        <f t="shared" si="26"/>
        <v>(58;02)</v>
      </c>
      <c r="F96" s="12" t="str">
        <f t="shared" si="26"/>
        <v>(58;03)</v>
      </c>
      <c r="G96" s="12" t="str">
        <f t="shared" si="26"/>
        <v>(58;04)</v>
      </c>
      <c r="H96" s="12" t="str">
        <f t="shared" si="26"/>
        <v>(58;05)</v>
      </c>
      <c r="I96" s="12" t="str">
        <f t="shared" si="26"/>
        <v>(58;06)</v>
      </c>
      <c r="J96" s="12" t="str">
        <f t="shared" si="26"/>
        <v>(58;07)</v>
      </c>
      <c r="K96" s="12" t="str">
        <f t="shared" si="26"/>
        <v>(58;08)</v>
      </c>
      <c r="L96" s="12" t="str">
        <f t="shared" si="26"/>
        <v>(58;09)</v>
      </c>
      <c r="M96" s="12" t="str">
        <f t="shared" si="26"/>
        <v>(58;10)</v>
      </c>
      <c r="N96" s="12" t="str">
        <f t="shared" si="26"/>
        <v>(58;11)</v>
      </c>
      <c r="O96" s="12" t="str">
        <f t="shared" si="26"/>
        <v>(58;12)</v>
      </c>
      <c r="P96" s="12" t="str">
        <f t="shared" si="26"/>
        <v>(58;13)</v>
      </c>
      <c r="Q96" s="12" t="str">
        <f t="shared" si="26"/>
        <v>(58;14)</v>
      </c>
      <c r="R96" s="12" t="str">
        <f t="shared" si="26"/>
        <v>(58;15)</v>
      </c>
      <c r="S96" s="12" t="str">
        <f t="shared" si="24"/>
        <v>(58;16)</v>
      </c>
      <c r="T96" s="12" t="str">
        <f t="shared" si="24"/>
        <v>(58;17)</v>
      </c>
      <c r="U96" s="12" t="str">
        <f t="shared" si="24"/>
        <v>(58;18)</v>
      </c>
      <c r="V96" s="12" t="str">
        <f t="shared" si="24"/>
        <v>(58;19)</v>
      </c>
      <c r="W96" s="12" t="str">
        <f t="shared" si="24"/>
        <v>(58;20)</v>
      </c>
      <c r="X96" s="12" t="str">
        <f t="shared" si="24"/>
        <v>(58;21)</v>
      </c>
      <c r="Y96" s="12" t="str">
        <f t="shared" si="24"/>
        <v>(58;22)</v>
      </c>
      <c r="Z96" s="12" t="str">
        <f t="shared" si="24"/>
        <v>(58;23)</v>
      </c>
      <c r="AA96" s="12" t="str">
        <f t="shared" si="24"/>
        <v>(58;24)</v>
      </c>
      <c r="AB96" s="12" t="str">
        <f t="shared" si="24"/>
        <v>(58;25)</v>
      </c>
      <c r="AC96" s="12" t="str">
        <f t="shared" si="24"/>
        <v>(58;26)</v>
      </c>
      <c r="AD96" s="12" t="str">
        <f t="shared" si="24"/>
        <v>(58;27)</v>
      </c>
      <c r="AE96" s="12" t="str">
        <f t="shared" si="24"/>
        <v>(58;28)</v>
      </c>
      <c r="AF96" s="12" t="str">
        <f t="shared" si="24"/>
        <v>(58;29)</v>
      </c>
      <c r="AG96" s="12" t="str">
        <f t="shared" si="24"/>
        <v>(58;30)</v>
      </c>
      <c r="AH96" s="12" t="str">
        <f t="shared" si="25"/>
        <v>(58;31)</v>
      </c>
      <c r="AI96" s="12" t="str">
        <f t="shared" si="25"/>
        <v>(58;32)</v>
      </c>
      <c r="AJ96" s="12" t="str">
        <f t="shared" si="25"/>
        <v>(58;33)</v>
      </c>
      <c r="AK96" s="12" t="str">
        <f t="shared" si="25"/>
        <v>(58;34)</v>
      </c>
      <c r="AL96" s="12" t="str">
        <f t="shared" si="25"/>
        <v>(58;35)</v>
      </c>
      <c r="AM96" s="12" t="str">
        <f t="shared" si="25"/>
        <v>(58;36)</v>
      </c>
      <c r="AN96" s="12" t="str">
        <f t="shared" si="25"/>
        <v>(58;37)</v>
      </c>
      <c r="AO96" s="12" t="str">
        <f t="shared" si="25"/>
        <v>(58;38)</v>
      </c>
      <c r="AP96" s="12" t="str">
        <f t="shared" si="25"/>
        <v>(58;39)</v>
      </c>
      <c r="AQ96" s="12" t="str">
        <f t="shared" si="25"/>
        <v>(58;40)</v>
      </c>
      <c r="AR96" s="12" t="str">
        <f t="shared" si="25"/>
        <v>(58;41)</v>
      </c>
      <c r="AS96" s="12" t="str">
        <f t="shared" si="25"/>
        <v>(58;42)</v>
      </c>
      <c r="AT96" s="12" t="str">
        <f t="shared" si="25"/>
        <v>(58;43)</v>
      </c>
      <c r="AU96" s="12" t="str">
        <f t="shared" si="25"/>
        <v>(58;44)</v>
      </c>
      <c r="AV96" s="12" t="str">
        <f t="shared" si="25"/>
        <v>(58;45)</v>
      </c>
      <c r="AW96" s="12" t="str">
        <f t="shared" si="25"/>
        <v>(58;46)</v>
      </c>
      <c r="AX96" s="12" t="str">
        <f t="shared" si="23"/>
        <v>(58;47)</v>
      </c>
      <c r="AY96" s="12" t="str">
        <f t="shared" si="23"/>
        <v>(58;48)</v>
      </c>
      <c r="AZ96" s="12" t="str">
        <f t="shared" si="23"/>
        <v>(58;49)</v>
      </c>
      <c r="BA96" s="12" t="str">
        <f t="shared" si="23"/>
        <v>(58;50)</v>
      </c>
      <c r="BB96" s="12" t="str">
        <f t="shared" si="23"/>
        <v>(58;51)</v>
      </c>
      <c r="BC96" s="12" t="str">
        <f t="shared" si="23"/>
        <v>(58;52)</v>
      </c>
      <c r="BD96" s="12" t="str">
        <f t="shared" si="23"/>
        <v>(58;53)</v>
      </c>
      <c r="BE96" s="12" t="str">
        <f t="shared" si="23"/>
        <v>(58;54)</v>
      </c>
      <c r="BF96" s="12" t="str">
        <f t="shared" si="23"/>
        <v>(58;55)</v>
      </c>
      <c r="BG96" s="12" t="str">
        <f t="shared" si="23"/>
        <v>(58;56)</v>
      </c>
      <c r="BH96" s="12" t="str">
        <f t="shared" si="23"/>
        <v>(58;57)</v>
      </c>
      <c r="BI96" s="12" t="str">
        <f t="shared" si="23"/>
        <v>(58;58)</v>
      </c>
      <c r="BJ96" s="12" t="str">
        <f t="shared" si="23"/>
        <v>(58;59)</v>
      </c>
      <c r="BK96" s="12" t="str">
        <f t="shared" si="23"/>
        <v>(58;60)</v>
      </c>
      <c r="BL96" s="12" t="str">
        <f t="shared" si="23"/>
        <v>(58;61)</v>
      </c>
      <c r="BM96" s="12" t="str">
        <f t="shared" si="18"/>
        <v>(58;62)</v>
      </c>
      <c r="BN96" s="12" t="str">
        <f t="shared" si="18"/>
        <v>(58;63)</v>
      </c>
    </row>
    <row r="97" spans="1:66">
      <c r="A97">
        <f>VLOOKUP(B97,Teste!$A$137:$G$236,7,FALSE)</f>
        <v>0</v>
      </c>
      <c r="B97">
        <f t="shared" si="7"/>
        <v>59</v>
      </c>
      <c r="C97" s="12" t="str">
        <f t="shared" si="26"/>
        <v>(59;00)</v>
      </c>
      <c r="D97" s="12" t="str">
        <f t="shared" si="26"/>
        <v>(59;01)</v>
      </c>
      <c r="E97" s="12" t="str">
        <f t="shared" si="26"/>
        <v>(59;02)</v>
      </c>
      <c r="F97" s="12" t="str">
        <f t="shared" si="26"/>
        <v>(59;03)</v>
      </c>
      <c r="G97" s="12" t="str">
        <f t="shared" si="26"/>
        <v>(59;04)</v>
      </c>
      <c r="H97" s="12" t="str">
        <f t="shared" si="26"/>
        <v>(59;05)</v>
      </c>
      <c r="I97" s="12" t="str">
        <f t="shared" si="26"/>
        <v>(59;06)</v>
      </c>
      <c r="J97" s="12" t="str">
        <f t="shared" si="26"/>
        <v>(59;07)</v>
      </c>
      <c r="K97" s="12" t="str">
        <f t="shared" si="26"/>
        <v>(59;08)</v>
      </c>
      <c r="L97" s="12" t="str">
        <f t="shared" si="26"/>
        <v>(59;09)</v>
      </c>
      <c r="M97" s="12" t="str">
        <f t="shared" si="26"/>
        <v>(59;10)</v>
      </c>
      <c r="N97" s="12" t="str">
        <f t="shared" si="26"/>
        <v>(59;11)</v>
      </c>
      <c r="O97" s="12" t="str">
        <f t="shared" si="26"/>
        <v>(59;12)</v>
      </c>
      <c r="P97" s="12" t="str">
        <f t="shared" si="26"/>
        <v>(59;13)</v>
      </c>
      <c r="Q97" s="12" t="str">
        <f t="shared" si="26"/>
        <v>(59;14)</v>
      </c>
      <c r="R97" s="12" t="str">
        <f t="shared" si="26"/>
        <v>(59;15)</v>
      </c>
      <c r="S97" s="12" t="str">
        <f t="shared" si="24"/>
        <v>(59;16)</v>
      </c>
      <c r="T97" s="12" t="str">
        <f t="shared" si="24"/>
        <v>(59;17)</v>
      </c>
      <c r="U97" s="12" t="str">
        <f t="shared" si="24"/>
        <v>(59;18)</v>
      </c>
      <c r="V97" s="12" t="str">
        <f t="shared" si="24"/>
        <v>(59;19)</v>
      </c>
      <c r="W97" s="12" t="str">
        <f t="shared" si="24"/>
        <v>(59;20)</v>
      </c>
      <c r="X97" s="12" t="str">
        <f t="shared" si="24"/>
        <v>(59;21)</v>
      </c>
      <c r="Y97" s="12" t="str">
        <f t="shared" si="24"/>
        <v>(59;22)</v>
      </c>
      <c r="Z97" s="12" t="str">
        <f t="shared" si="24"/>
        <v>(59;23)</v>
      </c>
      <c r="AA97" s="12" t="str">
        <f t="shared" si="24"/>
        <v>(59;24)</v>
      </c>
      <c r="AB97" s="12" t="str">
        <f t="shared" si="24"/>
        <v>(59;25)</v>
      </c>
      <c r="AC97" s="12" t="str">
        <f t="shared" si="24"/>
        <v>(59;26)</v>
      </c>
      <c r="AD97" s="12" t="str">
        <f t="shared" si="24"/>
        <v>(59;27)</v>
      </c>
      <c r="AE97" s="12" t="str">
        <f t="shared" si="24"/>
        <v>(59;28)</v>
      </c>
      <c r="AF97" s="12" t="str">
        <f t="shared" si="24"/>
        <v>(59;29)</v>
      </c>
      <c r="AG97" s="12" t="str">
        <f t="shared" si="24"/>
        <v>(59;30)</v>
      </c>
      <c r="AH97" s="12" t="str">
        <f t="shared" si="25"/>
        <v>(59;31)</v>
      </c>
      <c r="AI97" s="12" t="str">
        <f t="shared" si="25"/>
        <v>(59;32)</v>
      </c>
      <c r="AJ97" s="12" t="str">
        <f t="shared" si="25"/>
        <v>(59;33)</v>
      </c>
      <c r="AK97" s="12" t="str">
        <f t="shared" si="25"/>
        <v>(59;34)</v>
      </c>
      <c r="AL97" s="12" t="str">
        <f t="shared" si="25"/>
        <v>(59;35)</v>
      </c>
      <c r="AM97" s="12" t="str">
        <f t="shared" si="25"/>
        <v>(59;36)</v>
      </c>
      <c r="AN97" s="12" t="str">
        <f t="shared" si="25"/>
        <v>(59;37)</v>
      </c>
      <c r="AO97" s="12" t="str">
        <f t="shared" si="25"/>
        <v>(59;38)</v>
      </c>
      <c r="AP97" s="12" t="str">
        <f t="shared" si="25"/>
        <v>(59;39)</v>
      </c>
      <c r="AQ97" s="12" t="str">
        <f t="shared" si="25"/>
        <v>(59;40)</v>
      </c>
      <c r="AR97" s="12" t="str">
        <f t="shared" si="25"/>
        <v>(59;41)</v>
      </c>
      <c r="AS97" s="12" t="str">
        <f t="shared" si="25"/>
        <v>(59;42)</v>
      </c>
      <c r="AT97" s="12" t="str">
        <f t="shared" si="25"/>
        <v>(59;43)</v>
      </c>
      <c r="AU97" s="12" t="str">
        <f t="shared" si="25"/>
        <v>(59;44)</v>
      </c>
      <c r="AV97" s="12" t="str">
        <f t="shared" si="25"/>
        <v>(59;45)</v>
      </c>
      <c r="AW97" s="12" t="str">
        <f t="shared" si="25"/>
        <v>(59;46)</v>
      </c>
      <c r="AX97" s="12" t="str">
        <f t="shared" si="23"/>
        <v>(59;47)</v>
      </c>
      <c r="AY97" s="12" t="str">
        <f t="shared" si="23"/>
        <v>(59;48)</v>
      </c>
      <c r="AZ97" s="12" t="str">
        <f t="shared" si="23"/>
        <v>(59;49)</v>
      </c>
      <c r="BA97" s="12" t="str">
        <f t="shared" si="23"/>
        <v>(59;50)</v>
      </c>
      <c r="BB97" s="12" t="str">
        <f t="shared" si="23"/>
        <v>(59;51)</v>
      </c>
      <c r="BC97" s="12" t="str">
        <f t="shared" si="23"/>
        <v>(59;52)</v>
      </c>
      <c r="BD97" s="12" t="str">
        <f t="shared" si="23"/>
        <v>(59;53)</v>
      </c>
      <c r="BE97" s="12" t="str">
        <f t="shared" si="23"/>
        <v>(59;54)</v>
      </c>
      <c r="BF97" s="12" t="str">
        <f t="shared" si="23"/>
        <v>(59;55)</v>
      </c>
      <c r="BG97" s="12" t="str">
        <f t="shared" si="23"/>
        <v>(59;56)</v>
      </c>
      <c r="BH97" s="12" t="str">
        <f t="shared" si="23"/>
        <v>(59;57)</v>
      </c>
      <c r="BI97" s="12" t="str">
        <f t="shared" si="23"/>
        <v>(59;58)</v>
      </c>
      <c r="BJ97" s="12" t="str">
        <f t="shared" si="23"/>
        <v>(59;59)</v>
      </c>
      <c r="BK97" s="12" t="str">
        <f t="shared" si="23"/>
        <v>(59;60)</v>
      </c>
      <c r="BL97" s="12" t="str">
        <f t="shared" si="23"/>
        <v>(59;61)</v>
      </c>
      <c r="BM97" s="12" t="str">
        <f t="shared" si="18"/>
        <v>(59;62)</v>
      </c>
      <c r="BN97" s="12" t="str">
        <f t="shared" si="18"/>
        <v>(59;63)</v>
      </c>
    </row>
    <row r="98" spans="1:66">
      <c r="A98">
        <f>VLOOKUP(B98,Teste!$A$137:$G$236,7,FALSE)</f>
        <v>0</v>
      </c>
      <c r="B98">
        <f t="shared" si="7"/>
        <v>60</v>
      </c>
      <c r="C98" s="12" t="str">
        <f t="shared" si="26"/>
        <v>(60;00)</v>
      </c>
      <c r="D98" s="12" t="str">
        <f t="shared" si="26"/>
        <v>(60;01)</v>
      </c>
      <c r="E98" s="12" t="str">
        <f t="shared" si="26"/>
        <v>(60;02)</v>
      </c>
      <c r="F98" s="12" t="str">
        <f t="shared" si="26"/>
        <v>(60;03)</v>
      </c>
      <c r="G98" s="12" t="str">
        <f t="shared" si="26"/>
        <v>(60;04)</v>
      </c>
      <c r="H98" s="12" t="str">
        <f t="shared" si="26"/>
        <v>(60;05)</v>
      </c>
      <c r="I98" s="12" t="str">
        <f t="shared" si="26"/>
        <v>(60;06)</v>
      </c>
      <c r="J98" s="12" t="str">
        <f t="shared" si="26"/>
        <v>(60;07)</v>
      </c>
      <c r="K98" s="12" t="str">
        <f t="shared" si="26"/>
        <v>(60;08)</v>
      </c>
      <c r="L98" s="12" t="str">
        <f t="shared" si="26"/>
        <v>(60;09)</v>
      </c>
      <c r="M98" s="12" t="str">
        <f t="shared" si="26"/>
        <v>(60;10)</v>
      </c>
      <c r="N98" s="12" t="str">
        <f t="shared" si="26"/>
        <v>(60;11)</v>
      </c>
      <c r="O98" s="12" t="str">
        <f t="shared" si="26"/>
        <v>(60;12)</v>
      </c>
      <c r="P98" s="12" t="str">
        <f t="shared" si="26"/>
        <v>(60;13)</v>
      </c>
      <c r="Q98" s="12" t="str">
        <f t="shared" si="26"/>
        <v>(60;14)</v>
      </c>
      <c r="R98" s="12" t="str">
        <f t="shared" si="26"/>
        <v>(60;15)</v>
      </c>
      <c r="S98" s="12" t="str">
        <f t="shared" si="24"/>
        <v>(60;16)</v>
      </c>
      <c r="T98" s="12" t="str">
        <f t="shared" si="24"/>
        <v>(60;17)</v>
      </c>
      <c r="U98" s="12" t="str">
        <f t="shared" si="24"/>
        <v>(60;18)</v>
      </c>
      <c r="V98" s="12" t="str">
        <f t="shared" si="24"/>
        <v>(60;19)</v>
      </c>
      <c r="W98" s="12" t="str">
        <f t="shared" si="24"/>
        <v>(60;20)</v>
      </c>
      <c r="X98" s="12" t="str">
        <f t="shared" si="24"/>
        <v>(60;21)</v>
      </c>
      <c r="Y98" s="12" t="str">
        <f t="shared" si="24"/>
        <v>(60;22)</v>
      </c>
      <c r="Z98" s="12" t="str">
        <f t="shared" si="24"/>
        <v>(60;23)</v>
      </c>
      <c r="AA98" s="12" t="str">
        <f t="shared" si="24"/>
        <v>(60;24)</v>
      </c>
      <c r="AB98" s="12" t="str">
        <f t="shared" si="24"/>
        <v>(60;25)</v>
      </c>
      <c r="AC98" s="12" t="str">
        <f t="shared" si="24"/>
        <v>(60;26)</v>
      </c>
      <c r="AD98" s="12" t="str">
        <f t="shared" si="24"/>
        <v>(60;27)</v>
      </c>
      <c r="AE98" s="12" t="str">
        <f t="shared" si="24"/>
        <v>(60;28)</v>
      </c>
      <c r="AF98" s="12" t="str">
        <f t="shared" si="24"/>
        <v>(60;29)</v>
      </c>
      <c r="AG98" s="12" t="str">
        <f t="shared" si="24"/>
        <v>(60;30)</v>
      </c>
      <c r="AH98" s="12" t="str">
        <f t="shared" si="25"/>
        <v>(60;31)</v>
      </c>
      <c r="AI98" s="12" t="str">
        <f t="shared" si="25"/>
        <v>(60;32)</v>
      </c>
      <c r="AJ98" s="12" t="str">
        <f t="shared" si="25"/>
        <v>(60;33)</v>
      </c>
      <c r="AK98" s="12" t="str">
        <f t="shared" si="25"/>
        <v>(60;34)</v>
      </c>
      <c r="AL98" s="12" t="str">
        <f t="shared" si="25"/>
        <v>(60;35)</v>
      </c>
      <c r="AM98" s="12" t="str">
        <f t="shared" si="25"/>
        <v>(60;36)</v>
      </c>
      <c r="AN98" s="12" t="str">
        <f t="shared" si="25"/>
        <v>(60;37)</v>
      </c>
      <c r="AO98" s="12" t="str">
        <f t="shared" si="25"/>
        <v>(60;38)</v>
      </c>
      <c r="AP98" s="12" t="str">
        <f t="shared" si="25"/>
        <v>(60;39)</v>
      </c>
      <c r="AQ98" s="12" t="str">
        <f t="shared" si="25"/>
        <v>(60;40)</v>
      </c>
      <c r="AR98" s="12" t="str">
        <f t="shared" si="25"/>
        <v>(60;41)</v>
      </c>
      <c r="AS98" s="12" t="str">
        <f t="shared" si="25"/>
        <v>(60;42)</v>
      </c>
      <c r="AT98" s="12" t="str">
        <f t="shared" si="25"/>
        <v>(60;43)</v>
      </c>
      <c r="AU98" s="12" t="str">
        <f t="shared" si="25"/>
        <v>(60;44)</v>
      </c>
      <c r="AV98" s="12" t="str">
        <f t="shared" si="25"/>
        <v>(60;45)</v>
      </c>
      <c r="AW98" s="12" t="str">
        <f t="shared" si="25"/>
        <v>(60;46)</v>
      </c>
      <c r="AX98" s="12" t="str">
        <f t="shared" si="23"/>
        <v>(60;47)</v>
      </c>
      <c r="AY98" s="12" t="str">
        <f t="shared" si="23"/>
        <v>(60;48)</v>
      </c>
      <c r="AZ98" s="12" t="str">
        <f t="shared" si="23"/>
        <v>(60;49)</v>
      </c>
      <c r="BA98" s="12" t="str">
        <f t="shared" si="23"/>
        <v>(60;50)</v>
      </c>
      <c r="BB98" s="12" t="str">
        <f t="shared" si="23"/>
        <v>(60;51)</v>
      </c>
      <c r="BC98" s="12" t="str">
        <f t="shared" si="23"/>
        <v>(60;52)</v>
      </c>
      <c r="BD98" s="12" t="str">
        <f t="shared" si="23"/>
        <v>(60;53)</v>
      </c>
      <c r="BE98" s="12" t="str">
        <f t="shared" si="23"/>
        <v>(60;54)</v>
      </c>
      <c r="BF98" s="12" t="str">
        <f t="shared" si="23"/>
        <v>(60;55)</v>
      </c>
      <c r="BG98" s="12" t="str">
        <f t="shared" si="23"/>
        <v>(60;56)</v>
      </c>
      <c r="BH98" s="12" t="str">
        <f t="shared" si="23"/>
        <v>(60;57)</v>
      </c>
      <c r="BI98" s="12" t="str">
        <f t="shared" si="23"/>
        <v>(60;58)</v>
      </c>
      <c r="BJ98" s="12" t="str">
        <f t="shared" si="23"/>
        <v>(60;59)</v>
      </c>
      <c r="BK98" s="12" t="str">
        <f t="shared" si="23"/>
        <v>(60;60)</v>
      </c>
      <c r="BL98" s="12" t="str">
        <f t="shared" si="23"/>
        <v>(60;61)</v>
      </c>
      <c r="BM98" s="12" t="str">
        <f t="shared" si="18"/>
        <v>(60;62)</v>
      </c>
      <c r="BN98" s="12" t="str">
        <f t="shared" si="18"/>
        <v>(60;63)</v>
      </c>
    </row>
    <row r="99" spans="1:66">
      <c r="A99">
        <f>VLOOKUP(B99,Teste!$A$137:$G$236,7,FALSE)</f>
        <v>0</v>
      </c>
      <c r="B99">
        <f t="shared" si="7"/>
        <v>61</v>
      </c>
      <c r="C99" s="12" t="str">
        <f t="shared" si="26"/>
        <v>(61;00)</v>
      </c>
      <c r="D99" s="12" t="str">
        <f t="shared" si="26"/>
        <v>(61;01)</v>
      </c>
      <c r="E99" s="12" t="str">
        <f t="shared" si="26"/>
        <v>(61;02)</v>
      </c>
      <c r="F99" s="12" t="str">
        <f t="shared" si="26"/>
        <v>(61;03)</v>
      </c>
      <c r="G99" s="12" t="str">
        <f t="shared" si="26"/>
        <v>(61;04)</v>
      </c>
      <c r="H99" s="12" t="str">
        <f t="shared" si="26"/>
        <v>(61;05)</v>
      </c>
      <c r="I99" s="12" t="str">
        <f t="shared" si="26"/>
        <v>(61;06)</v>
      </c>
      <c r="J99" s="12" t="str">
        <f t="shared" si="26"/>
        <v>(61;07)</v>
      </c>
      <c r="K99" s="12" t="str">
        <f t="shared" si="26"/>
        <v>(61;08)</v>
      </c>
      <c r="L99" s="12" t="str">
        <f t="shared" si="26"/>
        <v>(61;09)</v>
      </c>
      <c r="M99" s="12" t="str">
        <f t="shared" si="26"/>
        <v>(61;10)</v>
      </c>
      <c r="N99" s="12" t="str">
        <f t="shared" si="26"/>
        <v>(61;11)</v>
      </c>
      <c r="O99" s="12" t="str">
        <f t="shared" si="26"/>
        <v>(61;12)</v>
      </c>
      <c r="P99" s="12" t="str">
        <f t="shared" si="26"/>
        <v>(61;13)</v>
      </c>
      <c r="Q99" s="12" t="str">
        <f t="shared" si="26"/>
        <v>(61;14)</v>
      </c>
      <c r="R99" s="12" t="str">
        <f t="shared" si="26"/>
        <v>(61;15)</v>
      </c>
      <c r="S99" s="12" t="str">
        <f t="shared" si="24"/>
        <v>(61;16)</v>
      </c>
      <c r="T99" s="12" t="str">
        <f t="shared" si="24"/>
        <v>(61;17)</v>
      </c>
      <c r="U99" s="12" t="str">
        <f t="shared" si="24"/>
        <v>(61;18)</v>
      </c>
      <c r="V99" s="12" t="str">
        <f t="shared" si="24"/>
        <v>(61;19)</v>
      </c>
      <c r="W99" s="12" t="str">
        <f t="shared" si="24"/>
        <v>(61;20)</v>
      </c>
      <c r="X99" s="12" t="str">
        <f t="shared" si="24"/>
        <v>(61;21)</v>
      </c>
      <c r="Y99" s="12" t="str">
        <f t="shared" si="24"/>
        <v>(61;22)</v>
      </c>
      <c r="Z99" s="12" t="str">
        <f t="shared" si="24"/>
        <v>(61;23)</v>
      </c>
      <c r="AA99" s="12" t="str">
        <f t="shared" si="24"/>
        <v>(61;24)</v>
      </c>
      <c r="AB99" s="12" t="str">
        <f t="shared" si="24"/>
        <v>(61;25)</v>
      </c>
      <c r="AC99" s="12" t="str">
        <f t="shared" si="24"/>
        <v>(61;26)</v>
      </c>
      <c r="AD99" s="12" t="str">
        <f t="shared" si="24"/>
        <v>(61;27)</v>
      </c>
      <c r="AE99" s="12" t="str">
        <f t="shared" si="24"/>
        <v>(61;28)</v>
      </c>
      <c r="AF99" s="12" t="str">
        <f t="shared" si="24"/>
        <v>(61;29)</v>
      </c>
      <c r="AG99" s="12" t="str">
        <f t="shared" si="24"/>
        <v>(61;30)</v>
      </c>
      <c r="AH99" s="12" t="str">
        <f t="shared" si="25"/>
        <v>(61;31)</v>
      </c>
      <c r="AI99" s="12" t="str">
        <f t="shared" si="25"/>
        <v>(61;32)</v>
      </c>
      <c r="AJ99" s="12" t="str">
        <f t="shared" si="25"/>
        <v>(61;33)</v>
      </c>
      <c r="AK99" s="12" t="str">
        <f t="shared" si="25"/>
        <v>(61;34)</v>
      </c>
      <c r="AL99" s="12" t="str">
        <f t="shared" si="25"/>
        <v>(61;35)</v>
      </c>
      <c r="AM99" s="12" t="str">
        <f t="shared" si="25"/>
        <v>(61;36)</v>
      </c>
      <c r="AN99" s="12" t="str">
        <f t="shared" si="25"/>
        <v>(61;37)</v>
      </c>
      <c r="AO99" s="12" t="str">
        <f t="shared" si="25"/>
        <v>(61;38)</v>
      </c>
      <c r="AP99" s="12" t="str">
        <f t="shared" si="25"/>
        <v>(61;39)</v>
      </c>
      <c r="AQ99" s="12" t="str">
        <f t="shared" si="25"/>
        <v>(61;40)</v>
      </c>
      <c r="AR99" s="12" t="str">
        <f t="shared" si="25"/>
        <v>(61;41)</v>
      </c>
      <c r="AS99" s="12" t="str">
        <f t="shared" si="25"/>
        <v>(61;42)</v>
      </c>
      <c r="AT99" s="12" t="str">
        <f t="shared" si="25"/>
        <v>(61;43)</v>
      </c>
      <c r="AU99" s="12" t="str">
        <f t="shared" si="25"/>
        <v>(61;44)</v>
      </c>
      <c r="AV99" s="12" t="str">
        <f t="shared" si="25"/>
        <v>(61;45)</v>
      </c>
      <c r="AW99" s="12" t="str">
        <f t="shared" si="25"/>
        <v>(61;46)</v>
      </c>
      <c r="AX99" s="12" t="str">
        <f t="shared" si="23"/>
        <v>(61;47)</v>
      </c>
      <c r="AY99" s="12" t="str">
        <f t="shared" si="23"/>
        <v>(61;48)</v>
      </c>
      <c r="AZ99" s="12" t="str">
        <f t="shared" si="23"/>
        <v>(61;49)</v>
      </c>
      <c r="BA99" s="12" t="str">
        <f t="shared" si="23"/>
        <v>(61;50)</v>
      </c>
      <c r="BB99" s="12" t="str">
        <f t="shared" si="23"/>
        <v>(61;51)</v>
      </c>
      <c r="BC99" s="12" t="str">
        <f t="shared" si="23"/>
        <v>(61;52)</v>
      </c>
      <c r="BD99" s="12" t="str">
        <f t="shared" si="23"/>
        <v>(61;53)</v>
      </c>
      <c r="BE99" s="12" t="str">
        <f t="shared" si="23"/>
        <v>(61;54)</v>
      </c>
      <c r="BF99" s="12" t="str">
        <f t="shared" si="23"/>
        <v>(61;55)</v>
      </c>
      <c r="BG99" s="12" t="str">
        <f t="shared" si="23"/>
        <v>(61;56)</v>
      </c>
      <c r="BH99" s="12" t="str">
        <f t="shared" si="23"/>
        <v>(61;57)</v>
      </c>
      <c r="BI99" s="12" t="str">
        <f t="shared" si="23"/>
        <v>(61;58)</v>
      </c>
      <c r="BJ99" s="12" t="str">
        <f t="shared" si="23"/>
        <v>(61;59)</v>
      </c>
      <c r="BK99" s="12" t="str">
        <f t="shared" si="23"/>
        <v>(61;60)</v>
      </c>
      <c r="BL99" s="12" t="str">
        <f t="shared" si="23"/>
        <v>(61;61)</v>
      </c>
      <c r="BM99" s="12" t="str">
        <f t="shared" si="18"/>
        <v>(61;62)</v>
      </c>
      <c r="BN99" s="12" t="str">
        <f t="shared" si="18"/>
        <v>(61;63)</v>
      </c>
    </row>
    <row r="100" spans="1:66">
      <c r="A100">
        <f>VLOOKUP(B100,Teste!$A$137:$G$236,7,FALSE)</f>
        <v>0</v>
      </c>
      <c r="B100">
        <f t="shared" si="7"/>
        <v>62</v>
      </c>
      <c r="C100" s="12" t="str">
        <f t="shared" si="26"/>
        <v>(62;00)</v>
      </c>
      <c r="D100" s="12" t="str">
        <f t="shared" si="26"/>
        <v>(62;01)</v>
      </c>
      <c r="E100" s="12" t="str">
        <f t="shared" si="26"/>
        <v>(62;02)</v>
      </c>
      <c r="F100" s="12" t="str">
        <f t="shared" si="26"/>
        <v>(62;03)</v>
      </c>
      <c r="G100" s="12" t="str">
        <f t="shared" si="26"/>
        <v>(62;04)</v>
      </c>
      <c r="H100" s="12" t="str">
        <f t="shared" si="26"/>
        <v>(62;05)</v>
      </c>
      <c r="I100" s="12" t="str">
        <f t="shared" si="26"/>
        <v>(62;06)</v>
      </c>
      <c r="J100" s="12" t="str">
        <f t="shared" si="26"/>
        <v>(62;07)</v>
      </c>
      <c r="K100" s="12" t="str">
        <f t="shared" si="26"/>
        <v>(62;08)</v>
      </c>
      <c r="L100" s="12" t="str">
        <f t="shared" si="26"/>
        <v>(62;09)</v>
      </c>
      <c r="M100" s="12" t="str">
        <f t="shared" si="26"/>
        <v>(62;10)</v>
      </c>
      <c r="N100" s="12" t="str">
        <f t="shared" si="26"/>
        <v>(62;11)</v>
      </c>
      <c r="O100" s="12" t="str">
        <f t="shared" si="26"/>
        <v>(62;12)</v>
      </c>
      <c r="P100" s="12" t="str">
        <f t="shared" si="26"/>
        <v>(62;13)</v>
      </c>
      <c r="Q100" s="12" t="str">
        <f t="shared" si="26"/>
        <v>(62;14)</v>
      </c>
      <c r="R100" s="12" t="str">
        <f t="shared" si="26"/>
        <v>(62;15)</v>
      </c>
      <c r="S100" s="12" t="str">
        <f t="shared" si="24"/>
        <v>(62;16)</v>
      </c>
      <c r="T100" s="12" t="str">
        <f t="shared" si="24"/>
        <v>(62;17)</v>
      </c>
      <c r="U100" s="12" t="str">
        <f t="shared" si="24"/>
        <v>(62;18)</v>
      </c>
      <c r="V100" s="12" t="str">
        <f t="shared" si="24"/>
        <v>(62;19)</v>
      </c>
      <c r="W100" s="12" t="str">
        <f t="shared" si="24"/>
        <v>(62;20)</v>
      </c>
      <c r="X100" s="12" t="str">
        <f t="shared" si="24"/>
        <v>(62;21)</v>
      </c>
      <c r="Y100" s="12" t="str">
        <f t="shared" si="24"/>
        <v>(62;22)</v>
      </c>
      <c r="Z100" s="12" t="str">
        <f t="shared" si="24"/>
        <v>(62;23)</v>
      </c>
      <c r="AA100" s="12" t="str">
        <f t="shared" si="24"/>
        <v>(62;24)</v>
      </c>
      <c r="AB100" s="12" t="str">
        <f t="shared" si="24"/>
        <v>(62;25)</v>
      </c>
      <c r="AC100" s="12" t="str">
        <f t="shared" si="24"/>
        <v>(62;26)</v>
      </c>
      <c r="AD100" s="12" t="str">
        <f t="shared" si="24"/>
        <v>(62;27)</v>
      </c>
      <c r="AE100" s="12" t="str">
        <f t="shared" si="24"/>
        <v>(62;28)</v>
      </c>
      <c r="AF100" s="12" t="str">
        <f t="shared" si="24"/>
        <v>(62;29)</v>
      </c>
      <c r="AG100" s="12" t="str">
        <f t="shared" si="24"/>
        <v>(62;30)</v>
      </c>
      <c r="AH100" s="12" t="str">
        <f t="shared" si="25"/>
        <v>(62;31)</v>
      </c>
      <c r="AI100" s="12" t="str">
        <f t="shared" si="25"/>
        <v>(62;32)</v>
      </c>
      <c r="AJ100" s="12" t="str">
        <f t="shared" si="25"/>
        <v>(62;33)</v>
      </c>
      <c r="AK100" s="12" t="str">
        <f t="shared" si="25"/>
        <v>(62;34)</v>
      </c>
      <c r="AL100" s="12" t="str">
        <f t="shared" si="25"/>
        <v>(62;35)</v>
      </c>
      <c r="AM100" s="12" t="str">
        <f t="shared" si="25"/>
        <v>(62;36)</v>
      </c>
      <c r="AN100" s="12" t="str">
        <f t="shared" si="25"/>
        <v>(62;37)</v>
      </c>
      <c r="AO100" s="12" t="str">
        <f t="shared" si="25"/>
        <v>(62;38)</v>
      </c>
      <c r="AP100" s="12" t="str">
        <f t="shared" si="25"/>
        <v>(62;39)</v>
      </c>
      <c r="AQ100" s="12" t="str">
        <f t="shared" si="25"/>
        <v>(62;40)</v>
      </c>
      <c r="AR100" s="12" t="str">
        <f t="shared" si="25"/>
        <v>(62;41)</v>
      </c>
      <c r="AS100" s="12" t="str">
        <f t="shared" si="25"/>
        <v>(62;42)</v>
      </c>
      <c r="AT100" s="12" t="str">
        <f t="shared" si="25"/>
        <v>(62;43)</v>
      </c>
      <c r="AU100" s="12" t="str">
        <f t="shared" si="25"/>
        <v>(62;44)</v>
      </c>
      <c r="AV100" s="12" t="str">
        <f t="shared" si="25"/>
        <v>(62;45)</v>
      </c>
      <c r="AW100" s="12" t="str">
        <f t="shared" si="25"/>
        <v>(62;46)</v>
      </c>
      <c r="AX100" s="12" t="str">
        <f t="shared" si="23"/>
        <v>(62;47)</v>
      </c>
      <c r="AY100" s="12" t="str">
        <f t="shared" si="23"/>
        <v>(62;48)</v>
      </c>
      <c r="AZ100" s="12" t="str">
        <f t="shared" si="23"/>
        <v>(62;49)</v>
      </c>
      <c r="BA100" s="12" t="str">
        <f t="shared" si="23"/>
        <v>(62;50)</v>
      </c>
      <c r="BB100" s="12" t="str">
        <f t="shared" si="23"/>
        <v>(62;51)</v>
      </c>
      <c r="BC100" s="12" t="str">
        <f t="shared" si="23"/>
        <v>(62;52)</v>
      </c>
      <c r="BD100" s="12" t="str">
        <f t="shared" si="23"/>
        <v>(62;53)</v>
      </c>
      <c r="BE100" s="12" t="str">
        <f t="shared" si="23"/>
        <v>(62;54)</v>
      </c>
      <c r="BF100" s="12" t="str">
        <f t="shared" si="23"/>
        <v>(62;55)</v>
      </c>
      <c r="BG100" s="12" t="str">
        <f t="shared" si="23"/>
        <v>(62;56)</v>
      </c>
      <c r="BH100" s="12" t="str">
        <f t="shared" si="23"/>
        <v>(62;57)</v>
      </c>
      <c r="BI100" s="12" t="str">
        <f t="shared" si="23"/>
        <v>(62;58)</v>
      </c>
      <c r="BJ100" s="12" t="str">
        <f t="shared" si="23"/>
        <v>(62;59)</v>
      </c>
      <c r="BK100" s="12" t="str">
        <f t="shared" si="23"/>
        <v>(62;60)</v>
      </c>
      <c r="BL100" s="12" t="str">
        <f t="shared" si="23"/>
        <v>(62;61)</v>
      </c>
      <c r="BM100" s="12" t="str">
        <f t="shared" si="18"/>
        <v>(62;62)</v>
      </c>
      <c r="BN100" s="12" t="str">
        <f t="shared" si="18"/>
        <v>(62;63)</v>
      </c>
    </row>
    <row r="101" spans="1:66">
      <c r="A101">
        <f>VLOOKUP(B101,Teste!$A$137:$G$236,7,FALSE)</f>
        <v>0</v>
      </c>
      <c r="B101">
        <f t="shared" si="7"/>
        <v>63</v>
      </c>
      <c r="C101" s="12" t="str">
        <f t="shared" si="26"/>
        <v>(63;00)</v>
      </c>
      <c r="D101" s="12" t="str">
        <f t="shared" si="26"/>
        <v>(63;01)</v>
      </c>
      <c r="E101" s="12" t="str">
        <f t="shared" si="26"/>
        <v>(63;02)</v>
      </c>
      <c r="F101" s="12" t="str">
        <f t="shared" si="26"/>
        <v>(63;03)</v>
      </c>
      <c r="G101" s="12" t="str">
        <f t="shared" si="26"/>
        <v>(63;04)</v>
      </c>
      <c r="H101" s="12" t="str">
        <f t="shared" si="26"/>
        <v>(63;05)</v>
      </c>
      <c r="I101" s="12" t="str">
        <f t="shared" si="26"/>
        <v>(63;06)</v>
      </c>
      <c r="J101" s="12" t="str">
        <f t="shared" si="26"/>
        <v>(63;07)</v>
      </c>
      <c r="K101" s="12" t="str">
        <f t="shared" si="26"/>
        <v>(63;08)</v>
      </c>
      <c r="L101" s="12" t="str">
        <f t="shared" si="26"/>
        <v>(63;09)</v>
      </c>
      <c r="M101" s="12" t="str">
        <f t="shared" si="26"/>
        <v>(63;10)</v>
      </c>
      <c r="N101" s="12" t="str">
        <f t="shared" si="26"/>
        <v>(63;11)</v>
      </c>
      <c r="O101" s="12" t="str">
        <f t="shared" si="26"/>
        <v>(63;12)</v>
      </c>
      <c r="P101" s="12" t="str">
        <f t="shared" si="26"/>
        <v>(63;13)</v>
      </c>
      <c r="Q101" s="12" t="str">
        <f t="shared" si="26"/>
        <v>(63;14)</v>
      </c>
      <c r="R101" s="12" t="str">
        <f t="shared" si="26"/>
        <v>(63;15)</v>
      </c>
      <c r="S101" s="12" t="str">
        <f t="shared" si="24"/>
        <v>(63;16)</v>
      </c>
      <c r="T101" s="12" t="str">
        <f t="shared" si="24"/>
        <v>(63;17)</v>
      </c>
      <c r="U101" s="12" t="str">
        <f t="shared" si="24"/>
        <v>(63;18)</v>
      </c>
      <c r="V101" s="12" t="str">
        <f t="shared" si="24"/>
        <v>(63;19)</v>
      </c>
      <c r="W101" s="12" t="str">
        <f t="shared" si="24"/>
        <v>(63;20)</v>
      </c>
      <c r="X101" s="12" t="str">
        <f t="shared" si="24"/>
        <v>(63;21)</v>
      </c>
      <c r="Y101" s="12" t="str">
        <f t="shared" si="24"/>
        <v>(63;22)</v>
      </c>
      <c r="Z101" s="12" t="str">
        <f t="shared" si="24"/>
        <v>(63;23)</v>
      </c>
      <c r="AA101" s="12" t="str">
        <f t="shared" si="24"/>
        <v>(63;24)</v>
      </c>
      <c r="AB101" s="12" t="str">
        <f t="shared" si="24"/>
        <v>(63;25)</v>
      </c>
      <c r="AC101" s="12" t="str">
        <f t="shared" si="24"/>
        <v>(63;26)</v>
      </c>
      <c r="AD101" s="12" t="str">
        <f t="shared" si="24"/>
        <v>(63;27)</v>
      </c>
      <c r="AE101" s="12" t="str">
        <f t="shared" si="24"/>
        <v>(63;28)</v>
      </c>
      <c r="AF101" s="12" t="str">
        <f t="shared" si="24"/>
        <v>(63;29)</v>
      </c>
      <c r="AG101" s="12" t="str">
        <f t="shared" si="24"/>
        <v>(63;30)</v>
      </c>
      <c r="AH101" s="12" t="str">
        <f t="shared" si="25"/>
        <v>(63;31)</v>
      </c>
      <c r="AI101" s="12" t="str">
        <f t="shared" si="25"/>
        <v>(63;32)</v>
      </c>
      <c r="AJ101" s="12" t="str">
        <f t="shared" si="25"/>
        <v>(63;33)</v>
      </c>
      <c r="AK101" s="12" t="str">
        <f t="shared" si="25"/>
        <v>(63;34)</v>
      </c>
      <c r="AL101" s="12" t="str">
        <f t="shared" si="25"/>
        <v>(63;35)</v>
      </c>
      <c r="AM101" s="12" t="str">
        <f t="shared" si="25"/>
        <v>(63;36)</v>
      </c>
      <c r="AN101" s="12" t="str">
        <f t="shared" si="25"/>
        <v>(63;37)</v>
      </c>
      <c r="AO101" s="12" t="str">
        <f t="shared" si="25"/>
        <v>(63;38)</v>
      </c>
      <c r="AP101" s="12" t="str">
        <f t="shared" si="25"/>
        <v>(63;39)</v>
      </c>
      <c r="AQ101" s="12" t="str">
        <f t="shared" si="25"/>
        <v>(63;40)</v>
      </c>
      <c r="AR101" s="12" t="str">
        <f t="shared" si="25"/>
        <v>(63;41)</v>
      </c>
      <c r="AS101" s="12" t="str">
        <f t="shared" si="25"/>
        <v>(63;42)</v>
      </c>
      <c r="AT101" s="12" t="str">
        <f t="shared" si="25"/>
        <v>(63;43)</v>
      </c>
      <c r="AU101" s="12" t="str">
        <f t="shared" si="25"/>
        <v>(63;44)</v>
      </c>
      <c r="AV101" s="12" t="str">
        <f t="shared" si="25"/>
        <v>(63;45)</v>
      </c>
      <c r="AW101" s="12" t="str">
        <f t="shared" si="25"/>
        <v>(63;46)</v>
      </c>
      <c r="AX101" s="12" t="str">
        <f t="shared" si="23"/>
        <v>(63;47)</v>
      </c>
      <c r="AY101" s="12" t="str">
        <f t="shared" si="23"/>
        <v>(63;48)</v>
      </c>
      <c r="AZ101" s="12" t="str">
        <f t="shared" si="23"/>
        <v>(63;49)</v>
      </c>
      <c r="BA101" s="12" t="str">
        <f t="shared" si="23"/>
        <v>(63;50)</v>
      </c>
      <c r="BB101" s="12" t="str">
        <f t="shared" si="23"/>
        <v>(63;51)</v>
      </c>
      <c r="BC101" s="12" t="str">
        <f t="shared" si="23"/>
        <v>(63;52)</v>
      </c>
      <c r="BD101" s="12" t="str">
        <f t="shared" si="23"/>
        <v>(63;53)</v>
      </c>
      <c r="BE101" s="12" t="str">
        <f t="shared" si="23"/>
        <v>(63;54)</v>
      </c>
      <c r="BF101" s="12" t="str">
        <f t="shared" si="23"/>
        <v>(63;55)</v>
      </c>
      <c r="BG101" s="12" t="str">
        <f t="shared" si="23"/>
        <v>(63;56)</v>
      </c>
      <c r="BH101" s="12" t="str">
        <f t="shared" si="23"/>
        <v>(63;57)</v>
      </c>
      <c r="BI101" s="12" t="str">
        <f t="shared" si="23"/>
        <v>(63;58)</v>
      </c>
      <c r="BJ101" s="12" t="str">
        <f t="shared" si="23"/>
        <v>(63;59)</v>
      </c>
      <c r="BK101" s="12" t="str">
        <f t="shared" si="23"/>
        <v>(63;60)</v>
      </c>
      <c r="BL101" s="12" t="str">
        <f t="shared" si="23"/>
        <v>(63;61)</v>
      </c>
      <c r="BM101" s="12" t="str">
        <f t="shared" si="18"/>
        <v>(63;62)</v>
      </c>
      <c r="BN101" s="12" t="str">
        <f t="shared" si="18"/>
        <v>(63;63)</v>
      </c>
    </row>
    <row r="102" spans="1:66">
      <c r="A102">
        <f>VLOOKUP(B102,Teste!$A$137:$G$236,7,FALSE)</f>
        <v>0</v>
      </c>
      <c r="B102">
        <f t="shared" si="7"/>
        <v>64</v>
      </c>
      <c r="C102" s="12" t="str">
        <f t="shared" si="26"/>
        <v>(64;00)</v>
      </c>
      <c r="D102" s="12" t="str">
        <f t="shared" si="26"/>
        <v>(64;01)</v>
      </c>
      <c r="E102" s="12" t="str">
        <f t="shared" si="26"/>
        <v>(64;02)</v>
      </c>
      <c r="F102" s="12" t="str">
        <f t="shared" si="26"/>
        <v>(64;03)</v>
      </c>
      <c r="G102" s="12" t="str">
        <f t="shared" si="26"/>
        <v>(64;04)</v>
      </c>
      <c r="H102" s="12" t="str">
        <f t="shared" si="26"/>
        <v>(64;05)</v>
      </c>
      <c r="I102" s="12" t="str">
        <f t="shared" si="26"/>
        <v>(64;06)</v>
      </c>
      <c r="J102" s="12" t="str">
        <f t="shared" si="26"/>
        <v>(64;07)</v>
      </c>
      <c r="K102" s="12" t="str">
        <f t="shared" si="26"/>
        <v>(64;08)</v>
      </c>
      <c r="L102" s="12" t="str">
        <f t="shared" si="26"/>
        <v>(64;09)</v>
      </c>
      <c r="M102" s="12" t="str">
        <f t="shared" si="26"/>
        <v>(64;10)</v>
      </c>
      <c r="N102" s="12" t="str">
        <f t="shared" si="26"/>
        <v>(64;11)</v>
      </c>
      <c r="O102" s="12" t="str">
        <f t="shared" si="26"/>
        <v>(64;12)</v>
      </c>
      <c r="P102" s="12" t="str">
        <f t="shared" si="26"/>
        <v>(64;13)</v>
      </c>
      <c r="Q102" s="12" t="str">
        <f t="shared" si="26"/>
        <v>(64;14)</v>
      </c>
      <c r="R102" s="12" t="str">
        <f t="shared" si="26"/>
        <v>(64;15)</v>
      </c>
      <c r="S102" s="12" t="str">
        <f t="shared" si="24"/>
        <v>(64;16)</v>
      </c>
      <c r="T102" s="12" t="str">
        <f t="shared" si="24"/>
        <v>(64;17)</v>
      </c>
      <c r="U102" s="12" t="str">
        <f t="shared" si="24"/>
        <v>(64;18)</v>
      </c>
      <c r="V102" s="12" t="str">
        <f t="shared" si="24"/>
        <v>(64;19)</v>
      </c>
      <c r="W102" s="12" t="str">
        <f t="shared" si="24"/>
        <v>(64;20)</v>
      </c>
      <c r="X102" s="12" t="str">
        <f t="shared" si="24"/>
        <v>(64;21)</v>
      </c>
      <c r="Y102" s="12" t="str">
        <f t="shared" si="24"/>
        <v>(64;22)</v>
      </c>
      <c r="Z102" s="12" t="str">
        <f t="shared" si="24"/>
        <v>(64;23)</v>
      </c>
      <c r="AA102" s="12" t="str">
        <f t="shared" si="24"/>
        <v>(64;24)</v>
      </c>
      <c r="AB102" s="12" t="str">
        <f t="shared" si="24"/>
        <v>(64;25)</v>
      </c>
      <c r="AC102" s="12" t="str">
        <f t="shared" si="24"/>
        <v>(64;26)</v>
      </c>
      <c r="AD102" s="12" t="str">
        <f t="shared" si="24"/>
        <v>(64;27)</v>
      </c>
      <c r="AE102" s="12" t="str">
        <f t="shared" si="24"/>
        <v>(64;28)</v>
      </c>
      <c r="AF102" s="12" t="str">
        <f t="shared" si="24"/>
        <v>(64;29)</v>
      </c>
      <c r="AG102" s="12" t="str">
        <f t="shared" si="24"/>
        <v>(64;30)</v>
      </c>
      <c r="AH102" s="12" t="str">
        <f t="shared" si="25"/>
        <v>(64;31)</v>
      </c>
      <c r="AI102" s="12" t="str">
        <f t="shared" si="25"/>
        <v>(64;32)</v>
      </c>
      <c r="AJ102" s="12" t="str">
        <f t="shared" si="25"/>
        <v>(64;33)</v>
      </c>
      <c r="AK102" s="12" t="str">
        <f t="shared" si="25"/>
        <v>(64;34)</v>
      </c>
      <c r="AL102" s="12" t="str">
        <f t="shared" si="25"/>
        <v>(64;35)</v>
      </c>
      <c r="AM102" s="12" t="str">
        <f t="shared" si="25"/>
        <v>(64;36)</v>
      </c>
      <c r="AN102" s="12" t="str">
        <f t="shared" si="25"/>
        <v>(64;37)</v>
      </c>
      <c r="AO102" s="12" t="str">
        <f t="shared" si="25"/>
        <v>(64;38)</v>
      </c>
      <c r="AP102" s="12" t="str">
        <f t="shared" si="25"/>
        <v>(64;39)</v>
      </c>
      <c r="AQ102" s="12" t="str">
        <f t="shared" si="25"/>
        <v>(64;40)</v>
      </c>
      <c r="AR102" s="12" t="str">
        <f t="shared" si="25"/>
        <v>(64;41)</v>
      </c>
      <c r="AS102" s="12" t="str">
        <f t="shared" si="25"/>
        <v>(64;42)</v>
      </c>
      <c r="AT102" s="12" t="str">
        <f t="shared" si="25"/>
        <v>(64;43)</v>
      </c>
      <c r="AU102" s="12" t="str">
        <f t="shared" si="25"/>
        <v>(64;44)</v>
      </c>
      <c r="AV102" s="12" t="str">
        <f t="shared" si="25"/>
        <v>(64;45)</v>
      </c>
      <c r="AW102" s="12" t="str">
        <f t="shared" si="25"/>
        <v>(64;46)</v>
      </c>
      <c r="AX102" s="12" t="str">
        <f t="shared" si="23"/>
        <v>(64;47)</v>
      </c>
      <c r="AY102" s="12" t="str">
        <f t="shared" si="23"/>
        <v>(64;48)</v>
      </c>
      <c r="AZ102" s="12" t="str">
        <f t="shared" si="23"/>
        <v>(64;49)</v>
      </c>
      <c r="BA102" s="12" t="str">
        <f t="shared" si="23"/>
        <v>(64;50)</v>
      </c>
      <c r="BB102" s="12" t="str">
        <f t="shared" si="23"/>
        <v>(64;51)</v>
      </c>
      <c r="BC102" s="12" t="str">
        <f t="shared" si="23"/>
        <v>(64;52)</v>
      </c>
      <c r="BD102" s="12" t="str">
        <f t="shared" si="23"/>
        <v>(64;53)</v>
      </c>
      <c r="BE102" s="12" t="str">
        <f t="shared" si="23"/>
        <v>(64;54)</v>
      </c>
      <c r="BF102" s="12" t="str">
        <f t="shared" si="23"/>
        <v>(64;55)</v>
      </c>
      <c r="BG102" s="12" t="str">
        <f t="shared" si="23"/>
        <v>(64;56)</v>
      </c>
      <c r="BH102" s="12" t="str">
        <f t="shared" si="23"/>
        <v>(64;57)</v>
      </c>
      <c r="BI102" s="12" t="str">
        <f t="shared" si="23"/>
        <v>(64;58)</v>
      </c>
      <c r="BJ102" s="12" t="str">
        <f t="shared" si="23"/>
        <v>(64;59)</v>
      </c>
      <c r="BK102" s="12" t="str">
        <f t="shared" si="23"/>
        <v>(64;60)</v>
      </c>
      <c r="BL102" s="12" t="str">
        <f t="shared" si="23"/>
        <v>(64;61)</v>
      </c>
      <c r="BM102" s="12" t="str">
        <f t="shared" si="18"/>
        <v>(64;62)</v>
      </c>
      <c r="BN102" s="12" t="str">
        <f t="shared" si="18"/>
        <v>(64;63)</v>
      </c>
    </row>
    <row r="103" spans="1:66">
      <c r="A103">
        <f>VLOOKUP(B103,Teste!$A$137:$G$236,7,FALSE)</f>
        <v>0</v>
      </c>
      <c r="B103">
        <f t="shared" si="7"/>
        <v>65</v>
      </c>
      <c r="C103" s="12" t="str">
        <f t="shared" si="26"/>
        <v>(65;00)</v>
      </c>
      <c r="D103" s="12" t="str">
        <f t="shared" si="26"/>
        <v>(65;01)</v>
      </c>
      <c r="E103" s="12" t="str">
        <f t="shared" si="26"/>
        <v>(65;02)</v>
      </c>
      <c r="F103" s="12" t="str">
        <f t="shared" si="26"/>
        <v>(65;03)</v>
      </c>
      <c r="G103" s="12" t="str">
        <f t="shared" si="26"/>
        <v>(65;04)</v>
      </c>
      <c r="H103" s="12" t="str">
        <f t="shared" si="26"/>
        <v>(65;05)</v>
      </c>
      <c r="I103" s="12" t="str">
        <f t="shared" si="26"/>
        <v>(65;06)</v>
      </c>
      <c r="J103" s="12" t="str">
        <f t="shared" si="26"/>
        <v>(65;07)</v>
      </c>
      <c r="K103" s="12" t="str">
        <f t="shared" si="26"/>
        <v>(65;08)</v>
      </c>
      <c r="L103" s="12" t="str">
        <f t="shared" si="26"/>
        <v>(65;09)</v>
      </c>
      <c r="M103" s="12" t="str">
        <f t="shared" si="26"/>
        <v>(65;10)</v>
      </c>
      <c r="N103" s="12" t="str">
        <f t="shared" si="26"/>
        <v>(65;11)</v>
      </c>
      <c r="O103" s="12" t="str">
        <f t="shared" si="26"/>
        <v>(65;12)</v>
      </c>
      <c r="P103" s="12" t="str">
        <f t="shared" si="26"/>
        <v>(65;13)</v>
      </c>
      <c r="Q103" s="12" t="str">
        <f t="shared" si="26"/>
        <v>(65;14)</v>
      </c>
      <c r="R103" s="12" t="str">
        <f t="shared" si="26"/>
        <v>(65;15)</v>
      </c>
      <c r="S103" s="12" t="str">
        <f t="shared" si="24"/>
        <v>(65;16)</v>
      </c>
      <c r="T103" s="12" t="str">
        <f t="shared" si="24"/>
        <v>(65;17)</v>
      </c>
      <c r="U103" s="12" t="str">
        <f t="shared" si="24"/>
        <v>(65;18)</v>
      </c>
      <c r="V103" s="12" t="str">
        <f t="shared" si="24"/>
        <v>(65;19)</v>
      </c>
      <c r="W103" s="12" t="str">
        <f t="shared" si="24"/>
        <v>(65;20)</v>
      </c>
      <c r="X103" s="12" t="str">
        <f t="shared" si="24"/>
        <v>(65;21)</v>
      </c>
      <c r="Y103" s="12" t="str">
        <f t="shared" si="24"/>
        <v>(65;22)</v>
      </c>
      <c r="Z103" s="12" t="str">
        <f t="shared" si="24"/>
        <v>(65;23)</v>
      </c>
      <c r="AA103" s="12" t="str">
        <f t="shared" si="24"/>
        <v>(65;24)</v>
      </c>
      <c r="AB103" s="12" t="str">
        <f t="shared" si="24"/>
        <v>(65;25)</v>
      </c>
      <c r="AC103" s="12" t="str">
        <f t="shared" si="24"/>
        <v>(65;26)</v>
      </c>
      <c r="AD103" s="12" t="str">
        <f t="shared" si="24"/>
        <v>(65;27)</v>
      </c>
      <c r="AE103" s="12" t="str">
        <f t="shared" si="24"/>
        <v>(65;28)</v>
      </c>
      <c r="AF103" s="12" t="str">
        <f t="shared" si="24"/>
        <v>(65;29)</v>
      </c>
      <c r="AG103" s="12" t="str">
        <f t="shared" si="24"/>
        <v>(65;30)</v>
      </c>
      <c r="AH103" s="12" t="str">
        <f t="shared" si="25"/>
        <v>(65;31)</v>
      </c>
      <c r="AI103" s="12" t="str">
        <f t="shared" si="25"/>
        <v>(65;32)</v>
      </c>
      <c r="AJ103" s="12" t="str">
        <f t="shared" si="25"/>
        <v>(65;33)</v>
      </c>
      <c r="AK103" s="12" t="str">
        <f t="shared" si="25"/>
        <v>(65;34)</v>
      </c>
      <c r="AL103" s="12" t="str">
        <f t="shared" si="25"/>
        <v>(65;35)</v>
      </c>
      <c r="AM103" s="12" t="str">
        <f t="shared" si="25"/>
        <v>(65;36)</v>
      </c>
      <c r="AN103" s="12" t="str">
        <f t="shared" si="25"/>
        <v>(65;37)</v>
      </c>
      <c r="AO103" s="12" t="str">
        <f t="shared" si="25"/>
        <v>(65;38)</v>
      </c>
      <c r="AP103" s="12" t="str">
        <f t="shared" si="25"/>
        <v>(65;39)</v>
      </c>
      <c r="AQ103" s="12" t="str">
        <f t="shared" si="25"/>
        <v>(65;40)</v>
      </c>
      <c r="AR103" s="12" t="str">
        <f t="shared" si="25"/>
        <v>(65;41)</v>
      </c>
      <c r="AS103" s="12" t="str">
        <f t="shared" si="25"/>
        <v>(65;42)</v>
      </c>
      <c r="AT103" s="12" t="str">
        <f t="shared" si="25"/>
        <v>(65;43)</v>
      </c>
      <c r="AU103" s="12" t="str">
        <f t="shared" si="25"/>
        <v>(65;44)</v>
      </c>
      <c r="AV103" s="12" t="str">
        <f t="shared" si="25"/>
        <v>(65;45)</v>
      </c>
      <c r="AW103" s="12" t="str">
        <f t="shared" si="25"/>
        <v>(65;46)</v>
      </c>
      <c r="AX103" s="12" t="str">
        <f t="shared" si="23"/>
        <v>(65;47)</v>
      </c>
      <c r="AY103" s="12" t="str">
        <f t="shared" si="23"/>
        <v>(65;48)</v>
      </c>
      <c r="AZ103" s="12" t="str">
        <f t="shared" si="23"/>
        <v>(65;49)</v>
      </c>
      <c r="BA103" s="12" t="str">
        <f t="shared" si="23"/>
        <v>(65;50)</v>
      </c>
      <c r="BB103" s="12" t="str">
        <f t="shared" si="23"/>
        <v>(65;51)</v>
      </c>
      <c r="BC103" s="12" t="str">
        <f t="shared" si="23"/>
        <v>(65;52)</v>
      </c>
      <c r="BD103" s="12" t="str">
        <f t="shared" si="23"/>
        <v>(65;53)</v>
      </c>
      <c r="BE103" s="12" t="str">
        <f t="shared" si="23"/>
        <v>(65;54)</v>
      </c>
      <c r="BF103" s="12" t="str">
        <f t="shared" si="23"/>
        <v>(65;55)</v>
      </c>
      <c r="BG103" s="12" t="str">
        <f t="shared" si="23"/>
        <v>(65;56)</v>
      </c>
      <c r="BH103" s="12" t="str">
        <f t="shared" si="23"/>
        <v>(65;57)</v>
      </c>
      <c r="BI103" s="12" t="str">
        <f t="shared" si="23"/>
        <v>(65;58)</v>
      </c>
      <c r="BJ103" s="12" t="str">
        <f t="shared" si="23"/>
        <v>(65;59)</v>
      </c>
      <c r="BK103" s="12" t="str">
        <f t="shared" si="23"/>
        <v>(65;60)</v>
      </c>
      <c r="BL103" s="12" t="str">
        <f t="shared" si="23"/>
        <v>(65;61)</v>
      </c>
      <c r="BM103" s="12" t="str">
        <f t="shared" si="18"/>
        <v>(65;62)</v>
      </c>
      <c r="BN103" s="12" t="str">
        <f t="shared" si="18"/>
        <v>(65;63)</v>
      </c>
    </row>
    <row r="104" spans="1:66">
      <c r="A104">
        <f>VLOOKUP(B104,Teste!$A$137:$G$236,7,FALSE)</f>
        <v>0</v>
      </c>
      <c r="B104">
        <f t="shared" ref="B104:B149" si="27">(IF(B103+1&lt;$B$16,B103+1,""))</f>
        <v>66</v>
      </c>
      <c r="C104" s="12" t="str">
        <f t="shared" si="26"/>
        <v>(66;00)</v>
      </c>
      <c r="D104" s="12" t="str">
        <f t="shared" si="26"/>
        <v>(66;01)</v>
      </c>
      <c r="E104" s="12" t="str">
        <f t="shared" si="26"/>
        <v>(66;02)</v>
      </c>
      <c r="F104" s="12" t="str">
        <f t="shared" si="26"/>
        <v>(66;03)</v>
      </c>
      <c r="G104" s="12" t="str">
        <f t="shared" si="26"/>
        <v>(66;04)</v>
      </c>
      <c r="H104" s="12" t="str">
        <f t="shared" si="26"/>
        <v>(66;05)</v>
      </c>
      <c r="I104" s="12" t="str">
        <f t="shared" si="26"/>
        <v>(66;06)</v>
      </c>
      <c r="J104" s="12" t="str">
        <f t="shared" si="26"/>
        <v>(66;07)</v>
      </c>
      <c r="K104" s="12" t="str">
        <f t="shared" si="26"/>
        <v>(66;08)</v>
      </c>
      <c r="L104" s="12" t="str">
        <f t="shared" si="26"/>
        <v>(66;09)</v>
      </c>
      <c r="M104" s="12" t="str">
        <f t="shared" si="26"/>
        <v>(66;10)</v>
      </c>
      <c r="N104" s="12" t="str">
        <f t="shared" si="26"/>
        <v>(66;11)</v>
      </c>
      <c r="O104" s="12" t="str">
        <f t="shared" si="26"/>
        <v>(66;12)</v>
      </c>
      <c r="P104" s="12" t="str">
        <f t="shared" si="26"/>
        <v>(66;13)</v>
      </c>
      <c r="Q104" s="12" t="str">
        <f t="shared" si="26"/>
        <v>(66;14)</v>
      </c>
      <c r="R104" s="12" t="str">
        <f t="shared" si="26"/>
        <v>(66;15)</v>
      </c>
      <c r="S104" s="12" t="str">
        <f t="shared" si="24"/>
        <v>(66;16)</v>
      </c>
      <c r="T104" s="12" t="str">
        <f t="shared" si="24"/>
        <v>(66;17)</v>
      </c>
      <c r="U104" s="12" t="str">
        <f t="shared" si="24"/>
        <v>(66;18)</v>
      </c>
      <c r="V104" s="12" t="str">
        <f t="shared" si="24"/>
        <v>(66;19)</v>
      </c>
      <c r="W104" s="12" t="str">
        <f t="shared" si="24"/>
        <v>(66;20)</v>
      </c>
      <c r="X104" s="12" t="str">
        <f t="shared" si="24"/>
        <v>(66;21)</v>
      </c>
      <c r="Y104" s="12" t="str">
        <f t="shared" si="24"/>
        <v>(66;22)</v>
      </c>
      <c r="Z104" s="12" t="str">
        <f t="shared" si="24"/>
        <v>(66;23)</v>
      </c>
      <c r="AA104" s="12" t="str">
        <f t="shared" si="24"/>
        <v>(66;24)</v>
      </c>
      <c r="AB104" s="12" t="str">
        <f t="shared" si="24"/>
        <v>(66;25)</v>
      </c>
      <c r="AC104" s="12" t="str">
        <f t="shared" si="24"/>
        <v>(66;26)</v>
      </c>
      <c r="AD104" s="12" t="str">
        <f t="shared" si="24"/>
        <v>(66;27)</v>
      </c>
      <c r="AE104" s="12" t="str">
        <f t="shared" si="24"/>
        <v>(66;28)</v>
      </c>
      <c r="AF104" s="12" t="str">
        <f t="shared" si="24"/>
        <v>(66;29)</v>
      </c>
      <c r="AG104" s="12" t="str">
        <f t="shared" si="24"/>
        <v>(66;30)</v>
      </c>
      <c r="AH104" s="12" t="str">
        <f t="shared" si="25"/>
        <v>(66;31)</v>
      </c>
      <c r="AI104" s="12" t="str">
        <f t="shared" si="25"/>
        <v>(66;32)</v>
      </c>
      <c r="AJ104" s="12" t="str">
        <f t="shared" si="25"/>
        <v>(66;33)</v>
      </c>
      <c r="AK104" s="12" t="str">
        <f t="shared" si="25"/>
        <v>(66;34)</v>
      </c>
      <c r="AL104" s="12" t="str">
        <f t="shared" si="25"/>
        <v>(66;35)</v>
      </c>
      <c r="AM104" s="12" t="str">
        <f t="shared" si="25"/>
        <v>(66;36)</v>
      </c>
      <c r="AN104" s="12" t="str">
        <f t="shared" si="25"/>
        <v>(66;37)</v>
      </c>
      <c r="AO104" s="12" t="str">
        <f t="shared" si="25"/>
        <v>(66;38)</v>
      </c>
      <c r="AP104" s="12" t="str">
        <f t="shared" si="25"/>
        <v>(66;39)</v>
      </c>
      <c r="AQ104" s="12" t="str">
        <f t="shared" si="25"/>
        <v>(66;40)</v>
      </c>
      <c r="AR104" s="12" t="str">
        <f t="shared" si="25"/>
        <v>(66;41)</v>
      </c>
      <c r="AS104" s="12" t="str">
        <f t="shared" si="25"/>
        <v>(66;42)</v>
      </c>
      <c r="AT104" s="12" t="str">
        <f t="shared" si="25"/>
        <v>(66;43)</v>
      </c>
      <c r="AU104" s="12" t="str">
        <f t="shared" si="25"/>
        <v>(66;44)</v>
      </c>
      <c r="AV104" s="12" t="str">
        <f t="shared" si="25"/>
        <v>(66;45)</v>
      </c>
      <c r="AW104" s="12" t="str">
        <f t="shared" si="25"/>
        <v>(66;46)</v>
      </c>
      <c r="AX104" s="12" t="str">
        <f t="shared" si="23"/>
        <v>(66;47)</v>
      </c>
      <c r="AY104" s="12" t="str">
        <f t="shared" si="23"/>
        <v>(66;48)</v>
      </c>
      <c r="AZ104" s="12" t="str">
        <f t="shared" si="23"/>
        <v>(66;49)</v>
      </c>
      <c r="BA104" s="12" t="str">
        <f t="shared" si="23"/>
        <v>(66;50)</v>
      </c>
      <c r="BB104" s="12" t="str">
        <f t="shared" si="23"/>
        <v>(66;51)</v>
      </c>
      <c r="BC104" s="12" t="str">
        <f t="shared" si="23"/>
        <v>(66;52)</v>
      </c>
      <c r="BD104" s="12" t="str">
        <f t="shared" si="23"/>
        <v>(66;53)</v>
      </c>
      <c r="BE104" s="12" t="str">
        <f t="shared" si="23"/>
        <v>(66;54)</v>
      </c>
      <c r="BF104" s="12" t="str">
        <f t="shared" si="23"/>
        <v>(66;55)</v>
      </c>
      <c r="BG104" s="12" t="str">
        <f t="shared" si="23"/>
        <v>(66;56)</v>
      </c>
      <c r="BH104" s="12" t="str">
        <f t="shared" si="23"/>
        <v>(66;57)</v>
      </c>
      <c r="BI104" s="12" t="str">
        <f t="shared" si="23"/>
        <v>(66;58)</v>
      </c>
      <c r="BJ104" s="12" t="str">
        <f t="shared" si="23"/>
        <v>(66;59)</v>
      </c>
      <c r="BK104" s="12" t="str">
        <f t="shared" si="23"/>
        <v>(66;60)</v>
      </c>
      <c r="BL104" s="12" t="str">
        <f t="shared" si="23"/>
        <v>(66;61)</v>
      </c>
      <c r="BM104" s="12" t="str">
        <f t="shared" si="18"/>
        <v>(66;62)</v>
      </c>
      <c r="BN104" s="12" t="str">
        <f t="shared" si="18"/>
        <v>(66;63)</v>
      </c>
    </row>
    <row r="105" spans="1:66">
      <c r="A105">
        <f>VLOOKUP(B105,Teste!$A$137:$G$236,7,FALSE)</f>
        <v>0</v>
      </c>
      <c r="B105">
        <f t="shared" si="27"/>
        <v>67</v>
      </c>
      <c r="C105" s="12" t="str">
        <f t="shared" si="26"/>
        <v>(67;00)</v>
      </c>
      <c r="D105" s="12" t="str">
        <f t="shared" si="26"/>
        <v>(67;01)</v>
      </c>
      <c r="E105" s="12" t="str">
        <f t="shared" si="26"/>
        <v>(67;02)</v>
      </c>
      <c r="F105" s="12" t="str">
        <f t="shared" si="26"/>
        <v>(67;03)</v>
      </c>
      <c r="G105" s="12" t="str">
        <f t="shared" si="26"/>
        <v>(67;04)</v>
      </c>
      <c r="H105" s="12" t="str">
        <f t="shared" si="26"/>
        <v>(67;05)</v>
      </c>
      <c r="I105" s="12" t="str">
        <f t="shared" si="26"/>
        <v>(67;06)</v>
      </c>
      <c r="J105" s="12" t="str">
        <f t="shared" si="26"/>
        <v>(67;07)</v>
      </c>
      <c r="K105" s="12" t="str">
        <f t="shared" si="26"/>
        <v>(67;08)</v>
      </c>
      <c r="L105" s="12" t="str">
        <f t="shared" si="26"/>
        <v>(67;09)</v>
      </c>
      <c r="M105" s="12" t="str">
        <f t="shared" si="26"/>
        <v>(67;10)</v>
      </c>
      <c r="N105" s="12" t="str">
        <f t="shared" si="26"/>
        <v>(67;11)</v>
      </c>
      <c r="O105" s="12" t="str">
        <f t="shared" si="26"/>
        <v>(67;12)</v>
      </c>
      <c r="P105" s="12" t="str">
        <f t="shared" si="26"/>
        <v>(67;13)</v>
      </c>
      <c r="Q105" s="12" t="str">
        <f t="shared" si="26"/>
        <v>(67;14)</v>
      </c>
      <c r="R105" s="12" t="str">
        <f t="shared" si="26"/>
        <v>(67;15)</v>
      </c>
      <c r="S105" s="12" t="str">
        <f t="shared" si="24"/>
        <v>(67;16)</v>
      </c>
      <c r="T105" s="12" t="str">
        <f t="shared" si="24"/>
        <v>(67;17)</v>
      </c>
      <c r="U105" s="12" t="str">
        <f t="shared" si="24"/>
        <v>(67;18)</v>
      </c>
      <c r="V105" s="12" t="str">
        <f t="shared" si="24"/>
        <v>(67;19)</v>
      </c>
      <c r="W105" s="12" t="str">
        <f t="shared" si="24"/>
        <v>(67;20)</v>
      </c>
      <c r="X105" s="12" t="str">
        <f t="shared" si="24"/>
        <v>(67;21)</v>
      </c>
      <c r="Y105" s="12" t="str">
        <f t="shared" si="24"/>
        <v>(67;22)</v>
      </c>
      <c r="Z105" s="12" t="str">
        <f t="shared" si="24"/>
        <v>(67;23)</v>
      </c>
      <c r="AA105" s="12" t="str">
        <f t="shared" si="24"/>
        <v>(67;24)</v>
      </c>
      <c r="AB105" s="12" t="str">
        <f t="shared" si="24"/>
        <v>(67;25)</v>
      </c>
      <c r="AC105" s="12" t="str">
        <f t="shared" si="24"/>
        <v>(67;26)</v>
      </c>
      <c r="AD105" s="12" t="str">
        <f t="shared" si="24"/>
        <v>(67;27)</v>
      </c>
      <c r="AE105" s="12" t="str">
        <f t="shared" si="24"/>
        <v>(67;28)</v>
      </c>
      <c r="AF105" s="12" t="str">
        <f t="shared" si="24"/>
        <v>(67;29)</v>
      </c>
      <c r="AG105" s="12" t="str">
        <f t="shared" si="24"/>
        <v>(67;30)</v>
      </c>
      <c r="AH105" s="12" t="str">
        <f t="shared" si="25"/>
        <v>(67;31)</v>
      </c>
      <c r="AI105" s="12" t="str">
        <f t="shared" si="25"/>
        <v>(67;32)</v>
      </c>
      <c r="AJ105" s="12" t="str">
        <f t="shared" si="25"/>
        <v>(67;33)</v>
      </c>
      <c r="AK105" s="12" t="str">
        <f t="shared" si="25"/>
        <v>(67;34)</v>
      </c>
      <c r="AL105" s="12" t="str">
        <f t="shared" si="25"/>
        <v>(67;35)</v>
      </c>
      <c r="AM105" s="12" t="str">
        <f t="shared" si="25"/>
        <v>(67;36)</v>
      </c>
      <c r="AN105" s="12" t="str">
        <f t="shared" si="25"/>
        <v>(67;37)</v>
      </c>
      <c r="AO105" s="12" t="str">
        <f t="shared" si="25"/>
        <v>(67;38)</v>
      </c>
      <c r="AP105" s="12" t="str">
        <f t="shared" si="25"/>
        <v>(67;39)</v>
      </c>
      <c r="AQ105" s="12" t="str">
        <f t="shared" si="25"/>
        <v>(67;40)</v>
      </c>
      <c r="AR105" s="12" t="str">
        <f t="shared" si="25"/>
        <v>(67;41)</v>
      </c>
      <c r="AS105" s="12" t="str">
        <f t="shared" si="25"/>
        <v>(67;42)</v>
      </c>
      <c r="AT105" s="12" t="str">
        <f t="shared" si="25"/>
        <v>(67;43)</v>
      </c>
      <c r="AU105" s="12" t="str">
        <f t="shared" si="25"/>
        <v>(67;44)</v>
      </c>
      <c r="AV105" s="12" t="str">
        <f t="shared" si="25"/>
        <v>(67;45)</v>
      </c>
      <c r="AW105" s="12" t="str">
        <f t="shared" ref="AW105:BL120" si="28">CONCATENATE("(",TEXT($B105,"00"),";",TEXT(AW$37,"00"),")")</f>
        <v>(67;46)</v>
      </c>
      <c r="AX105" s="12" t="str">
        <f t="shared" si="28"/>
        <v>(67;47)</v>
      </c>
      <c r="AY105" s="12" t="str">
        <f t="shared" si="28"/>
        <v>(67;48)</v>
      </c>
      <c r="AZ105" s="12" t="str">
        <f t="shared" si="28"/>
        <v>(67;49)</v>
      </c>
      <c r="BA105" s="12" t="str">
        <f t="shared" si="28"/>
        <v>(67;50)</v>
      </c>
      <c r="BB105" s="12" t="str">
        <f t="shared" si="28"/>
        <v>(67;51)</v>
      </c>
      <c r="BC105" s="12" t="str">
        <f t="shared" si="28"/>
        <v>(67;52)</v>
      </c>
      <c r="BD105" s="12" t="str">
        <f t="shared" si="28"/>
        <v>(67;53)</v>
      </c>
      <c r="BE105" s="12" t="str">
        <f t="shared" si="28"/>
        <v>(67;54)</v>
      </c>
      <c r="BF105" s="12" t="str">
        <f t="shared" si="28"/>
        <v>(67;55)</v>
      </c>
      <c r="BG105" s="12" t="str">
        <f t="shared" si="28"/>
        <v>(67;56)</v>
      </c>
      <c r="BH105" s="12" t="str">
        <f t="shared" si="28"/>
        <v>(67;57)</v>
      </c>
      <c r="BI105" s="12" t="str">
        <f t="shared" si="28"/>
        <v>(67;58)</v>
      </c>
      <c r="BJ105" s="12" t="str">
        <f t="shared" si="28"/>
        <v>(67;59)</v>
      </c>
      <c r="BK105" s="12" t="str">
        <f t="shared" si="28"/>
        <v>(67;60)</v>
      </c>
      <c r="BL105" s="12" t="str">
        <f t="shared" si="28"/>
        <v>(67;61)</v>
      </c>
      <c r="BM105" s="12" t="str">
        <f t="shared" si="18"/>
        <v>(67;62)</v>
      </c>
      <c r="BN105" s="12" t="str">
        <f t="shared" si="18"/>
        <v>(67;63)</v>
      </c>
    </row>
    <row r="106" spans="1:66">
      <c r="A106">
        <f>VLOOKUP(B106,Teste!$A$137:$G$236,7,FALSE)</f>
        <v>0</v>
      </c>
      <c r="B106">
        <f t="shared" si="27"/>
        <v>68</v>
      </c>
      <c r="C106" s="12" t="str">
        <f t="shared" si="26"/>
        <v>(68;00)</v>
      </c>
      <c r="D106" s="12" t="str">
        <f t="shared" si="26"/>
        <v>(68;01)</v>
      </c>
      <c r="E106" s="12" t="str">
        <f t="shared" si="26"/>
        <v>(68;02)</v>
      </c>
      <c r="F106" s="12" t="str">
        <f t="shared" si="26"/>
        <v>(68;03)</v>
      </c>
      <c r="G106" s="12" t="str">
        <f t="shared" si="26"/>
        <v>(68;04)</v>
      </c>
      <c r="H106" s="12" t="str">
        <f t="shared" si="26"/>
        <v>(68;05)</v>
      </c>
      <c r="I106" s="12" t="str">
        <f t="shared" si="26"/>
        <v>(68;06)</v>
      </c>
      <c r="J106" s="12" t="str">
        <f t="shared" si="26"/>
        <v>(68;07)</v>
      </c>
      <c r="K106" s="12" t="str">
        <f t="shared" si="26"/>
        <v>(68;08)</v>
      </c>
      <c r="L106" s="12" t="str">
        <f t="shared" si="26"/>
        <v>(68;09)</v>
      </c>
      <c r="M106" s="12" t="str">
        <f t="shared" si="26"/>
        <v>(68;10)</v>
      </c>
      <c r="N106" s="12" t="str">
        <f t="shared" si="26"/>
        <v>(68;11)</v>
      </c>
      <c r="O106" s="12" t="str">
        <f t="shared" si="26"/>
        <v>(68;12)</v>
      </c>
      <c r="P106" s="12" t="str">
        <f t="shared" si="26"/>
        <v>(68;13)</v>
      </c>
      <c r="Q106" s="12" t="str">
        <f t="shared" si="26"/>
        <v>(68;14)</v>
      </c>
      <c r="R106" s="12" t="str">
        <f t="shared" ref="R106:AG121" si="29">CONCATENATE("(",TEXT($B106,"00"),";",TEXT(R$37,"00"),")")</f>
        <v>(68;15)</v>
      </c>
      <c r="S106" s="12" t="str">
        <f t="shared" si="29"/>
        <v>(68;16)</v>
      </c>
      <c r="T106" s="12" t="str">
        <f t="shared" si="29"/>
        <v>(68;17)</v>
      </c>
      <c r="U106" s="12" t="str">
        <f t="shared" si="29"/>
        <v>(68;18)</v>
      </c>
      <c r="V106" s="12" t="str">
        <f t="shared" si="29"/>
        <v>(68;19)</v>
      </c>
      <c r="W106" s="12" t="str">
        <f t="shared" si="29"/>
        <v>(68;20)</v>
      </c>
      <c r="X106" s="12" t="str">
        <f t="shared" si="29"/>
        <v>(68;21)</v>
      </c>
      <c r="Y106" s="12" t="str">
        <f t="shared" si="29"/>
        <v>(68;22)</v>
      </c>
      <c r="Z106" s="12" t="str">
        <f t="shared" si="29"/>
        <v>(68;23)</v>
      </c>
      <c r="AA106" s="12" t="str">
        <f t="shared" si="29"/>
        <v>(68;24)</v>
      </c>
      <c r="AB106" s="12" t="str">
        <f t="shared" si="29"/>
        <v>(68;25)</v>
      </c>
      <c r="AC106" s="12" t="str">
        <f t="shared" si="29"/>
        <v>(68;26)</v>
      </c>
      <c r="AD106" s="12" t="str">
        <f t="shared" si="29"/>
        <v>(68;27)</v>
      </c>
      <c r="AE106" s="12" t="str">
        <f t="shared" si="29"/>
        <v>(68;28)</v>
      </c>
      <c r="AF106" s="12" t="str">
        <f t="shared" si="29"/>
        <v>(68;29)</v>
      </c>
      <c r="AG106" s="12" t="str">
        <f t="shared" si="29"/>
        <v>(68;30)</v>
      </c>
      <c r="AH106" s="12" t="str">
        <f t="shared" ref="AH106:AW121" si="30">CONCATENATE("(",TEXT($B106,"00"),";",TEXT(AH$37,"00"),")")</f>
        <v>(68;31)</v>
      </c>
      <c r="AI106" s="12" t="str">
        <f t="shared" si="30"/>
        <v>(68;32)</v>
      </c>
      <c r="AJ106" s="12" t="str">
        <f t="shared" si="30"/>
        <v>(68;33)</v>
      </c>
      <c r="AK106" s="12" t="str">
        <f t="shared" si="30"/>
        <v>(68;34)</v>
      </c>
      <c r="AL106" s="12" t="str">
        <f t="shared" si="30"/>
        <v>(68;35)</v>
      </c>
      <c r="AM106" s="12" t="str">
        <f t="shared" si="30"/>
        <v>(68;36)</v>
      </c>
      <c r="AN106" s="12" t="str">
        <f t="shared" si="30"/>
        <v>(68;37)</v>
      </c>
      <c r="AO106" s="12" t="str">
        <f t="shared" si="30"/>
        <v>(68;38)</v>
      </c>
      <c r="AP106" s="12" t="str">
        <f t="shared" si="30"/>
        <v>(68;39)</v>
      </c>
      <c r="AQ106" s="12" t="str">
        <f t="shared" si="30"/>
        <v>(68;40)</v>
      </c>
      <c r="AR106" s="12" t="str">
        <f t="shared" si="30"/>
        <v>(68;41)</v>
      </c>
      <c r="AS106" s="12" t="str">
        <f t="shared" si="30"/>
        <v>(68;42)</v>
      </c>
      <c r="AT106" s="12" t="str">
        <f t="shared" si="30"/>
        <v>(68;43)</v>
      </c>
      <c r="AU106" s="12" t="str">
        <f t="shared" si="30"/>
        <v>(68;44)</v>
      </c>
      <c r="AV106" s="12" t="str">
        <f t="shared" si="30"/>
        <v>(68;45)</v>
      </c>
      <c r="AW106" s="12" t="str">
        <f t="shared" si="30"/>
        <v>(68;46)</v>
      </c>
      <c r="AX106" s="12" t="str">
        <f t="shared" si="28"/>
        <v>(68;47)</v>
      </c>
      <c r="AY106" s="12" t="str">
        <f t="shared" si="28"/>
        <v>(68;48)</v>
      </c>
      <c r="AZ106" s="12" t="str">
        <f t="shared" si="28"/>
        <v>(68;49)</v>
      </c>
      <c r="BA106" s="12" t="str">
        <f t="shared" si="28"/>
        <v>(68;50)</v>
      </c>
      <c r="BB106" s="12" t="str">
        <f t="shared" si="28"/>
        <v>(68;51)</v>
      </c>
      <c r="BC106" s="12" t="str">
        <f t="shared" si="28"/>
        <v>(68;52)</v>
      </c>
      <c r="BD106" s="12" t="str">
        <f t="shared" si="28"/>
        <v>(68;53)</v>
      </c>
      <c r="BE106" s="12" t="str">
        <f t="shared" si="28"/>
        <v>(68;54)</v>
      </c>
      <c r="BF106" s="12" t="str">
        <f t="shared" si="28"/>
        <v>(68;55)</v>
      </c>
      <c r="BG106" s="12" t="str">
        <f t="shared" si="28"/>
        <v>(68;56)</v>
      </c>
      <c r="BH106" s="12" t="str">
        <f t="shared" si="28"/>
        <v>(68;57)</v>
      </c>
      <c r="BI106" s="12" t="str">
        <f t="shared" si="28"/>
        <v>(68;58)</v>
      </c>
      <c r="BJ106" s="12" t="str">
        <f t="shared" si="28"/>
        <v>(68;59)</v>
      </c>
      <c r="BK106" s="12" t="str">
        <f t="shared" si="28"/>
        <v>(68;60)</v>
      </c>
      <c r="BL106" s="12" t="str">
        <f t="shared" si="28"/>
        <v>(68;61)</v>
      </c>
      <c r="BM106" s="12" t="str">
        <f t="shared" si="18"/>
        <v>(68;62)</v>
      </c>
      <c r="BN106" s="12" t="str">
        <f t="shared" si="18"/>
        <v>(68;63)</v>
      </c>
    </row>
    <row r="107" spans="1:66">
      <c r="A107">
        <f>VLOOKUP(B107,Teste!$A$137:$G$236,7,FALSE)</f>
        <v>0</v>
      </c>
      <c r="B107">
        <f t="shared" si="27"/>
        <v>69</v>
      </c>
      <c r="C107" s="12" t="str">
        <f t="shared" ref="C107:R122" si="31">CONCATENATE("(",TEXT($B107,"00"),";",TEXT(C$37,"00"),")")</f>
        <v>(69;00)</v>
      </c>
      <c r="D107" s="12" t="str">
        <f t="shared" si="31"/>
        <v>(69;01)</v>
      </c>
      <c r="E107" s="12" t="str">
        <f t="shared" si="31"/>
        <v>(69;02)</v>
      </c>
      <c r="F107" s="12" t="str">
        <f t="shared" si="31"/>
        <v>(69;03)</v>
      </c>
      <c r="G107" s="12" t="str">
        <f t="shared" si="31"/>
        <v>(69;04)</v>
      </c>
      <c r="H107" s="12" t="str">
        <f t="shared" si="31"/>
        <v>(69;05)</v>
      </c>
      <c r="I107" s="12" t="str">
        <f t="shared" si="31"/>
        <v>(69;06)</v>
      </c>
      <c r="J107" s="12" t="str">
        <f t="shared" si="31"/>
        <v>(69;07)</v>
      </c>
      <c r="K107" s="12" t="str">
        <f t="shared" si="31"/>
        <v>(69;08)</v>
      </c>
      <c r="L107" s="12" t="str">
        <f t="shared" si="31"/>
        <v>(69;09)</v>
      </c>
      <c r="M107" s="12" t="str">
        <f t="shared" si="31"/>
        <v>(69;10)</v>
      </c>
      <c r="N107" s="12" t="str">
        <f t="shared" si="31"/>
        <v>(69;11)</v>
      </c>
      <c r="O107" s="12" t="str">
        <f t="shared" si="31"/>
        <v>(69;12)</v>
      </c>
      <c r="P107" s="12" t="str">
        <f t="shared" si="31"/>
        <v>(69;13)</v>
      </c>
      <c r="Q107" s="12" t="str">
        <f t="shared" si="31"/>
        <v>(69;14)</v>
      </c>
      <c r="R107" s="12" t="str">
        <f t="shared" si="31"/>
        <v>(69;15)</v>
      </c>
      <c r="S107" s="12" t="str">
        <f t="shared" si="29"/>
        <v>(69;16)</v>
      </c>
      <c r="T107" s="12" t="str">
        <f t="shared" si="29"/>
        <v>(69;17)</v>
      </c>
      <c r="U107" s="12" t="str">
        <f t="shared" si="29"/>
        <v>(69;18)</v>
      </c>
      <c r="V107" s="12" t="str">
        <f t="shared" si="29"/>
        <v>(69;19)</v>
      </c>
      <c r="W107" s="12" t="str">
        <f t="shared" si="29"/>
        <v>(69;20)</v>
      </c>
      <c r="X107" s="12" t="str">
        <f t="shared" si="29"/>
        <v>(69;21)</v>
      </c>
      <c r="Y107" s="12" t="str">
        <f t="shared" si="29"/>
        <v>(69;22)</v>
      </c>
      <c r="Z107" s="12" t="str">
        <f t="shared" si="29"/>
        <v>(69;23)</v>
      </c>
      <c r="AA107" s="12" t="str">
        <f t="shared" si="29"/>
        <v>(69;24)</v>
      </c>
      <c r="AB107" s="12" t="str">
        <f t="shared" si="29"/>
        <v>(69;25)</v>
      </c>
      <c r="AC107" s="12" t="str">
        <f t="shared" si="29"/>
        <v>(69;26)</v>
      </c>
      <c r="AD107" s="12" t="str">
        <f t="shared" si="29"/>
        <v>(69;27)</v>
      </c>
      <c r="AE107" s="12" t="str">
        <f t="shared" si="29"/>
        <v>(69;28)</v>
      </c>
      <c r="AF107" s="12" t="str">
        <f t="shared" si="29"/>
        <v>(69;29)</v>
      </c>
      <c r="AG107" s="12" t="str">
        <f t="shared" si="29"/>
        <v>(69;30)</v>
      </c>
      <c r="AH107" s="12" t="str">
        <f t="shared" si="30"/>
        <v>(69;31)</v>
      </c>
      <c r="AI107" s="12" t="str">
        <f t="shared" si="30"/>
        <v>(69;32)</v>
      </c>
      <c r="AJ107" s="12" t="str">
        <f t="shared" si="30"/>
        <v>(69;33)</v>
      </c>
      <c r="AK107" s="12" t="str">
        <f t="shared" si="30"/>
        <v>(69;34)</v>
      </c>
      <c r="AL107" s="12" t="str">
        <f t="shared" si="30"/>
        <v>(69;35)</v>
      </c>
      <c r="AM107" s="12" t="str">
        <f t="shared" si="30"/>
        <v>(69;36)</v>
      </c>
      <c r="AN107" s="12" t="str">
        <f t="shared" si="30"/>
        <v>(69;37)</v>
      </c>
      <c r="AO107" s="12" t="str">
        <f t="shared" si="30"/>
        <v>(69;38)</v>
      </c>
      <c r="AP107" s="12" t="str">
        <f t="shared" si="30"/>
        <v>(69;39)</v>
      </c>
      <c r="AQ107" s="12" t="str">
        <f t="shared" si="30"/>
        <v>(69;40)</v>
      </c>
      <c r="AR107" s="12" t="str">
        <f t="shared" si="30"/>
        <v>(69;41)</v>
      </c>
      <c r="AS107" s="12" t="str">
        <f t="shared" si="30"/>
        <v>(69;42)</v>
      </c>
      <c r="AT107" s="12" t="str">
        <f t="shared" si="30"/>
        <v>(69;43)</v>
      </c>
      <c r="AU107" s="12" t="str">
        <f t="shared" si="30"/>
        <v>(69;44)</v>
      </c>
      <c r="AV107" s="12" t="str">
        <f t="shared" si="30"/>
        <v>(69;45)</v>
      </c>
      <c r="AW107" s="12" t="str">
        <f t="shared" si="30"/>
        <v>(69;46)</v>
      </c>
      <c r="AX107" s="12" t="str">
        <f t="shared" si="28"/>
        <v>(69;47)</v>
      </c>
      <c r="AY107" s="12" t="str">
        <f t="shared" si="28"/>
        <v>(69;48)</v>
      </c>
      <c r="AZ107" s="12" t="str">
        <f t="shared" si="28"/>
        <v>(69;49)</v>
      </c>
      <c r="BA107" s="12" t="str">
        <f t="shared" si="28"/>
        <v>(69;50)</v>
      </c>
      <c r="BB107" s="12" t="str">
        <f t="shared" si="28"/>
        <v>(69;51)</v>
      </c>
      <c r="BC107" s="12" t="str">
        <f t="shared" si="28"/>
        <v>(69;52)</v>
      </c>
      <c r="BD107" s="12" t="str">
        <f t="shared" si="28"/>
        <v>(69;53)</v>
      </c>
      <c r="BE107" s="12" t="str">
        <f t="shared" si="28"/>
        <v>(69;54)</v>
      </c>
      <c r="BF107" s="12" t="str">
        <f t="shared" si="28"/>
        <v>(69;55)</v>
      </c>
      <c r="BG107" s="12" t="str">
        <f t="shared" si="28"/>
        <v>(69;56)</v>
      </c>
      <c r="BH107" s="12" t="str">
        <f t="shared" si="28"/>
        <v>(69;57)</v>
      </c>
      <c r="BI107" s="12" t="str">
        <f t="shared" si="28"/>
        <v>(69;58)</v>
      </c>
      <c r="BJ107" s="12" t="str">
        <f t="shared" si="28"/>
        <v>(69;59)</v>
      </c>
      <c r="BK107" s="12" t="str">
        <f t="shared" si="28"/>
        <v>(69;60)</v>
      </c>
      <c r="BL107" s="12" t="str">
        <f t="shared" si="28"/>
        <v>(69;61)</v>
      </c>
      <c r="BM107" s="12" t="str">
        <f t="shared" si="18"/>
        <v>(69;62)</v>
      </c>
      <c r="BN107" s="12" t="str">
        <f t="shared" si="18"/>
        <v>(69;63)</v>
      </c>
    </row>
    <row r="108" spans="1:66">
      <c r="A108">
        <f>VLOOKUP(B108,Teste!$A$137:$G$236,7,FALSE)</f>
        <v>0</v>
      </c>
      <c r="B108">
        <f t="shared" si="27"/>
        <v>70</v>
      </c>
      <c r="C108" s="12" t="str">
        <f t="shared" si="31"/>
        <v>(70;00)</v>
      </c>
      <c r="D108" s="12" t="str">
        <f t="shared" si="31"/>
        <v>(70;01)</v>
      </c>
      <c r="E108" s="12" t="str">
        <f t="shared" si="31"/>
        <v>(70;02)</v>
      </c>
      <c r="F108" s="12" t="str">
        <f t="shared" si="31"/>
        <v>(70;03)</v>
      </c>
      <c r="G108" s="12" t="str">
        <f t="shared" si="31"/>
        <v>(70;04)</v>
      </c>
      <c r="H108" s="12" t="str">
        <f t="shared" si="31"/>
        <v>(70;05)</v>
      </c>
      <c r="I108" s="12" t="str">
        <f t="shared" si="31"/>
        <v>(70;06)</v>
      </c>
      <c r="J108" s="12" t="str">
        <f t="shared" si="31"/>
        <v>(70;07)</v>
      </c>
      <c r="K108" s="12" t="str">
        <f t="shared" si="31"/>
        <v>(70;08)</v>
      </c>
      <c r="L108" s="12" t="str">
        <f t="shared" si="31"/>
        <v>(70;09)</v>
      </c>
      <c r="M108" s="12" t="str">
        <f t="shared" si="31"/>
        <v>(70;10)</v>
      </c>
      <c r="N108" s="12" t="str">
        <f t="shared" si="31"/>
        <v>(70;11)</v>
      </c>
      <c r="O108" s="12" t="str">
        <f t="shared" si="31"/>
        <v>(70;12)</v>
      </c>
      <c r="P108" s="12" t="str">
        <f t="shared" si="31"/>
        <v>(70;13)</v>
      </c>
      <c r="Q108" s="12" t="str">
        <f t="shared" si="31"/>
        <v>(70;14)</v>
      </c>
      <c r="R108" s="12" t="str">
        <f t="shared" si="31"/>
        <v>(70;15)</v>
      </c>
      <c r="S108" s="12" t="str">
        <f t="shared" si="29"/>
        <v>(70;16)</v>
      </c>
      <c r="T108" s="12" t="str">
        <f t="shared" si="29"/>
        <v>(70;17)</v>
      </c>
      <c r="U108" s="12" t="str">
        <f t="shared" si="29"/>
        <v>(70;18)</v>
      </c>
      <c r="V108" s="12" t="str">
        <f t="shared" si="29"/>
        <v>(70;19)</v>
      </c>
      <c r="W108" s="12" t="str">
        <f t="shared" si="29"/>
        <v>(70;20)</v>
      </c>
      <c r="X108" s="12" t="str">
        <f t="shared" si="29"/>
        <v>(70;21)</v>
      </c>
      <c r="Y108" s="12" t="str">
        <f t="shared" si="29"/>
        <v>(70;22)</v>
      </c>
      <c r="Z108" s="12" t="str">
        <f t="shared" si="29"/>
        <v>(70;23)</v>
      </c>
      <c r="AA108" s="12" t="str">
        <f t="shared" si="29"/>
        <v>(70;24)</v>
      </c>
      <c r="AB108" s="12" t="str">
        <f t="shared" si="29"/>
        <v>(70;25)</v>
      </c>
      <c r="AC108" s="12" t="str">
        <f t="shared" si="29"/>
        <v>(70;26)</v>
      </c>
      <c r="AD108" s="12" t="str">
        <f t="shared" si="29"/>
        <v>(70;27)</v>
      </c>
      <c r="AE108" s="12" t="str">
        <f t="shared" si="29"/>
        <v>(70;28)</v>
      </c>
      <c r="AF108" s="12" t="str">
        <f t="shared" si="29"/>
        <v>(70;29)</v>
      </c>
      <c r="AG108" s="12" t="str">
        <f t="shared" si="29"/>
        <v>(70;30)</v>
      </c>
      <c r="AH108" s="12" t="str">
        <f t="shared" si="30"/>
        <v>(70;31)</v>
      </c>
      <c r="AI108" s="12" t="str">
        <f t="shared" si="30"/>
        <v>(70;32)</v>
      </c>
      <c r="AJ108" s="12" t="str">
        <f t="shared" si="30"/>
        <v>(70;33)</v>
      </c>
      <c r="AK108" s="12" t="str">
        <f t="shared" si="30"/>
        <v>(70;34)</v>
      </c>
      <c r="AL108" s="12" t="str">
        <f t="shared" si="30"/>
        <v>(70;35)</v>
      </c>
      <c r="AM108" s="12" t="str">
        <f t="shared" si="30"/>
        <v>(70;36)</v>
      </c>
      <c r="AN108" s="12" t="str">
        <f t="shared" si="30"/>
        <v>(70;37)</v>
      </c>
      <c r="AO108" s="12" t="str">
        <f t="shared" si="30"/>
        <v>(70;38)</v>
      </c>
      <c r="AP108" s="12" t="str">
        <f t="shared" si="30"/>
        <v>(70;39)</v>
      </c>
      <c r="AQ108" s="12" t="str">
        <f t="shared" si="30"/>
        <v>(70;40)</v>
      </c>
      <c r="AR108" s="12" t="str">
        <f t="shared" si="30"/>
        <v>(70;41)</v>
      </c>
      <c r="AS108" s="12" t="str">
        <f t="shared" si="30"/>
        <v>(70;42)</v>
      </c>
      <c r="AT108" s="12" t="str">
        <f t="shared" si="30"/>
        <v>(70;43)</v>
      </c>
      <c r="AU108" s="12" t="str">
        <f t="shared" si="30"/>
        <v>(70;44)</v>
      </c>
      <c r="AV108" s="12" t="str">
        <f t="shared" si="30"/>
        <v>(70;45)</v>
      </c>
      <c r="AW108" s="12" t="str">
        <f t="shared" si="30"/>
        <v>(70;46)</v>
      </c>
      <c r="AX108" s="12" t="str">
        <f t="shared" si="28"/>
        <v>(70;47)</v>
      </c>
      <c r="AY108" s="12" t="str">
        <f t="shared" si="28"/>
        <v>(70;48)</v>
      </c>
      <c r="AZ108" s="12" t="str">
        <f t="shared" si="28"/>
        <v>(70;49)</v>
      </c>
      <c r="BA108" s="12" t="str">
        <f t="shared" si="28"/>
        <v>(70;50)</v>
      </c>
      <c r="BB108" s="12" t="str">
        <f t="shared" si="28"/>
        <v>(70;51)</v>
      </c>
      <c r="BC108" s="12" t="str">
        <f t="shared" si="28"/>
        <v>(70;52)</v>
      </c>
      <c r="BD108" s="12" t="str">
        <f t="shared" si="28"/>
        <v>(70;53)</v>
      </c>
      <c r="BE108" s="12" t="str">
        <f t="shared" si="28"/>
        <v>(70;54)</v>
      </c>
      <c r="BF108" s="12" t="str">
        <f t="shared" si="28"/>
        <v>(70;55)</v>
      </c>
      <c r="BG108" s="12" t="str">
        <f t="shared" si="28"/>
        <v>(70;56)</v>
      </c>
      <c r="BH108" s="12" t="str">
        <f t="shared" si="28"/>
        <v>(70;57)</v>
      </c>
      <c r="BI108" s="12" t="str">
        <f t="shared" si="28"/>
        <v>(70;58)</v>
      </c>
      <c r="BJ108" s="12" t="str">
        <f t="shared" si="28"/>
        <v>(70;59)</v>
      </c>
      <c r="BK108" s="12" t="str">
        <f t="shared" si="28"/>
        <v>(70;60)</v>
      </c>
      <c r="BL108" s="12" t="str">
        <f t="shared" si="28"/>
        <v>(70;61)</v>
      </c>
      <c r="BM108" s="12" t="str">
        <f t="shared" si="18"/>
        <v>(70;62)</v>
      </c>
      <c r="BN108" s="12" t="str">
        <f t="shared" si="18"/>
        <v>(70;63)</v>
      </c>
    </row>
    <row r="109" spans="1:66">
      <c r="A109">
        <f>VLOOKUP(B109,Teste!$A$137:$G$236,7,FALSE)</f>
        <v>0</v>
      </c>
      <c r="B109">
        <f t="shared" si="27"/>
        <v>71</v>
      </c>
      <c r="C109" s="12" t="str">
        <f t="shared" si="31"/>
        <v>(71;00)</v>
      </c>
      <c r="D109" s="12" t="str">
        <f t="shared" si="31"/>
        <v>(71;01)</v>
      </c>
      <c r="E109" s="12" t="str">
        <f t="shared" si="31"/>
        <v>(71;02)</v>
      </c>
      <c r="F109" s="12" t="str">
        <f t="shared" si="31"/>
        <v>(71;03)</v>
      </c>
      <c r="G109" s="12" t="str">
        <f t="shared" si="31"/>
        <v>(71;04)</v>
      </c>
      <c r="H109" s="12" t="str">
        <f t="shared" si="31"/>
        <v>(71;05)</v>
      </c>
      <c r="I109" s="12" t="str">
        <f t="shared" si="31"/>
        <v>(71;06)</v>
      </c>
      <c r="J109" s="12" t="str">
        <f t="shared" si="31"/>
        <v>(71;07)</v>
      </c>
      <c r="K109" s="12" t="str">
        <f t="shared" si="31"/>
        <v>(71;08)</v>
      </c>
      <c r="L109" s="12" t="str">
        <f t="shared" si="31"/>
        <v>(71;09)</v>
      </c>
      <c r="M109" s="12" t="str">
        <f t="shared" si="31"/>
        <v>(71;10)</v>
      </c>
      <c r="N109" s="12" t="str">
        <f t="shared" si="31"/>
        <v>(71;11)</v>
      </c>
      <c r="O109" s="12" t="str">
        <f t="shared" si="31"/>
        <v>(71;12)</v>
      </c>
      <c r="P109" s="12" t="str">
        <f t="shared" si="31"/>
        <v>(71;13)</v>
      </c>
      <c r="Q109" s="12" t="str">
        <f t="shared" si="31"/>
        <v>(71;14)</v>
      </c>
      <c r="R109" s="12" t="str">
        <f t="shared" si="31"/>
        <v>(71;15)</v>
      </c>
      <c r="S109" s="12" t="str">
        <f t="shared" si="29"/>
        <v>(71;16)</v>
      </c>
      <c r="T109" s="12" t="str">
        <f t="shared" si="29"/>
        <v>(71;17)</v>
      </c>
      <c r="U109" s="12" t="str">
        <f t="shared" si="29"/>
        <v>(71;18)</v>
      </c>
      <c r="V109" s="12" t="str">
        <f t="shared" si="29"/>
        <v>(71;19)</v>
      </c>
      <c r="W109" s="12" t="str">
        <f t="shared" si="29"/>
        <v>(71;20)</v>
      </c>
      <c r="X109" s="12" t="str">
        <f t="shared" si="29"/>
        <v>(71;21)</v>
      </c>
      <c r="Y109" s="12" t="str">
        <f t="shared" si="29"/>
        <v>(71;22)</v>
      </c>
      <c r="Z109" s="12" t="str">
        <f t="shared" si="29"/>
        <v>(71;23)</v>
      </c>
      <c r="AA109" s="12" t="str">
        <f t="shared" si="29"/>
        <v>(71;24)</v>
      </c>
      <c r="AB109" s="12" t="str">
        <f t="shared" si="29"/>
        <v>(71;25)</v>
      </c>
      <c r="AC109" s="12" t="str">
        <f t="shared" si="29"/>
        <v>(71;26)</v>
      </c>
      <c r="AD109" s="12" t="str">
        <f t="shared" si="29"/>
        <v>(71;27)</v>
      </c>
      <c r="AE109" s="12" t="str">
        <f t="shared" si="29"/>
        <v>(71;28)</v>
      </c>
      <c r="AF109" s="12" t="str">
        <f t="shared" si="29"/>
        <v>(71;29)</v>
      </c>
      <c r="AG109" s="12" t="str">
        <f t="shared" si="29"/>
        <v>(71;30)</v>
      </c>
      <c r="AH109" s="12" t="str">
        <f t="shared" si="30"/>
        <v>(71;31)</v>
      </c>
      <c r="AI109" s="12" t="str">
        <f t="shared" si="30"/>
        <v>(71;32)</v>
      </c>
      <c r="AJ109" s="12" t="str">
        <f t="shared" si="30"/>
        <v>(71;33)</v>
      </c>
      <c r="AK109" s="12" t="str">
        <f t="shared" si="30"/>
        <v>(71;34)</v>
      </c>
      <c r="AL109" s="12" t="str">
        <f t="shared" si="30"/>
        <v>(71;35)</v>
      </c>
      <c r="AM109" s="12" t="str">
        <f t="shared" si="30"/>
        <v>(71;36)</v>
      </c>
      <c r="AN109" s="12" t="str">
        <f t="shared" si="30"/>
        <v>(71;37)</v>
      </c>
      <c r="AO109" s="12" t="str">
        <f t="shared" si="30"/>
        <v>(71;38)</v>
      </c>
      <c r="AP109" s="12" t="str">
        <f t="shared" si="30"/>
        <v>(71;39)</v>
      </c>
      <c r="AQ109" s="12" t="str">
        <f t="shared" si="30"/>
        <v>(71;40)</v>
      </c>
      <c r="AR109" s="12" t="str">
        <f t="shared" si="30"/>
        <v>(71;41)</v>
      </c>
      <c r="AS109" s="12" t="str">
        <f t="shared" si="30"/>
        <v>(71;42)</v>
      </c>
      <c r="AT109" s="12" t="str">
        <f t="shared" si="30"/>
        <v>(71;43)</v>
      </c>
      <c r="AU109" s="12" t="str">
        <f t="shared" si="30"/>
        <v>(71;44)</v>
      </c>
      <c r="AV109" s="12" t="str">
        <f t="shared" si="30"/>
        <v>(71;45)</v>
      </c>
      <c r="AW109" s="12" t="str">
        <f t="shared" si="30"/>
        <v>(71;46)</v>
      </c>
      <c r="AX109" s="12" t="str">
        <f t="shared" si="28"/>
        <v>(71;47)</v>
      </c>
      <c r="AY109" s="12" t="str">
        <f t="shared" si="28"/>
        <v>(71;48)</v>
      </c>
      <c r="AZ109" s="12" t="str">
        <f t="shared" si="28"/>
        <v>(71;49)</v>
      </c>
      <c r="BA109" s="12" t="str">
        <f t="shared" si="28"/>
        <v>(71;50)</v>
      </c>
      <c r="BB109" s="12" t="str">
        <f t="shared" si="28"/>
        <v>(71;51)</v>
      </c>
      <c r="BC109" s="12" t="str">
        <f t="shared" si="28"/>
        <v>(71;52)</v>
      </c>
      <c r="BD109" s="12" t="str">
        <f t="shared" si="28"/>
        <v>(71;53)</v>
      </c>
      <c r="BE109" s="12" t="str">
        <f t="shared" si="28"/>
        <v>(71;54)</v>
      </c>
      <c r="BF109" s="12" t="str">
        <f t="shared" si="28"/>
        <v>(71;55)</v>
      </c>
      <c r="BG109" s="12" t="str">
        <f t="shared" si="28"/>
        <v>(71;56)</v>
      </c>
      <c r="BH109" s="12" t="str">
        <f t="shared" si="28"/>
        <v>(71;57)</v>
      </c>
      <c r="BI109" s="12" t="str">
        <f t="shared" si="28"/>
        <v>(71;58)</v>
      </c>
      <c r="BJ109" s="12" t="str">
        <f t="shared" si="28"/>
        <v>(71;59)</v>
      </c>
      <c r="BK109" s="12" t="str">
        <f t="shared" si="28"/>
        <v>(71;60)</v>
      </c>
      <c r="BL109" s="12" t="str">
        <f t="shared" si="28"/>
        <v>(71;61)</v>
      </c>
      <c r="BM109" s="12" t="str">
        <f t="shared" si="18"/>
        <v>(71;62)</v>
      </c>
      <c r="BN109" s="12" t="str">
        <f t="shared" si="18"/>
        <v>(71;63)</v>
      </c>
    </row>
    <row r="110" spans="1:66">
      <c r="A110">
        <f>VLOOKUP(B110,Teste!$A$137:$G$236,7,FALSE)</f>
        <v>0</v>
      </c>
      <c r="B110">
        <f t="shared" si="27"/>
        <v>72</v>
      </c>
      <c r="C110" s="12" t="str">
        <f t="shared" si="31"/>
        <v>(72;00)</v>
      </c>
      <c r="D110" s="12" t="str">
        <f t="shared" si="31"/>
        <v>(72;01)</v>
      </c>
      <c r="E110" s="12" t="str">
        <f t="shared" si="31"/>
        <v>(72;02)</v>
      </c>
      <c r="F110" s="12" t="str">
        <f t="shared" si="31"/>
        <v>(72;03)</v>
      </c>
      <c r="G110" s="12" t="str">
        <f t="shared" si="31"/>
        <v>(72;04)</v>
      </c>
      <c r="H110" s="12" t="str">
        <f t="shared" si="31"/>
        <v>(72;05)</v>
      </c>
      <c r="I110" s="12" t="str">
        <f t="shared" si="31"/>
        <v>(72;06)</v>
      </c>
      <c r="J110" s="12" t="str">
        <f t="shared" si="31"/>
        <v>(72;07)</v>
      </c>
      <c r="K110" s="12" t="str">
        <f t="shared" si="31"/>
        <v>(72;08)</v>
      </c>
      <c r="L110" s="12" t="str">
        <f t="shared" si="31"/>
        <v>(72;09)</v>
      </c>
      <c r="M110" s="12" t="str">
        <f t="shared" si="31"/>
        <v>(72;10)</v>
      </c>
      <c r="N110" s="12" t="str">
        <f t="shared" si="31"/>
        <v>(72;11)</v>
      </c>
      <c r="O110" s="12" t="str">
        <f t="shared" si="31"/>
        <v>(72;12)</v>
      </c>
      <c r="P110" s="12" t="str">
        <f t="shared" si="31"/>
        <v>(72;13)</v>
      </c>
      <c r="Q110" s="12" t="str">
        <f t="shared" si="31"/>
        <v>(72;14)</v>
      </c>
      <c r="R110" s="12" t="str">
        <f t="shared" si="31"/>
        <v>(72;15)</v>
      </c>
      <c r="S110" s="12" t="str">
        <f t="shared" si="29"/>
        <v>(72;16)</v>
      </c>
      <c r="T110" s="12" t="str">
        <f t="shared" si="29"/>
        <v>(72;17)</v>
      </c>
      <c r="U110" s="12" t="str">
        <f t="shared" si="29"/>
        <v>(72;18)</v>
      </c>
      <c r="V110" s="12" t="str">
        <f t="shared" si="29"/>
        <v>(72;19)</v>
      </c>
      <c r="W110" s="12" t="str">
        <f t="shared" si="29"/>
        <v>(72;20)</v>
      </c>
      <c r="X110" s="12" t="str">
        <f t="shared" si="29"/>
        <v>(72;21)</v>
      </c>
      <c r="Y110" s="12" t="str">
        <f t="shared" si="29"/>
        <v>(72;22)</v>
      </c>
      <c r="Z110" s="12" t="str">
        <f t="shared" si="29"/>
        <v>(72;23)</v>
      </c>
      <c r="AA110" s="12" t="str">
        <f t="shared" si="29"/>
        <v>(72;24)</v>
      </c>
      <c r="AB110" s="12" t="str">
        <f t="shared" si="29"/>
        <v>(72;25)</v>
      </c>
      <c r="AC110" s="12" t="str">
        <f t="shared" si="29"/>
        <v>(72;26)</v>
      </c>
      <c r="AD110" s="12" t="str">
        <f t="shared" si="29"/>
        <v>(72;27)</v>
      </c>
      <c r="AE110" s="12" t="str">
        <f t="shared" si="29"/>
        <v>(72;28)</v>
      </c>
      <c r="AF110" s="12" t="str">
        <f t="shared" si="29"/>
        <v>(72;29)</v>
      </c>
      <c r="AG110" s="12" t="str">
        <f t="shared" si="29"/>
        <v>(72;30)</v>
      </c>
      <c r="AH110" s="12" t="str">
        <f t="shared" si="30"/>
        <v>(72;31)</v>
      </c>
      <c r="AI110" s="12" t="str">
        <f t="shared" si="30"/>
        <v>(72;32)</v>
      </c>
      <c r="AJ110" s="12" t="str">
        <f t="shared" si="30"/>
        <v>(72;33)</v>
      </c>
      <c r="AK110" s="12" t="str">
        <f t="shared" si="30"/>
        <v>(72;34)</v>
      </c>
      <c r="AL110" s="12" t="str">
        <f t="shared" si="30"/>
        <v>(72;35)</v>
      </c>
      <c r="AM110" s="12" t="str">
        <f t="shared" si="30"/>
        <v>(72;36)</v>
      </c>
      <c r="AN110" s="12" t="str">
        <f t="shared" si="30"/>
        <v>(72;37)</v>
      </c>
      <c r="AO110" s="12" t="str">
        <f t="shared" si="30"/>
        <v>(72;38)</v>
      </c>
      <c r="AP110" s="12" t="str">
        <f t="shared" si="30"/>
        <v>(72;39)</v>
      </c>
      <c r="AQ110" s="12" t="str">
        <f t="shared" si="30"/>
        <v>(72;40)</v>
      </c>
      <c r="AR110" s="12" t="str">
        <f t="shared" si="30"/>
        <v>(72;41)</v>
      </c>
      <c r="AS110" s="12" t="str">
        <f t="shared" si="30"/>
        <v>(72;42)</v>
      </c>
      <c r="AT110" s="12" t="str">
        <f t="shared" si="30"/>
        <v>(72;43)</v>
      </c>
      <c r="AU110" s="12" t="str">
        <f t="shared" si="30"/>
        <v>(72;44)</v>
      </c>
      <c r="AV110" s="12" t="str">
        <f t="shared" si="30"/>
        <v>(72;45)</v>
      </c>
      <c r="AW110" s="12" t="str">
        <f t="shared" si="30"/>
        <v>(72;46)</v>
      </c>
      <c r="AX110" s="12" t="str">
        <f t="shared" si="28"/>
        <v>(72;47)</v>
      </c>
      <c r="AY110" s="12" t="str">
        <f t="shared" si="28"/>
        <v>(72;48)</v>
      </c>
      <c r="AZ110" s="12" t="str">
        <f t="shared" si="28"/>
        <v>(72;49)</v>
      </c>
      <c r="BA110" s="12" t="str">
        <f t="shared" si="28"/>
        <v>(72;50)</v>
      </c>
      <c r="BB110" s="12" t="str">
        <f t="shared" si="28"/>
        <v>(72;51)</v>
      </c>
      <c r="BC110" s="12" t="str">
        <f t="shared" si="28"/>
        <v>(72;52)</v>
      </c>
      <c r="BD110" s="12" t="str">
        <f t="shared" si="28"/>
        <v>(72;53)</v>
      </c>
      <c r="BE110" s="12" t="str">
        <f t="shared" si="28"/>
        <v>(72;54)</v>
      </c>
      <c r="BF110" s="12" t="str">
        <f t="shared" si="28"/>
        <v>(72;55)</v>
      </c>
      <c r="BG110" s="12" t="str">
        <f t="shared" si="28"/>
        <v>(72;56)</v>
      </c>
      <c r="BH110" s="12" t="str">
        <f t="shared" si="28"/>
        <v>(72;57)</v>
      </c>
      <c r="BI110" s="12" t="str">
        <f t="shared" si="28"/>
        <v>(72;58)</v>
      </c>
      <c r="BJ110" s="12" t="str">
        <f t="shared" si="28"/>
        <v>(72;59)</v>
      </c>
      <c r="BK110" s="12" t="str">
        <f t="shared" si="28"/>
        <v>(72;60)</v>
      </c>
      <c r="BL110" s="12" t="str">
        <f t="shared" si="28"/>
        <v>(72;61)</v>
      </c>
      <c r="BM110" s="12" t="str">
        <f t="shared" si="18"/>
        <v>(72;62)</v>
      </c>
      <c r="BN110" s="12" t="str">
        <f t="shared" si="18"/>
        <v>(72;63)</v>
      </c>
    </row>
    <row r="111" spans="1:66">
      <c r="A111">
        <f>VLOOKUP(B111,Teste!$A$137:$G$236,7,FALSE)</f>
        <v>0</v>
      </c>
      <c r="B111">
        <f t="shared" si="27"/>
        <v>73</v>
      </c>
      <c r="C111" s="12" t="str">
        <f t="shared" si="31"/>
        <v>(73;00)</v>
      </c>
      <c r="D111" s="12" t="str">
        <f t="shared" si="31"/>
        <v>(73;01)</v>
      </c>
      <c r="E111" s="12" t="str">
        <f t="shared" si="31"/>
        <v>(73;02)</v>
      </c>
      <c r="F111" s="12" t="str">
        <f t="shared" si="31"/>
        <v>(73;03)</v>
      </c>
      <c r="G111" s="12" t="str">
        <f t="shared" si="31"/>
        <v>(73;04)</v>
      </c>
      <c r="H111" s="12" t="str">
        <f t="shared" si="31"/>
        <v>(73;05)</v>
      </c>
      <c r="I111" s="12" t="str">
        <f t="shared" si="31"/>
        <v>(73;06)</v>
      </c>
      <c r="J111" s="12" t="str">
        <f t="shared" si="31"/>
        <v>(73;07)</v>
      </c>
      <c r="K111" s="12" t="str">
        <f t="shared" si="31"/>
        <v>(73;08)</v>
      </c>
      <c r="L111" s="12" t="str">
        <f t="shared" si="31"/>
        <v>(73;09)</v>
      </c>
      <c r="M111" s="12" t="str">
        <f t="shared" si="31"/>
        <v>(73;10)</v>
      </c>
      <c r="N111" s="12" t="str">
        <f t="shared" si="31"/>
        <v>(73;11)</v>
      </c>
      <c r="O111" s="12" t="str">
        <f t="shared" si="31"/>
        <v>(73;12)</v>
      </c>
      <c r="P111" s="12" t="str">
        <f t="shared" si="31"/>
        <v>(73;13)</v>
      </c>
      <c r="Q111" s="12" t="str">
        <f t="shared" si="31"/>
        <v>(73;14)</v>
      </c>
      <c r="R111" s="12" t="str">
        <f t="shared" si="31"/>
        <v>(73;15)</v>
      </c>
      <c r="S111" s="12" t="str">
        <f t="shared" si="29"/>
        <v>(73;16)</v>
      </c>
      <c r="T111" s="12" t="str">
        <f t="shared" si="29"/>
        <v>(73;17)</v>
      </c>
      <c r="U111" s="12" t="str">
        <f t="shared" si="29"/>
        <v>(73;18)</v>
      </c>
      <c r="V111" s="12" t="str">
        <f t="shared" si="29"/>
        <v>(73;19)</v>
      </c>
      <c r="W111" s="12" t="str">
        <f t="shared" si="29"/>
        <v>(73;20)</v>
      </c>
      <c r="X111" s="12" t="str">
        <f t="shared" si="29"/>
        <v>(73;21)</v>
      </c>
      <c r="Y111" s="12" t="str">
        <f t="shared" si="29"/>
        <v>(73;22)</v>
      </c>
      <c r="Z111" s="12" t="str">
        <f t="shared" si="29"/>
        <v>(73;23)</v>
      </c>
      <c r="AA111" s="12" t="str">
        <f t="shared" si="29"/>
        <v>(73;24)</v>
      </c>
      <c r="AB111" s="12" t="str">
        <f t="shared" si="29"/>
        <v>(73;25)</v>
      </c>
      <c r="AC111" s="12" t="str">
        <f t="shared" si="29"/>
        <v>(73;26)</v>
      </c>
      <c r="AD111" s="12" t="str">
        <f t="shared" si="29"/>
        <v>(73;27)</v>
      </c>
      <c r="AE111" s="12" t="str">
        <f t="shared" si="29"/>
        <v>(73;28)</v>
      </c>
      <c r="AF111" s="12" t="str">
        <f t="shared" si="29"/>
        <v>(73;29)</v>
      </c>
      <c r="AG111" s="12" t="str">
        <f t="shared" si="29"/>
        <v>(73;30)</v>
      </c>
      <c r="AH111" s="12" t="str">
        <f t="shared" si="30"/>
        <v>(73;31)</v>
      </c>
      <c r="AI111" s="12" t="str">
        <f t="shared" si="30"/>
        <v>(73;32)</v>
      </c>
      <c r="AJ111" s="12" t="str">
        <f t="shared" si="30"/>
        <v>(73;33)</v>
      </c>
      <c r="AK111" s="12" t="str">
        <f t="shared" si="30"/>
        <v>(73;34)</v>
      </c>
      <c r="AL111" s="12" t="str">
        <f t="shared" si="30"/>
        <v>(73;35)</v>
      </c>
      <c r="AM111" s="12" t="str">
        <f t="shared" si="30"/>
        <v>(73;36)</v>
      </c>
      <c r="AN111" s="12" t="str">
        <f t="shared" si="30"/>
        <v>(73;37)</v>
      </c>
      <c r="AO111" s="12" t="str">
        <f t="shared" si="30"/>
        <v>(73;38)</v>
      </c>
      <c r="AP111" s="12" t="str">
        <f t="shared" si="30"/>
        <v>(73;39)</v>
      </c>
      <c r="AQ111" s="12" t="str">
        <f t="shared" si="30"/>
        <v>(73;40)</v>
      </c>
      <c r="AR111" s="12" t="str">
        <f t="shared" si="30"/>
        <v>(73;41)</v>
      </c>
      <c r="AS111" s="12" t="str">
        <f t="shared" si="30"/>
        <v>(73;42)</v>
      </c>
      <c r="AT111" s="12" t="str">
        <f t="shared" si="30"/>
        <v>(73;43)</v>
      </c>
      <c r="AU111" s="12" t="str">
        <f t="shared" si="30"/>
        <v>(73;44)</v>
      </c>
      <c r="AV111" s="12" t="str">
        <f t="shared" si="30"/>
        <v>(73;45)</v>
      </c>
      <c r="AW111" s="12" t="str">
        <f t="shared" si="30"/>
        <v>(73;46)</v>
      </c>
      <c r="AX111" s="12" t="str">
        <f t="shared" si="28"/>
        <v>(73;47)</v>
      </c>
      <c r="AY111" s="12" t="str">
        <f t="shared" si="28"/>
        <v>(73;48)</v>
      </c>
      <c r="AZ111" s="12" t="str">
        <f t="shared" si="28"/>
        <v>(73;49)</v>
      </c>
      <c r="BA111" s="12" t="str">
        <f t="shared" si="28"/>
        <v>(73;50)</v>
      </c>
      <c r="BB111" s="12" t="str">
        <f t="shared" si="28"/>
        <v>(73;51)</v>
      </c>
      <c r="BC111" s="12" t="str">
        <f t="shared" si="28"/>
        <v>(73;52)</v>
      </c>
      <c r="BD111" s="12" t="str">
        <f t="shared" si="28"/>
        <v>(73;53)</v>
      </c>
      <c r="BE111" s="12" t="str">
        <f t="shared" si="28"/>
        <v>(73;54)</v>
      </c>
      <c r="BF111" s="12" t="str">
        <f t="shared" si="28"/>
        <v>(73;55)</v>
      </c>
      <c r="BG111" s="12" t="str">
        <f t="shared" si="28"/>
        <v>(73;56)</v>
      </c>
      <c r="BH111" s="12" t="str">
        <f t="shared" si="28"/>
        <v>(73;57)</v>
      </c>
      <c r="BI111" s="12" t="str">
        <f t="shared" si="28"/>
        <v>(73;58)</v>
      </c>
      <c r="BJ111" s="12" t="str">
        <f t="shared" si="28"/>
        <v>(73;59)</v>
      </c>
      <c r="BK111" s="12" t="str">
        <f t="shared" si="28"/>
        <v>(73;60)</v>
      </c>
      <c r="BL111" s="12" t="str">
        <f t="shared" si="28"/>
        <v>(73;61)</v>
      </c>
      <c r="BM111" s="12" t="str">
        <f t="shared" si="18"/>
        <v>(73;62)</v>
      </c>
      <c r="BN111" s="12" t="str">
        <f t="shared" si="18"/>
        <v>(73;63)</v>
      </c>
    </row>
    <row r="112" spans="1:66">
      <c r="A112">
        <f>VLOOKUP(B112,Teste!$A$137:$G$236,7,FALSE)</f>
        <v>0</v>
      </c>
      <c r="B112">
        <f t="shared" si="27"/>
        <v>74</v>
      </c>
      <c r="C112" s="12" t="str">
        <f t="shared" si="31"/>
        <v>(74;00)</v>
      </c>
      <c r="D112" s="12" t="str">
        <f t="shared" si="31"/>
        <v>(74;01)</v>
      </c>
      <c r="E112" s="12" t="str">
        <f t="shared" si="31"/>
        <v>(74;02)</v>
      </c>
      <c r="F112" s="12" t="str">
        <f t="shared" si="31"/>
        <v>(74;03)</v>
      </c>
      <c r="G112" s="12" t="str">
        <f t="shared" si="31"/>
        <v>(74;04)</v>
      </c>
      <c r="H112" s="12" t="str">
        <f t="shared" si="31"/>
        <v>(74;05)</v>
      </c>
      <c r="I112" s="12" t="str">
        <f t="shared" si="31"/>
        <v>(74;06)</v>
      </c>
      <c r="J112" s="12" t="str">
        <f t="shared" si="31"/>
        <v>(74;07)</v>
      </c>
      <c r="K112" s="12" t="str">
        <f t="shared" si="31"/>
        <v>(74;08)</v>
      </c>
      <c r="L112" s="12" t="str">
        <f t="shared" si="31"/>
        <v>(74;09)</v>
      </c>
      <c r="M112" s="12" t="str">
        <f t="shared" si="31"/>
        <v>(74;10)</v>
      </c>
      <c r="N112" s="12" t="str">
        <f t="shared" si="31"/>
        <v>(74;11)</v>
      </c>
      <c r="O112" s="12" t="str">
        <f t="shared" si="31"/>
        <v>(74;12)</v>
      </c>
      <c r="P112" s="12" t="str">
        <f t="shared" si="31"/>
        <v>(74;13)</v>
      </c>
      <c r="Q112" s="12" t="str">
        <f t="shared" si="31"/>
        <v>(74;14)</v>
      </c>
      <c r="R112" s="12" t="str">
        <f t="shared" si="31"/>
        <v>(74;15)</v>
      </c>
      <c r="S112" s="12" t="str">
        <f t="shared" si="29"/>
        <v>(74;16)</v>
      </c>
      <c r="T112" s="12" t="str">
        <f t="shared" si="29"/>
        <v>(74;17)</v>
      </c>
      <c r="U112" s="12" t="str">
        <f t="shared" si="29"/>
        <v>(74;18)</v>
      </c>
      <c r="V112" s="12" t="str">
        <f t="shared" si="29"/>
        <v>(74;19)</v>
      </c>
      <c r="W112" s="12" t="str">
        <f t="shared" si="29"/>
        <v>(74;20)</v>
      </c>
      <c r="X112" s="12" t="str">
        <f t="shared" si="29"/>
        <v>(74;21)</v>
      </c>
      <c r="Y112" s="12" t="str">
        <f t="shared" si="29"/>
        <v>(74;22)</v>
      </c>
      <c r="Z112" s="12" t="str">
        <f t="shared" si="29"/>
        <v>(74;23)</v>
      </c>
      <c r="AA112" s="12" t="str">
        <f t="shared" si="29"/>
        <v>(74;24)</v>
      </c>
      <c r="AB112" s="12" t="str">
        <f t="shared" si="29"/>
        <v>(74;25)</v>
      </c>
      <c r="AC112" s="12" t="str">
        <f t="shared" si="29"/>
        <v>(74;26)</v>
      </c>
      <c r="AD112" s="12" t="str">
        <f t="shared" si="29"/>
        <v>(74;27)</v>
      </c>
      <c r="AE112" s="12" t="str">
        <f t="shared" si="29"/>
        <v>(74;28)</v>
      </c>
      <c r="AF112" s="12" t="str">
        <f t="shared" si="29"/>
        <v>(74;29)</v>
      </c>
      <c r="AG112" s="12" t="str">
        <f t="shared" si="29"/>
        <v>(74;30)</v>
      </c>
      <c r="AH112" s="12" t="str">
        <f t="shared" si="30"/>
        <v>(74;31)</v>
      </c>
      <c r="AI112" s="12" t="str">
        <f t="shared" si="30"/>
        <v>(74;32)</v>
      </c>
      <c r="AJ112" s="12" t="str">
        <f t="shared" si="30"/>
        <v>(74;33)</v>
      </c>
      <c r="AK112" s="12" t="str">
        <f t="shared" si="30"/>
        <v>(74;34)</v>
      </c>
      <c r="AL112" s="12" t="str">
        <f t="shared" si="30"/>
        <v>(74;35)</v>
      </c>
      <c r="AM112" s="12" t="str">
        <f t="shared" si="30"/>
        <v>(74;36)</v>
      </c>
      <c r="AN112" s="12" t="str">
        <f t="shared" si="30"/>
        <v>(74;37)</v>
      </c>
      <c r="AO112" s="12" t="str">
        <f t="shared" si="30"/>
        <v>(74;38)</v>
      </c>
      <c r="AP112" s="12" t="str">
        <f t="shared" si="30"/>
        <v>(74;39)</v>
      </c>
      <c r="AQ112" s="12" t="str">
        <f t="shared" si="30"/>
        <v>(74;40)</v>
      </c>
      <c r="AR112" s="12" t="str">
        <f t="shared" si="30"/>
        <v>(74;41)</v>
      </c>
      <c r="AS112" s="12" t="str">
        <f t="shared" si="30"/>
        <v>(74;42)</v>
      </c>
      <c r="AT112" s="12" t="str">
        <f t="shared" si="30"/>
        <v>(74;43)</v>
      </c>
      <c r="AU112" s="12" t="str">
        <f t="shared" si="30"/>
        <v>(74;44)</v>
      </c>
      <c r="AV112" s="12" t="str">
        <f t="shared" si="30"/>
        <v>(74;45)</v>
      </c>
      <c r="AW112" s="12" t="str">
        <f t="shared" si="30"/>
        <v>(74;46)</v>
      </c>
      <c r="AX112" s="12" t="str">
        <f t="shared" si="28"/>
        <v>(74;47)</v>
      </c>
      <c r="AY112" s="12" t="str">
        <f t="shared" si="28"/>
        <v>(74;48)</v>
      </c>
      <c r="AZ112" s="12" t="str">
        <f t="shared" si="28"/>
        <v>(74;49)</v>
      </c>
      <c r="BA112" s="12" t="str">
        <f t="shared" si="28"/>
        <v>(74;50)</v>
      </c>
      <c r="BB112" s="12" t="str">
        <f t="shared" si="28"/>
        <v>(74;51)</v>
      </c>
      <c r="BC112" s="12" t="str">
        <f t="shared" si="28"/>
        <v>(74;52)</v>
      </c>
      <c r="BD112" s="12" t="str">
        <f t="shared" si="28"/>
        <v>(74;53)</v>
      </c>
      <c r="BE112" s="12" t="str">
        <f t="shared" si="28"/>
        <v>(74;54)</v>
      </c>
      <c r="BF112" s="12" t="str">
        <f t="shared" si="28"/>
        <v>(74;55)</v>
      </c>
      <c r="BG112" s="12" t="str">
        <f t="shared" si="28"/>
        <v>(74;56)</v>
      </c>
      <c r="BH112" s="12" t="str">
        <f t="shared" si="28"/>
        <v>(74;57)</v>
      </c>
      <c r="BI112" s="12" t="str">
        <f t="shared" si="28"/>
        <v>(74;58)</v>
      </c>
      <c r="BJ112" s="12" t="str">
        <f t="shared" si="28"/>
        <v>(74;59)</v>
      </c>
      <c r="BK112" s="12" t="str">
        <f t="shared" si="28"/>
        <v>(74;60)</v>
      </c>
      <c r="BL112" s="12" t="str">
        <f t="shared" si="28"/>
        <v>(74;61)</v>
      </c>
      <c r="BM112" s="12" t="str">
        <f t="shared" si="18"/>
        <v>(74;62)</v>
      </c>
      <c r="BN112" s="12" t="str">
        <f t="shared" si="18"/>
        <v>(74;63)</v>
      </c>
    </row>
    <row r="113" spans="1:66">
      <c r="A113">
        <f>VLOOKUP(B113,Teste!$A$137:$G$236,7,FALSE)</f>
        <v>0</v>
      </c>
      <c r="B113">
        <f t="shared" si="27"/>
        <v>75</v>
      </c>
      <c r="C113" s="12" t="str">
        <f t="shared" si="31"/>
        <v>(75;00)</v>
      </c>
      <c r="D113" s="12" t="str">
        <f t="shared" si="31"/>
        <v>(75;01)</v>
      </c>
      <c r="E113" s="12" t="str">
        <f t="shared" si="31"/>
        <v>(75;02)</v>
      </c>
      <c r="F113" s="12" t="str">
        <f t="shared" si="31"/>
        <v>(75;03)</v>
      </c>
      <c r="G113" s="12" t="str">
        <f t="shared" si="31"/>
        <v>(75;04)</v>
      </c>
      <c r="H113" s="12" t="str">
        <f t="shared" si="31"/>
        <v>(75;05)</v>
      </c>
      <c r="I113" s="12" t="str">
        <f t="shared" si="31"/>
        <v>(75;06)</v>
      </c>
      <c r="J113" s="12" t="str">
        <f t="shared" si="31"/>
        <v>(75;07)</v>
      </c>
      <c r="K113" s="12" t="str">
        <f t="shared" si="31"/>
        <v>(75;08)</v>
      </c>
      <c r="L113" s="12" t="str">
        <f t="shared" si="31"/>
        <v>(75;09)</v>
      </c>
      <c r="M113" s="12" t="str">
        <f t="shared" si="31"/>
        <v>(75;10)</v>
      </c>
      <c r="N113" s="12" t="str">
        <f t="shared" si="31"/>
        <v>(75;11)</v>
      </c>
      <c r="O113" s="12" t="str">
        <f t="shared" si="31"/>
        <v>(75;12)</v>
      </c>
      <c r="P113" s="12" t="str">
        <f t="shared" si="31"/>
        <v>(75;13)</v>
      </c>
      <c r="Q113" s="12" t="str">
        <f t="shared" si="31"/>
        <v>(75;14)</v>
      </c>
      <c r="R113" s="12" t="str">
        <f t="shared" si="31"/>
        <v>(75;15)</v>
      </c>
      <c r="S113" s="12" t="str">
        <f t="shared" si="29"/>
        <v>(75;16)</v>
      </c>
      <c r="T113" s="12" t="str">
        <f t="shared" si="29"/>
        <v>(75;17)</v>
      </c>
      <c r="U113" s="12" t="str">
        <f t="shared" si="29"/>
        <v>(75;18)</v>
      </c>
      <c r="V113" s="12" t="str">
        <f t="shared" si="29"/>
        <v>(75;19)</v>
      </c>
      <c r="W113" s="12" t="str">
        <f t="shared" si="29"/>
        <v>(75;20)</v>
      </c>
      <c r="X113" s="12" t="str">
        <f t="shared" si="29"/>
        <v>(75;21)</v>
      </c>
      <c r="Y113" s="12" t="str">
        <f t="shared" si="29"/>
        <v>(75;22)</v>
      </c>
      <c r="Z113" s="12" t="str">
        <f t="shared" si="29"/>
        <v>(75;23)</v>
      </c>
      <c r="AA113" s="12" t="str">
        <f t="shared" si="29"/>
        <v>(75;24)</v>
      </c>
      <c r="AB113" s="12" t="str">
        <f t="shared" si="29"/>
        <v>(75;25)</v>
      </c>
      <c r="AC113" s="12" t="str">
        <f t="shared" si="29"/>
        <v>(75;26)</v>
      </c>
      <c r="AD113" s="12" t="str">
        <f t="shared" si="29"/>
        <v>(75;27)</v>
      </c>
      <c r="AE113" s="12" t="str">
        <f t="shared" si="29"/>
        <v>(75;28)</v>
      </c>
      <c r="AF113" s="12" t="str">
        <f t="shared" si="29"/>
        <v>(75;29)</v>
      </c>
      <c r="AG113" s="12" t="str">
        <f t="shared" si="29"/>
        <v>(75;30)</v>
      </c>
      <c r="AH113" s="12" t="str">
        <f t="shared" si="30"/>
        <v>(75;31)</v>
      </c>
      <c r="AI113" s="12" t="str">
        <f t="shared" si="30"/>
        <v>(75;32)</v>
      </c>
      <c r="AJ113" s="12" t="str">
        <f t="shared" si="30"/>
        <v>(75;33)</v>
      </c>
      <c r="AK113" s="12" t="str">
        <f t="shared" si="30"/>
        <v>(75;34)</v>
      </c>
      <c r="AL113" s="12" t="str">
        <f t="shared" si="30"/>
        <v>(75;35)</v>
      </c>
      <c r="AM113" s="12" t="str">
        <f t="shared" si="30"/>
        <v>(75;36)</v>
      </c>
      <c r="AN113" s="12" t="str">
        <f t="shared" si="30"/>
        <v>(75;37)</v>
      </c>
      <c r="AO113" s="12" t="str">
        <f t="shared" si="30"/>
        <v>(75;38)</v>
      </c>
      <c r="AP113" s="12" t="str">
        <f t="shared" si="30"/>
        <v>(75;39)</v>
      </c>
      <c r="AQ113" s="12" t="str">
        <f t="shared" si="30"/>
        <v>(75;40)</v>
      </c>
      <c r="AR113" s="12" t="str">
        <f t="shared" si="30"/>
        <v>(75;41)</v>
      </c>
      <c r="AS113" s="12" t="str">
        <f t="shared" si="30"/>
        <v>(75;42)</v>
      </c>
      <c r="AT113" s="12" t="str">
        <f t="shared" si="30"/>
        <v>(75;43)</v>
      </c>
      <c r="AU113" s="12" t="str">
        <f t="shared" si="30"/>
        <v>(75;44)</v>
      </c>
      <c r="AV113" s="12" t="str">
        <f t="shared" si="30"/>
        <v>(75;45)</v>
      </c>
      <c r="AW113" s="12" t="str">
        <f t="shared" si="30"/>
        <v>(75;46)</v>
      </c>
      <c r="AX113" s="12" t="str">
        <f t="shared" si="28"/>
        <v>(75;47)</v>
      </c>
      <c r="AY113" s="12" t="str">
        <f t="shared" si="28"/>
        <v>(75;48)</v>
      </c>
      <c r="AZ113" s="12" t="str">
        <f t="shared" si="28"/>
        <v>(75;49)</v>
      </c>
      <c r="BA113" s="12" t="str">
        <f t="shared" si="28"/>
        <v>(75;50)</v>
      </c>
      <c r="BB113" s="12" t="str">
        <f t="shared" si="28"/>
        <v>(75;51)</v>
      </c>
      <c r="BC113" s="12" t="str">
        <f t="shared" si="28"/>
        <v>(75;52)</v>
      </c>
      <c r="BD113" s="12" t="str">
        <f t="shared" si="28"/>
        <v>(75;53)</v>
      </c>
      <c r="BE113" s="12" t="str">
        <f t="shared" si="28"/>
        <v>(75;54)</v>
      </c>
      <c r="BF113" s="12" t="str">
        <f t="shared" si="28"/>
        <v>(75;55)</v>
      </c>
      <c r="BG113" s="12" t="str">
        <f t="shared" si="28"/>
        <v>(75;56)</v>
      </c>
      <c r="BH113" s="12" t="str">
        <f t="shared" si="28"/>
        <v>(75;57)</v>
      </c>
      <c r="BI113" s="12" t="str">
        <f t="shared" si="28"/>
        <v>(75;58)</v>
      </c>
      <c r="BJ113" s="12" t="str">
        <f t="shared" si="28"/>
        <v>(75;59)</v>
      </c>
      <c r="BK113" s="12" t="str">
        <f t="shared" si="28"/>
        <v>(75;60)</v>
      </c>
      <c r="BL113" s="12" t="str">
        <f t="shared" si="28"/>
        <v>(75;61)</v>
      </c>
      <c r="BM113" s="12" t="str">
        <f t="shared" si="18"/>
        <v>(75;62)</v>
      </c>
      <c r="BN113" s="12" t="str">
        <f t="shared" si="18"/>
        <v>(75;63)</v>
      </c>
    </row>
    <row r="114" spans="1:66">
      <c r="A114">
        <f>VLOOKUP(B114,Teste!$A$137:$G$236,7,FALSE)</f>
        <v>0</v>
      </c>
      <c r="B114">
        <f t="shared" si="27"/>
        <v>76</v>
      </c>
      <c r="C114" s="12" t="str">
        <f t="shared" si="31"/>
        <v>(76;00)</v>
      </c>
      <c r="D114" s="12" t="str">
        <f t="shared" si="31"/>
        <v>(76;01)</v>
      </c>
      <c r="E114" s="12" t="str">
        <f t="shared" si="31"/>
        <v>(76;02)</v>
      </c>
      <c r="F114" s="12" t="str">
        <f t="shared" si="31"/>
        <v>(76;03)</v>
      </c>
      <c r="G114" s="12" t="str">
        <f t="shared" si="31"/>
        <v>(76;04)</v>
      </c>
      <c r="H114" s="12" t="str">
        <f t="shared" si="31"/>
        <v>(76;05)</v>
      </c>
      <c r="I114" s="12" t="str">
        <f t="shared" si="31"/>
        <v>(76;06)</v>
      </c>
      <c r="J114" s="12" t="str">
        <f t="shared" si="31"/>
        <v>(76;07)</v>
      </c>
      <c r="K114" s="12" t="str">
        <f t="shared" si="31"/>
        <v>(76;08)</v>
      </c>
      <c r="L114" s="12" t="str">
        <f t="shared" si="31"/>
        <v>(76;09)</v>
      </c>
      <c r="M114" s="12" t="str">
        <f t="shared" si="31"/>
        <v>(76;10)</v>
      </c>
      <c r="N114" s="12" t="str">
        <f t="shared" si="31"/>
        <v>(76;11)</v>
      </c>
      <c r="O114" s="12" t="str">
        <f t="shared" si="31"/>
        <v>(76;12)</v>
      </c>
      <c r="P114" s="12" t="str">
        <f t="shared" si="31"/>
        <v>(76;13)</v>
      </c>
      <c r="Q114" s="12" t="str">
        <f t="shared" si="31"/>
        <v>(76;14)</v>
      </c>
      <c r="R114" s="12" t="str">
        <f t="shared" si="31"/>
        <v>(76;15)</v>
      </c>
      <c r="S114" s="12" t="str">
        <f t="shared" si="29"/>
        <v>(76;16)</v>
      </c>
      <c r="T114" s="12" t="str">
        <f t="shared" si="29"/>
        <v>(76;17)</v>
      </c>
      <c r="U114" s="12" t="str">
        <f t="shared" si="29"/>
        <v>(76;18)</v>
      </c>
      <c r="V114" s="12" t="str">
        <f t="shared" si="29"/>
        <v>(76;19)</v>
      </c>
      <c r="W114" s="12" t="str">
        <f t="shared" si="29"/>
        <v>(76;20)</v>
      </c>
      <c r="X114" s="12" t="str">
        <f t="shared" si="29"/>
        <v>(76;21)</v>
      </c>
      <c r="Y114" s="12" t="str">
        <f t="shared" si="29"/>
        <v>(76;22)</v>
      </c>
      <c r="Z114" s="12" t="str">
        <f t="shared" si="29"/>
        <v>(76;23)</v>
      </c>
      <c r="AA114" s="12" t="str">
        <f t="shared" si="29"/>
        <v>(76;24)</v>
      </c>
      <c r="AB114" s="12" t="str">
        <f t="shared" si="29"/>
        <v>(76;25)</v>
      </c>
      <c r="AC114" s="12" t="str">
        <f t="shared" si="29"/>
        <v>(76;26)</v>
      </c>
      <c r="AD114" s="12" t="str">
        <f t="shared" si="29"/>
        <v>(76;27)</v>
      </c>
      <c r="AE114" s="12" t="str">
        <f t="shared" si="29"/>
        <v>(76;28)</v>
      </c>
      <c r="AF114" s="12" t="str">
        <f t="shared" si="29"/>
        <v>(76;29)</v>
      </c>
      <c r="AG114" s="12" t="str">
        <f t="shared" si="29"/>
        <v>(76;30)</v>
      </c>
      <c r="AH114" s="12" t="str">
        <f t="shared" si="30"/>
        <v>(76;31)</v>
      </c>
      <c r="AI114" s="12" t="str">
        <f t="shared" si="30"/>
        <v>(76;32)</v>
      </c>
      <c r="AJ114" s="12" t="str">
        <f t="shared" si="30"/>
        <v>(76;33)</v>
      </c>
      <c r="AK114" s="12" t="str">
        <f t="shared" si="30"/>
        <v>(76;34)</v>
      </c>
      <c r="AL114" s="12" t="str">
        <f t="shared" si="30"/>
        <v>(76;35)</v>
      </c>
      <c r="AM114" s="12" t="str">
        <f t="shared" si="30"/>
        <v>(76;36)</v>
      </c>
      <c r="AN114" s="12" t="str">
        <f t="shared" si="30"/>
        <v>(76;37)</v>
      </c>
      <c r="AO114" s="12" t="str">
        <f t="shared" si="30"/>
        <v>(76;38)</v>
      </c>
      <c r="AP114" s="12" t="str">
        <f t="shared" si="30"/>
        <v>(76;39)</v>
      </c>
      <c r="AQ114" s="12" t="str">
        <f t="shared" si="30"/>
        <v>(76;40)</v>
      </c>
      <c r="AR114" s="12" t="str">
        <f t="shared" si="30"/>
        <v>(76;41)</v>
      </c>
      <c r="AS114" s="12" t="str">
        <f t="shared" si="30"/>
        <v>(76;42)</v>
      </c>
      <c r="AT114" s="12" t="str">
        <f t="shared" si="30"/>
        <v>(76;43)</v>
      </c>
      <c r="AU114" s="12" t="str">
        <f t="shared" si="30"/>
        <v>(76;44)</v>
      </c>
      <c r="AV114" s="12" t="str">
        <f t="shared" si="30"/>
        <v>(76;45)</v>
      </c>
      <c r="AW114" s="12" t="str">
        <f t="shared" si="30"/>
        <v>(76;46)</v>
      </c>
      <c r="AX114" s="12" t="str">
        <f t="shared" si="28"/>
        <v>(76;47)</v>
      </c>
      <c r="AY114" s="12" t="str">
        <f t="shared" si="28"/>
        <v>(76;48)</v>
      </c>
      <c r="AZ114" s="12" t="str">
        <f t="shared" si="28"/>
        <v>(76;49)</v>
      </c>
      <c r="BA114" s="12" t="str">
        <f t="shared" si="28"/>
        <v>(76;50)</v>
      </c>
      <c r="BB114" s="12" t="str">
        <f t="shared" si="28"/>
        <v>(76;51)</v>
      </c>
      <c r="BC114" s="12" t="str">
        <f t="shared" si="28"/>
        <v>(76;52)</v>
      </c>
      <c r="BD114" s="12" t="str">
        <f t="shared" si="28"/>
        <v>(76;53)</v>
      </c>
      <c r="BE114" s="12" t="str">
        <f t="shared" si="28"/>
        <v>(76;54)</v>
      </c>
      <c r="BF114" s="12" t="str">
        <f t="shared" si="28"/>
        <v>(76;55)</v>
      </c>
      <c r="BG114" s="12" t="str">
        <f t="shared" si="28"/>
        <v>(76;56)</v>
      </c>
      <c r="BH114" s="12" t="str">
        <f t="shared" si="28"/>
        <v>(76;57)</v>
      </c>
      <c r="BI114" s="12" t="str">
        <f t="shared" si="28"/>
        <v>(76;58)</v>
      </c>
      <c r="BJ114" s="12" t="str">
        <f t="shared" si="28"/>
        <v>(76;59)</v>
      </c>
      <c r="BK114" s="12" t="str">
        <f t="shared" si="28"/>
        <v>(76;60)</v>
      </c>
      <c r="BL114" s="12" t="str">
        <f t="shared" si="28"/>
        <v>(76;61)</v>
      </c>
      <c r="BM114" s="12" t="str">
        <f t="shared" si="18"/>
        <v>(76;62)</v>
      </c>
      <c r="BN114" s="12" t="str">
        <f t="shared" si="18"/>
        <v>(76;63)</v>
      </c>
    </row>
    <row r="115" spans="1:66">
      <c r="A115">
        <f>VLOOKUP(B115,Teste!$A$137:$G$236,7,FALSE)</f>
        <v>0</v>
      </c>
      <c r="B115">
        <f t="shared" si="27"/>
        <v>77</v>
      </c>
      <c r="C115" s="12" t="str">
        <f t="shared" si="31"/>
        <v>(77;00)</v>
      </c>
      <c r="D115" s="12" t="str">
        <f t="shared" si="31"/>
        <v>(77;01)</v>
      </c>
      <c r="E115" s="12" t="str">
        <f t="shared" si="31"/>
        <v>(77;02)</v>
      </c>
      <c r="F115" s="12" t="str">
        <f t="shared" si="31"/>
        <v>(77;03)</v>
      </c>
      <c r="G115" s="12" t="str">
        <f t="shared" si="31"/>
        <v>(77;04)</v>
      </c>
      <c r="H115" s="12" t="str">
        <f t="shared" si="31"/>
        <v>(77;05)</v>
      </c>
      <c r="I115" s="12" t="str">
        <f t="shared" si="31"/>
        <v>(77;06)</v>
      </c>
      <c r="J115" s="12" t="str">
        <f t="shared" si="31"/>
        <v>(77;07)</v>
      </c>
      <c r="K115" s="12" t="str">
        <f t="shared" si="31"/>
        <v>(77;08)</v>
      </c>
      <c r="L115" s="12" t="str">
        <f t="shared" si="31"/>
        <v>(77;09)</v>
      </c>
      <c r="M115" s="12" t="str">
        <f t="shared" si="31"/>
        <v>(77;10)</v>
      </c>
      <c r="N115" s="12" t="str">
        <f t="shared" si="31"/>
        <v>(77;11)</v>
      </c>
      <c r="O115" s="12" t="str">
        <f t="shared" si="31"/>
        <v>(77;12)</v>
      </c>
      <c r="P115" s="12" t="str">
        <f t="shared" si="31"/>
        <v>(77;13)</v>
      </c>
      <c r="Q115" s="12" t="str">
        <f t="shared" si="31"/>
        <v>(77;14)</v>
      </c>
      <c r="R115" s="12" t="str">
        <f t="shared" si="31"/>
        <v>(77;15)</v>
      </c>
      <c r="S115" s="12" t="str">
        <f t="shared" si="29"/>
        <v>(77;16)</v>
      </c>
      <c r="T115" s="12" t="str">
        <f t="shared" si="29"/>
        <v>(77;17)</v>
      </c>
      <c r="U115" s="12" t="str">
        <f t="shared" si="29"/>
        <v>(77;18)</v>
      </c>
      <c r="V115" s="12" t="str">
        <f t="shared" si="29"/>
        <v>(77;19)</v>
      </c>
      <c r="W115" s="12" t="str">
        <f t="shared" si="29"/>
        <v>(77;20)</v>
      </c>
      <c r="X115" s="12" t="str">
        <f t="shared" si="29"/>
        <v>(77;21)</v>
      </c>
      <c r="Y115" s="12" t="str">
        <f t="shared" si="29"/>
        <v>(77;22)</v>
      </c>
      <c r="Z115" s="12" t="str">
        <f t="shared" si="29"/>
        <v>(77;23)</v>
      </c>
      <c r="AA115" s="12" t="str">
        <f t="shared" si="29"/>
        <v>(77;24)</v>
      </c>
      <c r="AB115" s="12" t="str">
        <f t="shared" si="29"/>
        <v>(77;25)</v>
      </c>
      <c r="AC115" s="12" t="str">
        <f t="shared" si="29"/>
        <v>(77;26)</v>
      </c>
      <c r="AD115" s="12" t="str">
        <f t="shared" si="29"/>
        <v>(77;27)</v>
      </c>
      <c r="AE115" s="12" t="str">
        <f t="shared" si="29"/>
        <v>(77;28)</v>
      </c>
      <c r="AF115" s="12" t="str">
        <f t="shared" si="29"/>
        <v>(77;29)</v>
      </c>
      <c r="AG115" s="12" t="str">
        <f t="shared" si="29"/>
        <v>(77;30)</v>
      </c>
      <c r="AH115" s="12" t="str">
        <f t="shared" si="30"/>
        <v>(77;31)</v>
      </c>
      <c r="AI115" s="12" t="str">
        <f t="shared" si="30"/>
        <v>(77;32)</v>
      </c>
      <c r="AJ115" s="12" t="str">
        <f t="shared" si="30"/>
        <v>(77;33)</v>
      </c>
      <c r="AK115" s="12" t="str">
        <f t="shared" si="30"/>
        <v>(77;34)</v>
      </c>
      <c r="AL115" s="12" t="str">
        <f t="shared" si="30"/>
        <v>(77;35)</v>
      </c>
      <c r="AM115" s="12" t="str">
        <f t="shared" si="30"/>
        <v>(77;36)</v>
      </c>
      <c r="AN115" s="12" t="str">
        <f t="shared" si="30"/>
        <v>(77;37)</v>
      </c>
      <c r="AO115" s="12" t="str">
        <f t="shared" si="30"/>
        <v>(77;38)</v>
      </c>
      <c r="AP115" s="12" t="str">
        <f t="shared" si="30"/>
        <v>(77;39)</v>
      </c>
      <c r="AQ115" s="12" t="str">
        <f t="shared" si="30"/>
        <v>(77;40)</v>
      </c>
      <c r="AR115" s="12" t="str">
        <f t="shared" si="30"/>
        <v>(77;41)</v>
      </c>
      <c r="AS115" s="12" t="str">
        <f t="shared" si="30"/>
        <v>(77;42)</v>
      </c>
      <c r="AT115" s="12" t="str">
        <f t="shared" si="30"/>
        <v>(77;43)</v>
      </c>
      <c r="AU115" s="12" t="str">
        <f t="shared" si="30"/>
        <v>(77;44)</v>
      </c>
      <c r="AV115" s="12" t="str">
        <f t="shared" si="30"/>
        <v>(77;45)</v>
      </c>
      <c r="AW115" s="12" t="str">
        <f t="shared" si="30"/>
        <v>(77;46)</v>
      </c>
      <c r="AX115" s="12" t="str">
        <f t="shared" si="28"/>
        <v>(77;47)</v>
      </c>
      <c r="AY115" s="12" t="str">
        <f t="shared" si="28"/>
        <v>(77;48)</v>
      </c>
      <c r="AZ115" s="12" t="str">
        <f t="shared" si="28"/>
        <v>(77;49)</v>
      </c>
      <c r="BA115" s="12" t="str">
        <f t="shared" si="28"/>
        <v>(77;50)</v>
      </c>
      <c r="BB115" s="12" t="str">
        <f t="shared" si="28"/>
        <v>(77;51)</v>
      </c>
      <c r="BC115" s="12" t="str">
        <f t="shared" si="28"/>
        <v>(77;52)</v>
      </c>
      <c r="BD115" s="12" t="str">
        <f t="shared" si="28"/>
        <v>(77;53)</v>
      </c>
      <c r="BE115" s="12" t="str">
        <f t="shared" si="28"/>
        <v>(77;54)</v>
      </c>
      <c r="BF115" s="12" t="str">
        <f t="shared" si="28"/>
        <v>(77;55)</v>
      </c>
      <c r="BG115" s="12" t="str">
        <f t="shared" si="28"/>
        <v>(77;56)</v>
      </c>
      <c r="BH115" s="12" t="str">
        <f t="shared" si="28"/>
        <v>(77;57)</v>
      </c>
      <c r="BI115" s="12" t="str">
        <f t="shared" si="28"/>
        <v>(77;58)</v>
      </c>
      <c r="BJ115" s="12" t="str">
        <f t="shared" si="28"/>
        <v>(77;59)</v>
      </c>
      <c r="BK115" s="12" t="str">
        <f t="shared" si="28"/>
        <v>(77;60)</v>
      </c>
      <c r="BL115" s="12" t="str">
        <f t="shared" si="28"/>
        <v>(77;61)</v>
      </c>
      <c r="BM115" s="12" t="str">
        <f t="shared" si="18"/>
        <v>(77;62)</v>
      </c>
      <c r="BN115" s="12" t="str">
        <f t="shared" si="18"/>
        <v>(77;63)</v>
      </c>
    </row>
    <row r="116" spans="1:66">
      <c r="A116">
        <f>VLOOKUP(B116,Teste!$A$137:$G$236,7,FALSE)</f>
        <v>0</v>
      </c>
      <c r="B116">
        <f t="shared" si="27"/>
        <v>78</v>
      </c>
      <c r="C116" s="12" t="str">
        <f t="shared" si="31"/>
        <v>(78;00)</v>
      </c>
      <c r="D116" s="12" t="str">
        <f t="shared" si="31"/>
        <v>(78;01)</v>
      </c>
      <c r="E116" s="12" t="str">
        <f t="shared" si="31"/>
        <v>(78;02)</v>
      </c>
      <c r="F116" s="12" t="str">
        <f t="shared" si="31"/>
        <v>(78;03)</v>
      </c>
      <c r="G116" s="12" t="str">
        <f t="shared" si="31"/>
        <v>(78;04)</v>
      </c>
      <c r="H116" s="12" t="str">
        <f t="shared" si="31"/>
        <v>(78;05)</v>
      </c>
      <c r="I116" s="12" t="str">
        <f t="shared" si="31"/>
        <v>(78;06)</v>
      </c>
      <c r="J116" s="12" t="str">
        <f t="shared" si="31"/>
        <v>(78;07)</v>
      </c>
      <c r="K116" s="12" t="str">
        <f t="shared" si="31"/>
        <v>(78;08)</v>
      </c>
      <c r="L116" s="12" t="str">
        <f t="shared" si="31"/>
        <v>(78;09)</v>
      </c>
      <c r="M116" s="12" t="str">
        <f t="shared" si="31"/>
        <v>(78;10)</v>
      </c>
      <c r="N116" s="12" t="str">
        <f t="shared" si="31"/>
        <v>(78;11)</v>
      </c>
      <c r="O116" s="12" t="str">
        <f t="shared" si="31"/>
        <v>(78;12)</v>
      </c>
      <c r="P116" s="12" t="str">
        <f t="shared" si="31"/>
        <v>(78;13)</v>
      </c>
      <c r="Q116" s="12" t="str">
        <f t="shared" si="31"/>
        <v>(78;14)</v>
      </c>
      <c r="R116" s="12" t="str">
        <f t="shared" si="31"/>
        <v>(78;15)</v>
      </c>
      <c r="S116" s="12" t="str">
        <f t="shared" si="29"/>
        <v>(78;16)</v>
      </c>
      <c r="T116" s="12" t="str">
        <f t="shared" si="29"/>
        <v>(78;17)</v>
      </c>
      <c r="U116" s="12" t="str">
        <f t="shared" si="29"/>
        <v>(78;18)</v>
      </c>
      <c r="V116" s="12" t="str">
        <f t="shared" si="29"/>
        <v>(78;19)</v>
      </c>
      <c r="W116" s="12" t="str">
        <f t="shared" si="29"/>
        <v>(78;20)</v>
      </c>
      <c r="X116" s="12" t="str">
        <f t="shared" si="29"/>
        <v>(78;21)</v>
      </c>
      <c r="Y116" s="12" t="str">
        <f t="shared" si="29"/>
        <v>(78;22)</v>
      </c>
      <c r="Z116" s="12" t="str">
        <f t="shared" si="29"/>
        <v>(78;23)</v>
      </c>
      <c r="AA116" s="12" t="str">
        <f t="shared" si="29"/>
        <v>(78;24)</v>
      </c>
      <c r="AB116" s="12" t="str">
        <f t="shared" si="29"/>
        <v>(78;25)</v>
      </c>
      <c r="AC116" s="12" t="str">
        <f t="shared" si="29"/>
        <v>(78;26)</v>
      </c>
      <c r="AD116" s="12" t="str">
        <f t="shared" si="29"/>
        <v>(78;27)</v>
      </c>
      <c r="AE116" s="12" t="str">
        <f t="shared" si="29"/>
        <v>(78;28)</v>
      </c>
      <c r="AF116" s="12" t="str">
        <f t="shared" si="29"/>
        <v>(78;29)</v>
      </c>
      <c r="AG116" s="12" t="str">
        <f t="shared" si="29"/>
        <v>(78;30)</v>
      </c>
      <c r="AH116" s="12" t="str">
        <f t="shared" si="30"/>
        <v>(78;31)</v>
      </c>
      <c r="AI116" s="12" t="str">
        <f t="shared" si="30"/>
        <v>(78;32)</v>
      </c>
      <c r="AJ116" s="12" t="str">
        <f t="shared" si="30"/>
        <v>(78;33)</v>
      </c>
      <c r="AK116" s="12" t="str">
        <f t="shared" si="30"/>
        <v>(78;34)</v>
      </c>
      <c r="AL116" s="12" t="str">
        <f t="shared" si="30"/>
        <v>(78;35)</v>
      </c>
      <c r="AM116" s="12" t="str">
        <f t="shared" si="30"/>
        <v>(78;36)</v>
      </c>
      <c r="AN116" s="12" t="str">
        <f t="shared" si="30"/>
        <v>(78;37)</v>
      </c>
      <c r="AO116" s="12" t="str">
        <f t="shared" si="30"/>
        <v>(78;38)</v>
      </c>
      <c r="AP116" s="12" t="str">
        <f t="shared" si="30"/>
        <v>(78;39)</v>
      </c>
      <c r="AQ116" s="12" t="str">
        <f t="shared" si="30"/>
        <v>(78;40)</v>
      </c>
      <c r="AR116" s="12" t="str">
        <f t="shared" si="30"/>
        <v>(78;41)</v>
      </c>
      <c r="AS116" s="12" t="str">
        <f t="shared" si="30"/>
        <v>(78;42)</v>
      </c>
      <c r="AT116" s="12" t="str">
        <f t="shared" si="30"/>
        <v>(78;43)</v>
      </c>
      <c r="AU116" s="12" t="str">
        <f t="shared" si="30"/>
        <v>(78;44)</v>
      </c>
      <c r="AV116" s="12" t="str">
        <f t="shared" si="30"/>
        <v>(78;45)</v>
      </c>
      <c r="AW116" s="12" t="str">
        <f t="shared" si="30"/>
        <v>(78;46)</v>
      </c>
      <c r="AX116" s="12" t="str">
        <f t="shared" si="28"/>
        <v>(78;47)</v>
      </c>
      <c r="AY116" s="12" t="str">
        <f t="shared" si="28"/>
        <v>(78;48)</v>
      </c>
      <c r="AZ116" s="12" t="str">
        <f t="shared" si="28"/>
        <v>(78;49)</v>
      </c>
      <c r="BA116" s="12" t="str">
        <f t="shared" si="28"/>
        <v>(78;50)</v>
      </c>
      <c r="BB116" s="12" t="str">
        <f t="shared" si="28"/>
        <v>(78;51)</v>
      </c>
      <c r="BC116" s="12" t="str">
        <f t="shared" si="28"/>
        <v>(78;52)</v>
      </c>
      <c r="BD116" s="12" t="str">
        <f t="shared" si="28"/>
        <v>(78;53)</v>
      </c>
      <c r="BE116" s="12" t="str">
        <f t="shared" si="28"/>
        <v>(78;54)</v>
      </c>
      <c r="BF116" s="12" t="str">
        <f t="shared" si="28"/>
        <v>(78;55)</v>
      </c>
      <c r="BG116" s="12" t="str">
        <f t="shared" si="28"/>
        <v>(78;56)</v>
      </c>
      <c r="BH116" s="12" t="str">
        <f t="shared" si="28"/>
        <v>(78;57)</v>
      </c>
      <c r="BI116" s="12" t="str">
        <f t="shared" si="28"/>
        <v>(78;58)</v>
      </c>
      <c r="BJ116" s="12" t="str">
        <f t="shared" si="28"/>
        <v>(78;59)</v>
      </c>
      <c r="BK116" s="12" t="str">
        <f t="shared" si="28"/>
        <v>(78;60)</v>
      </c>
      <c r="BL116" s="12" t="str">
        <f t="shared" si="28"/>
        <v>(78;61)</v>
      </c>
      <c r="BM116" s="12" t="str">
        <f t="shared" si="18"/>
        <v>(78;62)</v>
      </c>
      <c r="BN116" s="12" t="str">
        <f t="shared" si="18"/>
        <v>(78;63)</v>
      </c>
    </row>
    <row r="117" spans="1:66">
      <c r="A117">
        <f>VLOOKUP(B117,Teste!$A$137:$G$236,7,FALSE)</f>
        <v>0</v>
      </c>
      <c r="B117">
        <f t="shared" si="27"/>
        <v>79</v>
      </c>
      <c r="C117" s="12" t="str">
        <f t="shared" si="31"/>
        <v>(79;00)</v>
      </c>
      <c r="D117" s="12" t="str">
        <f t="shared" si="31"/>
        <v>(79;01)</v>
      </c>
      <c r="E117" s="12" t="str">
        <f t="shared" si="31"/>
        <v>(79;02)</v>
      </c>
      <c r="F117" s="12" t="str">
        <f t="shared" si="31"/>
        <v>(79;03)</v>
      </c>
      <c r="G117" s="12" t="str">
        <f t="shared" si="31"/>
        <v>(79;04)</v>
      </c>
      <c r="H117" s="12" t="str">
        <f t="shared" si="31"/>
        <v>(79;05)</v>
      </c>
      <c r="I117" s="12" t="str">
        <f t="shared" si="31"/>
        <v>(79;06)</v>
      </c>
      <c r="J117" s="12" t="str">
        <f t="shared" si="31"/>
        <v>(79;07)</v>
      </c>
      <c r="K117" s="12" t="str">
        <f t="shared" si="31"/>
        <v>(79;08)</v>
      </c>
      <c r="L117" s="12" t="str">
        <f t="shared" si="31"/>
        <v>(79;09)</v>
      </c>
      <c r="M117" s="12" t="str">
        <f t="shared" si="31"/>
        <v>(79;10)</v>
      </c>
      <c r="N117" s="12" t="str">
        <f t="shared" si="31"/>
        <v>(79;11)</v>
      </c>
      <c r="O117" s="12" t="str">
        <f t="shared" si="31"/>
        <v>(79;12)</v>
      </c>
      <c r="P117" s="12" t="str">
        <f t="shared" si="31"/>
        <v>(79;13)</v>
      </c>
      <c r="Q117" s="12" t="str">
        <f t="shared" si="31"/>
        <v>(79;14)</v>
      </c>
      <c r="R117" s="12" t="str">
        <f t="shared" si="31"/>
        <v>(79;15)</v>
      </c>
      <c r="S117" s="12" t="str">
        <f t="shared" si="29"/>
        <v>(79;16)</v>
      </c>
      <c r="T117" s="12" t="str">
        <f t="shared" si="29"/>
        <v>(79;17)</v>
      </c>
      <c r="U117" s="12" t="str">
        <f t="shared" si="29"/>
        <v>(79;18)</v>
      </c>
      <c r="V117" s="12" t="str">
        <f t="shared" si="29"/>
        <v>(79;19)</v>
      </c>
      <c r="W117" s="12" t="str">
        <f t="shared" si="29"/>
        <v>(79;20)</v>
      </c>
      <c r="X117" s="12" t="str">
        <f t="shared" si="29"/>
        <v>(79;21)</v>
      </c>
      <c r="Y117" s="12" t="str">
        <f t="shared" si="29"/>
        <v>(79;22)</v>
      </c>
      <c r="Z117" s="12" t="str">
        <f t="shared" si="29"/>
        <v>(79;23)</v>
      </c>
      <c r="AA117" s="12" t="str">
        <f t="shared" si="29"/>
        <v>(79;24)</v>
      </c>
      <c r="AB117" s="12" t="str">
        <f t="shared" si="29"/>
        <v>(79;25)</v>
      </c>
      <c r="AC117" s="12" t="str">
        <f t="shared" si="29"/>
        <v>(79;26)</v>
      </c>
      <c r="AD117" s="12" t="str">
        <f t="shared" si="29"/>
        <v>(79;27)</v>
      </c>
      <c r="AE117" s="12" t="str">
        <f t="shared" si="29"/>
        <v>(79;28)</v>
      </c>
      <c r="AF117" s="12" t="str">
        <f t="shared" si="29"/>
        <v>(79;29)</v>
      </c>
      <c r="AG117" s="12" t="str">
        <f t="shared" si="29"/>
        <v>(79;30)</v>
      </c>
      <c r="AH117" s="12" t="str">
        <f t="shared" si="30"/>
        <v>(79;31)</v>
      </c>
      <c r="AI117" s="12" t="str">
        <f t="shared" si="30"/>
        <v>(79;32)</v>
      </c>
      <c r="AJ117" s="12" t="str">
        <f t="shared" si="30"/>
        <v>(79;33)</v>
      </c>
      <c r="AK117" s="12" t="str">
        <f t="shared" si="30"/>
        <v>(79;34)</v>
      </c>
      <c r="AL117" s="12" t="str">
        <f t="shared" si="30"/>
        <v>(79;35)</v>
      </c>
      <c r="AM117" s="12" t="str">
        <f t="shared" si="30"/>
        <v>(79;36)</v>
      </c>
      <c r="AN117" s="12" t="str">
        <f t="shared" si="30"/>
        <v>(79;37)</v>
      </c>
      <c r="AO117" s="12" t="str">
        <f t="shared" si="30"/>
        <v>(79;38)</v>
      </c>
      <c r="AP117" s="12" t="str">
        <f t="shared" si="30"/>
        <v>(79;39)</v>
      </c>
      <c r="AQ117" s="12" t="str">
        <f t="shared" si="30"/>
        <v>(79;40)</v>
      </c>
      <c r="AR117" s="12" t="str">
        <f t="shared" si="30"/>
        <v>(79;41)</v>
      </c>
      <c r="AS117" s="12" t="str">
        <f t="shared" si="30"/>
        <v>(79;42)</v>
      </c>
      <c r="AT117" s="12" t="str">
        <f t="shared" si="30"/>
        <v>(79;43)</v>
      </c>
      <c r="AU117" s="12" t="str">
        <f t="shared" si="30"/>
        <v>(79;44)</v>
      </c>
      <c r="AV117" s="12" t="str">
        <f t="shared" si="30"/>
        <v>(79;45)</v>
      </c>
      <c r="AW117" s="12" t="str">
        <f t="shared" si="30"/>
        <v>(79;46)</v>
      </c>
      <c r="AX117" s="12" t="str">
        <f t="shared" si="28"/>
        <v>(79;47)</v>
      </c>
      <c r="AY117" s="12" t="str">
        <f t="shared" si="28"/>
        <v>(79;48)</v>
      </c>
      <c r="AZ117" s="12" t="str">
        <f t="shared" si="28"/>
        <v>(79;49)</v>
      </c>
      <c r="BA117" s="12" t="str">
        <f t="shared" si="28"/>
        <v>(79;50)</v>
      </c>
      <c r="BB117" s="12" t="str">
        <f t="shared" si="28"/>
        <v>(79;51)</v>
      </c>
      <c r="BC117" s="12" t="str">
        <f t="shared" si="28"/>
        <v>(79;52)</v>
      </c>
      <c r="BD117" s="12" t="str">
        <f t="shared" si="28"/>
        <v>(79;53)</v>
      </c>
      <c r="BE117" s="12" t="str">
        <f t="shared" si="28"/>
        <v>(79;54)</v>
      </c>
      <c r="BF117" s="12" t="str">
        <f t="shared" si="28"/>
        <v>(79;55)</v>
      </c>
      <c r="BG117" s="12" t="str">
        <f t="shared" si="28"/>
        <v>(79;56)</v>
      </c>
      <c r="BH117" s="12" t="str">
        <f t="shared" si="28"/>
        <v>(79;57)</v>
      </c>
      <c r="BI117" s="12" t="str">
        <f t="shared" si="28"/>
        <v>(79;58)</v>
      </c>
      <c r="BJ117" s="12" t="str">
        <f t="shared" si="28"/>
        <v>(79;59)</v>
      </c>
      <c r="BK117" s="12" t="str">
        <f t="shared" si="28"/>
        <v>(79;60)</v>
      </c>
      <c r="BL117" s="12" t="str">
        <f t="shared" si="28"/>
        <v>(79;61)</v>
      </c>
      <c r="BM117" s="12" t="str">
        <f t="shared" si="18"/>
        <v>(79;62)</v>
      </c>
      <c r="BN117" s="12" t="str">
        <f t="shared" si="18"/>
        <v>(79;63)</v>
      </c>
    </row>
    <row r="118" spans="1:66">
      <c r="A118">
        <f>VLOOKUP(B118,Teste!$A$137:$G$236,7,FALSE)</f>
        <v>0</v>
      </c>
      <c r="B118">
        <f t="shared" si="27"/>
        <v>80</v>
      </c>
      <c r="C118" s="12" t="str">
        <f t="shared" si="31"/>
        <v>(80;00)</v>
      </c>
      <c r="D118" s="12" t="str">
        <f t="shared" si="31"/>
        <v>(80;01)</v>
      </c>
      <c r="E118" s="12" t="str">
        <f t="shared" si="31"/>
        <v>(80;02)</v>
      </c>
      <c r="F118" s="12" t="str">
        <f t="shared" si="31"/>
        <v>(80;03)</v>
      </c>
      <c r="G118" s="12" t="str">
        <f t="shared" si="31"/>
        <v>(80;04)</v>
      </c>
      <c r="H118" s="12" t="str">
        <f t="shared" si="31"/>
        <v>(80;05)</v>
      </c>
      <c r="I118" s="12" t="str">
        <f t="shared" si="31"/>
        <v>(80;06)</v>
      </c>
      <c r="J118" s="12" t="str">
        <f t="shared" si="31"/>
        <v>(80;07)</v>
      </c>
      <c r="K118" s="12" t="str">
        <f t="shared" si="31"/>
        <v>(80;08)</v>
      </c>
      <c r="L118" s="12" t="str">
        <f t="shared" si="31"/>
        <v>(80;09)</v>
      </c>
      <c r="M118" s="12" t="str">
        <f t="shared" si="31"/>
        <v>(80;10)</v>
      </c>
      <c r="N118" s="12" t="str">
        <f t="shared" si="31"/>
        <v>(80;11)</v>
      </c>
      <c r="O118" s="12" t="str">
        <f t="shared" si="31"/>
        <v>(80;12)</v>
      </c>
      <c r="P118" s="12" t="str">
        <f t="shared" si="31"/>
        <v>(80;13)</v>
      </c>
      <c r="Q118" s="12" t="str">
        <f t="shared" si="31"/>
        <v>(80;14)</v>
      </c>
      <c r="R118" s="12" t="str">
        <f t="shared" si="31"/>
        <v>(80;15)</v>
      </c>
      <c r="S118" s="12" t="str">
        <f t="shared" si="29"/>
        <v>(80;16)</v>
      </c>
      <c r="T118" s="12" t="str">
        <f t="shared" si="29"/>
        <v>(80;17)</v>
      </c>
      <c r="U118" s="12" t="str">
        <f t="shared" si="29"/>
        <v>(80;18)</v>
      </c>
      <c r="V118" s="12" t="str">
        <f t="shared" si="29"/>
        <v>(80;19)</v>
      </c>
      <c r="W118" s="12" t="str">
        <f t="shared" si="29"/>
        <v>(80;20)</v>
      </c>
      <c r="X118" s="12" t="str">
        <f t="shared" si="29"/>
        <v>(80;21)</v>
      </c>
      <c r="Y118" s="12" t="str">
        <f t="shared" si="29"/>
        <v>(80;22)</v>
      </c>
      <c r="Z118" s="12" t="str">
        <f t="shared" si="29"/>
        <v>(80;23)</v>
      </c>
      <c r="AA118" s="12" t="str">
        <f t="shared" si="29"/>
        <v>(80;24)</v>
      </c>
      <c r="AB118" s="12" t="str">
        <f t="shared" si="29"/>
        <v>(80;25)</v>
      </c>
      <c r="AC118" s="12" t="str">
        <f t="shared" si="29"/>
        <v>(80;26)</v>
      </c>
      <c r="AD118" s="12" t="str">
        <f t="shared" si="29"/>
        <v>(80;27)</v>
      </c>
      <c r="AE118" s="12" t="str">
        <f t="shared" si="29"/>
        <v>(80;28)</v>
      </c>
      <c r="AF118" s="12" t="str">
        <f t="shared" si="29"/>
        <v>(80;29)</v>
      </c>
      <c r="AG118" s="12" t="str">
        <f t="shared" si="29"/>
        <v>(80;30)</v>
      </c>
      <c r="AH118" s="12" t="str">
        <f t="shared" si="30"/>
        <v>(80;31)</v>
      </c>
      <c r="AI118" s="12" t="str">
        <f t="shared" si="30"/>
        <v>(80;32)</v>
      </c>
      <c r="AJ118" s="12" t="str">
        <f t="shared" si="30"/>
        <v>(80;33)</v>
      </c>
      <c r="AK118" s="12" t="str">
        <f t="shared" si="30"/>
        <v>(80;34)</v>
      </c>
      <c r="AL118" s="12" t="str">
        <f t="shared" si="30"/>
        <v>(80;35)</v>
      </c>
      <c r="AM118" s="12" t="str">
        <f t="shared" si="30"/>
        <v>(80;36)</v>
      </c>
      <c r="AN118" s="12" t="str">
        <f t="shared" si="30"/>
        <v>(80;37)</v>
      </c>
      <c r="AO118" s="12" t="str">
        <f t="shared" si="30"/>
        <v>(80;38)</v>
      </c>
      <c r="AP118" s="12" t="str">
        <f t="shared" si="30"/>
        <v>(80;39)</v>
      </c>
      <c r="AQ118" s="12" t="str">
        <f t="shared" si="30"/>
        <v>(80;40)</v>
      </c>
      <c r="AR118" s="12" t="str">
        <f t="shared" si="30"/>
        <v>(80;41)</v>
      </c>
      <c r="AS118" s="12" t="str">
        <f t="shared" si="30"/>
        <v>(80;42)</v>
      </c>
      <c r="AT118" s="12" t="str">
        <f t="shared" si="30"/>
        <v>(80;43)</v>
      </c>
      <c r="AU118" s="12" t="str">
        <f t="shared" si="30"/>
        <v>(80;44)</v>
      </c>
      <c r="AV118" s="12" t="str">
        <f t="shared" si="30"/>
        <v>(80;45)</v>
      </c>
      <c r="AW118" s="12" t="str">
        <f t="shared" si="30"/>
        <v>(80;46)</v>
      </c>
      <c r="AX118" s="12" t="str">
        <f t="shared" si="28"/>
        <v>(80;47)</v>
      </c>
      <c r="AY118" s="12" t="str">
        <f t="shared" si="28"/>
        <v>(80;48)</v>
      </c>
      <c r="AZ118" s="12" t="str">
        <f t="shared" si="28"/>
        <v>(80;49)</v>
      </c>
      <c r="BA118" s="12" t="str">
        <f t="shared" si="28"/>
        <v>(80;50)</v>
      </c>
      <c r="BB118" s="12" t="str">
        <f t="shared" si="28"/>
        <v>(80;51)</v>
      </c>
      <c r="BC118" s="12" t="str">
        <f t="shared" si="28"/>
        <v>(80;52)</v>
      </c>
      <c r="BD118" s="12" t="str">
        <f t="shared" si="28"/>
        <v>(80;53)</v>
      </c>
      <c r="BE118" s="12" t="str">
        <f t="shared" si="28"/>
        <v>(80;54)</v>
      </c>
      <c r="BF118" s="12" t="str">
        <f t="shared" si="28"/>
        <v>(80;55)</v>
      </c>
      <c r="BG118" s="12" t="str">
        <f t="shared" si="28"/>
        <v>(80;56)</v>
      </c>
      <c r="BH118" s="12" t="str">
        <f t="shared" si="28"/>
        <v>(80;57)</v>
      </c>
      <c r="BI118" s="12" t="str">
        <f t="shared" si="28"/>
        <v>(80;58)</v>
      </c>
      <c r="BJ118" s="12" t="str">
        <f t="shared" si="28"/>
        <v>(80;59)</v>
      </c>
      <c r="BK118" s="12" t="str">
        <f t="shared" si="28"/>
        <v>(80;60)</v>
      </c>
      <c r="BL118" s="12" t="str">
        <f t="shared" si="28"/>
        <v>(80;61)</v>
      </c>
      <c r="BM118" s="12" t="str">
        <f t="shared" si="18"/>
        <v>(80;62)</v>
      </c>
      <c r="BN118" s="12" t="str">
        <f t="shared" si="18"/>
        <v>(80;63)</v>
      </c>
    </row>
    <row r="119" spans="1:66">
      <c r="A119">
        <f>VLOOKUP(B119,Teste!$A$137:$G$236,7,FALSE)</f>
        <v>0</v>
      </c>
      <c r="B119">
        <f t="shared" si="27"/>
        <v>81</v>
      </c>
      <c r="C119" s="12" t="str">
        <f t="shared" si="31"/>
        <v>(81;00)</v>
      </c>
      <c r="D119" s="12" t="str">
        <f t="shared" si="31"/>
        <v>(81;01)</v>
      </c>
      <c r="E119" s="12" t="str">
        <f t="shared" si="31"/>
        <v>(81;02)</v>
      </c>
      <c r="F119" s="12" t="str">
        <f t="shared" si="31"/>
        <v>(81;03)</v>
      </c>
      <c r="G119" s="12" t="str">
        <f t="shared" si="31"/>
        <v>(81;04)</v>
      </c>
      <c r="H119" s="12" t="str">
        <f t="shared" si="31"/>
        <v>(81;05)</v>
      </c>
      <c r="I119" s="12" t="str">
        <f t="shared" si="31"/>
        <v>(81;06)</v>
      </c>
      <c r="J119" s="12" t="str">
        <f t="shared" si="31"/>
        <v>(81;07)</v>
      </c>
      <c r="K119" s="12" t="str">
        <f t="shared" si="31"/>
        <v>(81;08)</v>
      </c>
      <c r="L119" s="12" t="str">
        <f t="shared" si="31"/>
        <v>(81;09)</v>
      </c>
      <c r="M119" s="12" t="str">
        <f t="shared" si="31"/>
        <v>(81;10)</v>
      </c>
      <c r="N119" s="12" t="str">
        <f t="shared" si="31"/>
        <v>(81;11)</v>
      </c>
      <c r="O119" s="12" t="str">
        <f t="shared" si="31"/>
        <v>(81;12)</v>
      </c>
      <c r="P119" s="12" t="str">
        <f t="shared" si="31"/>
        <v>(81;13)</v>
      </c>
      <c r="Q119" s="12" t="str">
        <f t="shared" si="31"/>
        <v>(81;14)</v>
      </c>
      <c r="R119" s="12" t="str">
        <f t="shared" si="31"/>
        <v>(81;15)</v>
      </c>
      <c r="S119" s="12" t="str">
        <f t="shared" si="29"/>
        <v>(81;16)</v>
      </c>
      <c r="T119" s="12" t="str">
        <f t="shared" si="29"/>
        <v>(81;17)</v>
      </c>
      <c r="U119" s="12" t="str">
        <f t="shared" si="29"/>
        <v>(81;18)</v>
      </c>
      <c r="V119" s="12" t="str">
        <f t="shared" si="29"/>
        <v>(81;19)</v>
      </c>
      <c r="W119" s="12" t="str">
        <f t="shared" si="29"/>
        <v>(81;20)</v>
      </c>
      <c r="X119" s="12" t="str">
        <f t="shared" si="29"/>
        <v>(81;21)</v>
      </c>
      <c r="Y119" s="12" t="str">
        <f t="shared" si="29"/>
        <v>(81;22)</v>
      </c>
      <c r="Z119" s="12" t="str">
        <f t="shared" si="29"/>
        <v>(81;23)</v>
      </c>
      <c r="AA119" s="12" t="str">
        <f t="shared" si="29"/>
        <v>(81;24)</v>
      </c>
      <c r="AB119" s="12" t="str">
        <f t="shared" si="29"/>
        <v>(81;25)</v>
      </c>
      <c r="AC119" s="12" t="str">
        <f t="shared" si="29"/>
        <v>(81;26)</v>
      </c>
      <c r="AD119" s="12" t="str">
        <f t="shared" si="29"/>
        <v>(81;27)</v>
      </c>
      <c r="AE119" s="12" t="str">
        <f t="shared" si="29"/>
        <v>(81;28)</v>
      </c>
      <c r="AF119" s="12" t="str">
        <f t="shared" si="29"/>
        <v>(81;29)</v>
      </c>
      <c r="AG119" s="12" t="str">
        <f t="shared" si="29"/>
        <v>(81;30)</v>
      </c>
      <c r="AH119" s="12" t="str">
        <f t="shared" si="30"/>
        <v>(81;31)</v>
      </c>
      <c r="AI119" s="12" t="str">
        <f t="shared" si="30"/>
        <v>(81;32)</v>
      </c>
      <c r="AJ119" s="12" t="str">
        <f t="shared" si="30"/>
        <v>(81;33)</v>
      </c>
      <c r="AK119" s="12" t="str">
        <f t="shared" si="30"/>
        <v>(81;34)</v>
      </c>
      <c r="AL119" s="12" t="str">
        <f t="shared" si="30"/>
        <v>(81;35)</v>
      </c>
      <c r="AM119" s="12" t="str">
        <f t="shared" si="30"/>
        <v>(81;36)</v>
      </c>
      <c r="AN119" s="12" t="str">
        <f t="shared" si="30"/>
        <v>(81;37)</v>
      </c>
      <c r="AO119" s="12" t="str">
        <f t="shared" si="30"/>
        <v>(81;38)</v>
      </c>
      <c r="AP119" s="12" t="str">
        <f t="shared" si="30"/>
        <v>(81;39)</v>
      </c>
      <c r="AQ119" s="12" t="str">
        <f t="shared" si="30"/>
        <v>(81;40)</v>
      </c>
      <c r="AR119" s="12" t="str">
        <f t="shared" si="30"/>
        <v>(81;41)</v>
      </c>
      <c r="AS119" s="12" t="str">
        <f t="shared" si="30"/>
        <v>(81;42)</v>
      </c>
      <c r="AT119" s="12" t="str">
        <f t="shared" si="30"/>
        <v>(81;43)</v>
      </c>
      <c r="AU119" s="12" t="str">
        <f t="shared" si="30"/>
        <v>(81;44)</v>
      </c>
      <c r="AV119" s="12" t="str">
        <f t="shared" si="30"/>
        <v>(81;45)</v>
      </c>
      <c r="AW119" s="12" t="str">
        <f t="shared" si="30"/>
        <v>(81;46)</v>
      </c>
      <c r="AX119" s="12" t="str">
        <f t="shared" si="28"/>
        <v>(81;47)</v>
      </c>
      <c r="AY119" s="12" t="str">
        <f t="shared" si="28"/>
        <v>(81;48)</v>
      </c>
      <c r="AZ119" s="12" t="str">
        <f t="shared" si="28"/>
        <v>(81;49)</v>
      </c>
      <c r="BA119" s="12" t="str">
        <f t="shared" si="28"/>
        <v>(81;50)</v>
      </c>
      <c r="BB119" s="12" t="str">
        <f t="shared" si="28"/>
        <v>(81;51)</v>
      </c>
      <c r="BC119" s="12" t="str">
        <f t="shared" si="28"/>
        <v>(81;52)</v>
      </c>
      <c r="BD119" s="12" t="str">
        <f t="shared" si="28"/>
        <v>(81;53)</v>
      </c>
      <c r="BE119" s="12" t="str">
        <f t="shared" si="28"/>
        <v>(81;54)</v>
      </c>
      <c r="BF119" s="12" t="str">
        <f t="shared" si="28"/>
        <v>(81;55)</v>
      </c>
      <c r="BG119" s="12" t="str">
        <f t="shared" si="28"/>
        <v>(81;56)</v>
      </c>
      <c r="BH119" s="12" t="str">
        <f t="shared" si="28"/>
        <v>(81;57)</v>
      </c>
      <c r="BI119" s="12" t="str">
        <f t="shared" si="28"/>
        <v>(81;58)</v>
      </c>
      <c r="BJ119" s="12" t="str">
        <f t="shared" si="28"/>
        <v>(81;59)</v>
      </c>
      <c r="BK119" s="12" t="str">
        <f t="shared" si="28"/>
        <v>(81;60)</v>
      </c>
      <c r="BL119" s="12" t="str">
        <f t="shared" si="28"/>
        <v>(81;61)</v>
      </c>
      <c r="BM119" s="12" t="str">
        <f t="shared" si="18"/>
        <v>(81;62)</v>
      </c>
      <c r="BN119" s="12" t="str">
        <f t="shared" si="18"/>
        <v>(81;63)</v>
      </c>
    </row>
    <row r="120" spans="1:66">
      <c r="A120">
        <f>VLOOKUP(B120,Teste!$A$137:$G$236,7,FALSE)</f>
        <v>0</v>
      </c>
      <c r="B120">
        <f t="shared" si="27"/>
        <v>82</v>
      </c>
      <c r="C120" s="12" t="str">
        <f t="shared" si="31"/>
        <v>(82;00)</v>
      </c>
      <c r="D120" s="12" t="str">
        <f t="shared" si="31"/>
        <v>(82;01)</v>
      </c>
      <c r="E120" s="12" t="str">
        <f t="shared" si="31"/>
        <v>(82;02)</v>
      </c>
      <c r="F120" s="12" t="str">
        <f t="shared" si="31"/>
        <v>(82;03)</v>
      </c>
      <c r="G120" s="12" t="str">
        <f t="shared" si="31"/>
        <v>(82;04)</v>
      </c>
      <c r="H120" s="12" t="str">
        <f t="shared" si="31"/>
        <v>(82;05)</v>
      </c>
      <c r="I120" s="12" t="str">
        <f t="shared" si="31"/>
        <v>(82;06)</v>
      </c>
      <c r="J120" s="12" t="str">
        <f t="shared" si="31"/>
        <v>(82;07)</v>
      </c>
      <c r="K120" s="12" t="str">
        <f t="shared" si="31"/>
        <v>(82;08)</v>
      </c>
      <c r="L120" s="12" t="str">
        <f t="shared" si="31"/>
        <v>(82;09)</v>
      </c>
      <c r="M120" s="12" t="str">
        <f t="shared" si="31"/>
        <v>(82;10)</v>
      </c>
      <c r="N120" s="12" t="str">
        <f t="shared" si="31"/>
        <v>(82;11)</v>
      </c>
      <c r="O120" s="12" t="str">
        <f t="shared" si="31"/>
        <v>(82;12)</v>
      </c>
      <c r="P120" s="12" t="str">
        <f t="shared" si="31"/>
        <v>(82;13)</v>
      </c>
      <c r="Q120" s="12" t="str">
        <f t="shared" si="31"/>
        <v>(82;14)</v>
      </c>
      <c r="R120" s="12" t="str">
        <f t="shared" si="31"/>
        <v>(82;15)</v>
      </c>
      <c r="S120" s="12" t="str">
        <f t="shared" si="29"/>
        <v>(82;16)</v>
      </c>
      <c r="T120" s="12" t="str">
        <f t="shared" si="29"/>
        <v>(82;17)</v>
      </c>
      <c r="U120" s="12" t="str">
        <f t="shared" si="29"/>
        <v>(82;18)</v>
      </c>
      <c r="V120" s="12" t="str">
        <f t="shared" si="29"/>
        <v>(82;19)</v>
      </c>
      <c r="W120" s="12" t="str">
        <f t="shared" si="29"/>
        <v>(82;20)</v>
      </c>
      <c r="X120" s="12" t="str">
        <f t="shared" si="29"/>
        <v>(82;21)</v>
      </c>
      <c r="Y120" s="12" t="str">
        <f t="shared" si="29"/>
        <v>(82;22)</v>
      </c>
      <c r="Z120" s="12" t="str">
        <f t="shared" si="29"/>
        <v>(82;23)</v>
      </c>
      <c r="AA120" s="12" t="str">
        <f t="shared" si="29"/>
        <v>(82;24)</v>
      </c>
      <c r="AB120" s="12" t="str">
        <f t="shared" si="29"/>
        <v>(82;25)</v>
      </c>
      <c r="AC120" s="12" t="str">
        <f t="shared" si="29"/>
        <v>(82;26)</v>
      </c>
      <c r="AD120" s="12" t="str">
        <f t="shared" si="29"/>
        <v>(82;27)</v>
      </c>
      <c r="AE120" s="12" t="str">
        <f t="shared" si="29"/>
        <v>(82;28)</v>
      </c>
      <c r="AF120" s="12" t="str">
        <f t="shared" si="29"/>
        <v>(82;29)</v>
      </c>
      <c r="AG120" s="12" t="str">
        <f t="shared" si="29"/>
        <v>(82;30)</v>
      </c>
      <c r="AH120" s="12" t="str">
        <f t="shared" si="30"/>
        <v>(82;31)</v>
      </c>
      <c r="AI120" s="12" t="str">
        <f t="shared" si="30"/>
        <v>(82;32)</v>
      </c>
      <c r="AJ120" s="12" t="str">
        <f t="shared" si="30"/>
        <v>(82;33)</v>
      </c>
      <c r="AK120" s="12" t="str">
        <f t="shared" si="30"/>
        <v>(82;34)</v>
      </c>
      <c r="AL120" s="12" t="str">
        <f t="shared" si="30"/>
        <v>(82;35)</v>
      </c>
      <c r="AM120" s="12" t="str">
        <f t="shared" si="30"/>
        <v>(82;36)</v>
      </c>
      <c r="AN120" s="12" t="str">
        <f t="shared" si="30"/>
        <v>(82;37)</v>
      </c>
      <c r="AO120" s="12" t="str">
        <f t="shared" si="30"/>
        <v>(82;38)</v>
      </c>
      <c r="AP120" s="12" t="str">
        <f t="shared" si="30"/>
        <v>(82;39)</v>
      </c>
      <c r="AQ120" s="12" t="str">
        <f t="shared" si="30"/>
        <v>(82;40)</v>
      </c>
      <c r="AR120" s="12" t="str">
        <f t="shared" si="30"/>
        <v>(82;41)</v>
      </c>
      <c r="AS120" s="12" t="str">
        <f t="shared" si="30"/>
        <v>(82;42)</v>
      </c>
      <c r="AT120" s="12" t="str">
        <f t="shared" si="30"/>
        <v>(82;43)</v>
      </c>
      <c r="AU120" s="12" t="str">
        <f t="shared" si="30"/>
        <v>(82;44)</v>
      </c>
      <c r="AV120" s="12" t="str">
        <f t="shared" si="30"/>
        <v>(82;45)</v>
      </c>
      <c r="AW120" s="12" t="str">
        <f t="shared" si="30"/>
        <v>(82;46)</v>
      </c>
      <c r="AX120" s="12" t="str">
        <f t="shared" si="28"/>
        <v>(82;47)</v>
      </c>
      <c r="AY120" s="12" t="str">
        <f t="shared" si="28"/>
        <v>(82;48)</v>
      </c>
      <c r="AZ120" s="12" t="str">
        <f t="shared" si="28"/>
        <v>(82;49)</v>
      </c>
      <c r="BA120" s="12" t="str">
        <f t="shared" si="28"/>
        <v>(82;50)</v>
      </c>
      <c r="BB120" s="12" t="str">
        <f t="shared" si="28"/>
        <v>(82;51)</v>
      </c>
      <c r="BC120" s="12" t="str">
        <f t="shared" si="28"/>
        <v>(82;52)</v>
      </c>
      <c r="BD120" s="12" t="str">
        <f t="shared" si="28"/>
        <v>(82;53)</v>
      </c>
      <c r="BE120" s="12" t="str">
        <f t="shared" si="28"/>
        <v>(82;54)</v>
      </c>
      <c r="BF120" s="12" t="str">
        <f t="shared" si="28"/>
        <v>(82;55)</v>
      </c>
      <c r="BG120" s="12" t="str">
        <f t="shared" si="28"/>
        <v>(82;56)</v>
      </c>
      <c r="BH120" s="12" t="str">
        <f t="shared" si="28"/>
        <v>(82;57)</v>
      </c>
      <c r="BI120" s="12" t="str">
        <f t="shared" si="28"/>
        <v>(82;58)</v>
      </c>
      <c r="BJ120" s="12" t="str">
        <f t="shared" si="28"/>
        <v>(82;59)</v>
      </c>
      <c r="BK120" s="12" t="str">
        <f t="shared" si="28"/>
        <v>(82;60)</v>
      </c>
      <c r="BL120" s="12" t="str">
        <f t="shared" si="28"/>
        <v>(82;61)</v>
      </c>
      <c r="BM120" s="12" t="str">
        <f t="shared" si="18"/>
        <v>(82;62)</v>
      </c>
      <c r="BN120" s="12" t="str">
        <f t="shared" si="18"/>
        <v>(82;63)</v>
      </c>
    </row>
    <row r="121" spans="1:66">
      <c r="A121">
        <f>VLOOKUP(B121,Teste!$A$137:$G$236,7,FALSE)</f>
        <v>0</v>
      </c>
      <c r="B121">
        <f t="shared" si="27"/>
        <v>83</v>
      </c>
      <c r="C121" s="12" t="str">
        <f t="shared" si="31"/>
        <v>(83;00)</v>
      </c>
      <c r="D121" s="12" t="str">
        <f t="shared" si="31"/>
        <v>(83;01)</v>
      </c>
      <c r="E121" s="12" t="str">
        <f t="shared" si="31"/>
        <v>(83;02)</v>
      </c>
      <c r="F121" s="12" t="str">
        <f t="shared" si="31"/>
        <v>(83;03)</v>
      </c>
      <c r="G121" s="12" t="str">
        <f t="shared" si="31"/>
        <v>(83;04)</v>
      </c>
      <c r="H121" s="12" t="str">
        <f t="shared" si="31"/>
        <v>(83;05)</v>
      </c>
      <c r="I121" s="12" t="str">
        <f t="shared" si="31"/>
        <v>(83;06)</v>
      </c>
      <c r="J121" s="12" t="str">
        <f t="shared" si="31"/>
        <v>(83;07)</v>
      </c>
      <c r="K121" s="12" t="str">
        <f t="shared" si="31"/>
        <v>(83;08)</v>
      </c>
      <c r="L121" s="12" t="str">
        <f t="shared" si="31"/>
        <v>(83;09)</v>
      </c>
      <c r="M121" s="12" t="str">
        <f t="shared" si="31"/>
        <v>(83;10)</v>
      </c>
      <c r="N121" s="12" t="str">
        <f t="shared" si="31"/>
        <v>(83;11)</v>
      </c>
      <c r="O121" s="12" t="str">
        <f t="shared" si="31"/>
        <v>(83;12)</v>
      </c>
      <c r="P121" s="12" t="str">
        <f t="shared" si="31"/>
        <v>(83;13)</v>
      </c>
      <c r="Q121" s="12" t="str">
        <f t="shared" si="31"/>
        <v>(83;14)</v>
      </c>
      <c r="R121" s="12" t="str">
        <f t="shared" si="31"/>
        <v>(83;15)</v>
      </c>
      <c r="S121" s="12" t="str">
        <f t="shared" si="29"/>
        <v>(83;16)</v>
      </c>
      <c r="T121" s="12" t="str">
        <f t="shared" si="29"/>
        <v>(83;17)</v>
      </c>
      <c r="U121" s="12" t="str">
        <f t="shared" si="29"/>
        <v>(83;18)</v>
      </c>
      <c r="V121" s="12" t="str">
        <f t="shared" si="29"/>
        <v>(83;19)</v>
      </c>
      <c r="W121" s="12" t="str">
        <f t="shared" si="29"/>
        <v>(83;20)</v>
      </c>
      <c r="X121" s="12" t="str">
        <f t="shared" si="29"/>
        <v>(83;21)</v>
      </c>
      <c r="Y121" s="12" t="str">
        <f t="shared" si="29"/>
        <v>(83;22)</v>
      </c>
      <c r="Z121" s="12" t="str">
        <f t="shared" si="29"/>
        <v>(83;23)</v>
      </c>
      <c r="AA121" s="12" t="str">
        <f t="shared" si="29"/>
        <v>(83;24)</v>
      </c>
      <c r="AB121" s="12" t="str">
        <f t="shared" si="29"/>
        <v>(83;25)</v>
      </c>
      <c r="AC121" s="12" t="str">
        <f t="shared" si="29"/>
        <v>(83;26)</v>
      </c>
      <c r="AD121" s="12" t="str">
        <f t="shared" si="29"/>
        <v>(83;27)</v>
      </c>
      <c r="AE121" s="12" t="str">
        <f t="shared" si="29"/>
        <v>(83;28)</v>
      </c>
      <c r="AF121" s="12" t="str">
        <f t="shared" si="29"/>
        <v>(83;29)</v>
      </c>
      <c r="AG121" s="12" t="str">
        <f t="shared" si="29"/>
        <v>(83;30)</v>
      </c>
      <c r="AH121" s="12" t="str">
        <f t="shared" si="30"/>
        <v>(83;31)</v>
      </c>
      <c r="AI121" s="12" t="str">
        <f t="shared" si="30"/>
        <v>(83;32)</v>
      </c>
      <c r="AJ121" s="12" t="str">
        <f t="shared" si="30"/>
        <v>(83;33)</v>
      </c>
      <c r="AK121" s="12" t="str">
        <f t="shared" si="30"/>
        <v>(83;34)</v>
      </c>
      <c r="AL121" s="12" t="str">
        <f t="shared" si="30"/>
        <v>(83;35)</v>
      </c>
      <c r="AM121" s="12" t="str">
        <f t="shared" si="30"/>
        <v>(83;36)</v>
      </c>
      <c r="AN121" s="12" t="str">
        <f t="shared" si="30"/>
        <v>(83;37)</v>
      </c>
      <c r="AO121" s="12" t="str">
        <f t="shared" si="30"/>
        <v>(83;38)</v>
      </c>
      <c r="AP121" s="12" t="str">
        <f t="shared" si="30"/>
        <v>(83;39)</v>
      </c>
      <c r="AQ121" s="12" t="str">
        <f t="shared" si="30"/>
        <v>(83;40)</v>
      </c>
      <c r="AR121" s="12" t="str">
        <f t="shared" si="30"/>
        <v>(83;41)</v>
      </c>
      <c r="AS121" s="12" t="str">
        <f t="shared" si="30"/>
        <v>(83;42)</v>
      </c>
      <c r="AT121" s="12" t="str">
        <f t="shared" si="30"/>
        <v>(83;43)</v>
      </c>
      <c r="AU121" s="12" t="str">
        <f t="shared" si="30"/>
        <v>(83;44)</v>
      </c>
      <c r="AV121" s="12" t="str">
        <f t="shared" si="30"/>
        <v>(83;45)</v>
      </c>
      <c r="AW121" s="12" t="str">
        <f t="shared" ref="AW121:BL136" si="32">CONCATENATE("(",TEXT($B121,"00"),";",TEXT(AW$37,"00"),")")</f>
        <v>(83;46)</v>
      </c>
      <c r="AX121" s="12" t="str">
        <f t="shared" si="32"/>
        <v>(83;47)</v>
      </c>
      <c r="AY121" s="12" t="str">
        <f t="shared" si="32"/>
        <v>(83;48)</v>
      </c>
      <c r="AZ121" s="12" t="str">
        <f t="shared" si="32"/>
        <v>(83;49)</v>
      </c>
      <c r="BA121" s="12" t="str">
        <f t="shared" si="32"/>
        <v>(83;50)</v>
      </c>
      <c r="BB121" s="12" t="str">
        <f t="shared" si="32"/>
        <v>(83;51)</v>
      </c>
      <c r="BC121" s="12" t="str">
        <f t="shared" si="32"/>
        <v>(83;52)</v>
      </c>
      <c r="BD121" s="12" t="str">
        <f t="shared" si="32"/>
        <v>(83;53)</v>
      </c>
      <c r="BE121" s="12" t="str">
        <f t="shared" si="32"/>
        <v>(83;54)</v>
      </c>
      <c r="BF121" s="12" t="str">
        <f t="shared" si="32"/>
        <v>(83;55)</v>
      </c>
      <c r="BG121" s="12" t="str">
        <f t="shared" si="32"/>
        <v>(83;56)</v>
      </c>
      <c r="BH121" s="12" t="str">
        <f t="shared" si="32"/>
        <v>(83;57)</v>
      </c>
      <c r="BI121" s="12" t="str">
        <f t="shared" si="32"/>
        <v>(83;58)</v>
      </c>
      <c r="BJ121" s="12" t="str">
        <f t="shared" si="32"/>
        <v>(83;59)</v>
      </c>
      <c r="BK121" s="12" t="str">
        <f t="shared" si="32"/>
        <v>(83;60)</v>
      </c>
      <c r="BL121" s="12" t="str">
        <f t="shared" si="32"/>
        <v>(83;61)</v>
      </c>
      <c r="BM121" s="12" t="str">
        <f t="shared" si="18"/>
        <v>(83;62)</v>
      </c>
      <c r="BN121" s="12" t="str">
        <f t="shared" si="18"/>
        <v>(83;63)</v>
      </c>
    </row>
    <row r="122" spans="1:66">
      <c r="A122">
        <f>VLOOKUP(B122,Teste!$A$137:$G$236,7,FALSE)</f>
        <v>0</v>
      </c>
      <c r="B122">
        <f t="shared" si="27"/>
        <v>84</v>
      </c>
      <c r="C122" s="12" t="str">
        <f t="shared" si="31"/>
        <v>(84;00)</v>
      </c>
      <c r="D122" s="12" t="str">
        <f t="shared" si="31"/>
        <v>(84;01)</v>
      </c>
      <c r="E122" s="12" t="str">
        <f t="shared" si="31"/>
        <v>(84;02)</v>
      </c>
      <c r="F122" s="12" t="str">
        <f t="shared" si="31"/>
        <v>(84;03)</v>
      </c>
      <c r="G122" s="12" t="str">
        <f t="shared" si="31"/>
        <v>(84;04)</v>
      </c>
      <c r="H122" s="12" t="str">
        <f t="shared" si="31"/>
        <v>(84;05)</v>
      </c>
      <c r="I122" s="12" t="str">
        <f t="shared" si="31"/>
        <v>(84;06)</v>
      </c>
      <c r="J122" s="12" t="str">
        <f t="shared" si="31"/>
        <v>(84;07)</v>
      </c>
      <c r="K122" s="12" t="str">
        <f t="shared" si="31"/>
        <v>(84;08)</v>
      </c>
      <c r="L122" s="12" t="str">
        <f t="shared" si="31"/>
        <v>(84;09)</v>
      </c>
      <c r="M122" s="12" t="str">
        <f t="shared" si="31"/>
        <v>(84;10)</v>
      </c>
      <c r="N122" s="12" t="str">
        <f t="shared" si="31"/>
        <v>(84;11)</v>
      </c>
      <c r="O122" s="12" t="str">
        <f t="shared" si="31"/>
        <v>(84;12)</v>
      </c>
      <c r="P122" s="12" t="str">
        <f t="shared" si="31"/>
        <v>(84;13)</v>
      </c>
      <c r="Q122" s="12" t="str">
        <f t="shared" si="31"/>
        <v>(84;14)</v>
      </c>
      <c r="R122" s="12" t="str">
        <f t="shared" ref="R122:AG137" si="33">CONCATENATE("(",TEXT($B122,"00"),";",TEXT(R$37,"00"),")")</f>
        <v>(84;15)</v>
      </c>
      <c r="S122" s="12" t="str">
        <f t="shared" si="33"/>
        <v>(84;16)</v>
      </c>
      <c r="T122" s="12" t="str">
        <f t="shared" si="33"/>
        <v>(84;17)</v>
      </c>
      <c r="U122" s="12" t="str">
        <f t="shared" si="33"/>
        <v>(84;18)</v>
      </c>
      <c r="V122" s="12" t="str">
        <f t="shared" si="33"/>
        <v>(84;19)</v>
      </c>
      <c r="W122" s="12" t="str">
        <f t="shared" si="33"/>
        <v>(84;20)</v>
      </c>
      <c r="X122" s="12" t="str">
        <f t="shared" si="33"/>
        <v>(84;21)</v>
      </c>
      <c r="Y122" s="12" t="str">
        <f t="shared" si="33"/>
        <v>(84;22)</v>
      </c>
      <c r="Z122" s="12" t="str">
        <f t="shared" si="33"/>
        <v>(84;23)</v>
      </c>
      <c r="AA122" s="12" t="str">
        <f t="shared" si="33"/>
        <v>(84;24)</v>
      </c>
      <c r="AB122" s="12" t="str">
        <f t="shared" si="33"/>
        <v>(84;25)</v>
      </c>
      <c r="AC122" s="12" t="str">
        <f t="shared" si="33"/>
        <v>(84;26)</v>
      </c>
      <c r="AD122" s="12" t="str">
        <f t="shared" si="33"/>
        <v>(84;27)</v>
      </c>
      <c r="AE122" s="12" t="str">
        <f t="shared" si="33"/>
        <v>(84;28)</v>
      </c>
      <c r="AF122" s="12" t="str">
        <f t="shared" si="33"/>
        <v>(84;29)</v>
      </c>
      <c r="AG122" s="12" t="str">
        <f t="shared" si="33"/>
        <v>(84;30)</v>
      </c>
      <c r="AH122" s="12" t="str">
        <f t="shared" ref="AH122:AW137" si="34">CONCATENATE("(",TEXT($B122,"00"),";",TEXT(AH$37,"00"),")")</f>
        <v>(84;31)</v>
      </c>
      <c r="AI122" s="12" t="str">
        <f t="shared" si="34"/>
        <v>(84;32)</v>
      </c>
      <c r="AJ122" s="12" t="str">
        <f t="shared" si="34"/>
        <v>(84;33)</v>
      </c>
      <c r="AK122" s="12" t="str">
        <f t="shared" si="34"/>
        <v>(84;34)</v>
      </c>
      <c r="AL122" s="12" t="str">
        <f t="shared" si="34"/>
        <v>(84;35)</v>
      </c>
      <c r="AM122" s="12" t="str">
        <f t="shared" si="34"/>
        <v>(84;36)</v>
      </c>
      <c r="AN122" s="12" t="str">
        <f t="shared" si="34"/>
        <v>(84;37)</v>
      </c>
      <c r="AO122" s="12" t="str">
        <f t="shared" si="34"/>
        <v>(84;38)</v>
      </c>
      <c r="AP122" s="12" t="str">
        <f t="shared" si="34"/>
        <v>(84;39)</v>
      </c>
      <c r="AQ122" s="12" t="str">
        <f t="shared" si="34"/>
        <v>(84;40)</v>
      </c>
      <c r="AR122" s="12" t="str">
        <f t="shared" si="34"/>
        <v>(84;41)</v>
      </c>
      <c r="AS122" s="12" t="str">
        <f t="shared" si="34"/>
        <v>(84;42)</v>
      </c>
      <c r="AT122" s="12" t="str">
        <f t="shared" si="34"/>
        <v>(84;43)</v>
      </c>
      <c r="AU122" s="12" t="str">
        <f t="shared" si="34"/>
        <v>(84;44)</v>
      </c>
      <c r="AV122" s="12" t="str">
        <f t="shared" si="34"/>
        <v>(84;45)</v>
      </c>
      <c r="AW122" s="12" t="str">
        <f t="shared" si="34"/>
        <v>(84;46)</v>
      </c>
      <c r="AX122" s="12" t="str">
        <f t="shared" si="32"/>
        <v>(84;47)</v>
      </c>
      <c r="AY122" s="12" t="str">
        <f t="shared" si="32"/>
        <v>(84;48)</v>
      </c>
      <c r="AZ122" s="12" t="str">
        <f t="shared" si="32"/>
        <v>(84;49)</v>
      </c>
      <c r="BA122" s="12" t="str">
        <f t="shared" si="32"/>
        <v>(84;50)</v>
      </c>
      <c r="BB122" s="12" t="str">
        <f t="shared" si="32"/>
        <v>(84;51)</v>
      </c>
      <c r="BC122" s="12" t="str">
        <f t="shared" si="32"/>
        <v>(84;52)</v>
      </c>
      <c r="BD122" s="12" t="str">
        <f t="shared" si="32"/>
        <v>(84;53)</v>
      </c>
      <c r="BE122" s="12" t="str">
        <f t="shared" si="32"/>
        <v>(84;54)</v>
      </c>
      <c r="BF122" s="12" t="str">
        <f t="shared" si="32"/>
        <v>(84;55)</v>
      </c>
      <c r="BG122" s="12" t="str">
        <f t="shared" si="32"/>
        <v>(84;56)</v>
      </c>
      <c r="BH122" s="12" t="str">
        <f t="shared" si="32"/>
        <v>(84;57)</v>
      </c>
      <c r="BI122" s="12" t="str">
        <f t="shared" si="32"/>
        <v>(84;58)</v>
      </c>
      <c r="BJ122" s="12" t="str">
        <f t="shared" si="32"/>
        <v>(84;59)</v>
      </c>
      <c r="BK122" s="12" t="str">
        <f t="shared" si="32"/>
        <v>(84;60)</v>
      </c>
      <c r="BL122" s="12" t="str">
        <f t="shared" si="32"/>
        <v>(84;61)</v>
      </c>
      <c r="BM122" s="12" t="str">
        <f t="shared" si="18"/>
        <v>(84;62)</v>
      </c>
      <c r="BN122" s="12" t="str">
        <f t="shared" si="18"/>
        <v>(84;63)</v>
      </c>
    </row>
    <row r="123" spans="1:66">
      <c r="A123">
        <f>VLOOKUP(B123,Teste!$A$137:$G$236,7,FALSE)</f>
        <v>0</v>
      </c>
      <c r="B123">
        <f t="shared" si="27"/>
        <v>85</v>
      </c>
      <c r="C123" s="12" t="str">
        <f t="shared" ref="C123:R138" si="35">CONCATENATE("(",TEXT($B123,"00"),";",TEXT(C$37,"00"),")")</f>
        <v>(85;00)</v>
      </c>
      <c r="D123" s="12" t="str">
        <f t="shared" si="35"/>
        <v>(85;01)</v>
      </c>
      <c r="E123" s="12" t="str">
        <f t="shared" si="35"/>
        <v>(85;02)</v>
      </c>
      <c r="F123" s="12" t="str">
        <f t="shared" si="35"/>
        <v>(85;03)</v>
      </c>
      <c r="G123" s="12" t="str">
        <f t="shared" si="35"/>
        <v>(85;04)</v>
      </c>
      <c r="H123" s="12" t="str">
        <f t="shared" si="35"/>
        <v>(85;05)</v>
      </c>
      <c r="I123" s="12" t="str">
        <f t="shared" si="35"/>
        <v>(85;06)</v>
      </c>
      <c r="J123" s="12" t="str">
        <f t="shared" si="35"/>
        <v>(85;07)</v>
      </c>
      <c r="K123" s="12" t="str">
        <f t="shared" si="35"/>
        <v>(85;08)</v>
      </c>
      <c r="L123" s="12" t="str">
        <f t="shared" si="35"/>
        <v>(85;09)</v>
      </c>
      <c r="M123" s="12" t="str">
        <f t="shared" si="35"/>
        <v>(85;10)</v>
      </c>
      <c r="N123" s="12" t="str">
        <f t="shared" si="35"/>
        <v>(85;11)</v>
      </c>
      <c r="O123" s="12" t="str">
        <f t="shared" si="35"/>
        <v>(85;12)</v>
      </c>
      <c r="P123" s="12" t="str">
        <f t="shared" si="35"/>
        <v>(85;13)</v>
      </c>
      <c r="Q123" s="12" t="str">
        <f t="shared" si="35"/>
        <v>(85;14)</v>
      </c>
      <c r="R123" s="12" t="str">
        <f t="shared" si="35"/>
        <v>(85;15)</v>
      </c>
      <c r="S123" s="12" t="str">
        <f t="shared" si="33"/>
        <v>(85;16)</v>
      </c>
      <c r="T123" s="12" t="str">
        <f t="shared" si="33"/>
        <v>(85;17)</v>
      </c>
      <c r="U123" s="12" t="str">
        <f t="shared" si="33"/>
        <v>(85;18)</v>
      </c>
      <c r="V123" s="12" t="str">
        <f t="shared" si="33"/>
        <v>(85;19)</v>
      </c>
      <c r="W123" s="12" t="str">
        <f t="shared" si="33"/>
        <v>(85;20)</v>
      </c>
      <c r="X123" s="12" t="str">
        <f t="shared" si="33"/>
        <v>(85;21)</v>
      </c>
      <c r="Y123" s="12" t="str">
        <f t="shared" si="33"/>
        <v>(85;22)</v>
      </c>
      <c r="Z123" s="12" t="str">
        <f t="shared" si="33"/>
        <v>(85;23)</v>
      </c>
      <c r="AA123" s="12" t="str">
        <f t="shared" si="33"/>
        <v>(85;24)</v>
      </c>
      <c r="AB123" s="12" t="str">
        <f t="shared" si="33"/>
        <v>(85;25)</v>
      </c>
      <c r="AC123" s="12" t="str">
        <f t="shared" si="33"/>
        <v>(85;26)</v>
      </c>
      <c r="AD123" s="12" t="str">
        <f t="shared" si="33"/>
        <v>(85;27)</v>
      </c>
      <c r="AE123" s="12" t="str">
        <f t="shared" si="33"/>
        <v>(85;28)</v>
      </c>
      <c r="AF123" s="12" t="str">
        <f t="shared" si="33"/>
        <v>(85;29)</v>
      </c>
      <c r="AG123" s="12" t="str">
        <f t="shared" si="33"/>
        <v>(85;30)</v>
      </c>
      <c r="AH123" s="12" t="str">
        <f t="shared" si="34"/>
        <v>(85;31)</v>
      </c>
      <c r="AI123" s="12" t="str">
        <f t="shared" si="34"/>
        <v>(85;32)</v>
      </c>
      <c r="AJ123" s="12" t="str">
        <f t="shared" si="34"/>
        <v>(85;33)</v>
      </c>
      <c r="AK123" s="12" t="str">
        <f t="shared" si="34"/>
        <v>(85;34)</v>
      </c>
      <c r="AL123" s="12" t="str">
        <f t="shared" si="34"/>
        <v>(85;35)</v>
      </c>
      <c r="AM123" s="12" t="str">
        <f t="shared" si="34"/>
        <v>(85;36)</v>
      </c>
      <c r="AN123" s="12" t="str">
        <f t="shared" si="34"/>
        <v>(85;37)</v>
      </c>
      <c r="AO123" s="12" t="str">
        <f t="shared" si="34"/>
        <v>(85;38)</v>
      </c>
      <c r="AP123" s="12" t="str">
        <f t="shared" si="34"/>
        <v>(85;39)</v>
      </c>
      <c r="AQ123" s="12" t="str">
        <f t="shared" si="34"/>
        <v>(85;40)</v>
      </c>
      <c r="AR123" s="12" t="str">
        <f t="shared" si="34"/>
        <v>(85;41)</v>
      </c>
      <c r="AS123" s="12" t="str">
        <f t="shared" si="34"/>
        <v>(85;42)</v>
      </c>
      <c r="AT123" s="12" t="str">
        <f t="shared" si="34"/>
        <v>(85;43)</v>
      </c>
      <c r="AU123" s="12" t="str">
        <f t="shared" si="34"/>
        <v>(85;44)</v>
      </c>
      <c r="AV123" s="12" t="str">
        <f t="shared" si="34"/>
        <v>(85;45)</v>
      </c>
      <c r="AW123" s="12" t="str">
        <f t="shared" si="34"/>
        <v>(85;46)</v>
      </c>
      <c r="AX123" s="12" t="str">
        <f t="shared" si="32"/>
        <v>(85;47)</v>
      </c>
      <c r="AY123" s="12" t="str">
        <f t="shared" si="32"/>
        <v>(85;48)</v>
      </c>
      <c r="AZ123" s="12" t="str">
        <f t="shared" si="32"/>
        <v>(85;49)</v>
      </c>
      <c r="BA123" s="12" t="str">
        <f t="shared" si="32"/>
        <v>(85;50)</v>
      </c>
      <c r="BB123" s="12" t="str">
        <f t="shared" si="32"/>
        <v>(85;51)</v>
      </c>
      <c r="BC123" s="12" t="str">
        <f t="shared" si="32"/>
        <v>(85;52)</v>
      </c>
      <c r="BD123" s="12" t="str">
        <f t="shared" si="32"/>
        <v>(85;53)</v>
      </c>
      <c r="BE123" s="12" t="str">
        <f t="shared" si="32"/>
        <v>(85;54)</v>
      </c>
      <c r="BF123" s="12" t="str">
        <f t="shared" si="32"/>
        <v>(85;55)</v>
      </c>
      <c r="BG123" s="12" t="str">
        <f t="shared" si="32"/>
        <v>(85;56)</v>
      </c>
      <c r="BH123" s="12" t="str">
        <f t="shared" si="32"/>
        <v>(85;57)</v>
      </c>
      <c r="BI123" s="12" t="str">
        <f t="shared" si="32"/>
        <v>(85;58)</v>
      </c>
      <c r="BJ123" s="12" t="str">
        <f t="shared" si="32"/>
        <v>(85;59)</v>
      </c>
      <c r="BK123" s="12" t="str">
        <f t="shared" si="32"/>
        <v>(85;60)</v>
      </c>
      <c r="BL123" s="12" t="str">
        <f t="shared" si="32"/>
        <v>(85;61)</v>
      </c>
      <c r="BM123" s="12" t="str">
        <f t="shared" si="18"/>
        <v>(85;62)</v>
      </c>
      <c r="BN123" s="12" t="str">
        <f t="shared" si="18"/>
        <v>(85;63)</v>
      </c>
    </row>
    <row r="124" spans="1:66">
      <c r="A124">
        <f>VLOOKUP(B124,Teste!$A$137:$G$236,7,FALSE)</f>
        <v>0</v>
      </c>
      <c r="B124">
        <f t="shared" si="27"/>
        <v>86</v>
      </c>
      <c r="C124" s="12" t="str">
        <f t="shared" si="35"/>
        <v>(86;00)</v>
      </c>
      <c r="D124" s="12" t="str">
        <f t="shared" si="35"/>
        <v>(86;01)</v>
      </c>
      <c r="E124" s="12" t="str">
        <f t="shared" si="35"/>
        <v>(86;02)</v>
      </c>
      <c r="F124" s="12" t="str">
        <f t="shared" si="35"/>
        <v>(86;03)</v>
      </c>
      <c r="G124" s="12" t="str">
        <f t="shared" si="35"/>
        <v>(86;04)</v>
      </c>
      <c r="H124" s="12" t="str">
        <f t="shared" si="35"/>
        <v>(86;05)</v>
      </c>
      <c r="I124" s="12" t="str">
        <f t="shared" si="35"/>
        <v>(86;06)</v>
      </c>
      <c r="J124" s="12" t="str">
        <f t="shared" si="35"/>
        <v>(86;07)</v>
      </c>
      <c r="K124" s="12" t="str">
        <f t="shared" si="35"/>
        <v>(86;08)</v>
      </c>
      <c r="L124" s="12" t="str">
        <f t="shared" si="35"/>
        <v>(86;09)</v>
      </c>
      <c r="M124" s="12" t="str">
        <f t="shared" si="35"/>
        <v>(86;10)</v>
      </c>
      <c r="N124" s="12" t="str">
        <f t="shared" si="35"/>
        <v>(86;11)</v>
      </c>
      <c r="O124" s="12" t="str">
        <f t="shared" si="35"/>
        <v>(86;12)</v>
      </c>
      <c r="P124" s="12" t="str">
        <f t="shared" si="35"/>
        <v>(86;13)</v>
      </c>
      <c r="Q124" s="12" t="str">
        <f t="shared" si="35"/>
        <v>(86;14)</v>
      </c>
      <c r="R124" s="12" t="str">
        <f t="shared" si="35"/>
        <v>(86;15)</v>
      </c>
      <c r="S124" s="12" t="str">
        <f t="shared" si="33"/>
        <v>(86;16)</v>
      </c>
      <c r="T124" s="12" t="str">
        <f t="shared" si="33"/>
        <v>(86;17)</v>
      </c>
      <c r="U124" s="12" t="str">
        <f t="shared" si="33"/>
        <v>(86;18)</v>
      </c>
      <c r="V124" s="12" t="str">
        <f t="shared" si="33"/>
        <v>(86;19)</v>
      </c>
      <c r="W124" s="12" t="str">
        <f t="shared" si="33"/>
        <v>(86;20)</v>
      </c>
      <c r="X124" s="12" t="str">
        <f t="shared" si="33"/>
        <v>(86;21)</v>
      </c>
      <c r="Y124" s="12" t="str">
        <f t="shared" si="33"/>
        <v>(86;22)</v>
      </c>
      <c r="Z124" s="12" t="str">
        <f t="shared" si="33"/>
        <v>(86;23)</v>
      </c>
      <c r="AA124" s="12" t="str">
        <f t="shared" si="33"/>
        <v>(86;24)</v>
      </c>
      <c r="AB124" s="12" t="str">
        <f t="shared" si="33"/>
        <v>(86;25)</v>
      </c>
      <c r="AC124" s="12" t="str">
        <f t="shared" si="33"/>
        <v>(86;26)</v>
      </c>
      <c r="AD124" s="12" t="str">
        <f t="shared" si="33"/>
        <v>(86;27)</v>
      </c>
      <c r="AE124" s="12" t="str">
        <f t="shared" si="33"/>
        <v>(86;28)</v>
      </c>
      <c r="AF124" s="12" t="str">
        <f t="shared" si="33"/>
        <v>(86;29)</v>
      </c>
      <c r="AG124" s="12" t="str">
        <f t="shared" si="33"/>
        <v>(86;30)</v>
      </c>
      <c r="AH124" s="12" t="str">
        <f t="shared" si="34"/>
        <v>(86;31)</v>
      </c>
      <c r="AI124" s="12" t="str">
        <f t="shared" si="34"/>
        <v>(86;32)</v>
      </c>
      <c r="AJ124" s="12" t="str">
        <f t="shared" si="34"/>
        <v>(86;33)</v>
      </c>
      <c r="AK124" s="12" t="str">
        <f t="shared" si="34"/>
        <v>(86;34)</v>
      </c>
      <c r="AL124" s="12" t="str">
        <f t="shared" si="34"/>
        <v>(86;35)</v>
      </c>
      <c r="AM124" s="12" t="str">
        <f t="shared" si="34"/>
        <v>(86;36)</v>
      </c>
      <c r="AN124" s="12" t="str">
        <f t="shared" si="34"/>
        <v>(86;37)</v>
      </c>
      <c r="AO124" s="12" t="str">
        <f t="shared" si="34"/>
        <v>(86;38)</v>
      </c>
      <c r="AP124" s="12" t="str">
        <f t="shared" si="34"/>
        <v>(86;39)</v>
      </c>
      <c r="AQ124" s="12" t="str">
        <f t="shared" si="34"/>
        <v>(86;40)</v>
      </c>
      <c r="AR124" s="12" t="str">
        <f t="shared" si="34"/>
        <v>(86;41)</v>
      </c>
      <c r="AS124" s="12" t="str">
        <f t="shared" si="34"/>
        <v>(86;42)</v>
      </c>
      <c r="AT124" s="12" t="str">
        <f t="shared" si="34"/>
        <v>(86;43)</v>
      </c>
      <c r="AU124" s="12" t="str">
        <f t="shared" si="34"/>
        <v>(86;44)</v>
      </c>
      <c r="AV124" s="12" t="str">
        <f t="shared" si="34"/>
        <v>(86;45)</v>
      </c>
      <c r="AW124" s="12" t="str">
        <f t="shared" si="34"/>
        <v>(86;46)</v>
      </c>
      <c r="AX124" s="12" t="str">
        <f t="shared" si="32"/>
        <v>(86;47)</v>
      </c>
      <c r="AY124" s="12" t="str">
        <f t="shared" si="32"/>
        <v>(86;48)</v>
      </c>
      <c r="AZ124" s="12" t="str">
        <f t="shared" si="32"/>
        <v>(86;49)</v>
      </c>
      <c r="BA124" s="12" t="str">
        <f t="shared" si="32"/>
        <v>(86;50)</v>
      </c>
      <c r="BB124" s="12" t="str">
        <f t="shared" si="32"/>
        <v>(86;51)</v>
      </c>
      <c r="BC124" s="12" t="str">
        <f t="shared" si="32"/>
        <v>(86;52)</v>
      </c>
      <c r="BD124" s="12" t="str">
        <f t="shared" si="32"/>
        <v>(86;53)</v>
      </c>
      <c r="BE124" s="12" t="str">
        <f t="shared" si="32"/>
        <v>(86;54)</v>
      </c>
      <c r="BF124" s="12" t="str">
        <f t="shared" si="32"/>
        <v>(86;55)</v>
      </c>
      <c r="BG124" s="12" t="str">
        <f t="shared" si="32"/>
        <v>(86;56)</v>
      </c>
      <c r="BH124" s="12" t="str">
        <f t="shared" si="32"/>
        <v>(86;57)</v>
      </c>
      <c r="BI124" s="12" t="str">
        <f t="shared" si="32"/>
        <v>(86;58)</v>
      </c>
      <c r="BJ124" s="12" t="str">
        <f t="shared" si="32"/>
        <v>(86;59)</v>
      </c>
      <c r="BK124" s="12" t="str">
        <f t="shared" si="32"/>
        <v>(86;60)</v>
      </c>
      <c r="BL124" s="12" t="str">
        <f t="shared" si="32"/>
        <v>(86;61)</v>
      </c>
      <c r="BM124" s="12" t="str">
        <f t="shared" si="18"/>
        <v>(86;62)</v>
      </c>
      <c r="BN124" s="12" t="str">
        <f t="shared" si="18"/>
        <v>(86;63)</v>
      </c>
    </row>
    <row r="125" spans="1:66">
      <c r="A125">
        <f>VLOOKUP(B125,Teste!$A$137:$G$236,7,FALSE)</f>
        <v>0</v>
      </c>
      <c r="B125">
        <f t="shared" si="27"/>
        <v>87</v>
      </c>
      <c r="C125" s="12" t="str">
        <f t="shared" si="35"/>
        <v>(87;00)</v>
      </c>
      <c r="D125" s="12" t="str">
        <f t="shared" si="35"/>
        <v>(87;01)</v>
      </c>
      <c r="E125" s="12" t="str">
        <f t="shared" si="35"/>
        <v>(87;02)</v>
      </c>
      <c r="F125" s="12" t="str">
        <f t="shared" si="35"/>
        <v>(87;03)</v>
      </c>
      <c r="G125" s="12" t="str">
        <f t="shared" si="35"/>
        <v>(87;04)</v>
      </c>
      <c r="H125" s="12" t="str">
        <f t="shared" si="35"/>
        <v>(87;05)</v>
      </c>
      <c r="I125" s="12" t="str">
        <f t="shared" si="35"/>
        <v>(87;06)</v>
      </c>
      <c r="J125" s="12" t="str">
        <f t="shared" si="35"/>
        <v>(87;07)</v>
      </c>
      <c r="K125" s="12" t="str">
        <f t="shared" si="35"/>
        <v>(87;08)</v>
      </c>
      <c r="L125" s="12" t="str">
        <f t="shared" si="35"/>
        <v>(87;09)</v>
      </c>
      <c r="M125" s="12" t="str">
        <f t="shared" si="35"/>
        <v>(87;10)</v>
      </c>
      <c r="N125" s="12" t="str">
        <f t="shared" si="35"/>
        <v>(87;11)</v>
      </c>
      <c r="O125" s="12" t="str">
        <f t="shared" si="35"/>
        <v>(87;12)</v>
      </c>
      <c r="P125" s="12" t="str">
        <f t="shared" si="35"/>
        <v>(87;13)</v>
      </c>
      <c r="Q125" s="12" t="str">
        <f t="shared" si="35"/>
        <v>(87;14)</v>
      </c>
      <c r="R125" s="12" t="str">
        <f t="shared" si="35"/>
        <v>(87;15)</v>
      </c>
      <c r="S125" s="12" t="str">
        <f t="shared" si="33"/>
        <v>(87;16)</v>
      </c>
      <c r="T125" s="12" t="str">
        <f t="shared" si="33"/>
        <v>(87;17)</v>
      </c>
      <c r="U125" s="12" t="str">
        <f t="shared" si="33"/>
        <v>(87;18)</v>
      </c>
      <c r="V125" s="12" t="str">
        <f t="shared" si="33"/>
        <v>(87;19)</v>
      </c>
      <c r="W125" s="12" t="str">
        <f t="shared" si="33"/>
        <v>(87;20)</v>
      </c>
      <c r="X125" s="12" t="str">
        <f t="shared" si="33"/>
        <v>(87;21)</v>
      </c>
      <c r="Y125" s="12" t="str">
        <f t="shared" si="33"/>
        <v>(87;22)</v>
      </c>
      <c r="Z125" s="12" t="str">
        <f t="shared" si="33"/>
        <v>(87;23)</v>
      </c>
      <c r="AA125" s="12" t="str">
        <f t="shared" si="33"/>
        <v>(87;24)</v>
      </c>
      <c r="AB125" s="12" t="str">
        <f t="shared" si="33"/>
        <v>(87;25)</v>
      </c>
      <c r="AC125" s="12" t="str">
        <f t="shared" si="33"/>
        <v>(87;26)</v>
      </c>
      <c r="AD125" s="12" t="str">
        <f t="shared" si="33"/>
        <v>(87;27)</v>
      </c>
      <c r="AE125" s="12" t="str">
        <f t="shared" si="33"/>
        <v>(87;28)</v>
      </c>
      <c r="AF125" s="12" t="str">
        <f t="shared" si="33"/>
        <v>(87;29)</v>
      </c>
      <c r="AG125" s="12" t="str">
        <f t="shared" si="33"/>
        <v>(87;30)</v>
      </c>
      <c r="AH125" s="12" t="str">
        <f t="shared" si="34"/>
        <v>(87;31)</v>
      </c>
      <c r="AI125" s="12" t="str">
        <f t="shared" si="34"/>
        <v>(87;32)</v>
      </c>
      <c r="AJ125" s="12" t="str">
        <f t="shared" si="34"/>
        <v>(87;33)</v>
      </c>
      <c r="AK125" s="12" t="str">
        <f t="shared" si="34"/>
        <v>(87;34)</v>
      </c>
      <c r="AL125" s="12" t="str">
        <f t="shared" si="34"/>
        <v>(87;35)</v>
      </c>
      <c r="AM125" s="12" t="str">
        <f t="shared" si="34"/>
        <v>(87;36)</v>
      </c>
      <c r="AN125" s="12" t="str">
        <f t="shared" si="34"/>
        <v>(87;37)</v>
      </c>
      <c r="AO125" s="12" t="str">
        <f t="shared" si="34"/>
        <v>(87;38)</v>
      </c>
      <c r="AP125" s="12" t="str">
        <f t="shared" si="34"/>
        <v>(87;39)</v>
      </c>
      <c r="AQ125" s="12" t="str">
        <f t="shared" si="34"/>
        <v>(87;40)</v>
      </c>
      <c r="AR125" s="12" t="str">
        <f t="shared" si="34"/>
        <v>(87;41)</v>
      </c>
      <c r="AS125" s="12" t="str">
        <f t="shared" si="34"/>
        <v>(87;42)</v>
      </c>
      <c r="AT125" s="12" t="str">
        <f t="shared" si="34"/>
        <v>(87;43)</v>
      </c>
      <c r="AU125" s="12" t="str">
        <f t="shared" si="34"/>
        <v>(87;44)</v>
      </c>
      <c r="AV125" s="12" t="str">
        <f t="shared" si="34"/>
        <v>(87;45)</v>
      </c>
      <c r="AW125" s="12" t="str">
        <f t="shared" si="34"/>
        <v>(87;46)</v>
      </c>
      <c r="AX125" s="12" t="str">
        <f t="shared" si="32"/>
        <v>(87;47)</v>
      </c>
      <c r="AY125" s="12" t="str">
        <f t="shared" si="32"/>
        <v>(87;48)</v>
      </c>
      <c r="AZ125" s="12" t="str">
        <f t="shared" si="32"/>
        <v>(87;49)</v>
      </c>
      <c r="BA125" s="12" t="str">
        <f t="shared" si="32"/>
        <v>(87;50)</v>
      </c>
      <c r="BB125" s="12" t="str">
        <f t="shared" si="32"/>
        <v>(87;51)</v>
      </c>
      <c r="BC125" s="12" t="str">
        <f t="shared" si="32"/>
        <v>(87;52)</v>
      </c>
      <c r="BD125" s="12" t="str">
        <f t="shared" si="32"/>
        <v>(87;53)</v>
      </c>
      <c r="BE125" s="12" t="str">
        <f t="shared" si="32"/>
        <v>(87;54)</v>
      </c>
      <c r="BF125" s="12" t="str">
        <f t="shared" si="32"/>
        <v>(87;55)</v>
      </c>
      <c r="BG125" s="12" t="str">
        <f t="shared" si="32"/>
        <v>(87;56)</v>
      </c>
      <c r="BH125" s="12" t="str">
        <f t="shared" si="32"/>
        <v>(87;57)</v>
      </c>
      <c r="BI125" s="12" t="str">
        <f t="shared" si="32"/>
        <v>(87;58)</v>
      </c>
      <c r="BJ125" s="12" t="str">
        <f t="shared" si="32"/>
        <v>(87;59)</v>
      </c>
      <c r="BK125" s="12" t="str">
        <f t="shared" si="32"/>
        <v>(87;60)</v>
      </c>
      <c r="BL125" s="12" t="str">
        <f t="shared" si="32"/>
        <v>(87;61)</v>
      </c>
      <c r="BM125" s="12" t="str">
        <f t="shared" si="18"/>
        <v>(87;62)</v>
      </c>
      <c r="BN125" s="12" t="str">
        <f t="shared" si="18"/>
        <v>(87;63)</v>
      </c>
    </row>
    <row r="126" spans="1:66">
      <c r="A126">
        <f>VLOOKUP(B126,Teste!$A$137:$G$236,7,FALSE)</f>
        <v>0</v>
      </c>
      <c r="B126">
        <f t="shared" si="27"/>
        <v>88</v>
      </c>
      <c r="C126" s="12" t="str">
        <f t="shared" si="35"/>
        <v>(88;00)</v>
      </c>
      <c r="D126" s="12" t="str">
        <f t="shared" si="35"/>
        <v>(88;01)</v>
      </c>
      <c r="E126" s="12" t="str">
        <f t="shared" si="35"/>
        <v>(88;02)</v>
      </c>
      <c r="F126" s="12" t="str">
        <f t="shared" si="35"/>
        <v>(88;03)</v>
      </c>
      <c r="G126" s="12" t="str">
        <f t="shared" si="35"/>
        <v>(88;04)</v>
      </c>
      <c r="H126" s="12" t="str">
        <f t="shared" si="35"/>
        <v>(88;05)</v>
      </c>
      <c r="I126" s="12" t="str">
        <f t="shared" si="35"/>
        <v>(88;06)</v>
      </c>
      <c r="J126" s="12" t="str">
        <f t="shared" si="35"/>
        <v>(88;07)</v>
      </c>
      <c r="K126" s="12" t="str">
        <f t="shared" si="35"/>
        <v>(88;08)</v>
      </c>
      <c r="L126" s="12" t="str">
        <f t="shared" si="35"/>
        <v>(88;09)</v>
      </c>
      <c r="M126" s="12" t="str">
        <f t="shared" si="35"/>
        <v>(88;10)</v>
      </c>
      <c r="N126" s="12" t="str">
        <f t="shared" si="35"/>
        <v>(88;11)</v>
      </c>
      <c r="O126" s="12" t="str">
        <f t="shared" si="35"/>
        <v>(88;12)</v>
      </c>
      <c r="P126" s="12" t="str">
        <f t="shared" si="35"/>
        <v>(88;13)</v>
      </c>
      <c r="Q126" s="12" t="str">
        <f t="shared" si="35"/>
        <v>(88;14)</v>
      </c>
      <c r="R126" s="12" t="str">
        <f t="shared" si="35"/>
        <v>(88;15)</v>
      </c>
      <c r="S126" s="12" t="str">
        <f t="shared" si="33"/>
        <v>(88;16)</v>
      </c>
      <c r="T126" s="12" t="str">
        <f t="shared" si="33"/>
        <v>(88;17)</v>
      </c>
      <c r="U126" s="12" t="str">
        <f t="shared" si="33"/>
        <v>(88;18)</v>
      </c>
      <c r="V126" s="12" t="str">
        <f t="shared" si="33"/>
        <v>(88;19)</v>
      </c>
      <c r="W126" s="12" t="str">
        <f t="shared" si="33"/>
        <v>(88;20)</v>
      </c>
      <c r="X126" s="12" t="str">
        <f t="shared" si="33"/>
        <v>(88;21)</v>
      </c>
      <c r="Y126" s="12" t="str">
        <f t="shared" si="33"/>
        <v>(88;22)</v>
      </c>
      <c r="Z126" s="12" t="str">
        <f t="shared" si="33"/>
        <v>(88;23)</v>
      </c>
      <c r="AA126" s="12" t="str">
        <f t="shared" si="33"/>
        <v>(88;24)</v>
      </c>
      <c r="AB126" s="12" t="str">
        <f t="shared" si="33"/>
        <v>(88;25)</v>
      </c>
      <c r="AC126" s="12" t="str">
        <f t="shared" si="33"/>
        <v>(88;26)</v>
      </c>
      <c r="AD126" s="12" t="str">
        <f t="shared" si="33"/>
        <v>(88;27)</v>
      </c>
      <c r="AE126" s="12" t="str">
        <f t="shared" si="33"/>
        <v>(88;28)</v>
      </c>
      <c r="AF126" s="12" t="str">
        <f t="shared" si="33"/>
        <v>(88;29)</v>
      </c>
      <c r="AG126" s="12" t="str">
        <f t="shared" si="33"/>
        <v>(88;30)</v>
      </c>
      <c r="AH126" s="12" t="str">
        <f t="shared" si="34"/>
        <v>(88;31)</v>
      </c>
      <c r="AI126" s="12" t="str">
        <f t="shared" si="34"/>
        <v>(88;32)</v>
      </c>
      <c r="AJ126" s="12" t="str">
        <f t="shared" si="34"/>
        <v>(88;33)</v>
      </c>
      <c r="AK126" s="12" t="str">
        <f t="shared" si="34"/>
        <v>(88;34)</v>
      </c>
      <c r="AL126" s="12" t="str">
        <f t="shared" si="34"/>
        <v>(88;35)</v>
      </c>
      <c r="AM126" s="12" t="str">
        <f t="shared" si="34"/>
        <v>(88;36)</v>
      </c>
      <c r="AN126" s="12" t="str">
        <f t="shared" si="34"/>
        <v>(88;37)</v>
      </c>
      <c r="AO126" s="12" t="str">
        <f t="shared" si="34"/>
        <v>(88;38)</v>
      </c>
      <c r="AP126" s="12" t="str">
        <f t="shared" si="34"/>
        <v>(88;39)</v>
      </c>
      <c r="AQ126" s="12" t="str">
        <f t="shared" si="34"/>
        <v>(88;40)</v>
      </c>
      <c r="AR126" s="12" t="str">
        <f t="shared" si="34"/>
        <v>(88;41)</v>
      </c>
      <c r="AS126" s="12" t="str">
        <f t="shared" si="34"/>
        <v>(88;42)</v>
      </c>
      <c r="AT126" s="12" t="str">
        <f t="shared" si="34"/>
        <v>(88;43)</v>
      </c>
      <c r="AU126" s="12" t="str">
        <f t="shared" si="34"/>
        <v>(88;44)</v>
      </c>
      <c r="AV126" s="12" t="str">
        <f t="shared" si="34"/>
        <v>(88;45)</v>
      </c>
      <c r="AW126" s="12" t="str">
        <f t="shared" si="34"/>
        <v>(88;46)</v>
      </c>
      <c r="AX126" s="12" t="str">
        <f t="shared" si="32"/>
        <v>(88;47)</v>
      </c>
      <c r="AY126" s="12" t="str">
        <f t="shared" si="32"/>
        <v>(88;48)</v>
      </c>
      <c r="AZ126" s="12" t="str">
        <f t="shared" si="32"/>
        <v>(88;49)</v>
      </c>
      <c r="BA126" s="12" t="str">
        <f t="shared" si="32"/>
        <v>(88;50)</v>
      </c>
      <c r="BB126" s="12" t="str">
        <f t="shared" si="32"/>
        <v>(88;51)</v>
      </c>
      <c r="BC126" s="12" t="str">
        <f t="shared" si="32"/>
        <v>(88;52)</v>
      </c>
      <c r="BD126" s="12" t="str">
        <f t="shared" si="32"/>
        <v>(88;53)</v>
      </c>
      <c r="BE126" s="12" t="str">
        <f t="shared" si="32"/>
        <v>(88;54)</v>
      </c>
      <c r="BF126" s="12" t="str">
        <f t="shared" si="32"/>
        <v>(88;55)</v>
      </c>
      <c r="BG126" s="12" t="str">
        <f t="shared" si="32"/>
        <v>(88;56)</v>
      </c>
      <c r="BH126" s="12" t="str">
        <f t="shared" si="32"/>
        <v>(88;57)</v>
      </c>
      <c r="BI126" s="12" t="str">
        <f t="shared" si="32"/>
        <v>(88;58)</v>
      </c>
      <c r="BJ126" s="12" t="str">
        <f t="shared" si="32"/>
        <v>(88;59)</v>
      </c>
      <c r="BK126" s="12" t="str">
        <f t="shared" si="32"/>
        <v>(88;60)</v>
      </c>
      <c r="BL126" s="12" t="str">
        <f t="shared" si="32"/>
        <v>(88;61)</v>
      </c>
      <c r="BM126" s="12" t="str">
        <f t="shared" si="18"/>
        <v>(88;62)</v>
      </c>
      <c r="BN126" s="12" t="str">
        <f t="shared" si="18"/>
        <v>(88;63)</v>
      </c>
    </row>
    <row r="127" spans="1:66">
      <c r="A127">
        <f>VLOOKUP(B127,Teste!$A$137:$G$236,7,FALSE)</f>
        <v>0</v>
      </c>
      <c r="B127">
        <f t="shared" si="27"/>
        <v>89</v>
      </c>
      <c r="C127" s="12" t="str">
        <f t="shared" si="35"/>
        <v>(89;00)</v>
      </c>
      <c r="D127" s="12" t="str">
        <f t="shared" si="35"/>
        <v>(89;01)</v>
      </c>
      <c r="E127" s="12" t="str">
        <f t="shared" si="35"/>
        <v>(89;02)</v>
      </c>
      <c r="F127" s="12" t="str">
        <f t="shared" si="35"/>
        <v>(89;03)</v>
      </c>
      <c r="G127" s="12" t="str">
        <f t="shared" si="35"/>
        <v>(89;04)</v>
      </c>
      <c r="H127" s="12" t="str">
        <f t="shared" si="35"/>
        <v>(89;05)</v>
      </c>
      <c r="I127" s="12" t="str">
        <f t="shared" si="35"/>
        <v>(89;06)</v>
      </c>
      <c r="J127" s="12" t="str">
        <f t="shared" si="35"/>
        <v>(89;07)</v>
      </c>
      <c r="K127" s="12" t="str">
        <f t="shared" si="35"/>
        <v>(89;08)</v>
      </c>
      <c r="L127" s="12" t="str">
        <f t="shared" si="35"/>
        <v>(89;09)</v>
      </c>
      <c r="M127" s="12" t="str">
        <f t="shared" si="35"/>
        <v>(89;10)</v>
      </c>
      <c r="N127" s="12" t="str">
        <f t="shared" si="35"/>
        <v>(89;11)</v>
      </c>
      <c r="O127" s="12" t="str">
        <f t="shared" si="35"/>
        <v>(89;12)</v>
      </c>
      <c r="P127" s="12" t="str">
        <f t="shared" si="35"/>
        <v>(89;13)</v>
      </c>
      <c r="Q127" s="12" t="str">
        <f t="shared" si="35"/>
        <v>(89;14)</v>
      </c>
      <c r="R127" s="12" t="str">
        <f t="shared" si="35"/>
        <v>(89;15)</v>
      </c>
      <c r="S127" s="12" t="str">
        <f t="shared" si="33"/>
        <v>(89;16)</v>
      </c>
      <c r="T127" s="12" t="str">
        <f t="shared" si="33"/>
        <v>(89;17)</v>
      </c>
      <c r="U127" s="12" t="str">
        <f t="shared" si="33"/>
        <v>(89;18)</v>
      </c>
      <c r="V127" s="12" t="str">
        <f t="shared" si="33"/>
        <v>(89;19)</v>
      </c>
      <c r="W127" s="12" t="str">
        <f t="shared" si="33"/>
        <v>(89;20)</v>
      </c>
      <c r="X127" s="12" t="str">
        <f t="shared" si="33"/>
        <v>(89;21)</v>
      </c>
      <c r="Y127" s="12" t="str">
        <f t="shared" si="33"/>
        <v>(89;22)</v>
      </c>
      <c r="Z127" s="12" t="str">
        <f t="shared" si="33"/>
        <v>(89;23)</v>
      </c>
      <c r="AA127" s="12" t="str">
        <f t="shared" si="33"/>
        <v>(89;24)</v>
      </c>
      <c r="AB127" s="12" t="str">
        <f t="shared" si="33"/>
        <v>(89;25)</v>
      </c>
      <c r="AC127" s="12" t="str">
        <f t="shared" si="33"/>
        <v>(89;26)</v>
      </c>
      <c r="AD127" s="12" t="str">
        <f t="shared" si="33"/>
        <v>(89;27)</v>
      </c>
      <c r="AE127" s="12" t="str">
        <f t="shared" si="33"/>
        <v>(89;28)</v>
      </c>
      <c r="AF127" s="12" t="str">
        <f t="shared" si="33"/>
        <v>(89;29)</v>
      </c>
      <c r="AG127" s="12" t="str">
        <f t="shared" si="33"/>
        <v>(89;30)</v>
      </c>
      <c r="AH127" s="12" t="str">
        <f t="shared" si="34"/>
        <v>(89;31)</v>
      </c>
      <c r="AI127" s="12" t="str">
        <f t="shared" si="34"/>
        <v>(89;32)</v>
      </c>
      <c r="AJ127" s="12" t="str">
        <f t="shared" si="34"/>
        <v>(89;33)</v>
      </c>
      <c r="AK127" s="12" t="str">
        <f t="shared" si="34"/>
        <v>(89;34)</v>
      </c>
      <c r="AL127" s="12" t="str">
        <f t="shared" si="34"/>
        <v>(89;35)</v>
      </c>
      <c r="AM127" s="12" t="str">
        <f t="shared" si="34"/>
        <v>(89;36)</v>
      </c>
      <c r="AN127" s="12" t="str">
        <f t="shared" si="34"/>
        <v>(89;37)</v>
      </c>
      <c r="AO127" s="12" t="str">
        <f t="shared" si="34"/>
        <v>(89;38)</v>
      </c>
      <c r="AP127" s="12" t="str">
        <f t="shared" si="34"/>
        <v>(89;39)</v>
      </c>
      <c r="AQ127" s="12" t="str">
        <f t="shared" si="34"/>
        <v>(89;40)</v>
      </c>
      <c r="AR127" s="12" t="str">
        <f t="shared" si="34"/>
        <v>(89;41)</v>
      </c>
      <c r="AS127" s="12" t="str">
        <f t="shared" si="34"/>
        <v>(89;42)</v>
      </c>
      <c r="AT127" s="12" t="str">
        <f t="shared" si="34"/>
        <v>(89;43)</v>
      </c>
      <c r="AU127" s="12" t="str">
        <f t="shared" si="34"/>
        <v>(89;44)</v>
      </c>
      <c r="AV127" s="12" t="str">
        <f t="shared" si="34"/>
        <v>(89;45)</v>
      </c>
      <c r="AW127" s="12" t="str">
        <f t="shared" si="34"/>
        <v>(89;46)</v>
      </c>
      <c r="AX127" s="12" t="str">
        <f t="shared" si="32"/>
        <v>(89;47)</v>
      </c>
      <c r="AY127" s="12" t="str">
        <f t="shared" si="32"/>
        <v>(89;48)</v>
      </c>
      <c r="AZ127" s="12" t="str">
        <f t="shared" si="32"/>
        <v>(89;49)</v>
      </c>
      <c r="BA127" s="12" t="str">
        <f t="shared" si="32"/>
        <v>(89;50)</v>
      </c>
      <c r="BB127" s="12" t="str">
        <f t="shared" si="32"/>
        <v>(89;51)</v>
      </c>
      <c r="BC127" s="12" t="str">
        <f t="shared" si="32"/>
        <v>(89;52)</v>
      </c>
      <c r="BD127" s="12" t="str">
        <f t="shared" si="32"/>
        <v>(89;53)</v>
      </c>
      <c r="BE127" s="12" t="str">
        <f t="shared" si="32"/>
        <v>(89;54)</v>
      </c>
      <c r="BF127" s="12" t="str">
        <f t="shared" si="32"/>
        <v>(89;55)</v>
      </c>
      <c r="BG127" s="12" t="str">
        <f t="shared" si="32"/>
        <v>(89;56)</v>
      </c>
      <c r="BH127" s="12" t="str">
        <f t="shared" si="32"/>
        <v>(89;57)</v>
      </c>
      <c r="BI127" s="12" t="str">
        <f t="shared" si="32"/>
        <v>(89;58)</v>
      </c>
      <c r="BJ127" s="12" t="str">
        <f t="shared" si="32"/>
        <v>(89;59)</v>
      </c>
      <c r="BK127" s="12" t="str">
        <f t="shared" si="32"/>
        <v>(89;60)</v>
      </c>
      <c r="BL127" s="12" t="str">
        <f t="shared" si="32"/>
        <v>(89;61)</v>
      </c>
      <c r="BM127" s="12" t="str">
        <f t="shared" si="18"/>
        <v>(89;62)</v>
      </c>
      <c r="BN127" s="12" t="str">
        <f t="shared" si="18"/>
        <v>(89;63)</v>
      </c>
    </row>
    <row r="128" spans="1:66">
      <c r="A128">
        <f>VLOOKUP(B128,Teste!$A$137:$G$236,7,FALSE)</f>
        <v>0</v>
      </c>
      <c r="B128">
        <f t="shared" si="27"/>
        <v>90</v>
      </c>
      <c r="C128" s="12" t="str">
        <f t="shared" si="35"/>
        <v>(90;00)</v>
      </c>
      <c r="D128" s="12" t="str">
        <f t="shared" si="35"/>
        <v>(90;01)</v>
      </c>
      <c r="E128" s="12" t="str">
        <f t="shared" si="35"/>
        <v>(90;02)</v>
      </c>
      <c r="F128" s="12" t="str">
        <f t="shared" si="35"/>
        <v>(90;03)</v>
      </c>
      <c r="G128" s="12" t="str">
        <f t="shared" si="35"/>
        <v>(90;04)</v>
      </c>
      <c r="H128" s="12" t="str">
        <f t="shared" si="35"/>
        <v>(90;05)</v>
      </c>
      <c r="I128" s="12" t="str">
        <f t="shared" si="35"/>
        <v>(90;06)</v>
      </c>
      <c r="J128" s="12" t="str">
        <f t="shared" si="35"/>
        <v>(90;07)</v>
      </c>
      <c r="K128" s="12" t="str">
        <f t="shared" si="35"/>
        <v>(90;08)</v>
      </c>
      <c r="L128" s="12" t="str">
        <f t="shared" si="35"/>
        <v>(90;09)</v>
      </c>
      <c r="M128" s="12" t="str">
        <f t="shared" si="35"/>
        <v>(90;10)</v>
      </c>
      <c r="N128" s="12" t="str">
        <f t="shared" si="35"/>
        <v>(90;11)</v>
      </c>
      <c r="O128" s="12" t="str">
        <f t="shared" si="35"/>
        <v>(90;12)</v>
      </c>
      <c r="P128" s="12" t="str">
        <f t="shared" si="35"/>
        <v>(90;13)</v>
      </c>
      <c r="Q128" s="12" t="str">
        <f t="shared" si="35"/>
        <v>(90;14)</v>
      </c>
      <c r="R128" s="12" t="str">
        <f t="shared" si="35"/>
        <v>(90;15)</v>
      </c>
      <c r="S128" s="12" t="str">
        <f t="shared" si="33"/>
        <v>(90;16)</v>
      </c>
      <c r="T128" s="12" t="str">
        <f t="shared" si="33"/>
        <v>(90;17)</v>
      </c>
      <c r="U128" s="12" t="str">
        <f t="shared" si="33"/>
        <v>(90;18)</v>
      </c>
      <c r="V128" s="12" t="str">
        <f t="shared" si="33"/>
        <v>(90;19)</v>
      </c>
      <c r="W128" s="12" t="str">
        <f t="shared" si="33"/>
        <v>(90;20)</v>
      </c>
      <c r="X128" s="12" t="str">
        <f t="shared" si="33"/>
        <v>(90;21)</v>
      </c>
      <c r="Y128" s="12" t="str">
        <f t="shared" si="33"/>
        <v>(90;22)</v>
      </c>
      <c r="Z128" s="12" t="str">
        <f t="shared" si="33"/>
        <v>(90;23)</v>
      </c>
      <c r="AA128" s="12" t="str">
        <f t="shared" si="33"/>
        <v>(90;24)</v>
      </c>
      <c r="AB128" s="12" t="str">
        <f t="shared" si="33"/>
        <v>(90;25)</v>
      </c>
      <c r="AC128" s="12" t="str">
        <f t="shared" si="33"/>
        <v>(90;26)</v>
      </c>
      <c r="AD128" s="12" t="str">
        <f t="shared" si="33"/>
        <v>(90;27)</v>
      </c>
      <c r="AE128" s="12" t="str">
        <f t="shared" si="33"/>
        <v>(90;28)</v>
      </c>
      <c r="AF128" s="12" t="str">
        <f t="shared" si="33"/>
        <v>(90;29)</v>
      </c>
      <c r="AG128" s="12" t="str">
        <f t="shared" si="33"/>
        <v>(90;30)</v>
      </c>
      <c r="AH128" s="12" t="str">
        <f t="shared" si="34"/>
        <v>(90;31)</v>
      </c>
      <c r="AI128" s="12" t="str">
        <f t="shared" si="34"/>
        <v>(90;32)</v>
      </c>
      <c r="AJ128" s="12" t="str">
        <f t="shared" si="34"/>
        <v>(90;33)</v>
      </c>
      <c r="AK128" s="12" t="str">
        <f t="shared" si="34"/>
        <v>(90;34)</v>
      </c>
      <c r="AL128" s="12" t="str">
        <f t="shared" si="34"/>
        <v>(90;35)</v>
      </c>
      <c r="AM128" s="12" t="str">
        <f t="shared" si="34"/>
        <v>(90;36)</v>
      </c>
      <c r="AN128" s="12" t="str">
        <f t="shared" si="34"/>
        <v>(90;37)</v>
      </c>
      <c r="AO128" s="12" t="str">
        <f t="shared" si="34"/>
        <v>(90;38)</v>
      </c>
      <c r="AP128" s="12" t="str">
        <f t="shared" si="34"/>
        <v>(90;39)</v>
      </c>
      <c r="AQ128" s="12" t="str">
        <f t="shared" si="34"/>
        <v>(90;40)</v>
      </c>
      <c r="AR128" s="12" t="str">
        <f t="shared" si="34"/>
        <v>(90;41)</v>
      </c>
      <c r="AS128" s="12" t="str">
        <f t="shared" si="34"/>
        <v>(90;42)</v>
      </c>
      <c r="AT128" s="12" t="str">
        <f t="shared" si="34"/>
        <v>(90;43)</v>
      </c>
      <c r="AU128" s="12" t="str">
        <f t="shared" si="34"/>
        <v>(90;44)</v>
      </c>
      <c r="AV128" s="12" t="str">
        <f t="shared" si="34"/>
        <v>(90;45)</v>
      </c>
      <c r="AW128" s="12" t="str">
        <f t="shared" si="34"/>
        <v>(90;46)</v>
      </c>
      <c r="AX128" s="12" t="str">
        <f t="shared" si="32"/>
        <v>(90;47)</v>
      </c>
      <c r="AY128" s="12" t="str">
        <f t="shared" si="32"/>
        <v>(90;48)</v>
      </c>
      <c r="AZ128" s="12" t="str">
        <f t="shared" si="32"/>
        <v>(90;49)</v>
      </c>
      <c r="BA128" s="12" t="str">
        <f t="shared" si="32"/>
        <v>(90;50)</v>
      </c>
      <c r="BB128" s="12" t="str">
        <f t="shared" si="32"/>
        <v>(90;51)</v>
      </c>
      <c r="BC128" s="12" t="str">
        <f t="shared" si="32"/>
        <v>(90;52)</v>
      </c>
      <c r="BD128" s="12" t="str">
        <f t="shared" si="32"/>
        <v>(90;53)</v>
      </c>
      <c r="BE128" s="12" t="str">
        <f t="shared" si="32"/>
        <v>(90;54)</v>
      </c>
      <c r="BF128" s="12" t="str">
        <f t="shared" si="32"/>
        <v>(90;55)</v>
      </c>
      <c r="BG128" s="12" t="str">
        <f t="shared" si="32"/>
        <v>(90;56)</v>
      </c>
      <c r="BH128" s="12" t="str">
        <f t="shared" si="32"/>
        <v>(90;57)</v>
      </c>
      <c r="BI128" s="12" t="str">
        <f t="shared" si="32"/>
        <v>(90;58)</v>
      </c>
      <c r="BJ128" s="12" t="str">
        <f t="shared" si="32"/>
        <v>(90;59)</v>
      </c>
      <c r="BK128" s="12" t="str">
        <f t="shared" si="32"/>
        <v>(90;60)</v>
      </c>
      <c r="BL128" s="12" t="str">
        <f t="shared" si="32"/>
        <v>(90;61)</v>
      </c>
      <c r="BM128" s="12" t="str">
        <f t="shared" si="18"/>
        <v>(90;62)</v>
      </c>
      <c r="BN128" s="12" t="str">
        <f t="shared" si="18"/>
        <v>(90;63)</v>
      </c>
    </row>
    <row r="129" spans="1:66">
      <c r="A129">
        <f>VLOOKUP(B129,Teste!$A$137:$G$236,7,FALSE)</f>
        <v>0</v>
      </c>
      <c r="B129">
        <f t="shared" si="27"/>
        <v>91</v>
      </c>
      <c r="C129" s="12" t="str">
        <f t="shared" si="35"/>
        <v>(91;00)</v>
      </c>
      <c r="D129" s="12" t="str">
        <f t="shared" si="35"/>
        <v>(91;01)</v>
      </c>
      <c r="E129" s="12" t="str">
        <f t="shared" si="35"/>
        <v>(91;02)</v>
      </c>
      <c r="F129" s="12" t="str">
        <f t="shared" si="35"/>
        <v>(91;03)</v>
      </c>
      <c r="G129" s="12" t="str">
        <f t="shared" si="35"/>
        <v>(91;04)</v>
      </c>
      <c r="H129" s="12" t="str">
        <f t="shared" si="35"/>
        <v>(91;05)</v>
      </c>
      <c r="I129" s="12" t="str">
        <f t="shared" si="35"/>
        <v>(91;06)</v>
      </c>
      <c r="J129" s="12" t="str">
        <f t="shared" si="35"/>
        <v>(91;07)</v>
      </c>
      <c r="K129" s="12" t="str">
        <f t="shared" si="35"/>
        <v>(91;08)</v>
      </c>
      <c r="L129" s="12" t="str">
        <f t="shared" si="35"/>
        <v>(91;09)</v>
      </c>
      <c r="M129" s="12" t="str">
        <f t="shared" si="35"/>
        <v>(91;10)</v>
      </c>
      <c r="N129" s="12" t="str">
        <f t="shared" si="35"/>
        <v>(91;11)</v>
      </c>
      <c r="O129" s="12" t="str">
        <f t="shared" si="35"/>
        <v>(91;12)</v>
      </c>
      <c r="P129" s="12" t="str">
        <f t="shared" si="35"/>
        <v>(91;13)</v>
      </c>
      <c r="Q129" s="12" t="str">
        <f t="shared" si="35"/>
        <v>(91;14)</v>
      </c>
      <c r="R129" s="12" t="str">
        <f t="shared" si="35"/>
        <v>(91;15)</v>
      </c>
      <c r="S129" s="12" t="str">
        <f t="shared" si="33"/>
        <v>(91;16)</v>
      </c>
      <c r="T129" s="12" t="str">
        <f t="shared" si="33"/>
        <v>(91;17)</v>
      </c>
      <c r="U129" s="12" t="str">
        <f t="shared" si="33"/>
        <v>(91;18)</v>
      </c>
      <c r="V129" s="12" t="str">
        <f t="shared" si="33"/>
        <v>(91;19)</v>
      </c>
      <c r="W129" s="12" t="str">
        <f t="shared" si="33"/>
        <v>(91;20)</v>
      </c>
      <c r="X129" s="12" t="str">
        <f t="shared" si="33"/>
        <v>(91;21)</v>
      </c>
      <c r="Y129" s="12" t="str">
        <f t="shared" si="33"/>
        <v>(91;22)</v>
      </c>
      <c r="Z129" s="12" t="str">
        <f t="shared" si="33"/>
        <v>(91;23)</v>
      </c>
      <c r="AA129" s="12" t="str">
        <f t="shared" si="33"/>
        <v>(91;24)</v>
      </c>
      <c r="AB129" s="12" t="str">
        <f t="shared" si="33"/>
        <v>(91;25)</v>
      </c>
      <c r="AC129" s="12" t="str">
        <f t="shared" si="33"/>
        <v>(91;26)</v>
      </c>
      <c r="AD129" s="12" t="str">
        <f t="shared" si="33"/>
        <v>(91;27)</v>
      </c>
      <c r="AE129" s="12" t="str">
        <f t="shared" si="33"/>
        <v>(91;28)</v>
      </c>
      <c r="AF129" s="12" t="str">
        <f t="shared" si="33"/>
        <v>(91;29)</v>
      </c>
      <c r="AG129" s="12" t="str">
        <f t="shared" si="33"/>
        <v>(91;30)</v>
      </c>
      <c r="AH129" s="12" t="str">
        <f t="shared" si="34"/>
        <v>(91;31)</v>
      </c>
      <c r="AI129" s="12" t="str">
        <f t="shared" si="34"/>
        <v>(91;32)</v>
      </c>
      <c r="AJ129" s="12" t="str">
        <f t="shared" si="34"/>
        <v>(91;33)</v>
      </c>
      <c r="AK129" s="12" t="str">
        <f t="shared" si="34"/>
        <v>(91;34)</v>
      </c>
      <c r="AL129" s="12" t="str">
        <f t="shared" si="34"/>
        <v>(91;35)</v>
      </c>
      <c r="AM129" s="12" t="str">
        <f t="shared" si="34"/>
        <v>(91;36)</v>
      </c>
      <c r="AN129" s="12" t="str">
        <f t="shared" si="34"/>
        <v>(91;37)</v>
      </c>
      <c r="AO129" s="12" t="str">
        <f t="shared" si="34"/>
        <v>(91;38)</v>
      </c>
      <c r="AP129" s="12" t="str">
        <f t="shared" si="34"/>
        <v>(91;39)</v>
      </c>
      <c r="AQ129" s="12" t="str">
        <f t="shared" si="34"/>
        <v>(91;40)</v>
      </c>
      <c r="AR129" s="12" t="str">
        <f t="shared" si="34"/>
        <v>(91;41)</v>
      </c>
      <c r="AS129" s="12" t="str">
        <f t="shared" si="34"/>
        <v>(91;42)</v>
      </c>
      <c r="AT129" s="12" t="str">
        <f t="shared" si="34"/>
        <v>(91;43)</v>
      </c>
      <c r="AU129" s="12" t="str">
        <f t="shared" si="34"/>
        <v>(91;44)</v>
      </c>
      <c r="AV129" s="12" t="str">
        <f t="shared" si="34"/>
        <v>(91;45)</v>
      </c>
      <c r="AW129" s="12" t="str">
        <f t="shared" si="34"/>
        <v>(91;46)</v>
      </c>
      <c r="AX129" s="12" t="str">
        <f t="shared" si="32"/>
        <v>(91;47)</v>
      </c>
      <c r="AY129" s="12" t="str">
        <f t="shared" si="32"/>
        <v>(91;48)</v>
      </c>
      <c r="AZ129" s="12" t="str">
        <f t="shared" si="32"/>
        <v>(91;49)</v>
      </c>
      <c r="BA129" s="12" t="str">
        <f t="shared" si="32"/>
        <v>(91;50)</v>
      </c>
      <c r="BB129" s="12" t="str">
        <f t="shared" si="32"/>
        <v>(91;51)</v>
      </c>
      <c r="BC129" s="12" t="str">
        <f t="shared" si="32"/>
        <v>(91;52)</v>
      </c>
      <c r="BD129" s="12" t="str">
        <f t="shared" si="32"/>
        <v>(91;53)</v>
      </c>
      <c r="BE129" s="12" t="str">
        <f t="shared" si="32"/>
        <v>(91;54)</v>
      </c>
      <c r="BF129" s="12" t="str">
        <f t="shared" si="32"/>
        <v>(91;55)</v>
      </c>
      <c r="BG129" s="12" t="str">
        <f t="shared" si="32"/>
        <v>(91;56)</v>
      </c>
      <c r="BH129" s="12" t="str">
        <f t="shared" si="32"/>
        <v>(91;57)</v>
      </c>
      <c r="BI129" s="12" t="str">
        <f t="shared" si="32"/>
        <v>(91;58)</v>
      </c>
      <c r="BJ129" s="12" t="str">
        <f t="shared" si="32"/>
        <v>(91;59)</v>
      </c>
      <c r="BK129" s="12" t="str">
        <f t="shared" si="32"/>
        <v>(91;60)</v>
      </c>
      <c r="BL129" s="12" t="str">
        <f t="shared" si="32"/>
        <v>(91;61)</v>
      </c>
      <c r="BM129" s="12" t="str">
        <f t="shared" si="18"/>
        <v>(91;62)</v>
      </c>
      <c r="BN129" s="12" t="str">
        <f t="shared" si="18"/>
        <v>(91;63)</v>
      </c>
    </row>
    <row r="130" spans="1:66">
      <c r="A130">
        <f>VLOOKUP(B130,Teste!$A$137:$G$236,7,FALSE)</f>
        <v>0</v>
      </c>
      <c r="B130">
        <f t="shared" si="27"/>
        <v>92</v>
      </c>
      <c r="C130" s="12" t="str">
        <f t="shared" si="35"/>
        <v>(92;00)</v>
      </c>
      <c r="D130" s="12" t="str">
        <f t="shared" si="35"/>
        <v>(92;01)</v>
      </c>
      <c r="E130" s="12" t="str">
        <f t="shared" si="35"/>
        <v>(92;02)</v>
      </c>
      <c r="F130" s="12" t="str">
        <f t="shared" si="35"/>
        <v>(92;03)</v>
      </c>
      <c r="G130" s="12" t="str">
        <f t="shared" si="35"/>
        <v>(92;04)</v>
      </c>
      <c r="H130" s="12" t="str">
        <f t="shared" si="35"/>
        <v>(92;05)</v>
      </c>
      <c r="I130" s="12" t="str">
        <f t="shared" si="35"/>
        <v>(92;06)</v>
      </c>
      <c r="J130" s="12" t="str">
        <f t="shared" si="35"/>
        <v>(92;07)</v>
      </c>
      <c r="K130" s="12" t="str">
        <f t="shared" si="35"/>
        <v>(92;08)</v>
      </c>
      <c r="L130" s="12" t="str">
        <f t="shared" si="35"/>
        <v>(92;09)</v>
      </c>
      <c r="M130" s="12" t="str">
        <f t="shared" si="35"/>
        <v>(92;10)</v>
      </c>
      <c r="N130" s="12" t="str">
        <f t="shared" si="35"/>
        <v>(92;11)</v>
      </c>
      <c r="O130" s="12" t="str">
        <f t="shared" si="35"/>
        <v>(92;12)</v>
      </c>
      <c r="P130" s="12" t="str">
        <f t="shared" si="35"/>
        <v>(92;13)</v>
      </c>
      <c r="Q130" s="12" t="str">
        <f t="shared" si="35"/>
        <v>(92;14)</v>
      </c>
      <c r="R130" s="12" t="str">
        <f t="shared" si="35"/>
        <v>(92;15)</v>
      </c>
      <c r="S130" s="12" t="str">
        <f t="shared" si="33"/>
        <v>(92;16)</v>
      </c>
      <c r="T130" s="12" t="str">
        <f t="shared" si="33"/>
        <v>(92;17)</v>
      </c>
      <c r="U130" s="12" t="str">
        <f t="shared" si="33"/>
        <v>(92;18)</v>
      </c>
      <c r="V130" s="12" t="str">
        <f t="shared" si="33"/>
        <v>(92;19)</v>
      </c>
      <c r="W130" s="12" t="str">
        <f t="shared" si="33"/>
        <v>(92;20)</v>
      </c>
      <c r="X130" s="12" t="str">
        <f t="shared" si="33"/>
        <v>(92;21)</v>
      </c>
      <c r="Y130" s="12" t="str">
        <f t="shared" si="33"/>
        <v>(92;22)</v>
      </c>
      <c r="Z130" s="12" t="str">
        <f t="shared" si="33"/>
        <v>(92;23)</v>
      </c>
      <c r="AA130" s="12" t="str">
        <f t="shared" si="33"/>
        <v>(92;24)</v>
      </c>
      <c r="AB130" s="12" t="str">
        <f t="shared" si="33"/>
        <v>(92;25)</v>
      </c>
      <c r="AC130" s="12" t="str">
        <f t="shared" si="33"/>
        <v>(92;26)</v>
      </c>
      <c r="AD130" s="12" t="str">
        <f t="shared" si="33"/>
        <v>(92;27)</v>
      </c>
      <c r="AE130" s="12" t="str">
        <f t="shared" si="33"/>
        <v>(92;28)</v>
      </c>
      <c r="AF130" s="12" t="str">
        <f t="shared" si="33"/>
        <v>(92;29)</v>
      </c>
      <c r="AG130" s="12" t="str">
        <f t="shared" si="33"/>
        <v>(92;30)</v>
      </c>
      <c r="AH130" s="12" t="str">
        <f t="shared" si="34"/>
        <v>(92;31)</v>
      </c>
      <c r="AI130" s="12" t="str">
        <f t="shared" si="34"/>
        <v>(92;32)</v>
      </c>
      <c r="AJ130" s="12" t="str">
        <f t="shared" si="34"/>
        <v>(92;33)</v>
      </c>
      <c r="AK130" s="12" t="str">
        <f t="shared" si="34"/>
        <v>(92;34)</v>
      </c>
      <c r="AL130" s="12" t="str">
        <f t="shared" si="34"/>
        <v>(92;35)</v>
      </c>
      <c r="AM130" s="12" t="str">
        <f t="shared" si="34"/>
        <v>(92;36)</v>
      </c>
      <c r="AN130" s="12" t="str">
        <f t="shared" si="34"/>
        <v>(92;37)</v>
      </c>
      <c r="AO130" s="12" t="str">
        <f t="shared" si="34"/>
        <v>(92;38)</v>
      </c>
      <c r="AP130" s="12" t="str">
        <f t="shared" si="34"/>
        <v>(92;39)</v>
      </c>
      <c r="AQ130" s="12" t="str">
        <f t="shared" si="34"/>
        <v>(92;40)</v>
      </c>
      <c r="AR130" s="12" t="str">
        <f t="shared" si="34"/>
        <v>(92;41)</v>
      </c>
      <c r="AS130" s="12" t="str">
        <f t="shared" si="34"/>
        <v>(92;42)</v>
      </c>
      <c r="AT130" s="12" t="str">
        <f t="shared" si="34"/>
        <v>(92;43)</v>
      </c>
      <c r="AU130" s="12" t="str">
        <f t="shared" si="34"/>
        <v>(92;44)</v>
      </c>
      <c r="AV130" s="12" t="str">
        <f t="shared" si="34"/>
        <v>(92;45)</v>
      </c>
      <c r="AW130" s="12" t="str">
        <f t="shared" si="34"/>
        <v>(92;46)</v>
      </c>
      <c r="AX130" s="12" t="str">
        <f t="shared" si="32"/>
        <v>(92;47)</v>
      </c>
      <c r="AY130" s="12" t="str">
        <f t="shared" si="32"/>
        <v>(92;48)</v>
      </c>
      <c r="AZ130" s="12" t="str">
        <f t="shared" si="32"/>
        <v>(92;49)</v>
      </c>
      <c r="BA130" s="12" t="str">
        <f t="shared" si="32"/>
        <v>(92;50)</v>
      </c>
      <c r="BB130" s="12" t="str">
        <f t="shared" si="32"/>
        <v>(92;51)</v>
      </c>
      <c r="BC130" s="12" t="str">
        <f t="shared" si="32"/>
        <v>(92;52)</v>
      </c>
      <c r="BD130" s="12" t="str">
        <f t="shared" si="32"/>
        <v>(92;53)</v>
      </c>
      <c r="BE130" s="12" t="str">
        <f t="shared" si="32"/>
        <v>(92;54)</v>
      </c>
      <c r="BF130" s="12" t="str">
        <f t="shared" si="32"/>
        <v>(92;55)</v>
      </c>
      <c r="BG130" s="12" t="str">
        <f t="shared" si="32"/>
        <v>(92;56)</v>
      </c>
      <c r="BH130" s="12" t="str">
        <f t="shared" si="32"/>
        <v>(92;57)</v>
      </c>
      <c r="BI130" s="12" t="str">
        <f t="shared" si="32"/>
        <v>(92;58)</v>
      </c>
      <c r="BJ130" s="12" t="str">
        <f t="shared" si="32"/>
        <v>(92;59)</v>
      </c>
      <c r="BK130" s="12" t="str">
        <f t="shared" si="32"/>
        <v>(92;60)</v>
      </c>
      <c r="BL130" s="12" t="str">
        <f t="shared" si="32"/>
        <v>(92;61)</v>
      </c>
      <c r="BM130" s="12" t="str">
        <f t="shared" si="18"/>
        <v>(92;62)</v>
      </c>
      <c r="BN130" s="12" t="str">
        <f t="shared" si="18"/>
        <v>(92;63)</v>
      </c>
    </row>
    <row r="131" spans="1:66">
      <c r="A131">
        <f>VLOOKUP(B131,Teste!$A$137:$G$236,7,FALSE)</f>
        <v>0</v>
      </c>
      <c r="B131">
        <f t="shared" si="27"/>
        <v>93</v>
      </c>
      <c r="C131" s="12" t="str">
        <f t="shared" si="35"/>
        <v>(93;00)</v>
      </c>
      <c r="D131" s="12" t="str">
        <f t="shared" si="35"/>
        <v>(93;01)</v>
      </c>
      <c r="E131" s="12" t="str">
        <f t="shared" si="35"/>
        <v>(93;02)</v>
      </c>
      <c r="F131" s="12" t="str">
        <f t="shared" si="35"/>
        <v>(93;03)</v>
      </c>
      <c r="G131" s="12" t="str">
        <f t="shared" si="35"/>
        <v>(93;04)</v>
      </c>
      <c r="H131" s="12" t="str">
        <f t="shared" si="35"/>
        <v>(93;05)</v>
      </c>
      <c r="I131" s="12" t="str">
        <f t="shared" si="35"/>
        <v>(93;06)</v>
      </c>
      <c r="J131" s="12" t="str">
        <f t="shared" si="35"/>
        <v>(93;07)</v>
      </c>
      <c r="K131" s="12" t="str">
        <f t="shared" si="35"/>
        <v>(93;08)</v>
      </c>
      <c r="L131" s="12" t="str">
        <f t="shared" si="35"/>
        <v>(93;09)</v>
      </c>
      <c r="M131" s="12" t="str">
        <f t="shared" si="35"/>
        <v>(93;10)</v>
      </c>
      <c r="N131" s="12" t="str">
        <f t="shared" si="35"/>
        <v>(93;11)</v>
      </c>
      <c r="O131" s="12" t="str">
        <f t="shared" si="35"/>
        <v>(93;12)</v>
      </c>
      <c r="P131" s="12" t="str">
        <f t="shared" si="35"/>
        <v>(93;13)</v>
      </c>
      <c r="Q131" s="12" t="str">
        <f t="shared" si="35"/>
        <v>(93;14)</v>
      </c>
      <c r="R131" s="12" t="str">
        <f t="shared" si="35"/>
        <v>(93;15)</v>
      </c>
      <c r="S131" s="12" t="str">
        <f t="shared" si="33"/>
        <v>(93;16)</v>
      </c>
      <c r="T131" s="12" t="str">
        <f t="shared" si="33"/>
        <v>(93;17)</v>
      </c>
      <c r="U131" s="12" t="str">
        <f t="shared" si="33"/>
        <v>(93;18)</v>
      </c>
      <c r="V131" s="12" t="str">
        <f t="shared" si="33"/>
        <v>(93;19)</v>
      </c>
      <c r="W131" s="12" t="str">
        <f t="shared" si="33"/>
        <v>(93;20)</v>
      </c>
      <c r="X131" s="12" t="str">
        <f t="shared" si="33"/>
        <v>(93;21)</v>
      </c>
      <c r="Y131" s="12" t="str">
        <f t="shared" si="33"/>
        <v>(93;22)</v>
      </c>
      <c r="Z131" s="12" t="str">
        <f t="shared" si="33"/>
        <v>(93;23)</v>
      </c>
      <c r="AA131" s="12" t="str">
        <f t="shared" si="33"/>
        <v>(93;24)</v>
      </c>
      <c r="AB131" s="12" t="str">
        <f t="shared" si="33"/>
        <v>(93;25)</v>
      </c>
      <c r="AC131" s="12" t="str">
        <f t="shared" si="33"/>
        <v>(93;26)</v>
      </c>
      <c r="AD131" s="12" t="str">
        <f t="shared" si="33"/>
        <v>(93;27)</v>
      </c>
      <c r="AE131" s="12" t="str">
        <f t="shared" si="33"/>
        <v>(93;28)</v>
      </c>
      <c r="AF131" s="12" t="str">
        <f t="shared" si="33"/>
        <v>(93;29)</v>
      </c>
      <c r="AG131" s="12" t="str">
        <f t="shared" si="33"/>
        <v>(93;30)</v>
      </c>
      <c r="AH131" s="12" t="str">
        <f t="shared" si="34"/>
        <v>(93;31)</v>
      </c>
      <c r="AI131" s="12" t="str">
        <f t="shared" si="34"/>
        <v>(93;32)</v>
      </c>
      <c r="AJ131" s="12" t="str">
        <f t="shared" si="34"/>
        <v>(93;33)</v>
      </c>
      <c r="AK131" s="12" t="str">
        <f t="shared" si="34"/>
        <v>(93;34)</v>
      </c>
      <c r="AL131" s="12" t="str">
        <f t="shared" si="34"/>
        <v>(93;35)</v>
      </c>
      <c r="AM131" s="12" t="str">
        <f t="shared" si="34"/>
        <v>(93;36)</v>
      </c>
      <c r="AN131" s="12" t="str">
        <f t="shared" si="34"/>
        <v>(93;37)</v>
      </c>
      <c r="AO131" s="12" t="str">
        <f t="shared" si="34"/>
        <v>(93;38)</v>
      </c>
      <c r="AP131" s="12" t="str">
        <f t="shared" si="34"/>
        <v>(93;39)</v>
      </c>
      <c r="AQ131" s="12" t="str">
        <f t="shared" si="34"/>
        <v>(93;40)</v>
      </c>
      <c r="AR131" s="12" t="str">
        <f t="shared" si="34"/>
        <v>(93;41)</v>
      </c>
      <c r="AS131" s="12" t="str">
        <f t="shared" si="34"/>
        <v>(93;42)</v>
      </c>
      <c r="AT131" s="12" t="str">
        <f t="shared" si="34"/>
        <v>(93;43)</v>
      </c>
      <c r="AU131" s="12" t="str">
        <f t="shared" si="34"/>
        <v>(93;44)</v>
      </c>
      <c r="AV131" s="12" t="str">
        <f t="shared" si="34"/>
        <v>(93;45)</v>
      </c>
      <c r="AW131" s="12" t="str">
        <f t="shared" si="34"/>
        <v>(93;46)</v>
      </c>
      <c r="AX131" s="12" t="str">
        <f t="shared" si="32"/>
        <v>(93;47)</v>
      </c>
      <c r="AY131" s="12" t="str">
        <f t="shared" si="32"/>
        <v>(93;48)</v>
      </c>
      <c r="AZ131" s="12" t="str">
        <f t="shared" si="32"/>
        <v>(93;49)</v>
      </c>
      <c r="BA131" s="12" t="str">
        <f t="shared" si="32"/>
        <v>(93;50)</v>
      </c>
      <c r="BB131" s="12" t="str">
        <f t="shared" si="32"/>
        <v>(93;51)</v>
      </c>
      <c r="BC131" s="12" t="str">
        <f t="shared" si="32"/>
        <v>(93;52)</v>
      </c>
      <c r="BD131" s="12" t="str">
        <f t="shared" si="32"/>
        <v>(93;53)</v>
      </c>
      <c r="BE131" s="12" t="str">
        <f t="shared" si="32"/>
        <v>(93;54)</v>
      </c>
      <c r="BF131" s="12" t="str">
        <f t="shared" si="32"/>
        <v>(93;55)</v>
      </c>
      <c r="BG131" s="12" t="str">
        <f t="shared" si="32"/>
        <v>(93;56)</v>
      </c>
      <c r="BH131" s="12" t="str">
        <f t="shared" si="32"/>
        <v>(93;57)</v>
      </c>
      <c r="BI131" s="12" t="str">
        <f t="shared" si="32"/>
        <v>(93;58)</v>
      </c>
      <c r="BJ131" s="12" t="str">
        <f t="shared" si="32"/>
        <v>(93;59)</v>
      </c>
      <c r="BK131" s="12" t="str">
        <f t="shared" si="32"/>
        <v>(93;60)</v>
      </c>
      <c r="BL131" s="12" t="str">
        <f t="shared" si="32"/>
        <v>(93;61)</v>
      </c>
      <c r="BM131" s="12" t="str">
        <f t="shared" si="18"/>
        <v>(93;62)</v>
      </c>
      <c r="BN131" s="12" t="str">
        <f t="shared" si="18"/>
        <v>(93;63)</v>
      </c>
    </row>
    <row r="132" spans="1:66">
      <c r="A132">
        <f>VLOOKUP(B132,Teste!$A$137:$G$236,7,FALSE)</f>
        <v>0</v>
      </c>
      <c r="B132">
        <f t="shared" si="27"/>
        <v>94</v>
      </c>
      <c r="C132" s="12" t="str">
        <f t="shared" si="35"/>
        <v>(94;00)</v>
      </c>
      <c r="D132" s="12" t="str">
        <f t="shared" si="35"/>
        <v>(94;01)</v>
      </c>
      <c r="E132" s="12" t="str">
        <f t="shared" si="35"/>
        <v>(94;02)</v>
      </c>
      <c r="F132" s="12" t="str">
        <f t="shared" si="35"/>
        <v>(94;03)</v>
      </c>
      <c r="G132" s="12" t="str">
        <f t="shared" si="35"/>
        <v>(94;04)</v>
      </c>
      <c r="H132" s="12" t="str">
        <f t="shared" si="35"/>
        <v>(94;05)</v>
      </c>
      <c r="I132" s="12" t="str">
        <f t="shared" si="35"/>
        <v>(94;06)</v>
      </c>
      <c r="J132" s="12" t="str">
        <f t="shared" si="35"/>
        <v>(94;07)</v>
      </c>
      <c r="K132" s="12" t="str">
        <f t="shared" si="35"/>
        <v>(94;08)</v>
      </c>
      <c r="L132" s="12" t="str">
        <f t="shared" si="35"/>
        <v>(94;09)</v>
      </c>
      <c r="M132" s="12" t="str">
        <f t="shared" si="35"/>
        <v>(94;10)</v>
      </c>
      <c r="N132" s="12" t="str">
        <f t="shared" si="35"/>
        <v>(94;11)</v>
      </c>
      <c r="O132" s="12" t="str">
        <f t="shared" si="35"/>
        <v>(94;12)</v>
      </c>
      <c r="P132" s="12" t="str">
        <f t="shared" si="35"/>
        <v>(94;13)</v>
      </c>
      <c r="Q132" s="12" t="str">
        <f t="shared" si="35"/>
        <v>(94;14)</v>
      </c>
      <c r="R132" s="12" t="str">
        <f t="shared" si="35"/>
        <v>(94;15)</v>
      </c>
      <c r="S132" s="12" t="str">
        <f t="shared" si="33"/>
        <v>(94;16)</v>
      </c>
      <c r="T132" s="12" t="str">
        <f t="shared" si="33"/>
        <v>(94;17)</v>
      </c>
      <c r="U132" s="12" t="str">
        <f t="shared" si="33"/>
        <v>(94;18)</v>
      </c>
      <c r="V132" s="12" t="str">
        <f t="shared" si="33"/>
        <v>(94;19)</v>
      </c>
      <c r="W132" s="12" t="str">
        <f t="shared" si="33"/>
        <v>(94;20)</v>
      </c>
      <c r="X132" s="12" t="str">
        <f t="shared" si="33"/>
        <v>(94;21)</v>
      </c>
      <c r="Y132" s="12" t="str">
        <f t="shared" si="33"/>
        <v>(94;22)</v>
      </c>
      <c r="Z132" s="12" t="str">
        <f t="shared" si="33"/>
        <v>(94;23)</v>
      </c>
      <c r="AA132" s="12" t="str">
        <f t="shared" si="33"/>
        <v>(94;24)</v>
      </c>
      <c r="AB132" s="12" t="str">
        <f t="shared" si="33"/>
        <v>(94;25)</v>
      </c>
      <c r="AC132" s="12" t="str">
        <f t="shared" si="33"/>
        <v>(94;26)</v>
      </c>
      <c r="AD132" s="12" t="str">
        <f t="shared" si="33"/>
        <v>(94;27)</v>
      </c>
      <c r="AE132" s="12" t="str">
        <f t="shared" si="33"/>
        <v>(94;28)</v>
      </c>
      <c r="AF132" s="12" t="str">
        <f t="shared" si="33"/>
        <v>(94;29)</v>
      </c>
      <c r="AG132" s="12" t="str">
        <f t="shared" si="33"/>
        <v>(94;30)</v>
      </c>
      <c r="AH132" s="12" t="str">
        <f t="shared" si="34"/>
        <v>(94;31)</v>
      </c>
      <c r="AI132" s="12" t="str">
        <f t="shared" si="34"/>
        <v>(94;32)</v>
      </c>
      <c r="AJ132" s="12" t="str">
        <f t="shared" si="34"/>
        <v>(94;33)</v>
      </c>
      <c r="AK132" s="12" t="str">
        <f t="shared" si="34"/>
        <v>(94;34)</v>
      </c>
      <c r="AL132" s="12" t="str">
        <f t="shared" si="34"/>
        <v>(94;35)</v>
      </c>
      <c r="AM132" s="12" t="str">
        <f t="shared" si="34"/>
        <v>(94;36)</v>
      </c>
      <c r="AN132" s="12" t="str">
        <f t="shared" si="34"/>
        <v>(94;37)</v>
      </c>
      <c r="AO132" s="12" t="str">
        <f t="shared" si="34"/>
        <v>(94;38)</v>
      </c>
      <c r="AP132" s="12" t="str">
        <f t="shared" si="34"/>
        <v>(94;39)</v>
      </c>
      <c r="AQ132" s="12" t="str">
        <f t="shared" si="34"/>
        <v>(94;40)</v>
      </c>
      <c r="AR132" s="12" t="str">
        <f t="shared" si="34"/>
        <v>(94;41)</v>
      </c>
      <c r="AS132" s="12" t="str">
        <f t="shared" si="34"/>
        <v>(94;42)</v>
      </c>
      <c r="AT132" s="12" t="str">
        <f t="shared" si="34"/>
        <v>(94;43)</v>
      </c>
      <c r="AU132" s="12" t="str">
        <f t="shared" si="34"/>
        <v>(94;44)</v>
      </c>
      <c r="AV132" s="12" t="str">
        <f t="shared" si="34"/>
        <v>(94;45)</v>
      </c>
      <c r="AW132" s="12" t="str">
        <f t="shared" si="34"/>
        <v>(94;46)</v>
      </c>
      <c r="AX132" s="12" t="str">
        <f t="shared" si="32"/>
        <v>(94;47)</v>
      </c>
      <c r="AY132" s="12" t="str">
        <f t="shared" si="32"/>
        <v>(94;48)</v>
      </c>
      <c r="AZ132" s="12" t="str">
        <f t="shared" si="32"/>
        <v>(94;49)</v>
      </c>
      <c r="BA132" s="12" t="str">
        <f t="shared" si="32"/>
        <v>(94;50)</v>
      </c>
      <c r="BB132" s="12" t="str">
        <f t="shared" si="32"/>
        <v>(94;51)</v>
      </c>
      <c r="BC132" s="12" t="str">
        <f t="shared" si="32"/>
        <v>(94;52)</v>
      </c>
      <c r="BD132" s="12" t="str">
        <f t="shared" si="32"/>
        <v>(94;53)</v>
      </c>
      <c r="BE132" s="12" t="str">
        <f t="shared" si="32"/>
        <v>(94;54)</v>
      </c>
      <c r="BF132" s="12" t="str">
        <f t="shared" si="32"/>
        <v>(94;55)</v>
      </c>
      <c r="BG132" s="12" t="str">
        <f t="shared" si="32"/>
        <v>(94;56)</v>
      </c>
      <c r="BH132" s="12" t="str">
        <f t="shared" si="32"/>
        <v>(94;57)</v>
      </c>
      <c r="BI132" s="12" t="str">
        <f t="shared" si="32"/>
        <v>(94;58)</v>
      </c>
      <c r="BJ132" s="12" t="str">
        <f t="shared" si="32"/>
        <v>(94;59)</v>
      </c>
      <c r="BK132" s="12" t="str">
        <f t="shared" si="32"/>
        <v>(94;60)</v>
      </c>
      <c r="BL132" s="12" t="str">
        <f t="shared" si="32"/>
        <v>(94;61)</v>
      </c>
      <c r="BM132" s="12" t="str">
        <f t="shared" si="18"/>
        <v>(94;62)</v>
      </c>
      <c r="BN132" s="12" t="str">
        <f t="shared" si="18"/>
        <v>(94;63)</v>
      </c>
    </row>
    <row r="133" spans="1:66">
      <c r="A133">
        <f>VLOOKUP(B133,Teste!$A$137:$G$236,7,FALSE)</f>
        <v>0</v>
      </c>
      <c r="B133">
        <f t="shared" si="27"/>
        <v>95</v>
      </c>
      <c r="C133" s="12" t="str">
        <f t="shared" si="35"/>
        <v>(95;00)</v>
      </c>
      <c r="D133" s="12" t="str">
        <f t="shared" si="35"/>
        <v>(95;01)</v>
      </c>
      <c r="E133" s="12" t="str">
        <f t="shared" si="35"/>
        <v>(95;02)</v>
      </c>
      <c r="F133" s="12" t="str">
        <f t="shared" si="35"/>
        <v>(95;03)</v>
      </c>
      <c r="G133" s="12" t="str">
        <f t="shared" si="35"/>
        <v>(95;04)</v>
      </c>
      <c r="H133" s="12" t="str">
        <f t="shared" si="35"/>
        <v>(95;05)</v>
      </c>
      <c r="I133" s="12" t="str">
        <f t="shared" si="35"/>
        <v>(95;06)</v>
      </c>
      <c r="J133" s="12" t="str">
        <f t="shared" si="35"/>
        <v>(95;07)</v>
      </c>
      <c r="K133" s="12" t="str">
        <f t="shared" si="35"/>
        <v>(95;08)</v>
      </c>
      <c r="L133" s="12" t="str">
        <f t="shared" si="35"/>
        <v>(95;09)</v>
      </c>
      <c r="M133" s="12" t="str">
        <f t="shared" si="35"/>
        <v>(95;10)</v>
      </c>
      <c r="N133" s="12" t="str">
        <f t="shared" si="35"/>
        <v>(95;11)</v>
      </c>
      <c r="O133" s="12" t="str">
        <f t="shared" si="35"/>
        <v>(95;12)</v>
      </c>
      <c r="P133" s="12" t="str">
        <f t="shared" si="35"/>
        <v>(95;13)</v>
      </c>
      <c r="Q133" s="12" t="str">
        <f t="shared" si="35"/>
        <v>(95;14)</v>
      </c>
      <c r="R133" s="12" t="str">
        <f t="shared" si="35"/>
        <v>(95;15)</v>
      </c>
      <c r="S133" s="12" t="str">
        <f t="shared" si="33"/>
        <v>(95;16)</v>
      </c>
      <c r="T133" s="12" t="str">
        <f t="shared" si="33"/>
        <v>(95;17)</v>
      </c>
      <c r="U133" s="12" t="str">
        <f t="shared" si="33"/>
        <v>(95;18)</v>
      </c>
      <c r="V133" s="12" t="str">
        <f t="shared" si="33"/>
        <v>(95;19)</v>
      </c>
      <c r="W133" s="12" t="str">
        <f t="shared" si="33"/>
        <v>(95;20)</v>
      </c>
      <c r="X133" s="12" t="str">
        <f t="shared" si="33"/>
        <v>(95;21)</v>
      </c>
      <c r="Y133" s="12" t="str">
        <f t="shared" si="33"/>
        <v>(95;22)</v>
      </c>
      <c r="Z133" s="12" t="str">
        <f t="shared" si="33"/>
        <v>(95;23)</v>
      </c>
      <c r="AA133" s="12" t="str">
        <f t="shared" si="33"/>
        <v>(95;24)</v>
      </c>
      <c r="AB133" s="12" t="str">
        <f t="shared" si="33"/>
        <v>(95;25)</v>
      </c>
      <c r="AC133" s="12" t="str">
        <f t="shared" si="33"/>
        <v>(95;26)</v>
      </c>
      <c r="AD133" s="12" t="str">
        <f t="shared" si="33"/>
        <v>(95;27)</v>
      </c>
      <c r="AE133" s="12" t="str">
        <f t="shared" si="33"/>
        <v>(95;28)</v>
      </c>
      <c r="AF133" s="12" t="str">
        <f t="shared" si="33"/>
        <v>(95;29)</v>
      </c>
      <c r="AG133" s="12" t="str">
        <f t="shared" si="33"/>
        <v>(95;30)</v>
      </c>
      <c r="AH133" s="12" t="str">
        <f t="shared" si="34"/>
        <v>(95;31)</v>
      </c>
      <c r="AI133" s="12" t="str">
        <f t="shared" si="34"/>
        <v>(95;32)</v>
      </c>
      <c r="AJ133" s="12" t="str">
        <f t="shared" si="34"/>
        <v>(95;33)</v>
      </c>
      <c r="AK133" s="12" t="str">
        <f t="shared" si="34"/>
        <v>(95;34)</v>
      </c>
      <c r="AL133" s="12" t="str">
        <f t="shared" si="34"/>
        <v>(95;35)</v>
      </c>
      <c r="AM133" s="12" t="str">
        <f t="shared" si="34"/>
        <v>(95;36)</v>
      </c>
      <c r="AN133" s="12" t="str">
        <f t="shared" si="34"/>
        <v>(95;37)</v>
      </c>
      <c r="AO133" s="12" t="str">
        <f t="shared" si="34"/>
        <v>(95;38)</v>
      </c>
      <c r="AP133" s="12" t="str">
        <f t="shared" si="34"/>
        <v>(95;39)</v>
      </c>
      <c r="AQ133" s="12" t="str">
        <f t="shared" si="34"/>
        <v>(95;40)</v>
      </c>
      <c r="AR133" s="12" t="str">
        <f t="shared" si="34"/>
        <v>(95;41)</v>
      </c>
      <c r="AS133" s="12" t="str">
        <f t="shared" si="34"/>
        <v>(95;42)</v>
      </c>
      <c r="AT133" s="12" t="str">
        <f t="shared" si="34"/>
        <v>(95;43)</v>
      </c>
      <c r="AU133" s="12" t="str">
        <f t="shared" si="34"/>
        <v>(95;44)</v>
      </c>
      <c r="AV133" s="12" t="str">
        <f t="shared" si="34"/>
        <v>(95;45)</v>
      </c>
      <c r="AW133" s="12" t="str">
        <f t="shared" si="34"/>
        <v>(95;46)</v>
      </c>
      <c r="AX133" s="12" t="str">
        <f t="shared" si="32"/>
        <v>(95;47)</v>
      </c>
      <c r="AY133" s="12" t="str">
        <f t="shared" si="32"/>
        <v>(95;48)</v>
      </c>
      <c r="AZ133" s="12" t="str">
        <f t="shared" si="32"/>
        <v>(95;49)</v>
      </c>
      <c r="BA133" s="12" t="str">
        <f t="shared" si="32"/>
        <v>(95;50)</v>
      </c>
      <c r="BB133" s="12" t="str">
        <f t="shared" si="32"/>
        <v>(95;51)</v>
      </c>
      <c r="BC133" s="12" t="str">
        <f t="shared" si="32"/>
        <v>(95;52)</v>
      </c>
      <c r="BD133" s="12" t="str">
        <f t="shared" si="32"/>
        <v>(95;53)</v>
      </c>
      <c r="BE133" s="12" t="str">
        <f t="shared" si="32"/>
        <v>(95;54)</v>
      </c>
      <c r="BF133" s="12" t="str">
        <f t="shared" si="32"/>
        <v>(95;55)</v>
      </c>
      <c r="BG133" s="12" t="str">
        <f t="shared" si="32"/>
        <v>(95;56)</v>
      </c>
      <c r="BH133" s="12" t="str">
        <f t="shared" si="32"/>
        <v>(95;57)</v>
      </c>
      <c r="BI133" s="12" t="str">
        <f t="shared" si="32"/>
        <v>(95;58)</v>
      </c>
      <c r="BJ133" s="12" t="str">
        <f t="shared" si="32"/>
        <v>(95;59)</v>
      </c>
      <c r="BK133" s="12" t="str">
        <f t="shared" si="32"/>
        <v>(95;60)</v>
      </c>
      <c r="BL133" s="12" t="str">
        <f t="shared" si="32"/>
        <v>(95;61)</v>
      </c>
      <c r="BM133" s="12" t="str">
        <f t="shared" si="18"/>
        <v>(95;62)</v>
      </c>
      <c r="BN133" s="12" t="str">
        <f t="shared" si="18"/>
        <v>(95;63)</v>
      </c>
    </row>
    <row r="134" spans="1:66">
      <c r="A134">
        <f>VLOOKUP(B134,Teste!$A$137:$G$236,7,FALSE)</f>
        <v>0</v>
      </c>
      <c r="B134">
        <f t="shared" si="27"/>
        <v>96</v>
      </c>
      <c r="C134" s="12" t="str">
        <f t="shared" si="35"/>
        <v>(96;00)</v>
      </c>
      <c r="D134" s="12" t="str">
        <f t="shared" si="35"/>
        <v>(96;01)</v>
      </c>
      <c r="E134" s="12" t="str">
        <f t="shared" si="35"/>
        <v>(96;02)</v>
      </c>
      <c r="F134" s="12" t="str">
        <f t="shared" si="35"/>
        <v>(96;03)</v>
      </c>
      <c r="G134" s="12" t="str">
        <f t="shared" si="35"/>
        <v>(96;04)</v>
      </c>
      <c r="H134" s="12" t="str">
        <f t="shared" si="35"/>
        <v>(96;05)</v>
      </c>
      <c r="I134" s="12" t="str">
        <f t="shared" si="35"/>
        <v>(96;06)</v>
      </c>
      <c r="J134" s="12" t="str">
        <f t="shared" si="35"/>
        <v>(96;07)</v>
      </c>
      <c r="K134" s="12" t="str">
        <f t="shared" si="35"/>
        <v>(96;08)</v>
      </c>
      <c r="L134" s="12" t="str">
        <f t="shared" si="35"/>
        <v>(96;09)</v>
      </c>
      <c r="M134" s="12" t="str">
        <f t="shared" si="35"/>
        <v>(96;10)</v>
      </c>
      <c r="N134" s="12" t="str">
        <f t="shared" si="35"/>
        <v>(96;11)</v>
      </c>
      <c r="O134" s="12" t="str">
        <f t="shared" si="35"/>
        <v>(96;12)</v>
      </c>
      <c r="P134" s="12" t="str">
        <f t="shared" si="35"/>
        <v>(96;13)</v>
      </c>
      <c r="Q134" s="12" t="str">
        <f t="shared" si="35"/>
        <v>(96;14)</v>
      </c>
      <c r="R134" s="12" t="str">
        <f t="shared" si="35"/>
        <v>(96;15)</v>
      </c>
      <c r="S134" s="12" t="str">
        <f t="shared" si="33"/>
        <v>(96;16)</v>
      </c>
      <c r="T134" s="12" t="str">
        <f t="shared" si="33"/>
        <v>(96;17)</v>
      </c>
      <c r="U134" s="12" t="str">
        <f t="shared" si="33"/>
        <v>(96;18)</v>
      </c>
      <c r="V134" s="12" t="str">
        <f t="shared" si="33"/>
        <v>(96;19)</v>
      </c>
      <c r="W134" s="12" t="str">
        <f t="shared" si="33"/>
        <v>(96;20)</v>
      </c>
      <c r="X134" s="12" t="str">
        <f t="shared" si="33"/>
        <v>(96;21)</v>
      </c>
      <c r="Y134" s="12" t="str">
        <f t="shared" si="33"/>
        <v>(96;22)</v>
      </c>
      <c r="Z134" s="12" t="str">
        <f t="shared" si="33"/>
        <v>(96;23)</v>
      </c>
      <c r="AA134" s="12" t="str">
        <f t="shared" si="33"/>
        <v>(96;24)</v>
      </c>
      <c r="AB134" s="12" t="str">
        <f t="shared" si="33"/>
        <v>(96;25)</v>
      </c>
      <c r="AC134" s="12" t="str">
        <f t="shared" si="33"/>
        <v>(96;26)</v>
      </c>
      <c r="AD134" s="12" t="str">
        <f t="shared" si="33"/>
        <v>(96;27)</v>
      </c>
      <c r="AE134" s="12" t="str">
        <f t="shared" si="33"/>
        <v>(96;28)</v>
      </c>
      <c r="AF134" s="12" t="str">
        <f t="shared" si="33"/>
        <v>(96;29)</v>
      </c>
      <c r="AG134" s="12" t="str">
        <f t="shared" si="33"/>
        <v>(96;30)</v>
      </c>
      <c r="AH134" s="12" t="str">
        <f t="shared" si="34"/>
        <v>(96;31)</v>
      </c>
      <c r="AI134" s="12" t="str">
        <f t="shared" si="34"/>
        <v>(96;32)</v>
      </c>
      <c r="AJ134" s="12" t="str">
        <f t="shared" si="34"/>
        <v>(96;33)</v>
      </c>
      <c r="AK134" s="12" t="str">
        <f t="shared" si="34"/>
        <v>(96;34)</v>
      </c>
      <c r="AL134" s="12" t="str">
        <f t="shared" si="34"/>
        <v>(96;35)</v>
      </c>
      <c r="AM134" s="12" t="str">
        <f t="shared" si="34"/>
        <v>(96;36)</v>
      </c>
      <c r="AN134" s="12" t="str">
        <f t="shared" si="34"/>
        <v>(96;37)</v>
      </c>
      <c r="AO134" s="12" t="str">
        <f t="shared" si="34"/>
        <v>(96;38)</v>
      </c>
      <c r="AP134" s="12" t="str">
        <f t="shared" si="34"/>
        <v>(96;39)</v>
      </c>
      <c r="AQ134" s="12" t="str">
        <f t="shared" si="34"/>
        <v>(96;40)</v>
      </c>
      <c r="AR134" s="12" t="str">
        <f t="shared" si="34"/>
        <v>(96;41)</v>
      </c>
      <c r="AS134" s="12" t="str">
        <f t="shared" si="34"/>
        <v>(96;42)</v>
      </c>
      <c r="AT134" s="12" t="str">
        <f t="shared" si="34"/>
        <v>(96;43)</v>
      </c>
      <c r="AU134" s="12" t="str">
        <f t="shared" si="34"/>
        <v>(96;44)</v>
      </c>
      <c r="AV134" s="12" t="str">
        <f t="shared" si="34"/>
        <v>(96;45)</v>
      </c>
      <c r="AW134" s="12" t="str">
        <f t="shared" si="34"/>
        <v>(96;46)</v>
      </c>
      <c r="AX134" s="12" t="str">
        <f t="shared" si="32"/>
        <v>(96;47)</v>
      </c>
      <c r="AY134" s="12" t="str">
        <f t="shared" si="32"/>
        <v>(96;48)</v>
      </c>
      <c r="AZ134" s="12" t="str">
        <f t="shared" si="32"/>
        <v>(96;49)</v>
      </c>
      <c r="BA134" s="12" t="str">
        <f t="shared" si="32"/>
        <v>(96;50)</v>
      </c>
      <c r="BB134" s="12" t="str">
        <f t="shared" si="32"/>
        <v>(96;51)</v>
      </c>
      <c r="BC134" s="12" t="str">
        <f t="shared" si="32"/>
        <v>(96;52)</v>
      </c>
      <c r="BD134" s="12" t="str">
        <f t="shared" si="32"/>
        <v>(96;53)</v>
      </c>
      <c r="BE134" s="12" t="str">
        <f t="shared" si="32"/>
        <v>(96;54)</v>
      </c>
      <c r="BF134" s="12" t="str">
        <f t="shared" si="32"/>
        <v>(96;55)</v>
      </c>
      <c r="BG134" s="12" t="str">
        <f t="shared" si="32"/>
        <v>(96;56)</v>
      </c>
      <c r="BH134" s="12" t="str">
        <f t="shared" si="32"/>
        <v>(96;57)</v>
      </c>
      <c r="BI134" s="12" t="str">
        <f t="shared" si="32"/>
        <v>(96;58)</v>
      </c>
      <c r="BJ134" s="12" t="str">
        <f t="shared" si="32"/>
        <v>(96;59)</v>
      </c>
      <c r="BK134" s="12" t="str">
        <f t="shared" si="32"/>
        <v>(96;60)</v>
      </c>
      <c r="BL134" s="12" t="str">
        <f t="shared" si="32"/>
        <v>(96;61)</v>
      </c>
      <c r="BM134" s="12" t="str">
        <f t="shared" si="18"/>
        <v>(96;62)</v>
      </c>
      <c r="BN134" s="12" t="str">
        <f t="shared" si="18"/>
        <v>(96;63)</v>
      </c>
    </row>
    <row r="135" spans="1:66">
      <c r="A135">
        <f>VLOOKUP(B135,Teste!$A$137:$G$236,7,FALSE)</f>
        <v>0</v>
      </c>
      <c r="B135">
        <f t="shared" si="27"/>
        <v>97</v>
      </c>
      <c r="C135" s="12" t="str">
        <f t="shared" si="35"/>
        <v>(97;00)</v>
      </c>
      <c r="D135" s="12" t="str">
        <f t="shared" si="35"/>
        <v>(97;01)</v>
      </c>
      <c r="E135" s="12" t="str">
        <f t="shared" si="35"/>
        <v>(97;02)</v>
      </c>
      <c r="F135" s="12" t="str">
        <f t="shared" si="35"/>
        <v>(97;03)</v>
      </c>
      <c r="G135" s="12" t="str">
        <f t="shared" si="35"/>
        <v>(97;04)</v>
      </c>
      <c r="H135" s="12" t="str">
        <f t="shared" si="35"/>
        <v>(97;05)</v>
      </c>
      <c r="I135" s="12" t="str">
        <f t="shared" si="35"/>
        <v>(97;06)</v>
      </c>
      <c r="J135" s="12" t="str">
        <f t="shared" si="35"/>
        <v>(97;07)</v>
      </c>
      <c r="K135" s="12" t="str">
        <f t="shared" si="35"/>
        <v>(97;08)</v>
      </c>
      <c r="L135" s="12" t="str">
        <f t="shared" si="35"/>
        <v>(97;09)</v>
      </c>
      <c r="M135" s="12" t="str">
        <f t="shared" si="35"/>
        <v>(97;10)</v>
      </c>
      <c r="N135" s="12" t="str">
        <f t="shared" si="35"/>
        <v>(97;11)</v>
      </c>
      <c r="O135" s="12" t="str">
        <f t="shared" si="35"/>
        <v>(97;12)</v>
      </c>
      <c r="P135" s="12" t="str">
        <f t="shared" si="35"/>
        <v>(97;13)</v>
      </c>
      <c r="Q135" s="12" t="str">
        <f t="shared" si="35"/>
        <v>(97;14)</v>
      </c>
      <c r="R135" s="12" t="str">
        <f t="shared" si="35"/>
        <v>(97;15)</v>
      </c>
      <c r="S135" s="12" t="str">
        <f t="shared" si="33"/>
        <v>(97;16)</v>
      </c>
      <c r="T135" s="12" t="str">
        <f t="shared" si="33"/>
        <v>(97;17)</v>
      </c>
      <c r="U135" s="12" t="str">
        <f t="shared" si="33"/>
        <v>(97;18)</v>
      </c>
      <c r="V135" s="12" t="str">
        <f t="shared" si="33"/>
        <v>(97;19)</v>
      </c>
      <c r="W135" s="12" t="str">
        <f t="shared" si="33"/>
        <v>(97;20)</v>
      </c>
      <c r="X135" s="12" t="str">
        <f t="shared" si="33"/>
        <v>(97;21)</v>
      </c>
      <c r="Y135" s="12" t="str">
        <f t="shared" si="33"/>
        <v>(97;22)</v>
      </c>
      <c r="Z135" s="12" t="str">
        <f t="shared" si="33"/>
        <v>(97;23)</v>
      </c>
      <c r="AA135" s="12" t="str">
        <f t="shared" si="33"/>
        <v>(97;24)</v>
      </c>
      <c r="AB135" s="12" t="str">
        <f t="shared" si="33"/>
        <v>(97;25)</v>
      </c>
      <c r="AC135" s="12" t="str">
        <f t="shared" si="33"/>
        <v>(97;26)</v>
      </c>
      <c r="AD135" s="12" t="str">
        <f t="shared" si="33"/>
        <v>(97;27)</v>
      </c>
      <c r="AE135" s="12" t="str">
        <f t="shared" si="33"/>
        <v>(97;28)</v>
      </c>
      <c r="AF135" s="12" t="str">
        <f t="shared" si="33"/>
        <v>(97;29)</v>
      </c>
      <c r="AG135" s="12" t="str">
        <f t="shared" si="33"/>
        <v>(97;30)</v>
      </c>
      <c r="AH135" s="12" t="str">
        <f t="shared" si="34"/>
        <v>(97;31)</v>
      </c>
      <c r="AI135" s="12" t="str">
        <f t="shared" si="34"/>
        <v>(97;32)</v>
      </c>
      <c r="AJ135" s="12" t="str">
        <f t="shared" si="34"/>
        <v>(97;33)</v>
      </c>
      <c r="AK135" s="12" t="str">
        <f t="shared" si="34"/>
        <v>(97;34)</v>
      </c>
      <c r="AL135" s="12" t="str">
        <f t="shared" si="34"/>
        <v>(97;35)</v>
      </c>
      <c r="AM135" s="12" t="str">
        <f t="shared" si="34"/>
        <v>(97;36)</v>
      </c>
      <c r="AN135" s="12" t="str">
        <f t="shared" si="34"/>
        <v>(97;37)</v>
      </c>
      <c r="AO135" s="12" t="str">
        <f t="shared" si="34"/>
        <v>(97;38)</v>
      </c>
      <c r="AP135" s="12" t="str">
        <f t="shared" si="34"/>
        <v>(97;39)</v>
      </c>
      <c r="AQ135" s="12" t="str">
        <f t="shared" si="34"/>
        <v>(97;40)</v>
      </c>
      <c r="AR135" s="12" t="str">
        <f t="shared" si="34"/>
        <v>(97;41)</v>
      </c>
      <c r="AS135" s="12" t="str">
        <f t="shared" si="34"/>
        <v>(97;42)</v>
      </c>
      <c r="AT135" s="12" t="str">
        <f t="shared" si="34"/>
        <v>(97;43)</v>
      </c>
      <c r="AU135" s="12" t="str">
        <f t="shared" si="34"/>
        <v>(97;44)</v>
      </c>
      <c r="AV135" s="12" t="str">
        <f t="shared" si="34"/>
        <v>(97;45)</v>
      </c>
      <c r="AW135" s="12" t="str">
        <f t="shared" si="34"/>
        <v>(97;46)</v>
      </c>
      <c r="AX135" s="12" t="str">
        <f t="shared" si="32"/>
        <v>(97;47)</v>
      </c>
      <c r="AY135" s="12" t="str">
        <f t="shared" si="32"/>
        <v>(97;48)</v>
      </c>
      <c r="AZ135" s="12" t="str">
        <f t="shared" si="32"/>
        <v>(97;49)</v>
      </c>
      <c r="BA135" s="12" t="str">
        <f t="shared" si="32"/>
        <v>(97;50)</v>
      </c>
      <c r="BB135" s="12" t="str">
        <f t="shared" si="32"/>
        <v>(97;51)</v>
      </c>
      <c r="BC135" s="12" t="str">
        <f t="shared" si="32"/>
        <v>(97;52)</v>
      </c>
      <c r="BD135" s="12" t="str">
        <f t="shared" si="32"/>
        <v>(97;53)</v>
      </c>
      <c r="BE135" s="12" t="str">
        <f t="shared" si="32"/>
        <v>(97;54)</v>
      </c>
      <c r="BF135" s="12" t="str">
        <f t="shared" si="32"/>
        <v>(97;55)</v>
      </c>
      <c r="BG135" s="12" t="str">
        <f t="shared" si="32"/>
        <v>(97;56)</v>
      </c>
      <c r="BH135" s="12" t="str">
        <f t="shared" si="32"/>
        <v>(97;57)</v>
      </c>
      <c r="BI135" s="12" t="str">
        <f t="shared" si="32"/>
        <v>(97;58)</v>
      </c>
      <c r="BJ135" s="12" t="str">
        <f t="shared" si="32"/>
        <v>(97;59)</v>
      </c>
      <c r="BK135" s="12" t="str">
        <f t="shared" si="32"/>
        <v>(97;60)</v>
      </c>
      <c r="BL135" s="12" t="str">
        <f t="shared" si="32"/>
        <v>(97;61)</v>
      </c>
      <c r="BM135" s="12" t="str">
        <f t="shared" si="18"/>
        <v>(97;62)</v>
      </c>
      <c r="BN135" s="12" t="str">
        <f t="shared" si="18"/>
        <v>(97;63)</v>
      </c>
    </row>
    <row r="136" spans="1:66">
      <c r="A136">
        <f>VLOOKUP(B136,Teste!$A$137:$G$236,7,FALSE)</f>
        <v>0</v>
      </c>
      <c r="B136">
        <f t="shared" si="27"/>
        <v>98</v>
      </c>
      <c r="C136" s="12" t="str">
        <f t="shared" si="35"/>
        <v>(98;00)</v>
      </c>
      <c r="D136" s="12" t="str">
        <f t="shared" si="35"/>
        <v>(98;01)</v>
      </c>
      <c r="E136" s="12" t="str">
        <f t="shared" si="35"/>
        <v>(98;02)</v>
      </c>
      <c r="F136" s="12" t="str">
        <f t="shared" si="35"/>
        <v>(98;03)</v>
      </c>
      <c r="G136" s="12" t="str">
        <f t="shared" si="35"/>
        <v>(98;04)</v>
      </c>
      <c r="H136" s="12" t="str">
        <f t="shared" si="35"/>
        <v>(98;05)</v>
      </c>
      <c r="I136" s="12" t="str">
        <f t="shared" si="35"/>
        <v>(98;06)</v>
      </c>
      <c r="J136" s="12" t="str">
        <f t="shared" si="35"/>
        <v>(98;07)</v>
      </c>
      <c r="K136" s="12" t="str">
        <f t="shared" si="35"/>
        <v>(98;08)</v>
      </c>
      <c r="L136" s="12" t="str">
        <f t="shared" si="35"/>
        <v>(98;09)</v>
      </c>
      <c r="M136" s="12" t="str">
        <f t="shared" si="35"/>
        <v>(98;10)</v>
      </c>
      <c r="N136" s="12" t="str">
        <f t="shared" si="35"/>
        <v>(98;11)</v>
      </c>
      <c r="O136" s="12" t="str">
        <f t="shared" si="35"/>
        <v>(98;12)</v>
      </c>
      <c r="P136" s="12" t="str">
        <f t="shared" si="35"/>
        <v>(98;13)</v>
      </c>
      <c r="Q136" s="12" t="str">
        <f t="shared" si="35"/>
        <v>(98;14)</v>
      </c>
      <c r="R136" s="12" t="str">
        <f t="shared" si="35"/>
        <v>(98;15)</v>
      </c>
      <c r="S136" s="12" t="str">
        <f t="shared" si="33"/>
        <v>(98;16)</v>
      </c>
      <c r="T136" s="12" t="str">
        <f t="shared" si="33"/>
        <v>(98;17)</v>
      </c>
      <c r="U136" s="12" t="str">
        <f t="shared" si="33"/>
        <v>(98;18)</v>
      </c>
      <c r="V136" s="12" t="str">
        <f t="shared" si="33"/>
        <v>(98;19)</v>
      </c>
      <c r="W136" s="12" t="str">
        <f t="shared" si="33"/>
        <v>(98;20)</v>
      </c>
      <c r="X136" s="12" t="str">
        <f t="shared" si="33"/>
        <v>(98;21)</v>
      </c>
      <c r="Y136" s="12" t="str">
        <f t="shared" si="33"/>
        <v>(98;22)</v>
      </c>
      <c r="Z136" s="12" t="str">
        <f t="shared" si="33"/>
        <v>(98;23)</v>
      </c>
      <c r="AA136" s="12" t="str">
        <f t="shared" si="33"/>
        <v>(98;24)</v>
      </c>
      <c r="AB136" s="12" t="str">
        <f t="shared" si="33"/>
        <v>(98;25)</v>
      </c>
      <c r="AC136" s="12" t="str">
        <f t="shared" si="33"/>
        <v>(98;26)</v>
      </c>
      <c r="AD136" s="12" t="str">
        <f t="shared" si="33"/>
        <v>(98;27)</v>
      </c>
      <c r="AE136" s="12" t="str">
        <f t="shared" si="33"/>
        <v>(98;28)</v>
      </c>
      <c r="AF136" s="12" t="str">
        <f t="shared" si="33"/>
        <v>(98;29)</v>
      </c>
      <c r="AG136" s="12" t="str">
        <f t="shared" si="33"/>
        <v>(98;30)</v>
      </c>
      <c r="AH136" s="12" t="str">
        <f t="shared" si="34"/>
        <v>(98;31)</v>
      </c>
      <c r="AI136" s="12" t="str">
        <f t="shared" si="34"/>
        <v>(98;32)</v>
      </c>
      <c r="AJ136" s="12" t="str">
        <f t="shared" si="34"/>
        <v>(98;33)</v>
      </c>
      <c r="AK136" s="12" t="str">
        <f t="shared" si="34"/>
        <v>(98;34)</v>
      </c>
      <c r="AL136" s="12" t="str">
        <f t="shared" si="34"/>
        <v>(98;35)</v>
      </c>
      <c r="AM136" s="12" t="str">
        <f t="shared" si="34"/>
        <v>(98;36)</v>
      </c>
      <c r="AN136" s="12" t="str">
        <f t="shared" si="34"/>
        <v>(98;37)</v>
      </c>
      <c r="AO136" s="12" t="str">
        <f t="shared" si="34"/>
        <v>(98;38)</v>
      </c>
      <c r="AP136" s="12" t="str">
        <f t="shared" si="34"/>
        <v>(98;39)</v>
      </c>
      <c r="AQ136" s="12" t="str">
        <f t="shared" si="34"/>
        <v>(98;40)</v>
      </c>
      <c r="AR136" s="12" t="str">
        <f t="shared" si="34"/>
        <v>(98;41)</v>
      </c>
      <c r="AS136" s="12" t="str">
        <f t="shared" si="34"/>
        <v>(98;42)</v>
      </c>
      <c r="AT136" s="12" t="str">
        <f t="shared" si="34"/>
        <v>(98;43)</v>
      </c>
      <c r="AU136" s="12" t="str">
        <f t="shared" si="34"/>
        <v>(98;44)</v>
      </c>
      <c r="AV136" s="12" t="str">
        <f t="shared" si="34"/>
        <v>(98;45)</v>
      </c>
      <c r="AW136" s="12" t="str">
        <f t="shared" si="34"/>
        <v>(98;46)</v>
      </c>
      <c r="AX136" s="12" t="str">
        <f t="shared" si="32"/>
        <v>(98;47)</v>
      </c>
      <c r="AY136" s="12" t="str">
        <f t="shared" si="32"/>
        <v>(98;48)</v>
      </c>
      <c r="AZ136" s="12" t="str">
        <f t="shared" si="32"/>
        <v>(98;49)</v>
      </c>
      <c r="BA136" s="12" t="str">
        <f t="shared" si="32"/>
        <v>(98;50)</v>
      </c>
      <c r="BB136" s="12" t="str">
        <f t="shared" si="32"/>
        <v>(98;51)</v>
      </c>
      <c r="BC136" s="12" t="str">
        <f t="shared" si="32"/>
        <v>(98;52)</v>
      </c>
      <c r="BD136" s="12" t="str">
        <f t="shared" si="32"/>
        <v>(98;53)</v>
      </c>
      <c r="BE136" s="12" t="str">
        <f t="shared" si="32"/>
        <v>(98;54)</v>
      </c>
      <c r="BF136" s="12" t="str">
        <f t="shared" si="32"/>
        <v>(98;55)</v>
      </c>
      <c r="BG136" s="12" t="str">
        <f t="shared" si="32"/>
        <v>(98;56)</v>
      </c>
      <c r="BH136" s="12" t="str">
        <f t="shared" si="32"/>
        <v>(98;57)</v>
      </c>
      <c r="BI136" s="12" t="str">
        <f t="shared" si="32"/>
        <v>(98;58)</v>
      </c>
      <c r="BJ136" s="12" t="str">
        <f t="shared" si="32"/>
        <v>(98;59)</v>
      </c>
      <c r="BK136" s="12" t="str">
        <f t="shared" si="32"/>
        <v>(98;60)</v>
      </c>
      <c r="BL136" s="12" t="str">
        <f t="shared" si="32"/>
        <v>(98;61)</v>
      </c>
      <c r="BM136" s="12" t="str">
        <f t="shared" ref="BM136:BN149" si="36">CONCATENATE("(",TEXT($B136,"00"),";",TEXT(BM$37,"00"),")")</f>
        <v>(98;62)</v>
      </c>
      <c r="BN136" s="12" t="str">
        <f t="shared" si="36"/>
        <v>(98;63)</v>
      </c>
    </row>
    <row r="137" spans="1:66">
      <c r="A137">
        <f>VLOOKUP(B137,Teste!$A$137:$G$236,7,FALSE)</f>
        <v>0</v>
      </c>
      <c r="B137">
        <f t="shared" si="27"/>
        <v>99</v>
      </c>
      <c r="C137" s="12" t="str">
        <f t="shared" si="35"/>
        <v>(99;00)</v>
      </c>
      <c r="D137" s="12" t="str">
        <f t="shared" si="35"/>
        <v>(99;01)</v>
      </c>
      <c r="E137" s="12" t="str">
        <f t="shared" si="35"/>
        <v>(99;02)</v>
      </c>
      <c r="F137" s="12" t="str">
        <f t="shared" si="35"/>
        <v>(99;03)</v>
      </c>
      <c r="G137" s="12" t="str">
        <f t="shared" si="35"/>
        <v>(99;04)</v>
      </c>
      <c r="H137" s="12" t="str">
        <f t="shared" si="35"/>
        <v>(99;05)</v>
      </c>
      <c r="I137" s="12" t="str">
        <f t="shared" si="35"/>
        <v>(99;06)</v>
      </c>
      <c r="J137" s="12" t="str">
        <f t="shared" si="35"/>
        <v>(99;07)</v>
      </c>
      <c r="K137" s="12" t="str">
        <f t="shared" si="35"/>
        <v>(99;08)</v>
      </c>
      <c r="L137" s="12" t="str">
        <f t="shared" si="35"/>
        <v>(99;09)</v>
      </c>
      <c r="M137" s="12" t="str">
        <f t="shared" si="35"/>
        <v>(99;10)</v>
      </c>
      <c r="N137" s="12" t="str">
        <f t="shared" si="35"/>
        <v>(99;11)</v>
      </c>
      <c r="O137" s="12" t="str">
        <f t="shared" si="35"/>
        <v>(99;12)</v>
      </c>
      <c r="P137" s="12" t="str">
        <f t="shared" si="35"/>
        <v>(99;13)</v>
      </c>
      <c r="Q137" s="12" t="str">
        <f t="shared" si="35"/>
        <v>(99;14)</v>
      </c>
      <c r="R137" s="12" t="str">
        <f t="shared" si="35"/>
        <v>(99;15)</v>
      </c>
      <c r="S137" s="12" t="str">
        <f t="shared" si="33"/>
        <v>(99;16)</v>
      </c>
      <c r="T137" s="12" t="str">
        <f t="shared" si="33"/>
        <v>(99;17)</v>
      </c>
      <c r="U137" s="12" t="str">
        <f t="shared" si="33"/>
        <v>(99;18)</v>
      </c>
      <c r="V137" s="12" t="str">
        <f t="shared" si="33"/>
        <v>(99;19)</v>
      </c>
      <c r="W137" s="12" t="str">
        <f t="shared" si="33"/>
        <v>(99;20)</v>
      </c>
      <c r="X137" s="12" t="str">
        <f t="shared" si="33"/>
        <v>(99;21)</v>
      </c>
      <c r="Y137" s="12" t="str">
        <f t="shared" si="33"/>
        <v>(99;22)</v>
      </c>
      <c r="Z137" s="12" t="str">
        <f t="shared" si="33"/>
        <v>(99;23)</v>
      </c>
      <c r="AA137" s="12" t="str">
        <f t="shared" si="33"/>
        <v>(99;24)</v>
      </c>
      <c r="AB137" s="12" t="str">
        <f t="shared" si="33"/>
        <v>(99;25)</v>
      </c>
      <c r="AC137" s="12" t="str">
        <f t="shared" si="33"/>
        <v>(99;26)</v>
      </c>
      <c r="AD137" s="12" t="str">
        <f t="shared" si="33"/>
        <v>(99;27)</v>
      </c>
      <c r="AE137" s="12" t="str">
        <f t="shared" si="33"/>
        <v>(99;28)</v>
      </c>
      <c r="AF137" s="12" t="str">
        <f t="shared" si="33"/>
        <v>(99;29)</v>
      </c>
      <c r="AG137" s="12" t="str">
        <f t="shared" si="33"/>
        <v>(99;30)</v>
      </c>
      <c r="AH137" s="12" t="str">
        <f t="shared" si="34"/>
        <v>(99;31)</v>
      </c>
      <c r="AI137" s="12" t="str">
        <f t="shared" si="34"/>
        <v>(99;32)</v>
      </c>
      <c r="AJ137" s="12" t="str">
        <f t="shared" si="34"/>
        <v>(99;33)</v>
      </c>
      <c r="AK137" s="12" t="str">
        <f t="shared" si="34"/>
        <v>(99;34)</v>
      </c>
      <c r="AL137" s="12" t="str">
        <f t="shared" si="34"/>
        <v>(99;35)</v>
      </c>
      <c r="AM137" s="12" t="str">
        <f t="shared" si="34"/>
        <v>(99;36)</v>
      </c>
      <c r="AN137" s="12" t="str">
        <f t="shared" si="34"/>
        <v>(99;37)</v>
      </c>
      <c r="AO137" s="12" t="str">
        <f t="shared" si="34"/>
        <v>(99;38)</v>
      </c>
      <c r="AP137" s="12" t="str">
        <f t="shared" si="34"/>
        <v>(99;39)</v>
      </c>
      <c r="AQ137" s="12" t="str">
        <f t="shared" si="34"/>
        <v>(99;40)</v>
      </c>
      <c r="AR137" s="12" t="str">
        <f t="shared" si="34"/>
        <v>(99;41)</v>
      </c>
      <c r="AS137" s="12" t="str">
        <f t="shared" si="34"/>
        <v>(99;42)</v>
      </c>
      <c r="AT137" s="12" t="str">
        <f t="shared" si="34"/>
        <v>(99;43)</v>
      </c>
      <c r="AU137" s="12" t="str">
        <f t="shared" si="34"/>
        <v>(99;44)</v>
      </c>
      <c r="AV137" s="12" t="str">
        <f t="shared" si="34"/>
        <v>(99;45)</v>
      </c>
      <c r="AW137" s="12" t="str">
        <f t="shared" ref="AW137:BL149" si="37">CONCATENATE("(",TEXT($B137,"00"),";",TEXT(AW$37,"00"),")")</f>
        <v>(99;46)</v>
      </c>
      <c r="AX137" s="12" t="str">
        <f t="shared" si="37"/>
        <v>(99;47)</v>
      </c>
      <c r="AY137" s="12" t="str">
        <f t="shared" si="37"/>
        <v>(99;48)</v>
      </c>
      <c r="AZ137" s="12" t="str">
        <f t="shared" si="37"/>
        <v>(99;49)</v>
      </c>
      <c r="BA137" s="12" t="str">
        <f t="shared" si="37"/>
        <v>(99;50)</v>
      </c>
      <c r="BB137" s="12" t="str">
        <f t="shared" si="37"/>
        <v>(99;51)</v>
      </c>
      <c r="BC137" s="12" t="str">
        <f t="shared" si="37"/>
        <v>(99;52)</v>
      </c>
      <c r="BD137" s="12" t="str">
        <f t="shared" si="37"/>
        <v>(99;53)</v>
      </c>
      <c r="BE137" s="12" t="str">
        <f t="shared" si="37"/>
        <v>(99;54)</v>
      </c>
      <c r="BF137" s="12" t="str">
        <f t="shared" si="37"/>
        <v>(99;55)</v>
      </c>
      <c r="BG137" s="12" t="str">
        <f t="shared" si="37"/>
        <v>(99;56)</v>
      </c>
      <c r="BH137" s="12" t="str">
        <f t="shared" si="37"/>
        <v>(99;57)</v>
      </c>
      <c r="BI137" s="12" t="str">
        <f t="shared" si="37"/>
        <v>(99;58)</v>
      </c>
      <c r="BJ137" s="12" t="str">
        <f t="shared" si="37"/>
        <v>(99;59)</v>
      </c>
      <c r="BK137" s="12" t="str">
        <f t="shared" si="37"/>
        <v>(99;60)</v>
      </c>
      <c r="BL137" s="12" t="str">
        <f t="shared" si="37"/>
        <v>(99;61)</v>
      </c>
      <c r="BM137" s="12" t="str">
        <f t="shared" si="36"/>
        <v>(99;62)</v>
      </c>
      <c r="BN137" s="12" t="str">
        <f t="shared" si="36"/>
        <v>(99;63)</v>
      </c>
    </row>
    <row r="138" spans="1:66">
      <c r="B138">
        <f t="shared" si="27"/>
        <v>100</v>
      </c>
      <c r="C138" s="12" t="str">
        <f t="shared" si="35"/>
        <v>(100;00)</v>
      </c>
      <c r="D138" s="12" t="str">
        <f t="shared" si="35"/>
        <v>(100;01)</v>
      </c>
      <c r="E138" s="12" t="str">
        <f t="shared" si="35"/>
        <v>(100;02)</v>
      </c>
      <c r="F138" s="12" t="str">
        <f t="shared" si="35"/>
        <v>(100;03)</v>
      </c>
      <c r="G138" s="12" t="str">
        <f t="shared" si="35"/>
        <v>(100;04)</v>
      </c>
      <c r="H138" s="12" t="str">
        <f t="shared" si="35"/>
        <v>(100;05)</v>
      </c>
      <c r="I138" s="12" t="str">
        <f t="shared" si="35"/>
        <v>(100;06)</v>
      </c>
      <c r="J138" s="12" t="str">
        <f t="shared" si="35"/>
        <v>(100;07)</v>
      </c>
      <c r="K138" s="12" t="str">
        <f t="shared" si="35"/>
        <v>(100;08)</v>
      </c>
      <c r="L138" s="12" t="str">
        <f t="shared" si="35"/>
        <v>(100;09)</v>
      </c>
      <c r="M138" s="12" t="str">
        <f t="shared" si="35"/>
        <v>(100;10)</v>
      </c>
      <c r="N138" s="12" t="str">
        <f t="shared" si="35"/>
        <v>(100;11)</v>
      </c>
      <c r="O138" s="12" t="str">
        <f t="shared" si="35"/>
        <v>(100;12)</v>
      </c>
      <c r="P138" s="12" t="str">
        <f t="shared" si="35"/>
        <v>(100;13)</v>
      </c>
      <c r="Q138" s="12" t="str">
        <f t="shared" si="35"/>
        <v>(100;14)</v>
      </c>
      <c r="R138" s="12" t="str">
        <f t="shared" ref="R138:AG149" si="38">CONCATENATE("(",TEXT($B138,"00"),";",TEXT(R$37,"00"),")")</f>
        <v>(100;15)</v>
      </c>
      <c r="S138" s="12" t="str">
        <f t="shared" si="38"/>
        <v>(100;16)</v>
      </c>
      <c r="T138" s="12" t="str">
        <f t="shared" si="38"/>
        <v>(100;17)</v>
      </c>
      <c r="U138" s="12" t="str">
        <f t="shared" si="38"/>
        <v>(100;18)</v>
      </c>
      <c r="V138" s="12" t="str">
        <f t="shared" si="38"/>
        <v>(100;19)</v>
      </c>
      <c r="W138" s="12" t="str">
        <f t="shared" si="38"/>
        <v>(100;20)</v>
      </c>
      <c r="X138" s="12" t="str">
        <f t="shared" si="38"/>
        <v>(100;21)</v>
      </c>
      <c r="Y138" s="12" t="str">
        <f t="shared" si="38"/>
        <v>(100;22)</v>
      </c>
      <c r="Z138" s="12" t="str">
        <f t="shared" si="38"/>
        <v>(100;23)</v>
      </c>
      <c r="AA138" s="12" t="str">
        <f t="shared" si="38"/>
        <v>(100;24)</v>
      </c>
      <c r="AB138" s="12" t="str">
        <f t="shared" si="38"/>
        <v>(100;25)</v>
      </c>
      <c r="AC138" s="12" t="str">
        <f t="shared" si="38"/>
        <v>(100;26)</v>
      </c>
      <c r="AD138" s="12" t="str">
        <f t="shared" si="38"/>
        <v>(100;27)</v>
      </c>
      <c r="AE138" s="12" t="str">
        <f t="shared" si="38"/>
        <v>(100;28)</v>
      </c>
      <c r="AF138" s="12" t="str">
        <f t="shared" si="38"/>
        <v>(100;29)</v>
      </c>
      <c r="AG138" s="12" t="str">
        <f t="shared" si="38"/>
        <v>(100;30)</v>
      </c>
      <c r="AH138" s="12" t="str">
        <f t="shared" ref="AH138:AW149" si="39">CONCATENATE("(",TEXT($B138,"00"),";",TEXT(AH$37,"00"),")")</f>
        <v>(100;31)</v>
      </c>
      <c r="AI138" s="12" t="str">
        <f t="shared" si="39"/>
        <v>(100;32)</v>
      </c>
      <c r="AJ138" s="12" t="str">
        <f t="shared" si="39"/>
        <v>(100;33)</v>
      </c>
      <c r="AK138" s="12" t="str">
        <f t="shared" si="39"/>
        <v>(100;34)</v>
      </c>
      <c r="AL138" s="12" t="str">
        <f t="shared" si="39"/>
        <v>(100;35)</v>
      </c>
      <c r="AM138" s="12" t="str">
        <f t="shared" si="39"/>
        <v>(100;36)</v>
      </c>
      <c r="AN138" s="12" t="str">
        <f t="shared" si="39"/>
        <v>(100;37)</v>
      </c>
      <c r="AO138" s="12" t="str">
        <f t="shared" si="39"/>
        <v>(100;38)</v>
      </c>
      <c r="AP138" s="12" t="str">
        <f t="shared" si="39"/>
        <v>(100;39)</v>
      </c>
      <c r="AQ138" s="12" t="str">
        <f t="shared" si="39"/>
        <v>(100;40)</v>
      </c>
      <c r="AR138" s="12" t="str">
        <f t="shared" si="39"/>
        <v>(100;41)</v>
      </c>
      <c r="AS138" s="12" t="str">
        <f t="shared" si="39"/>
        <v>(100;42)</v>
      </c>
      <c r="AT138" s="12" t="str">
        <f t="shared" si="39"/>
        <v>(100;43)</v>
      </c>
      <c r="AU138" s="12" t="str">
        <f t="shared" si="39"/>
        <v>(100;44)</v>
      </c>
      <c r="AV138" s="12" t="str">
        <f t="shared" si="39"/>
        <v>(100;45)</v>
      </c>
      <c r="AW138" s="12" t="str">
        <f t="shared" si="39"/>
        <v>(100;46)</v>
      </c>
      <c r="AX138" s="12" t="str">
        <f t="shared" si="37"/>
        <v>(100;47)</v>
      </c>
      <c r="AY138" s="12" t="str">
        <f t="shared" si="37"/>
        <v>(100;48)</v>
      </c>
      <c r="AZ138" s="12" t="str">
        <f t="shared" si="37"/>
        <v>(100;49)</v>
      </c>
      <c r="BA138" s="12" t="str">
        <f t="shared" si="37"/>
        <v>(100;50)</v>
      </c>
      <c r="BB138" s="12" t="str">
        <f t="shared" si="37"/>
        <v>(100;51)</v>
      </c>
      <c r="BC138" s="12" t="str">
        <f t="shared" si="37"/>
        <v>(100;52)</v>
      </c>
      <c r="BD138" s="12" t="str">
        <f t="shared" si="37"/>
        <v>(100;53)</v>
      </c>
      <c r="BE138" s="12" t="str">
        <f t="shared" si="37"/>
        <v>(100;54)</v>
      </c>
      <c r="BF138" s="12" t="str">
        <f t="shared" si="37"/>
        <v>(100;55)</v>
      </c>
      <c r="BG138" s="12" t="str">
        <f t="shared" si="37"/>
        <v>(100;56)</v>
      </c>
      <c r="BH138" s="12" t="str">
        <f t="shared" si="37"/>
        <v>(100;57)</v>
      </c>
      <c r="BI138" s="12" t="str">
        <f t="shared" si="37"/>
        <v>(100;58)</v>
      </c>
      <c r="BJ138" s="12" t="str">
        <f t="shared" si="37"/>
        <v>(100;59)</v>
      </c>
      <c r="BK138" s="12" t="str">
        <f t="shared" si="37"/>
        <v>(100;60)</v>
      </c>
      <c r="BL138" s="12" t="str">
        <f t="shared" si="37"/>
        <v>(100;61)</v>
      </c>
      <c r="BM138" s="12" t="str">
        <f t="shared" si="36"/>
        <v>(100;62)</v>
      </c>
      <c r="BN138" s="12" t="str">
        <f t="shared" si="36"/>
        <v>(100;63)</v>
      </c>
    </row>
    <row r="139" spans="1:66">
      <c r="B139">
        <f t="shared" si="27"/>
        <v>101</v>
      </c>
      <c r="C139" s="12" t="str">
        <f t="shared" ref="C139:R149" si="40">CONCATENATE("(",TEXT($B139,"00"),";",TEXT(C$37,"00"),")")</f>
        <v>(101;00)</v>
      </c>
      <c r="D139" s="12" t="str">
        <f t="shared" si="40"/>
        <v>(101;01)</v>
      </c>
      <c r="E139" s="12" t="str">
        <f t="shared" si="40"/>
        <v>(101;02)</v>
      </c>
      <c r="F139" s="12" t="str">
        <f t="shared" si="40"/>
        <v>(101;03)</v>
      </c>
      <c r="G139" s="12" t="str">
        <f t="shared" si="40"/>
        <v>(101;04)</v>
      </c>
      <c r="H139" s="12" t="str">
        <f t="shared" si="40"/>
        <v>(101;05)</v>
      </c>
      <c r="I139" s="12" t="str">
        <f t="shared" si="40"/>
        <v>(101;06)</v>
      </c>
      <c r="J139" s="12" t="str">
        <f t="shared" si="40"/>
        <v>(101;07)</v>
      </c>
      <c r="K139" s="12" t="str">
        <f t="shared" si="40"/>
        <v>(101;08)</v>
      </c>
      <c r="L139" s="12" t="str">
        <f t="shared" si="40"/>
        <v>(101;09)</v>
      </c>
      <c r="M139" s="12" t="str">
        <f t="shared" si="40"/>
        <v>(101;10)</v>
      </c>
      <c r="N139" s="12" t="str">
        <f t="shared" si="40"/>
        <v>(101;11)</v>
      </c>
      <c r="O139" s="12" t="str">
        <f t="shared" si="40"/>
        <v>(101;12)</v>
      </c>
      <c r="P139" s="12" t="str">
        <f t="shared" si="40"/>
        <v>(101;13)</v>
      </c>
      <c r="Q139" s="12" t="str">
        <f t="shared" si="40"/>
        <v>(101;14)</v>
      </c>
      <c r="R139" s="12" t="str">
        <f t="shared" si="40"/>
        <v>(101;15)</v>
      </c>
      <c r="S139" s="12" t="str">
        <f t="shared" si="38"/>
        <v>(101;16)</v>
      </c>
      <c r="T139" s="12" t="str">
        <f t="shared" si="38"/>
        <v>(101;17)</v>
      </c>
      <c r="U139" s="12" t="str">
        <f t="shared" si="38"/>
        <v>(101;18)</v>
      </c>
      <c r="V139" s="12" t="str">
        <f t="shared" si="38"/>
        <v>(101;19)</v>
      </c>
      <c r="W139" s="12" t="str">
        <f t="shared" si="38"/>
        <v>(101;20)</v>
      </c>
      <c r="X139" s="12" t="str">
        <f t="shared" si="38"/>
        <v>(101;21)</v>
      </c>
      <c r="Y139" s="12" t="str">
        <f t="shared" si="38"/>
        <v>(101;22)</v>
      </c>
      <c r="Z139" s="12" t="str">
        <f t="shared" si="38"/>
        <v>(101;23)</v>
      </c>
      <c r="AA139" s="12" t="str">
        <f t="shared" si="38"/>
        <v>(101;24)</v>
      </c>
      <c r="AB139" s="12" t="str">
        <f t="shared" si="38"/>
        <v>(101;25)</v>
      </c>
      <c r="AC139" s="12" t="str">
        <f t="shared" si="38"/>
        <v>(101;26)</v>
      </c>
      <c r="AD139" s="12" t="str">
        <f t="shared" si="38"/>
        <v>(101;27)</v>
      </c>
      <c r="AE139" s="12" t="str">
        <f t="shared" si="38"/>
        <v>(101;28)</v>
      </c>
      <c r="AF139" s="12" t="str">
        <f t="shared" si="38"/>
        <v>(101;29)</v>
      </c>
      <c r="AG139" s="12" t="str">
        <f t="shared" si="38"/>
        <v>(101;30)</v>
      </c>
      <c r="AH139" s="12" t="str">
        <f t="shared" si="39"/>
        <v>(101;31)</v>
      </c>
      <c r="AI139" s="12" t="str">
        <f t="shared" si="39"/>
        <v>(101;32)</v>
      </c>
      <c r="AJ139" s="12" t="str">
        <f t="shared" si="39"/>
        <v>(101;33)</v>
      </c>
      <c r="AK139" s="12" t="str">
        <f t="shared" si="39"/>
        <v>(101;34)</v>
      </c>
      <c r="AL139" s="12" t="str">
        <f t="shared" si="39"/>
        <v>(101;35)</v>
      </c>
      <c r="AM139" s="12" t="str">
        <f t="shared" si="39"/>
        <v>(101;36)</v>
      </c>
      <c r="AN139" s="12" t="str">
        <f t="shared" si="39"/>
        <v>(101;37)</v>
      </c>
      <c r="AO139" s="12" t="str">
        <f t="shared" si="39"/>
        <v>(101;38)</v>
      </c>
      <c r="AP139" s="12" t="str">
        <f t="shared" si="39"/>
        <v>(101;39)</v>
      </c>
      <c r="AQ139" s="12" t="str">
        <f t="shared" si="39"/>
        <v>(101;40)</v>
      </c>
      <c r="AR139" s="12" t="str">
        <f t="shared" si="39"/>
        <v>(101;41)</v>
      </c>
      <c r="AS139" s="12" t="str">
        <f t="shared" si="39"/>
        <v>(101;42)</v>
      </c>
      <c r="AT139" s="12" t="str">
        <f t="shared" si="39"/>
        <v>(101;43)</v>
      </c>
      <c r="AU139" s="12" t="str">
        <f t="shared" si="39"/>
        <v>(101;44)</v>
      </c>
      <c r="AV139" s="12" t="str">
        <f t="shared" si="39"/>
        <v>(101;45)</v>
      </c>
      <c r="AW139" s="12" t="str">
        <f t="shared" si="39"/>
        <v>(101;46)</v>
      </c>
      <c r="AX139" s="12" t="str">
        <f t="shared" si="37"/>
        <v>(101;47)</v>
      </c>
      <c r="AY139" s="12" t="str">
        <f t="shared" si="37"/>
        <v>(101;48)</v>
      </c>
      <c r="AZ139" s="12" t="str">
        <f t="shared" si="37"/>
        <v>(101;49)</v>
      </c>
      <c r="BA139" s="12" t="str">
        <f t="shared" si="37"/>
        <v>(101;50)</v>
      </c>
      <c r="BB139" s="12" t="str">
        <f t="shared" si="37"/>
        <v>(101;51)</v>
      </c>
      <c r="BC139" s="12" t="str">
        <f t="shared" si="37"/>
        <v>(101;52)</v>
      </c>
      <c r="BD139" s="12" t="str">
        <f t="shared" si="37"/>
        <v>(101;53)</v>
      </c>
      <c r="BE139" s="12" t="str">
        <f t="shared" si="37"/>
        <v>(101;54)</v>
      </c>
      <c r="BF139" s="12" t="str">
        <f t="shared" si="37"/>
        <v>(101;55)</v>
      </c>
      <c r="BG139" s="12" t="str">
        <f t="shared" si="37"/>
        <v>(101;56)</v>
      </c>
      <c r="BH139" s="12" t="str">
        <f t="shared" si="37"/>
        <v>(101;57)</v>
      </c>
      <c r="BI139" s="12" t="str">
        <f t="shared" si="37"/>
        <v>(101;58)</v>
      </c>
      <c r="BJ139" s="12" t="str">
        <f t="shared" si="37"/>
        <v>(101;59)</v>
      </c>
      <c r="BK139" s="12" t="str">
        <f t="shared" si="37"/>
        <v>(101;60)</v>
      </c>
      <c r="BL139" s="12" t="str">
        <f t="shared" si="37"/>
        <v>(101;61)</v>
      </c>
      <c r="BM139" s="12" t="str">
        <f t="shared" si="36"/>
        <v>(101;62)</v>
      </c>
      <c r="BN139" s="12" t="str">
        <f t="shared" si="36"/>
        <v>(101;63)</v>
      </c>
    </row>
    <row r="140" spans="1:66">
      <c r="B140">
        <f t="shared" si="27"/>
        <v>102</v>
      </c>
      <c r="C140" s="12" t="str">
        <f t="shared" si="40"/>
        <v>(102;00)</v>
      </c>
      <c r="D140" s="12" t="str">
        <f t="shared" si="40"/>
        <v>(102;01)</v>
      </c>
      <c r="E140" s="12" t="str">
        <f t="shared" si="40"/>
        <v>(102;02)</v>
      </c>
      <c r="F140" s="12" t="str">
        <f t="shared" si="40"/>
        <v>(102;03)</v>
      </c>
      <c r="G140" s="12" t="str">
        <f t="shared" si="40"/>
        <v>(102;04)</v>
      </c>
      <c r="H140" s="12" t="str">
        <f t="shared" si="40"/>
        <v>(102;05)</v>
      </c>
      <c r="I140" s="12" t="str">
        <f t="shared" si="40"/>
        <v>(102;06)</v>
      </c>
      <c r="J140" s="12" t="str">
        <f t="shared" si="40"/>
        <v>(102;07)</v>
      </c>
      <c r="K140" s="12" t="str">
        <f t="shared" si="40"/>
        <v>(102;08)</v>
      </c>
      <c r="L140" s="12" t="str">
        <f t="shared" si="40"/>
        <v>(102;09)</v>
      </c>
      <c r="M140" s="12" t="str">
        <f t="shared" si="40"/>
        <v>(102;10)</v>
      </c>
      <c r="N140" s="12" t="str">
        <f t="shared" si="40"/>
        <v>(102;11)</v>
      </c>
      <c r="O140" s="12" t="str">
        <f t="shared" si="40"/>
        <v>(102;12)</v>
      </c>
      <c r="P140" s="12" t="str">
        <f t="shared" si="40"/>
        <v>(102;13)</v>
      </c>
      <c r="Q140" s="12" t="str">
        <f t="shared" si="40"/>
        <v>(102;14)</v>
      </c>
      <c r="R140" s="12" t="str">
        <f t="shared" si="40"/>
        <v>(102;15)</v>
      </c>
      <c r="S140" s="12" t="str">
        <f t="shared" si="38"/>
        <v>(102;16)</v>
      </c>
      <c r="T140" s="12" t="str">
        <f t="shared" si="38"/>
        <v>(102;17)</v>
      </c>
      <c r="U140" s="12" t="str">
        <f t="shared" si="38"/>
        <v>(102;18)</v>
      </c>
      <c r="V140" s="12" t="str">
        <f t="shared" si="38"/>
        <v>(102;19)</v>
      </c>
      <c r="W140" s="12" t="str">
        <f t="shared" si="38"/>
        <v>(102;20)</v>
      </c>
      <c r="X140" s="12" t="str">
        <f t="shared" si="38"/>
        <v>(102;21)</v>
      </c>
      <c r="Y140" s="12" t="str">
        <f t="shared" si="38"/>
        <v>(102;22)</v>
      </c>
      <c r="Z140" s="12" t="str">
        <f t="shared" si="38"/>
        <v>(102;23)</v>
      </c>
      <c r="AA140" s="12" t="str">
        <f t="shared" si="38"/>
        <v>(102;24)</v>
      </c>
      <c r="AB140" s="12" t="str">
        <f t="shared" si="38"/>
        <v>(102;25)</v>
      </c>
      <c r="AC140" s="12" t="str">
        <f t="shared" si="38"/>
        <v>(102;26)</v>
      </c>
      <c r="AD140" s="12" t="str">
        <f t="shared" si="38"/>
        <v>(102;27)</v>
      </c>
      <c r="AE140" s="12" t="str">
        <f t="shared" si="38"/>
        <v>(102;28)</v>
      </c>
      <c r="AF140" s="12" t="str">
        <f t="shared" si="38"/>
        <v>(102;29)</v>
      </c>
      <c r="AG140" s="12" t="str">
        <f t="shared" si="38"/>
        <v>(102;30)</v>
      </c>
      <c r="AH140" s="12" t="str">
        <f t="shared" si="39"/>
        <v>(102;31)</v>
      </c>
      <c r="AI140" s="12" t="str">
        <f t="shared" si="39"/>
        <v>(102;32)</v>
      </c>
      <c r="AJ140" s="12" t="str">
        <f t="shared" si="39"/>
        <v>(102;33)</v>
      </c>
      <c r="AK140" s="12" t="str">
        <f t="shared" si="39"/>
        <v>(102;34)</v>
      </c>
      <c r="AL140" s="12" t="str">
        <f t="shared" si="39"/>
        <v>(102;35)</v>
      </c>
      <c r="AM140" s="12" t="str">
        <f t="shared" si="39"/>
        <v>(102;36)</v>
      </c>
      <c r="AN140" s="12" t="str">
        <f t="shared" si="39"/>
        <v>(102;37)</v>
      </c>
      <c r="AO140" s="12" t="str">
        <f t="shared" si="39"/>
        <v>(102;38)</v>
      </c>
      <c r="AP140" s="12" t="str">
        <f t="shared" si="39"/>
        <v>(102;39)</v>
      </c>
      <c r="AQ140" s="12" t="str">
        <f t="shared" si="39"/>
        <v>(102;40)</v>
      </c>
      <c r="AR140" s="12" t="str">
        <f t="shared" si="39"/>
        <v>(102;41)</v>
      </c>
      <c r="AS140" s="12" t="str">
        <f t="shared" si="39"/>
        <v>(102;42)</v>
      </c>
      <c r="AT140" s="12" t="str">
        <f t="shared" si="39"/>
        <v>(102;43)</v>
      </c>
      <c r="AU140" s="12" t="str">
        <f t="shared" si="39"/>
        <v>(102;44)</v>
      </c>
      <c r="AV140" s="12" t="str">
        <f t="shared" si="39"/>
        <v>(102;45)</v>
      </c>
      <c r="AW140" s="12" t="str">
        <f t="shared" si="39"/>
        <v>(102;46)</v>
      </c>
      <c r="AX140" s="12" t="str">
        <f t="shared" si="37"/>
        <v>(102;47)</v>
      </c>
      <c r="AY140" s="12" t="str">
        <f t="shared" si="37"/>
        <v>(102;48)</v>
      </c>
      <c r="AZ140" s="12" t="str">
        <f t="shared" si="37"/>
        <v>(102;49)</v>
      </c>
      <c r="BA140" s="12" t="str">
        <f t="shared" si="37"/>
        <v>(102;50)</v>
      </c>
      <c r="BB140" s="12" t="str">
        <f t="shared" si="37"/>
        <v>(102;51)</v>
      </c>
      <c r="BC140" s="12" t="str">
        <f t="shared" si="37"/>
        <v>(102;52)</v>
      </c>
      <c r="BD140" s="12" t="str">
        <f t="shared" si="37"/>
        <v>(102;53)</v>
      </c>
      <c r="BE140" s="12" t="str">
        <f t="shared" si="37"/>
        <v>(102;54)</v>
      </c>
      <c r="BF140" s="12" t="str">
        <f t="shared" si="37"/>
        <v>(102;55)</v>
      </c>
      <c r="BG140" s="12" t="str">
        <f t="shared" si="37"/>
        <v>(102;56)</v>
      </c>
      <c r="BH140" s="12" t="str">
        <f t="shared" si="37"/>
        <v>(102;57)</v>
      </c>
      <c r="BI140" s="12" t="str">
        <f t="shared" si="37"/>
        <v>(102;58)</v>
      </c>
      <c r="BJ140" s="12" t="str">
        <f t="shared" si="37"/>
        <v>(102;59)</v>
      </c>
      <c r="BK140" s="12" t="str">
        <f t="shared" si="37"/>
        <v>(102;60)</v>
      </c>
      <c r="BL140" s="12" t="str">
        <f t="shared" si="37"/>
        <v>(102;61)</v>
      </c>
      <c r="BM140" s="12" t="str">
        <f t="shared" si="36"/>
        <v>(102;62)</v>
      </c>
      <c r="BN140" s="12" t="str">
        <f t="shared" si="36"/>
        <v>(102;63)</v>
      </c>
    </row>
    <row r="141" spans="1:66">
      <c r="B141">
        <f t="shared" si="27"/>
        <v>103</v>
      </c>
      <c r="C141" s="12" t="str">
        <f t="shared" si="40"/>
        <v>(103;00)</v>
      </c>
      <c r="D141" s="12" t="str">
        <f t="shared" si="40"/>
        <v>(103;01)</v>
      </c>
      <c r="E141" s="12" t="str">
        <f t="shared" si="40"/>
        <v>(103;02)</v>
      </c>
      <c r="F141" s="12" t="str">
        <f t="shared" si="40"/>
        <v>(103;03)</v>
      </c>
      <c r="G141" s="12" t="str">
        <f t="shared" si="40"/>
        <v>(103;04)</v>
      </c>
      <c r="H141" s="12" t="str">
        <f t="shared" si="40"/>
        <v>(103;05)</v>
      </c>
      <c r="I141" s="12" t="str">
        <f t="shared" si="40"/>
        <v>(103;06)</v>
      </c>
      <c r="J141" s="12" t="str">
        <f t="shared" si="40"/>
        <v>(103;07)</v>
      </c>
      <c r="K141" s="12" t="str">
        <f t="shared" si="40"/>
        <v>(103;08)</v>
      </c>
      <c r="L141" s="12" t="str">
        <f t="shared" si="40"/>
        <v>(103;09)</v>
      </c>
      <c r="M141" s="12" t="str">
        <f t="shared" si="40"/>
        <v>(103;10)</v>
      </c>
      <c r="N141" s="12" t="str">
        <f t="shared" si="40"/>
        <v>(103;11)</v>
      </c>
      <c r="O141" s="12" t="str">
        <f t="shared" si="40"/>
        <v>(103;12)</v>
      </c>
      <c r="P141" s="12" t="str">
        <f t="shared" si="40"/>
        <v>(103;13)</v>
      </c>
      <c r="Q141" s="12" t="str">
        <f t="shared" si="40"/>
        <v>(103;14)</v>
      </c>
      <c r="R141" s="12" t="str">
        <f t="shared" si="40"/>
        <v>(103;15)</v>
      </c>
      <c r="S141" s="12" t="str">
        <f t="shared" si="38"/>
        <v>(103;16)</v>
      </c>
      <c r="T141" s="12" t="str">
        <f t="shared" si="38"/>
        <v>(103;17)</v>
      </c>
      <c r="U141" s="12" t="str">
        <f t="shared" si="38"/>
        <v>(103;18)</v>
      </c>
      <c r="V141" s="12" t="str">
        <f t="shared" si="38"/>
        <v>(103;19)</v>
      </c>
      <c r="W141" s="12" t="str">
        <f t="shared" si="38"/>
        <v>(103;20)</v>
      </c>
      <c r="X141" s="12" t="str">
        <f t="shared" si="38"/>
        <v>(103;21)</v>
      </c>
      <c r="Y141" s="12" t="str">
        <f t="shared" si="38"/>
        <v>(103;22)</v>
      </c>
      <c r="Z141" s="12" t="str">
        <f t="shared" si="38"/>
        <v>(103;23)</v>
      </c>
      <c r="AA141" s="12" t="str">
        <f t="shared" si="38"/>
        <v>(103;24)</v>
      </c>
      <c r="AB141" s="12" t="str">
        <f t="shared" si="38"/>
        <v>(103;25)</v>
      </c>
      <c r="AC141" s="12" t="str">
        <f t="shared" si="38"/>
        <v>(103;26)</v>
      </c>
      <c r="AD141" s="12" t="str">
        <f t="shared" si="38"/>
        <v>(103;27)</v>
      </c>
      <c r="AE141" s="12" t="str">
        <f t="shared" si="38"/>
        <v>(103;28)</v>
      </c>
      <c r="AF141" s="12" t="str">
        <f t="shared" si="38"/>
        <v>(103;29)</v>
      </c>
      <c r="AG141" s="12" t="str">
        <f t="shared" si="38"/>
        <v>(103;30)</v>
      </c>
      <c r="AH141" s="12" t="str">
        <f t="shared" si="39"/>
        <v>(103;31)</v>
      </c>
      <c r="AI141" s="12" t="str">
        <f t="shared" si="39"/>
        <v>(103;32)</v>
      </c>
      <c r="AJ141" s="12" t="str">
        <f t="shared" si="39"/>
        <v>(103;33)</v>
      </c>
      <c r="AK141" s="12" t="str">
        <f t="shared" si="39"/>
        <v>(103;34)</v>
      </c>
      <c r="AL141" s="12" t="str">
        <f t="shared" si="39"/>
        <v>(103;35)</v>
      </c>
      <c r="AM141" s="12" t="str">
        <f t="shared" si="39"/>
        <v>(103;36)</v>
      </c>
      <c r="AN141" s="12" t="str">
        <f t="shared" si="39"/>
        <v>(103;37)</v>
      </c>
      <c r="AO141" s="12" t="str">
        <f t="shared" si="39"/>
        <v>(103;38)</v>
      </c>
      <c r="AP141" s="12" t="str">
        <f t="shared" si="39"/>
        <v>(103;39)</v>
      </c>
      <c r="AQ141" s="12" t="str">
        <f t="shared" si="39"/>
        <v>(103;40)</v>
      </c>
      <c r="AR141" s="12" t="str">
        <f t="shared" si="39"/>
        <v>(103;41)</v>
      </c>
      <c r="AS141" s="12" t="str">
        <f t="shared" si="39"/>
        <v>(103;42)</v>
      </c>
      <c r="AT141" s="12" t="str">
        <f t="shared" si="39"/>
        <v>(103;43)</v>
      </c>
      <c r="AU141" s="12" t="str">
        <f t="shared" si="39"/>
        <v>(103;44)</v>
      </c>
      <c r="AV141" s="12" t="str">
        <f t="shared" si="39"/>
        <v>(103;45)</v>
      </c>
      <c r="AW141" s="12" t="str">
        <f t="shared" si="39"/>
        <v>(103;46)</v>
      </c>
      <c r="AX141" s="12" t="str">
        <f t="shared" si="37"/>
        <v>(103;47)</v>
      </c>
      <c r="AY141" s="12" t="str">
        <f t="shared" si="37"/>
        <v>(103;48)</v>
      </c>
      <c r="AZ141" s="12" t="str">
        <f t="shared" si="37"/>
        <v>(103;49)</v>
      </c>
      <c r="BA141" s="12" t="str">
        <f t="shared" si="37"/>
        <v>(103;50)</v>
      </c>
      <c r="BB141" s="12" t="str">
        <f t="shared" si="37"/>
        <v>(103;51)</v>
      </c>
      <c r="BC141" s="12" t="str">
        <f t="shared" si="37"/>
        <v>(103;52)</v>
      </c>
      <c r="BD141" s="12" t="str">
        <f t="shared" si="37"/>
        <v>(103;53)</v>
      </c>
      <c r="BE141" s="12" t="str">
        <f t="shared" si="37"/>
        <v>(103;54)</v>
      </c>
      <c r="BF141" s="12" t="str">
        <f t="shared" si="37"/>
        <v>(103;55)</v>
      </c>
      <c r="BG141" s="12" t="str">
        <f t="shared" si="37"/>
        <v>(103;56)</v>
      </c>
      <c r="BH141" s="12" t="str">
        <f t="shared" si="37"/>
        <v>(103;57)</v>
      </c>
      <c r="BI141" s="12" t="str">
        <f t="shared" si="37"/>
        <v>(103;58)</v>
      </c>
      <c r="BJ141" s="12" t="str">
        <f t="shared" si="37"/>
        <v>(103;59)</v>
      </c>
      <c r="BK141" s="12" t="str">
        <f t="shared" si="37"/>
        <v>(103;60)</v>
      </c>
      <c r="BL141" s="12" t="str">
        <f t="shared" si="37"/>
        <v>(103;61)</v>
      </c>
      <c r="BM141" s="12" t="str">
        <f t="shared" si="36"/>
        <v>(103;62)</v>
      </c>
      <c r="BN141" s="12" t="str">
        <f t="shared" si="36"/>
        <v>(103;63)</v>
      </c>
    </row>
    <row r="142" spans="1:66">
      <c r="B142">
        <f t="shared" si="27"/>
        <v>104</v>
      </c>
      <c r="C142" s="12" t="str">
        <f t="shared" si="40"/>
        <v>(104;00)</v>
      </c>
      <c r="D142" s="12" t="str">
        <f t="shared" si="40"/>
        <v>(104;01)</v>
      </c>
      <c r="E142" s="12" t="str">
        <f t="shared" si="40"/>
        <v>(104;02)</v>
      </c>
      <c r="F142" s="12" t="str">
        <f t="shared" si="40"/>
        <v>(104;03)</v>
      </c>
      <c r="G142" s="12" t="str">
        <f t="shared" si="40"/>
        <v>(104;04)</v>
      </c>
      <c r="H142" s="12" t="str">
        <f t="shared" si="40"/>
        <v>(104;05)</v>
      </c>
      <c r="I142" s="12" t="str">
        <f t="shared" si="40"/>
        <v>(104;06)</v>
      </c>
      <c r="J142" s="12" t="str">
        <f t="shared" si="40"/>
        <v>(104;07)</v>
      </c>
      <c r="K142" s="12" t="str">
        <f t="shared" si="40"/>
        <v>(104;08)</v>
      </c>
      <c r="L142" s="12" t="str">
        <f t="shared" si="40"/>
        <v>(104;09)</v>
      </c>
      <c r="M142" s="12" t="str">
        <f t="shared" si="40"/>
        <v>(104;10)</v>
      </c>
      <c r="N142" s="12" t="str">
        <f t="shared" si="40"/>
        <v>(104;11)</v>
      </c>
      <c r="O142" s="12" t="str">
        <f t="shared" si="40"/>
        <v>(104;12)</v>
      </c>
      <c r="P142" s="12" t="str">
        <f t="shared" si="40"/>
        <v>(104;13)</v>
      </c>
      <c r="Q142" s="12" t="str">
        <f t="shared" si="40"/>
        <v>(104;14)</v>
      </c>
      <c r="R142" s="12" t="str">
        <f t="shared" si="40"/>
        <v>(104;15)</v>
      </c>
      <c r="S142" s="12" t="str">
        <f t="shared" si="38"/>
        <v>(104;16)</v>
      </c>
      <c r="T142" s="12" t="str">
        <f t="shared" si="38"/>
        <v>(104;17)</v>
      </c>
      <c r="U142" s="12" t="str">
        <f t="shared" si="38"/>
        <v>(104;18)</v>
      </c>
      <c r="V142" s="12" t="str">
        <f t="shared" si="38"/>
        <v>(104;19)</v>
      </c>
      <c r="W142" s="12" t="str">
        <f t="shared" si="38"/>
        <v>(104;20)</v>
      </c>
      <c r="X142" s="12" t="str">
        <f t="shared" si="38"/>
        <v>(104;21)</v>
      </c>
      <c r="Y142" s="12" t="str">
        <f t="shared" si="38"/>
        <v>(104;22)</v>
      </c>
      <c r="Z142" s="12" t="str">
        <f t="shared" si="38"/>
        <v>(104;23)</v>
      </c>
      <c r="AA142" s="12" t="str">
        <f t="shared" si="38"/>
        <v>(104;24)</v>
      </c>
      <c r="AB142" s="12" t="str">
        <f t="shared" si="38"/>
        <v>(104;25)</v>
      </c>
      <c r="AC142" s="12" t="str">
        <f t="shared" si="38"/>
        <v>(104;26)</v>
      </c>
      <c r="AD142" s="12" t="str">
        <f t="shared" si="38"/>
        <v>(104;27)</v>
      </c>
      <c r="AE142" s="12" t="str">
        <f t="shared" si="38"/>
        <v>(104;28)</v>
      </c>
      <c r="AF142" s="12" t="str">
        <f t="shared" si="38"/>
        <v>(104;29)</v>
      </c>
      <c r="AG142" s="12" t="str">
        <f t="shared" si="38"/>
        <v>(104;30)</v>
      </c>
      <c r="AH142" s="12" t="str">
        <f t="shared" si="39"/>
        <v>(104;31)</v>
      </c>
      <c r="AI142" s="12" t="str">
        <f t="shared" si="39"/>
        <v>(104;32)</v>
      </c>
      <c r="AJ142" s="12" t="str">
        <f t="shared" si="39"/>
        <v>(104;33)</v>
      </c>
      <c r="AK142" s="12" t="str">
        <f t="shared" si="39"/>
        <v>(104;34)</v>
      </c>
      <c r="AL142" s="12" t="str">
        <f t="shared" si="39"/>
        <v>(104;35)</v>
      </c>
      <c r="AM142" s="12" t="str">
        <f t="shared" si="39"/>
        <v>(104;36)</v>
      </c>
      <c r="AN142" s="12" t="str">
        <f t="shared" si="39"/>
        <v>(104;37)</v>
      </c>
      <c r="AO142" s="12" t="str">
        <f t="shared" si="39"/>
        <v>(104;38)</v>
      </c>
      <c r="AP142" s="12" t="str">
        <f t="shared" si="39"/>
        <v>(104;39)</v>
      </c>
      <c r="AQ142" s="12" t="str">
        <f t="shared" si="39"/>
        <v>(104;40)</v>
      </c>
      <c r="AR142" s="12" t="str">
        <f t="shared" si="39"/>
        <v>(104;41)</v>
      </c>
      <c r="AS142" s="12" t="str">
        <f t="shared" si="39"/>
        <v>(104;42)</v>
      </c>
      <c r="AT142" s="12" t="str">
        <f t="shared" si="39"/>
        <v>(104;43)</v>
      </c>
      <c r="AU142" s="12" t="str">
        <f t="shared" si="39"/>
        <v>(104;44)</v>
      </c>
      <c r="AV142" s="12" t="str">
        <f t="shared" si="39"/>
        <v>(104;45)</v>
      </c>
      <c r="AW142" s="12" t="str">
        <f t="shared" si="39"/>
        <v>(104;46)</v>
      </c>
      <c r="AX142" s="12" t="str">
        <f t="shared" si="37"/>
        <v>(104;47)</v>
      </c>
      <c r="AY142" s="12" t="str">
        <f t="shared" si="37"/>
        <v>(104;48)</v>
      </c>
      <c r="AZ142" s="12" t="str">
        <f t="shared" si="37"/>
        <v>(104;49)</v>
      </c>
      <c r="BA142" s="12" t="str">
        <f t="shared" si="37"/>
        <v>(104;50)</v>
      </c>
      <c r="BB142" s="12" t="str">
        <f t="shared" si="37"/>
        <v>(104;51)</v>
      </c>
      <c r="BC142" s="12" t="str">
        <f t="shared" si="37"/>
        <v>(104;52)</v>
      </c>
      <c r="BD142" s="12" t="str">
        <f t="shared" si="37"/>
        <v>(104;53)</v>
      </c>
      <c r="BE142" s="12" t="str">
        <f t="shared" si="37"/>
        <v>(104;54)</v>
      </c>
      <c r="BF142" s="12" t="str">
        <f t="shared" si="37"/>
        <v>(104;55)</v>
      </c>
      <c r="BG142" s="12" t="str">
        <f t="shared" si="37"/>
        <v>(104;56)</v>
      </c>
      <c r="BH142" s="12" t="str">
        <f t="shared" si="37"/>
        <v>(104;57)</v>
      </c>
      <c r="BI142" s="12" t="str">
        <f t="shared" si="37"/>
        <v>(104;58)</v>
      </c>
      <c r="BJ142" s="12" t="str">
        <f t="shared" si="37"/>
        <v>(104;59)</v>
      </c>
      <c r="BK142" s="12" t="str">
        <f t="shared" si="37"/>
        <v>(104;60)</v>
      </c>
      <c r="BL142" s="12" t="str">
        <f t="shared" si="37"/>
        <v>(104;61)</v>
      </c>
      <c r="BM142" s="12" t="str">
        <f t="shared" si="36"/>
        <v>(104;62)</v>
      </c>
      <c r="BN142" s="12" t="str">
        <f t="shared" si="36"/>
        <v>(104;63)</v>
      </c>
    </row>
    <row r="143" spans="1:66">
      <c r="B143">
        <f t="shared" si="27"/>
        <v>105</v>
      </c>
      <c r="C143" s="12" t="str">
        <f t="shared" si="40"/>
        <v>(105;00)</v>
      </c>
      <c r="D143" s="12" t="str">
        <f t="shared" si="40"/>
        <v>(105;01)</v>
      </c>
      <c r="E143" s="12" t="str">
        <f t="shared" si="40"/>
        <v>(105;02)</v>
      </c>
      <c r="F143" s="12" t="str">
        <f t="shared" si="40"/>
        <v>(105;03)</v>
      </c>
      <c r="G143" s="12" t="str">
        <f t="shared" si="40"/>
        <v>(105;04)</v>
      </c>
      <c r="H143" s="12" t="str">
        <f t="shared" si="40"/>
        <v>(105;05)</v>
      </c>
      <c r="I143" s="12" t="str">
        <f t="shared" si="40"/>
        <v>(105;06)</v>
      </c>
      <c r="J143" s="12" t="str">
        <f t="shared" si="40"/>
        <v>(105;07)</v>
      </c>
      <c r="K143" s="12" t="str">
        <f t="shared" si="40"/>
        <v>(105;08)</v>
      </c>
      <c r="L143" s="12" t="str">
        <f t="shared" si="40"/>
        <v>(105;09)</v>
      </c>
      <c r="M143" s="12" t="str">
        <f t="shared" si="40"/>
        <v>(105;10)</v>
      </c>
      <c r="N143" s="12" t="str">
        <f t="shared" si="40"/>
        <v>(105;11)</v>
      </c>
      <c r="O143" s="12" t="str">
        <f t="shared" si="40"/>
        <v>(105;12)</v>
      </c>
      <c r="P143" s="12" t="str">
        <f t="shared" si="40"/>
        <v>(105;13)</v>
      </c>
      <c r="Q143" s="12" t="str">
        <f t="shared" si="40"/>
        <v>(105;14)</v>
      </c>
      <c r="R143" s="12" t="str">
        <f t="shared" si="40"/>
        <v>(105;15)</v>
      </c>
      <c r="S143" s="12" t="str">
        <f t="shared" si="38"/>
        <v>(105;16)</v>
      </c>
      <c r="T143" s="12" t="str">
        <f t="shared" si="38"/>
        <v>(105;17)</v>
      </c>
      <c r="U143" s="12" t="str">
        <f t="shared" si="38"/>
        <v>(105;18)</v>
      </c>
      <c r="V143" s="12" t="str">
        <f t="shared" si="38"/>
        <v>(105;19)</v>
      </c>
      <c r="W143" s="12" t="str">
        <f t="shared" si="38"/>
        <v>(105;20)</v>
      </c>
      <c r="X143" s="12" t="str">
        <f t="shared" si="38"/>
        <v>(105;21)</v>
      </c>
      <c r="Y143" s="12" t="str">
        <f t="shared" si="38"/>
        <v>(105;22)</v>
      </c>
      <c r="Z143" s="12" t="str">
        <f t="shared" si="38"/>
        <v>(105;23)</v>
      </c>
      <c r="AA143" s="12" t="str">
        <f t="shared" si="38"/>
        <v>(105;24)</v>
      </c>
      <c r="AB143" s="12" t="str">
        <f t="shared" si="38"/>
        <v>(105;25)</v>
      </c>
      <c r="AC143" s="12" t="str">
        <f t="shared" si="38"/>
        <v>(105;26)</v>
      </c>
      <c r="AD143" s="12" t="str">
        <f t="shared" si="38"/>
        <v>(105;27)</v>
      </c>
      <c r="AE143" s="12" t="str">
        <f t="shared" si="38"/>
        <v>(105;28)</v>
      </c>
      <c r="AF143" s="12" t="str">
        <f t="shared" si="38"/>
        <v>(105;29)</v>
      </c>
      <c r="AG143" s="12" t="str">
        <f t="shared" si="38"/>
        <v>(105;30)</v>
      </c>
      <c r="AH143" s="12" t="str">
        <f t="shared" si="39"/>
        <v>(105;31)</v>
      </c>
      <c r="AI143" s="12" t="str">
        <f t="shared" si="39"/>
        <v>(105;32)</v>
      </c>
      <c r="AJ143" s="12" t="str">
        <f t="shared" si="39"/>
        <v>(105;33)</v>
      </c>
      <c r="AK143" s="12" t="str">
        <f t="shared" si="39"/>
        <v>(105;34)</v>
      </c>
      <c r="AL143" s="12" t="str">
        <f t="shared" si="39"/>
        <v>(105;35)</v>
      </c>
      <c r="AM143" s="12" t="str">
        <f t="shared" si="39"/>
        <v>(105;36)</v>
      </c>
      <c r="AN143" s="12" t="str">
        <f t="shared" si="39"/>
        <v>(105;37)</v>
      </c>
      <c r="AO143" s="12" t="str">
        <f t="shared" si="39"/>
        <v>(105;38)</v>
      </c>
      <c r="AP143" s="12" t="str">
        <f t="shared" si="39"/>
        <v>(105;39)</v>
      </c>
      <c r="AQ143" s="12" t="str">
        <f t="shared" si="39"/>
        <v>(105;40)</v>
      </c>
      <c r="AR143" s="12" t="str">
        <f t="shared" si="39"/>
        <v>(105;41)</v>
      </c>
      <c r="AS143" s="12" t="str">
        <f t="shared" si="39"/>
        <v>(105;42)</v>
      </c>
      <c r="AT143" s="12" t="str">
        <f t="shared" si="39"/>
        <v>(105;43)</v>
      </c>
      <c r="AU143" s="12" t="str">
        <f t="shared" si="39"/>
        <v>(105;44)</v>
      </c>
      <c r="AV143" s="12" t="str">
        <f t="shared" si="39"/>
        <v>(105;45)</v>
      </c>
      <c r="AW143" s="12" t="str">
        <f t="shared" si="39"/>
        <v>(105;46)</v>
      </c>
      <c r="AX143" s="12" t="str">
        <f t="shared" si="37"/>
        <v>(105;47)</v>
      </c>
      <c r="AY143" s="12" t="str">
        <f t="shared" si="37"/>
        <v>(105;48)</v>
      </c>
      <c r="AZ143" s="12" t="str">
        <f t="shared" si="37"/>
        <v>(105;49)</v>
      </c>
      <c r="BA143" s="12" t="str">
        <f t="shared" si="37"/>
        <v>(105;50)</v>
      </c>
      <c r="BB143" s="12" t="str">
        <f t="shared" si="37"/>
        <v>(105;51)</v>
      </c>
      <c r="BC143" s="12" t="str">
        <f t="shared" si="37"/>
        <v>(105;52)</v>
      </c>
      <c r="BD143" s="12" t="str">
        <f t="shared" si="37"/>
        <v>(105;53)</v>
      </c>
      <c r="BE143" s="12" t="str">
        <f t="shared" si="37"/>
        <v>(105;54)</v>
      </c>
      <c r="BF143" s="12" t="str">
        <f t="shared" si="37"/>
        <v>(105;55)</v>
      </c>
      <c r="BG143" s="12" t="str">
        <f t="shared" si="37"/>
        <v>(105;56)</v>
      </c>
      <c r="BH143" s="12" t="str">
        <f t="shared" si="37"/>
        <v>(105;57)</v>
      </c>
      <c r="BI143" s="12" t="str">
        <f t="shared" si="37"/>
        <v>(105;58)</v>
      </c>
      <c r="BJ143" s="12" t="str">
        <f t="shared" si="37"/>
        <v>(105;59)</v>
      </c>
      <c r="BK143" s="12" t="str">
        <f t="shared" si="37"/>
        <v>(105;60)</v>
      </c>
      <c r="BL143" s="12" t="str">
        <f t="shared" si="37"/>
        <v>(105;61)</v>
      </c>
      <c r="BM143" s="12" t="str">
        <f t="shared" si="36"/>
        <v>(105;62)</v>
      </c>
      <c r="BN143" s="12" t="str">
        <f t="shared" si="36"/>
        <v>(105;63)</v>
      </c>
    </row>
    <row r="144" spans="1:66">
      <c r="B144">
        <f t="shared" si="27"/>
        <v>106</v>
      </c>
      <c r="C144" s="12" t="str">
        <f t="shared" si="40"/>
        <v>(106;00)</v>
      </c>
      <c r="D144" s="12" t="str">
        <f t="shared" si="40"/>
        <v>(106;01)</v>
      </c>
      <c r="E144" s="12" t="str">
        <f t="shared" si="40"/>
        <v>(106;02)</v>
      </c>
      <c r="F144" s="12" t="str">
        <f t="shared" si="40"/>
        <v>(106;03)</v>
      </c>
      <c r="G144" s="12" t="str">
        <f t="shared" si="40"/>
        <v>(106;04)</v>
      </c>
      <c r="H144" s="12" t="str">
        <f t="shared" si="40"/>
        <v>(106;05)</v>
      </c>
      <c r="I144" s="12" t="str">
        <f t="shared" si="40"/>
        <v>(106;06)</v>
      </c>
      <c r="J144" s="12" t="str">
        <f t="shared" si="40"/>
        <v>(106;07)</v>
      </c>
      <c r="K144" s="12" t="str">
        <f t="shared" si="40"/>
        <v>(106;08)</v>
      </c>
      <c r="L144" s="12" t="str">
        <f t="shared" si="40"/>
        <v>(106;09)</v>
      </c>
      <c r="M144" s="12" t="str">
        <f t="shared" si="40"/>
        <v>(106;10)</v>
      </c>
      <c r="N144" s="12" t="str">
        <f t="shared" si="40"/>
        <v>(106;11)</v>
      </c>
      <c r="O144" s="12" t="str">
        <f t="shared" si="40"/>
        <v>(106;12)</v>
      </c>
      <c r="P144" s="12" t="str">
        <f t="shared" si="40"/>
        <v>(106;13)</v>
      </c>
      <c r="Q144" s="12" t="str">
        <f t="shared" si="40"/>
        <v>(106;14)</v>
      </c>
      <c r="R144" s="12" t="str">
        <f t="shared" si="40"/>
        <v>(106;15)</v>
      </c>
      <c r="S144" s="12" t="str">
        <f t="shared" si="38"/>
        <v>(106;16)</v>
      </c>
      <c r="T144" s="12" t="str">
        <f t="shared" si="38"/>
        <v>(106;17)</v>
      </c>
      <c r="U144" s="12" t="str">
        <f t="shared" si="38"/>
        <v>(106;18)</v>
      </c>
      <c r="V144" s="12" t="str">
        <f t="shared" si="38"/>
        <v>(106;19)</v>
      </c>
      <c r="W144" s="12" t="str">
        <f t="shared" si="38"/>
        <v>(106;20)</v>
      </c>
      <c r="X144" s="12" t="str">
        <f t="shared" si="38"/>
        <v>(106;21)</v>
      </c>
      <c r="Y144" s="12" t="str">
        <f t="shared" si="38"/>
        <v>(106;22)</v>
      </c>
      <c r="Z144" s="12" t="str">
        <f t="shared" si="38"/>
        <v>(106;23)</v>
      </c>
      <c r="AA144" s="12" t="str">
        <f t="shared" si="38"/>
        <v>(106;24)</v>
      </c>
      <c r="AB144" s="12" t="str">
        <f t="shared" si="38"/>
        <v>(106;25)</v>
      </c>
      <c r="AC144" s="12" t="str">
        <f t="shared" si="38"/>
        <v>(106;26)</v>
      </c>
      <c r="AD144" s="12" t="str">
        <f t="shared" si="38"/>
        <v>(106;27)</v>
      </c>
      <c r="AE144" s="12" t="str">
        <f t="shared" si="38"/>
        <v>(106;28)</v>
      </c>
      <c r="AF144" s="12" t="str">
        <f t="shared" si="38"/>
        <v>(106;29)</v>
      </c>
      <c r="AG144" s="12" t="str">
        <f t="shared" si="38"/>
        <v>(106;30)</v>
      </c>
      <c r="AH144" s="12" t="str">
        <f t="shared" si="39"/>
        <v>(106;31)</v>
      </c>
      <c r="AI144" s="12" t="str">
        <f t="shared" si="39"/>
        <v>(106;32)</v>
      </c>
      <c r="AJ144" s="12" t="str">
        <f t="shared" si="39"/>
        <v>(106;33)</v>
      </c>
      <c r="AK144" s="12" t="str">
        <f t="shared" si="39"/>
        <v>(106;34)</v>
      </c>
      <c r="AL144" s="12" t="str">
        <f t="shared" si="39"/>
        <v>(106;35)</v>
      </c>
      <c r="AM144" s="12" t="str">
        <f t="shared" si="39"/>
        <v>(106;36)</v>
      </c>
      <c r="AN144" s="12" t="str">
        <f t="shared" si="39"/>
        <v>(106;37)</v>
      </c>
      <c r="AO144" s="12" t="str">
        <f t="shared" si="39"/>
        <v>(106;38)</v>
      </c>
      <c r="AP144" s="12" t="str">
        <f t="shared" si="39"/>
        <v>(106;39)</v>
      </c>
      <c r="AQ144" s="12" t="str">
        <f t="shared" si="39"/>
        <v>(106;40)</v>
      </c>
      <c r="AR144" s="12" t="str">
        <f t="shared" si="39"/>
        <v>(106;41)</v>
      </c>
      <c r="AS144" s="12" t="str">
        <f t="shared" si="39"/>
        <v>(106;42)</v>
      </c>
      <c r="AT144" s="12" t="str">
        <f t="shared" si="39"/>
        <v>(106;43)</v>
      </c>
      <c r="AU144" s="12" t="str">
        <f t="shared" si="39"/>
        <v>(106;44)</v>
      </c>
      <c r="AV144" s="12" t="str">
        <f t="shared" si="39"/>
        <v>(106;45)</v>
      </c>
      <c r="AW144" s="12" t="str">
        <f t="shared" si="39"/>
        <v>(106;46)</v>
      </c>
      <c r="AX144" s="12" t="str">
        <f t="shared" si="37"/>
        <v>(106;47)</v>
      </c>
      <c r="AY144" s="12" t="str">
        <f t="shared" si="37"/>
        <v>(106;48)</v>
      </c>
      <c r="AZ144" s="12" t="str">
        <f t="shared" si="37"/>
        <v>(106;49)</v>
      </c>
      <c r="BA144" s="12" t="str">
        <f t="shared" si="37"/>
        <v>(106;50)</v>
      </c>
      <c r="BB144" s="12" t="str">
        <f t="shared" si="37"/>
        <v>(106;51)</v>
      </c>
      <c r="BC144" s="12" t="str">
        <f t="shared" si="37"/>
        <v>(106;52)</v>
      </c>
      <c r="BD144" s="12" t="str">
        <f t="shared" si="37"/>
        <v>(106;53)</v>
      </c>
      <c r="BE144" s="12" t="str">
        <f t="shared" si="37"/>
        <v>(106;54)</v>
      </c>
      <c r="BF144" s="12" t="str">
        <f t="shared" si="37"/>
        <v>(106;55)</v>
      </c>
      <c r="BG144" s="12" t="str">
        <f t="shared" si="37"/>
        <v>(106;56)</v>
      </c>
      <c r="BH144" s="12" t="str">
        <f t="shared" si="37"/>
        <v>(106;57)</v>
      </c>
      <c r="BI144" s="12" t="str">
        <f t="shared" si="37"/>
        <v>(106;58)</v>
      </c>
      <c r="BJ144" s="12" t="str">
        <f t="shared" si="37"/>
        <v>(106;59)</v>
      </c>
      <c r="BK144" s="12" t="str">
        <f t="shared" si="37"/>
        <v>(106;60)</v>
      </c>
      <c r="BL144" s="12" t="str">
        <f t="shared" si="37"/>
        <v>(106;61)</v>
      </c>
      <c r="BM144" s="12" t="str">
        <f t="shared" si="36"/>
        <v>(106;62)</v>
      </c>
      <c r="BN144" s="12" t="str">
        <f t="shared" si="36"/>
        <v>(106;63)</v>
      </c>
    </row>
    <row r="145" spans="1:66">
      <c r="B145">
        <f t="shared" si="27"/>
        <v>107</v>
      </c>
      <c r="C145" s="12" t="str">
        <f t="shared" si="40"/>
        <v>(107;00)</v>
      </c>
      <c r="D145" s="12" t="str">
        <f t="shared" si="40"/>
        <v>(107;01)</v>
      </c>
      <c r="E145" s="12" t="str">
        <f t="shared" si="40"/>
        <v>(107;02)</v>
      </c>
      <c r="F145" s="12" t="str">
        <f t="shared" si="40"/>
        <v>(107;03)</v>
      </c>
      <c r="G145" s="12" t="str">
        <f t="shared" si="40"/>
        <v>(107;04)</v>
      </c>
      <c r="H145" s="12" t="str">
        <f t="shared" si="40"/>
        <v>(107;05)</v>
      </c>
      <c r="I145" s="12" t="str">
        <f t="shared" si="40"/>
        <v>(107;06)</v>
      </c>
      <c r="J145" s="12" t="str">
        <f t="shared" si="40"/>
        <v>(107;07)</v>
      </c>
      <c r="K145" s="12" t="str">
        <f t="shared" si="40"/>
        <v>(107;08)</v>
      </c>
      <c r="L145" s="12" t="str">
        <f t="shared" si="40"/>
        <v>(107;09)</v>
      </c>
      <c r="M145" s="12" t="str">
        <f t="shared" si="40"/>
        <v>(107;10)</v>
      </c>
      <c r="N145" s="12" t="str">
        <f t="shared" si="40"/>
        <v>(107;11)</v>
      </c>
      <c r="O145" s="12" t="str">
        <f t="shared" si="40"/>
        <v>(107;12)</v>
      </c>
      <c r="P145" s="12" t="str">
        <f t="shared" si="40"/>
        <v>(107;13)</v>
      </c>
      <c r="Q145" s="12" t="str">
        <f t="shared" si="40"/>
        <v>(107;14)</v>
      </c>
      <c r="R145" s="12" t="str">
        <f t="shared" si="40"/>
        <v>(107;15)</v>
      </c>
      <c r="S145" s="12" t="str">
        <f t="shared" si="38"/>
        <v>(107;16)</v>
      </c>
      <c r="T145" s="12" t="str">
        <f t="shared" si="38"/>
        <v>(107;17)</v>
      </c>
      <c r="U145" s="12" t="str">
        <f t="shared" si="38"/>
        <v>(107;18)</v>
      </c>
      <c r="V145" s="12" t="str">
        <f t="shared" si="38"/>
        <v>(107;19)</v>
      </c>
      <c r="W145" s="12" t="str">
        <f t="shared" si="38"/>
        <v>(107;20)</v>
      </c>
      <c r="X145" s="12" t="str">
        <f t="shared" si="38"/>
        <v>(107;21)</v>
      </c>
      <c r="Y145" s="12" t="str">
        <f t="shared" si="38"/>
        <v>(107;22)</v>
      </c>
      <c r="Z145" s="12" t="str">
        <f t="shared" si="38"/>
        <v>(107;23)</v>
      </c>
      <c r="AA145" s="12" t="str">
        <f t="shared" si="38"/>
        <v>(107;24)</v>
      </c>
      <c r="AB145" s="12" t="str">
        <f t="shared" si="38"/>
        <v>(107;25)</v>
      </c>
      <c r="AC145" s="12" t="str">
        <f t="shared" si="38"/>
        <v>(107;26)</v>
      </c>
      <c r="AD145" s="12" t="str">
        <f t="shared" si="38"/>
        <v>(107;27)</v>
      </c>
      <c r="AE145" s="12" t="str">
        <f t="shared" si="38"/>
        <v>(107;28)</v>
      </c>
      <c r="AF145" s="12" t="str">
        <f t="shared" si="38"/>
        <v>(107;29)</v>
      </c>
      <c r="AG145" s="12" t="str">
        <f t="shared" si="38"/>
        <v>(107;30)</v>
      </c>
      <c r="AH145" s="12" t="str">
        <f t="shared" si="39"/>
        <v>(107;31)</v>
      </c>
      <c r="AI145" s="12" t="str">
        <f t="shared" si="39"/>
        <v>(107;32)</v>
      </c>
      <c r="AJ145" s="12" t="str">
        <f t="shared" si="39"/>
        <v>(107;33)</v>
      </c>
      <c r="AK145" s="12" t="str">
        <f t="shared" si="39"/>
        <v>(107;34)</v>
      </c>
      <c r="AL145" s="12" t="str">
        <f t="shared" si="39"/>
        <v>(107;35)</v>
      </c>
      <c r="AM145" s="12" t="str">
        <f t="shared" si="39"/>
        <v>(107;36)</v>
      </c>
      <c r="AN145" s="12" t="str">
        <f t="shared" si="39"/>
        <v>(107;37)</v>
      </c>
      <c r="AO145" s="12" t="str">
        <f t="shared" si="39"/>
        <v>(107;38)</v>
      </c>
      <c r="AP145" s="12" t="str">
        <f t="shared" si="39"/>
        <v>(107;39)</v>
      </c>
      <c r="AQ145" s="12" t="str">
        <f t="shared" si="39"/>
        <v>(107;40)</v>
      </c>
      <c r="AR145" s="12" t="str">
        <f t="shared" si="39"/>
        <v>(107;41)</v>
      </c>
      <c r="AS145" s="12" t="str">
        <f t="shared" si="39"/>
        <v>(107;42)</v>
      </c>
      <c r="AT145" s="12" t="str">
        <f t="shared" si="39"/>
        <v>(107;43)</v>
      </c>
      <c r="AU145" s="12" t="str">
        <f t="shared" si="39"/>
        <v>(107;44)</v>
      </c>
      <c r="AV145" s="12" t="str">
        <f t="shared" si="39"/>
        <v>(107;45)</v>
      </c>
      <c r="AW145" s="12" t="str">
        <f t="shared" si="39"/>
        <v>(107;46)</v>
      </c>
      <c r="AX145" s="12" t="str">
        <f t="shared" si="37"/>
        <v>(107;47)</v>
      </c>
      <c r="AY145" s="12" t="str">
        <f t="shared" si="37"/>
        <v>(107;48)</v>
      </c>
      <c r="AZ145" s="12" t="str">
        <f t="shared" si="37"/>
        <v>(107;49)</v>
      </c>
      <c r="BA145" s="12" t="str">
        <f t="shared" si="37"/>
        <v>(107;50)</v>
      </c>
      <c r="BB145" s="12" t="str">
        <f t="shared" si="37"/>
        <v>(107;51)</v>
      </c>
      <c r="BC145" s="12" t="str">
        <f t="shared" si="37"/>
        <v>(107;52)</v>
      </c>
      <c r="BD145" s="12" t="str">
        <f t="shared" si="37"/>
        <v>(107;53)</v>
      </c>
      <c r="BE145" s="12" t="str">
        <f t="shared" si="37"/>
        <v>(107;54)</v>
      </c>
      <c r="BF145" s="12" t="str">
        <f t="shared" si="37"/>
        <v>(107;55)</v>
      </c>
      <c r="BG145" s="12" t="str">
        <f t="shared" si="37"/>
        <v>(107;56)</v>
      </c>
      <c r="BH145" s="12" t="str">
        <f t="shared" si="37"/>
        <v>(107;57)</v>
      </c>
      <c r="BI145" s="12" t="str">
        <f t="shared" si="37"/>
        <v>(107;58)</v>
      </c>
      <c r="BJ145" s="12" t="str">
        <f t="shared" si="37"/>
        <v>(107;59)</v>
      </c>
      <c r="BK145" s="12" t="str">
        <f t="shared" si="37"/>
        <v>(107;60)</v>
      </c>
      <c r="BL145" s="12" t="str">
        <f t="shared" si="37"/>
        <v>(107;61)</v>
      </c>
      <c r="BM145" s="12" t="str">
        <f t="shared" si="36"/>
        <v>(107;62)</v>
      </c>
      <c r="BN145" s="12" t="str">
        <f t="shared" si="36"/>
        <v>(107;63)</v>
      </c>
    </row>
    <row r="146" spans="1:66">
      <c r="B146">
        <f t="shared" si="27"/>
        <v>108</v>
      </c>
      <c r="C146" s="12" t="str">
        <f t="shared" si="40"/>
        <v>(108;00)</v>
      </c>
      <c r="D146" s="12" t="str">
        <f t="shared" si="40"/>
        <v>(108;01)</v>
      </c>
      <c r="E146" s="12" t="str">
        <f t="shared" si="40"/>
        <v>(108;02)</v>
      </c>
      <c r="F146" s="12" t="str">
        <f t="shared" si="40"/>
        <v>(108;03)</v>
      </c>
      <c r="G146" s="12" t="str">
        <f t="shared" si="40"/>
        <v>(108;04)</v>
      </c>
      <c r="H146" s="12" t="str">
        <f t="shared" si="40"/>
        <v>(108;05)</v>
      </c>
      <c r="I146" s="12" t="str">
        <f t="shared" si="40"/>
        <v>(108;06)</v>
      </c>
      <c r="J146" s="12" t="str">
        <f t="shared" si="40"/>
        <v>(108;07)</v>
      </c>
      <c r="K146" s="12" t="str">
        <f t="shared" si="40"/>
        <v>(108;08)</v>
      </c>
      <c r="L146" s="12" t="str">
        <f t="shared" si="40"/>
        <v>(108;09)</v>
      </c>
      <c r="M146" s="12" t="str">
        <f t="shared" si="40"/>
        <v>(108;10)</v>
      </c>
      <c r="N146" s="12" t="str">
        <f t="shared" si="40"/>
        <v>(108;11)</v>
      </c>
      <c r="O146" s="12" t="str">
        <f t="shared" si="40"/>
        <v>(108;12)</v>
      </c>
      <c r="P146" s="12" t="str">
        <f t="shared" si="40"/>
        <v>(108;13)</v>
      </c>
      <c r="Q146" s="12" t="str">
        <f t="shared" si="40"/>
        <v>(108;14)</v>
      </c>
      <c r="R146" s="12" t="str">
        <f t="shared" si="40"/>
        <v>(108;15)</v>
      </c>
      <c r="S146" s="12" t="str">
        <f t="shared" si="38"/>
        <v>(108;16)</v>
      </c>
      <c r="T146" s="12" t="str">
        <f t="shared" si="38"/>
        <v>(108;17)</v>
      </c>
      <c r="U146" s="12" t="str">
        <f t="shared" si="38"/>
        <v>(108;18)</v>
      </c>
      <c r="V146" s="12" t="str">
        <f t="shared" si="38"/>
        <v>(108;19)</v>
      </c>
      <c r="W146" s="12" t="str">
        <f t="shared" si="38"/>
        <v>(108;20)</v>
      </c>
      <c r="X146" s="12" t="str">
        <f t="shared" si="38"/>
        <v>(108;21)</v>
      </c>
      <c r="Y146" s="12" t="str">
        <f t="shared" si="38"/>
        <v>(108;22)</v>
      </c>
      <c r="Z146" s="12" t="str">
        <f t="shared" si="38"/>
        <v>(108;23)</v>
      </c>
      <c r="AA146" s="12" t="str">
        <f t="shared" si="38"/>
        <v>(108;24)</v>
      </c>
      <c r="AB146" s="12" t="str">
        <f t="shared" si="38"/>
        <v>(108;25)</v>
      </c>
      <c r="AC146" s="12" t="str">
        <f t="shared" si="38"/>
        <v>(108;26)</v>
      </c>
      <c r="AD146" s="12" t="str">
        <f t="shared" si="38"/>
        <v>(108;27)</v>
      </c>
      <c r="AE146" s="12" t="str">
        <f t="shared" si="38"/>
        <v>(108;28)</v>
      </c>
      <c r="AF146" s="12" t="str">
        <f t="shared" si="38"/>
        <v>(108;29)</v>
      </c>
      <c r="AG146" s="12" t="str">
        <f t="shared" si="38"/>
        <v>(108;30)</v>
      </c>
      <c r="AH146" s="12" t="str">
        <f t="shared" si="39"/>
        <v>(108;31)</v>
      </c>
      <c r="AI146" s="12" t="str">
        <f t="shared" si="39"/>
        <v>(108;32)</v>
      </c>
      <c r="AJ146" s="12" t="str">
        <f t="shared" si="39"/>
        <v>(108;33)</v>
      </c>
      <c r="AK146" s="12" t="str">
        <f t="shared" si="39"/>
        <v>(108;34)</v>
      </c>
      <c r="AL146" s="12" t="str">
        <f t="shared" si="39"/>
        <v>(108;35)</v>
      </c>
      <c r="AM146" s="12" t="str">
        <f t="shared" si="39"/>
        <v>(108;36)</v>
      </c>
      <c r="AN146" s="12" t="str">
        <f t="shared" si="39"/>
        <v>(108;37)</v>
      </c>
      <c r="AO146" s="12" t="str">
        <f t="shared" si="39"/>
        <v>(108;38)</v>
      </c>
      <c r="AP146" s="12" t="str">
        <f t="shared" si="39"/>
        <v>(108;39)</v>
      </c>
      <c r="AQ146" s="12" t="str">
        <f t="shared" si="39"/>
        <v>(108;40)</v>
      </c>
      <c r="AR146" s="12" t="str">
        <f t="shared" si="39"/>
        <v>(108;41)</v>
      </c>
      <c r="AS146" s="12" t="str">
        <f t="shared" si="39"/>
        <v>(108;42)</v>
      </c>
      <c r="AT146" s="12" t="str">
        <f t="shared" si="39"/>
        <v>(108;43)</v>
      </c>
      <c r="AU146" s="12" t="str">
        <f t="shared" si="39"/>
        <v>(108;44)</v>
      </c>
      <c r="AV146" s="12" t="str">
        <f t="shared" si="39"/>
        <v>(108;45)</v>
      </c>
      <c r="AW146" s="12" t="str">
        <f t="shared" si="39"/>
        <v>(108;46)</v>
      </c>
      <c r="AX146" s="12" t="str">
        <f t="shared" si="37"/>
        <v>(108;47)</v>
      </c>
      <c r="AY146" s="12" t="str">
        <f t="shared" si="37"/>
        <v>(108;48)</v>
      </c>
      <c r="AZ146" s="12" t="str">
        <f t="shared" si="37"/>
        <v>(108;49)</v>
      </c>
      <c r="BA146" s="12" t="str">
        <f t="shared" si="37"/>
        <v>(108;50)</v>
      </c>
      <c r="BB146" s="12" t="str">
        <f t="shared" si="37"/>
        <v>(108;51)</v>
      </c>
      <c r="BC146" s="12" t="str">
        <f t="shared" si="37"/>
        <v>(108;52)</v>
      </c>
      <c r="BD146" s="12" t="str">
        <f t="shared" si="37"/>
        <v>(108;53)</v>
      </c>
      <c r="BE146" s="12" t="str">
        <f t="shared" si="37"/>
        <v>(108;54)</v>
      </c>
      <c r="BF146" s="12" t="str">
        <f t="shared" si="37"/>
        <v>(108;55)</v>
      </c>
      <c r="BG146" s="12" t="str">
        <f t="shared" si="37"/>
        <v>(108;56)</v>
      </c>
      <c r="BH146" s="12" t="str">
        <f t="shared" si="37"/>
        <v>(108;57)</v>
      </c>
      <c r="BI146" s="12" t="str">
        <f t="shared" si="37"/>
        <v>(108;58)</v>
      </c>
      <c r="BJ146" s="12" t="str">
        <f t="shared" si="37"/>
        <v>(108;59)</v>
      </c>
      <c r="BK146" s="12" t="str">
        <f t="shared" si="37"/>
        <v>(108;60)</v>
      </c>
      <c r="BL146" s="12" t="str">
        <f t="shared" si="37"/>
        <v>(108;61)</v>
      </c>
      <c r="BM146" s="12" t="str">
        <f t="shared" si="36"/>
        <v>(108;62)</v>
      </c>
      <c r="BN146" s="12" t="str">
        <f t="shared" si="36"/>
        <v>(108;63)</v>
      </c>
    </row>
    <row r="147" spans="1:66">
      <c r="B147">
        <f t="shared" si="27"/>
        <v>109</v>
      </c>
      <c r="C147" s="12" t="str">
        <f t="shared" si="40"/>
        <v>(109;00)</v>
      </c>
      <c r="D147" s="12" t="str">
        <f t="shared" si="40"/>
        <v>(109;01)</v>
      </c>
      <c r="E147" s="12" t="str">
        <f t="shared" si="40"/>
        <v>(109;02)</v>
      </c>
      <c r="F147" s="12" t="str">
        <f t="shared" si="40"/>
        <v>(109;03)</v>
      </c>
      <c r="G147" s="12" t="str">
        <f t="shared" si="40"/>
        <v>(109;04)</v>
      </c>
      <c r="H147" s="12" t="str">
        <f t="shared" si="40"/>
        <v>(109;05)</v>
      </c>
      <c r="I147" s="12" t="str">
        <f t="shared" si="40"/>
        <v>(109;06)</v>
      </c>
      <c r="J147" s="12" t="str">
        <f t="shared" si="40"/>
        <v>(109;07)</v>
      </c>
      <c r="K147" s="12" t="str">
        <f t="shared" si="40"/>
        <v>(109;08)</v>
      </c>
      <c r="L147" s="12" t="str">
        <f t="shared" si="40"/>
        <v>(109;09)</v>
      </c>
      <c r="M147" s="12" t="str">
        <f t="shared" si="40"/>
        <v>(109;10)</v>
      </c>
      <c r="N147" s="12" t="str">
        <f t="shared" si="40"/>
        <v>(109;11)</v>
      </c>
      <c r="O147" s="12" t="str">
        <f t="shared" si="40"/>
        <v>(109;12)</v>
      </c>
      <c r="P147" s="12" t="str">
        <f t="shared" si="40"/>
        <v>(109;13)</v>
      </c>
      <c r="Q147" s="12" t="str">
        <f t="shared" si="40"/>
        <v>(109;14)</v>
      </c>
      <c r="R147" s="12" t="str">
        <f t="shared" si="40"/>
        <v>(109;15)</v>
      </c>
      <c r="S147" s="12" t="str">
        <f t="shared" si="38"/>
        <v>(109;16)</v>
      </c>
      <c r="T147" s="12" t="str">
        <f t="shared" si="38"/>
        <v>(109;17)</v>
      </c>
      <c r="U147" s="12" t="str">
        <f t="shared" si="38"/>
        <v>(109;18)</v>
      </c>
      <c r="V147" s="12" t="str">
        <f t="shared" si="38"/>
        <v>(109;19)</v>
      </c>
      <c r="W147" s="12" t="str">
        <f t="shared" si="38"/>
        <v>(109;20)</v>
      </c>
      <c r="X147" s="12" t="str">
        <f t="shared" si="38"/>
        <v>(109;21)</v>
      </c>
      <c r="Y147" s="12" t="str">
        <f t="shared" si="38"/>
        <v>(109;22)</v>
      </c>
      <c r="Z147" s="12" t="str">
        <f t="shared" si="38"/>
        <v>(109;23)</v>
      </c>
      <c r="AA147" s="12" t="str">
        <f t="shared" si="38"/>
        <v>(109;24)</v>
      </c>
      <c r="AB147" s="12" t="str">
        <f t="shared" si="38"/>
        <v>(109;25)</v>
      </c>
      <c r="AC147" s="12" t="str">
        <f t="shared" si="38"/>
        <v>(109;26)</v>
      </c>
      <c r="AD147" s="12" t="str">
        <f t="shared" si="38"/>
        <v>(109;27)</v>
      </c>
      <c r="AE147" s="12" t="str">
        <f t="shared" si="38"/>
        <v>(109;28)</v>
      </c>
      <c r="AF147" s="12" t="str">
        <f t="shared" si="38"/>
        <v>(109;29)</v>
      </c>
      <c r="AG147" s="12" t="str">
        <f t="shared" si="38"/>
        <v>(109;30)</v>
      </c>
      <c r="AH147" s="12" t="str">
        <f t="shared" si="39"/>
        <v>(109;31)</v>
      </c>
      <c r="AI147" s="12" t="str">
        <f t="shared" si="39"/>
        <v>(109;32)</v>
      </c>
      <c r="AJ147" s="12" t="str">
        <f t="shared" si="39"/>
        <v>(109;33)</v>
      </c>
      <c r="AK147" s="12" t="str">
        <f t="shared" si="39"/>
        <v>(109;34)</v>
      </c>
      <c r="AL147" s="12" t="str">
        <f t="shared" si="39"/>
        <v>(109;35)</v>
      </c>
      <c r="AM147" s="12" t="str">
        <f t="shared" si="39"/>
        <v>(109;36)</v>
      </c>
      <c r="AN147" s="12" t="str">
        <f t="shared" si="39"/>
        <v>(109;37)</v>
      </c>
      <c r="AO147" s="12" t="str">
        <f t="shared" si="39"/>
        <v>(109;38)</v>
      </c>
      <c r="AP147" s="12" t="str">
        <f t="shared" si="39"/>
        <v>(109;39)</v>
      </c>
      <c r="AQ147" s="12" t="str">
        <f t="shared" si="39"/>
        <v>(109;40)</v>
      </c>
      <c r="AR147" s="12" t="str">
        <f t="shared" si="39"/>
        <v>(109;41)</v>
      </c>
      <c r="AS147" s="12" t="str">
        <f t="shared" si="39"/>
        <v>(109;42)</v>
      </c>
      <c r="AT147" s="12" t="str">
        <f t="shared" si="39"/>
        <v>(109;43)</v>
      </c>
      <c r="AU147" s="12" t="str">
        <f t="shared" si="39"/>
        <v>(109;44)</v>
      </c>
      <c r="AV147" s="12" t="str">
        <f t="shared" si="39"/>
        <v>(109;45)</v>
      </c>
      <c r="AW147" s="12" t="str">
        <f t="shared" si="39"/>
        <v>(109;46)</v>
      </c>
      <c r="AX147" s="12" t="str">
        <f t="shared" si="37"/>
        <v>(109;47)</v>
      </c>
      <c r="AY147" s="12" t="str">
        <f t="shared" si="37"/>
        <v>(109;48)</v>
      </c>
      <c r="AZ147" s="12" t="str">
        <f t="shared" si="37"/>
        <v>(109;49)</v>
      </c>
      <c r="BA147" s="12" t="str">
        <f t="shared" si="37"/>
        <v>(109;50)</v>
      </c>
      <c r="BB147" s="12" t="str">
        <f t="shared" si="37"/>
        <v>(109;51)</v>
      </c>
      <c r="BC147" s="12" t="str">
        <f t="shared" si="37"/>
        <v>(109;52)</v>
      </c>
      <c r="BD147" s="12" t="str">
        <f t="shared" si="37"/>
        <v>(109;53)</v>
      </c>
      <c r="BE147" s="12" t="str">
        <f t="shared" si="37"/>
        <v>(109;54)</v>
      </c>
      <c r="BF147" s="12" t="str">
        <f t="shared" si="37"/>
        <v>(109;55)</v>
      </c>
      <c r="BG147" s="12" t="str">
        <f t="shared" si="37"/>
        <v>(109;56)</v>
      </c>
      <c r="BH147" s="12" t="str">
        <f t="shared" si="37"/>
        <v>(109;57)</v>
      </c>
      <c r="BI147" s="12" t="str">
        <f t="shared" si="37"/>
        <v>(109;58)</v>
      </c>
      <c r="BJ147" s="12" t="str">
        <f t="shared" si="37"/>
        <v>(109;59)</v>
      </c>
      <c r="BK147" s="12" t="str">
        <f t="shared" si="37"/>
        <v>(109;60)</v>
      </c>
      <c r="BL147" s="12" t="str">
        <f t="shared" si="37"/>
        <v>(109;61)</v>
      </c>
      <c r="BM147" s="12" t="str">
        <f t="shared" si="36"/>
        <v>(109;62)</v>
      </c>
      <c r="BN147" s="12" t="str">
        <f t="shared" si="36"/>
        <v>(109;63)</v>
      </c>
    </row>
    <row r="148" spans="1:66">
      <c r="B148">
        <f t="shared" si="27"/>
        <v>110</v>
      </c>
      <c r="C148" s="12" t="str">
        <f t="shared" si="40"/>
        <v>(110;00)</v>
      </c>
      <c r="D148" s="12" t="str">
        <f t="shared" si="40"/>
        <v>(110;01)</v>
      </c>
      <c r="E148" s="12" t="str">
        <f t="shared" si="40"/>
        <v>(110;02)</v>
      </c>
      <c r="F148" s="12" t="str">
        <f t="shared" si="40"/>
        <v>(110;03)</v>
      </c>
      <c r="G148" s="12" t="str">
        <f t="shared" si="40"/>
        <v>(110;04)</v>
      </c>
      <c r="H148" s="12" t="str">
        <f t="shared" si="40"/>
        <v>(110;05)</v>
      </c>
      <c r="I148" s="12" t="str">
        <f t="shared" si="40"/>
        <v>(110;06)</v>
      </c>
      <c r="J148" s="12" t="str">
        <f t="shared" si="40"/>
        <v>(110;07)</v>
      </c>
      <c r="K148" s="12" t="str">
        <f t="shared" si="40"/>
        <v>(110;08)</v>
      </c>
      <c r="L148" s="12" t="str">
        <f t="shared" si="40"/>
        <v>(110;09)</v>
      </c>
      <c r="M148" s="12" t="str">
        <f t="shared" si="40"/>
        <v>(110;10)</v>
      </c>
      <c r="N148" s="12" t="str">
        <f t="shared" si="40"/>
        <v>(110;11)</v>
      </c>
      <c r="O148" s="12" t="str">
        <f t="shared" si="40"/>
        <v>(110;12)</v>
      </c>
      <c r="P148" s="12" t="str">
        <f t="shared" si="40"/>
        <v>(110;13)</v>
      </c>
      <c r="Q148" s="12" t="str">
        <f t="shared" si="40"/>
        <v>(110;14)</v>
      </c>
      <c r="R148" s="12" t="str">
        <f t="shared" si="40"/>
        <v>(110;15)</v>
      </c>
      <c r="S148" s="12" t="str">
        <f t="shared" si="38"/>
        <v>(110;16)</v>
      </c>
      <c r="T148" s="12" t="str">
        <f t="shared" si="38"/>
        <v>(110;17)</v>
      </c>
      <c r="U148" s="12" t="str">
        <f t="shared" si="38"/>
        <v>(110;18)</v>
      </c>
      <c r="V148" s="12" t="str">
        <f t="shared" si="38"/>
        <v>(110;19)</v>
      </c>
      <c r="W148" s="12" t="str">
        <f t="shared" si="38"/>
        <v>(110;20)</v>
      </c>
      <c r="X148" s="12" t="str">
        <f t="shared" si="38"/>
        <v>(110;21)</v>
      </c>
      <c r="Y148" s="12" t="str">
        <f t="shared" si="38"/>
        <v>(110;22)</v>
      </c>
      <c r="Z148" s="12" t="str">
        <f t="shared" si="38"/>
        <v>(110;23)</v>
      </c>
      <c r="AA148" s="12" t="str">
        <f t="shared" si="38"/>
        <v>(110;24)</v>
      </c>
      <c r="AB148" s="12" t="str">
        <f t="shared" si="38"/>
        <v>(110;25)</v>
      </c>
      <c r="AC148" s="12" t="str">
        <f t="shared" si="38"/>
        <v>(110;26)</v>
      </c>
      <c r="AD148" s="12" t="str">
        <f t="shared" si="38"/>
        <v>(110;27)</v>
      </c>
      <c r="AE148" s="12" t="str">
        <f t="shared" si="38"/>
        <v>(110;28)</v>
      </c>
      <c r="AF148" s="12" t="str">
        <f t="shared" si="38"/>
        <v>(110;29)</v>
      </c>
      <c r="AG148" s="12" t="str">
        <f t="shared" si="38"/>
        <v>(110;30)</v>
      </c>
      <c r="AH148" s="12" t="str">
        <f t="shared" si="39"/>
        <v>(110;31)</v>
      </c>
      <c r="AI148" s="12" t="str">
        <f t="shared" si="39"/>
        <v>(110;32)</v>
      </c>
      <c r="AJ148" s="12" t="str">
        <f t="shared" si="39"/>
        <v>(110;33)</v>
      </c>
      <c r="AK148" s="12" t="str">
        <f t="shared" si="39"/>
        <v>(110;34)</v>
      </c>
      <c r="AL148" s="12" t="str">
        <f t="shared" si="39"/>
        <v>(110;35)</v>
      </c>
      <c r="AM148" s="12" t="str">
        <f t="shared" si="39"/>
        <v>(110;36)</v>
      </c>
      <c r="AN148" s="12" t="str">
        <f t="shared" si="39"/>
        <v>(110;37)</v>
      </c>
      <c r="AO148" s="12" t="str">
        <f t="shared" si="39"/>
        <v>(110;38)</v>
      </c>
      <c r="AP148" s="12" t="str">
        <f t="shared" si="39"/>
        <v>(110;39)</v>
      </c>
      <c r="AQ148" s="12" t="str">
        <f t="shared" si="39"/>
        <v>(110;40)</v>
      </c>
      <c r="AR148" s="12" t="str">
        <f t="shared" si="39"/>
        <v>(110;41)</v>
      </c>
      <c r="AS148" s="12" t="str">
        <f t="shared" si="39"/>
        <v>(110;42)</v>
      </c>
      <c r="AT148" s="12" t="str">
        <f t="shared" si="39"/>
        <v>(110;43)</v>
      </c>
      <c r="AU148" s="12" t="str">
        <f t="shared" si="39"/>
        <v>(110;44)</v>
      </c>
      <c r="AV148" s="12" t="str">
        <f t="shared" si="39"/>
        <v>(110;45)</v>
      </c>
      <c r="AW148" s="12" t="str">
        <f t="shared" si="39"/>
        <v>(110;46)</v>
      </c>
      <c r="AX148" s="12" t="str">
        <f t="shared" si="37"/>
        <v>(110;47)</v>
      </c>
      <c r="AY148" s="12" t="str">
        <f t="shared" si="37"/>
        <v>(110;48)</v>
      </c>
      <c r="AZ148" s="12" t="str">
        <f t="shared" si="37"/>
        <v>(110;49)</v>
      </c>
      <c r="BA148" s="12" t="str">
        <f t="shared" si="37"/>
        <v>(110;50)</v>
      </c>
      <c r="BB148" s="12" t="str">
        <f t="shared" si="37"/>
        <v>(110;51)</v>
      </c>
      <c r="BC148" s="12" t="str">
        <f t="shared" si="37"/>
        <v>(110;52)</v>
      </c>
      <c r="BD148" s="12" t="str">
        <f t="shared" si="37"/>
        <v>(110;53)</v>
      </c>
      <c r="BE148" s="12" t="str">
        <f t="shared" si="37"/>
        <v>(110;54)</v>
      </c>
      <c r="BF148" s="12" t="str">
        <f t="shared" si="37"/>
        <v>(110;55)</v>
      </c>
      <c r="BG148" s="12" t="str">
        <f t="shared" si="37"/>
        <v>(110;56)</v>
      </c>
      <c r="BH148" s="12" t="str">
        <f t="shared" si="37"/>
        <v>(110;57)</v>
      </c>
      <c r="BI148" s="12" t="str">
        <f t="shared" si="37"/>
        <v>(110;58)</v>
      </c>
      <c r="BJ148" s="12" t="str">
        <f t="shared" si="37"/>
        <v>(110;59)</v>
      </c>
      <c r="BK148" s="12" t="str">
        <f t="shared" si="37"/>
        <v>(110;60)</v>
      </c>
      <c r="BL148" s="12" t="str">
        <f t="shared" si="37"/>
        <v>(110;61)</v>
      </c>
      <c r="BM148" s="12" t="str">
        <f t="shared" si="36"/>
        <v>(110;62)</v>
      </c>
      <c r="BN148" s="12" t="str">
        <f t="shared" si="36"/>
        <v>(110;63)</v>
      </c>
    </row>
    <row r="149" spans="1:66">
      <c r="B149">
        <f t="shared" si="27"/>
        <v>111</v>
      </c>
      <c r="C149" s="12" t="str">
        <f t="shared" si="40"/>
        <v>(111;00)</v>
      </c>
      <c r="D149" s="12" t="str">
        <f t="shared" si="40"/>
        <v>(111;01)</v>
      </c>
      <c r="E149" s="12" t="str">
        <f t="shared" si="40"/>
        <v>(111;02)</v>
      </c>
      <c r="F149" s="12" t="str">
        <f t="shared" si="40"/>
        <v>(111;03)</v>
      </c>
      <c r="G149" s="12" t="str">
        <f t="shared" si="40"/>
        <v>(111;04)</v>
      </c>
      <c r="H149" s="12" t="str">
        <f t="shared" si="40"/>
        <v>(111;05)</v>
      </c>
      <c r="I149" s="12" t="str">
        <f t="shared" si="40"/>
        <v>(111;06)</v>
      </c>
      <c r="J149" s="12" t="str">
        <f t="shared" si="40"/>
        <v>(111;07)</v>
      </c>
      <c r="K149" s="12" t="str">
        <f t="shared" si="40"/>
        <v>(111;08)</v>
      </c>
      <c r="L149" s="12" t="str">
        <f t="shared" si="40"/>
        <v>(111;09)</v>
      </c>
      <c r="M149" s="12" t="str">
        <f t="shared" si="40"/>
        <v>(111;10)</v>
      </c>
      <c r="N149" s="12" t="str">
        <f t="shared" si="40"/>
        <v>(111;11)</v>
      </c>
      <c r="O149" s="12" t="str">
        <f t="shared" si="40"/>
        <v>(111;12)</v>
      </c>
      <c r="P149" s="12" t="str">
        <f t="shared" si="40"/>
        <v>(111;13)</v>
      </c>
      <c r="Q149" s="12" t="str">
        <f t="shared" si="40"/>
        <v>(111;14)</v>
      </c>
      <c r="R149" s="12" t="str">
        <f t="shared" si="40"/>
        <v>(111;15)</v>
      </c>
      <c r="S149" s="12" t="str">
        <f t="shared" si="38"/>
        <v>(111;16)</v>
      </c>
      <c r="T149" s="12" t="str">
        <f t="shared" si="38"/>
        <v>(111;17)</v>
      </c>
      <c r="U149" s="12" t="str">
        <f t="shared" si="38"/>
        <v>(111;18)</v>
      </c>
      <c r="V149" s="12" t="str">
        <f t="shared" si="38"/>
        <v>(111;19)</v>
      </c>
      <c r="W149" s="12" t="str">
        <f t="shared" si="38"/>
        <v>(111;20)</v>
      </c>
      <c r="X149" s="12" t="str">
        <f t="shared" si="38"/>
        <v>(111;21)</v>
      </c>
      <c r="Y149" s="12" t="str">
        <f t="shared" si="38"/>
        <v>(111;22)</v>
      </c>
      <c r="Z149" s="12" t="str">
        <f t="shared" si="38"/>
        <v>(111;23)</v>
      </c>
      <c r="AA149" s="12" t="str">
        <f t="shared" si="38"/>
        <v>(111;24)</v>
      </c>
      <c r="AB149" s="12" t="str">
        <f t="shared" si="38"/>
        <v>(111;25)</v>
      </c>
      <c r="AC149" s="12" t="str">
        <f t="shared" si="38"/>
        <v>(111;26)</v>
      </c>
      <c r="AD149" s="12" t="str">
        <f t="shared" si="38"/>
        <v>(111;27)</v>
      </c>
      <c r="AE149" s="12" t="str">
        <f t="shared" si="38"/>
        <v>(111;28)</v>
      </c>
      <c r="AF149" s="12" t="str">
        <f t="shared" si="38"/>
        <v>(111;29)</v>
      </c>
      <c r="AG149" s="12" t="str">
        <f t="shared" si="38"/>
        <v>(111;30)</v>
      </c>
      <c r="AH149" s="12" t="str">
        <f t="shared" si="39"/>
        <v>(111;31)</v>
      </c>
      <c r="AI149" s="12" t="str">
        <f t="shared" si="39"/>
        <v>(111;32)</v>
      </c>
      <c r="AJ149" s="12" t="str">
        <f t="shared" si="39"/>
        <v>(111;33)</v>
      </c>
      <c r="AK149" s="12" t="str">
        <f t="shared" si="39"/>
        <v>(111;34)</v>
      </c>
      <c r="AL149" s="12" t="str">
        <f t="shared" si="39"/>
        <v>(111;35)</v>
      </c>
      <c r="AM149" s="12" t="str">
        <f t="shared" si="39"/>
        <v>(111;36)</v>
      </c>
      <c r="AN149" s="12" t="str">
        <f t="shared" si="39"/>
        <v>(111;37)</v>
      </c>
      <c r="AO149" s="12" t="str">
        <f t="shared" si="39"/>
        <v>(111;38)</v>
      </c>
      <c r="AP149" s="12" t="str">
        <f t="shared" si="39"/>
        <v>(111;39)</v>
      </c>
      <c r="AQ149" s="12" t="str">
        <f t="shared" si="39"/>
        <v>(111;40)</v>
      </c>
      <c r="AR149" s="12" t="str">
        <f t="shared" si="39"/>
        <v>(111;41)</v>
      </c>
      <c r="AS149" s="12" t="str">
        <f t="shared" si="39"/>
        <v>(111;42)</v>
      </c>
      <c r="AT149" s="12" t="str">
        <f t="shared" si="39"/>
        <v>(111;43)</v>
      </c>
      <c r="AU149" s="12" t="str">
        <f t="shared" si="39"/>
        <v>(111;44)</v>
      </c>
      <c r="AV149" s="12" t="str">
        <f t="shared" si="39"/>
        <v>(111;45)</v>
      </c>
      <c r="AW149" s="12" t="str">
        <f t="shared" si="39"/>
        <v>(111;46)</v>
      </c>
      <c r="AX149" s="12" t="str">
        <f t="shared" si="37"/>
        <v>(111;47)</v>
      </c>
      <c r="AY149" s="12" t="str">
        <f t="shared" si="37"/>
        <v>(111;48)</v>
      </c>
      <c r="AZ149" s="12" t="str">
        <f t="shared" si="37"/>
        <v>(111;49)</v>
      </c>
      <c r="BA149" s="12" t="str">
        <f t="shared" si="37"/>
        <v>(111;50)</v>
      </c>
      <c r="BB149" s="12" t="str">
        <f t="shared" si="37"/>
        <v>(111;51)</v>
      </c>
      <c r="BC149" s="12" t="str">
        <f t="shared" si="37"/>
        <v>(111;52)</v>
      </c>
      <c r="BD149" s="12" t="str">
        <f t="shared" si="37"/>
        <v>(111;53)</v>
      </c>
      <c r="BE149" s="12" t="str">
        <f t="shared" si="37"/>
        <v>(111;54)</v>
      </c>
      <c r="BF149" s="12" t="str">
        <f t="shared" si="37"/>
        <v>(111;55)</v>
      </c>
      <c r="BG149" s="12" t="str">
        <f t="shared" si="37"/>
        <v>(111;56)</v>
      </c>
      <c r="BH149" s="12" t="str">
        <f t="shared" si="37"/>
        <v>(111;57)</v>
      </c>
      <c r="BI149" s="12" t="str">
        <f t="shared" si="37"/>
        <v>(111;58)</v>
      </c>
      <c r="BJ149" s="12" t="str">
        <f t="shared" si="37"/>
        <v>(111;59)</v>
      </c>
      <c r="BK149" s="12" t="str">
        <f t="shared" si="37"/>
        <v>(111;60)</v>
      </c>
      <c r="BL149" s="12" t="str">
        <f t="shared" si="37"/>
        <v>(111;61)</v>
      </c>
      <c r="BM149" s="12" t="str">
        <f t="shared" si="36"/>
        <v>(111;62)</v>
      </c>
      <c r="BN149" s="12" t="str">
        <f t="shared" si="36"/>
        <v>(111;63)</v>
      </c>
    </row>
    <row r="154" spans="1:66">
      <c r="A154" t="s">
        <v>123</v>
      </c>
      <c r="C154" t="s">
        <v>117</v>
      </c>
    </row>
    <row r="155" spans="1:66">
      <c r="A155" t="s">
        <v>122</v>
      </c>
      <c r="B155" t="s">
        <v>116</v>
      </c>
      <c r="C155" s="14">
        <v>0</v>
      </c>
      <c r="D155" s="14">
        <f>(IF(C155+1&lt;$B$17,C155+1,""))</f>
        <v>1</v>
      </c>
      <c r="E155" s="14">
        <f t="shared" ref="E155:BN155" si="41">(IF(D155+1&lt;$B$17,D155+1,""))</f>
        <v>2</v>
      </c>
      <c r="F155" s="14">
        <f t="shared" si="41"/>
        <v>3</v>
      </c>
      <c r="G155" s="14">
        <f t="shared" si="41"/>
        <v>4</v>
      </c>
      <c r="H155" s="14">
        <f t="shared" si="41"/>
        <v>5</v>
      </c>
      <c r="I155" s="14">
        <f t="shared" si="41"/>
        <v>6</v>
      </c>
      <c r="J155" s="14">
        <f t="shared" si="41"/>
        <v>7</v>
      </c>
      <c r="K155" s="14">
        <f t="shared" si="41"/>
        <v>8</v>
      </c>
      <c r="L155" s="14">
        <f t="shared" si="41"/>
        <v>9</v>
      </c>
      <c r="M155" s="14">
        <f t="shared" si="41"/>
        <v>10</v>
      </c>
      <c r="N155" s="14">
        <f t="shared" si="41"/>
        <v>11</v>
      </c>
      <c r="O155" s="14">
        <f t="shared" si="41"/>
        <v>12</v>
      </c>
      <c r="P155" s="14">
        <f t="shared" si="41"/>
        <v>13</v>
      </c>
      <c r="Q155" s="14">
        <f t="shared" si="41"/>
        <v>14</v>
      </c>
      <c r="R155" s="14">
        <f t="shared" si="41"/>
        <v>15</v>
      </c>
      <c r="S155" s="14">
        <f t="shared" si="41"/>
        <v>16</v>
      </c>
      <c r="T155" s="14">
        <f t="shared" si="41"/>
        <v>17</v>
      </c>
      <c r="U155" s="14">
        <f t="shared" si="41"/>
        <v>18</v>
      </c>
      <c r="V155" s="14">
        <f t="shared" si="41"/>
        <v>19</v>
      </c>
      <c r="W155" s="14">
        <f t="shared" si="41"/>
        <v>20</v>
      </c>
      <c r="X155" s="14">
        <f t="shared" si="41"/>
        <v>21</v>
      </c>
      <c r="Y155" s="14">
        <f t="shared" si="41"/>
        <v>22</v>
      </c>
      <c r="Z155" s="14">
        <f t="shared" si="41"/>
        <v>23</v>
      </c>
      <c r="AA155" s="14">
        <f t="shared" si="41"/>
        <v>24</v>
      </c>
      <c r="AB155" s="14">
        <f t="shared" si="41"/>
        <v>25</v>
      </c>
      <c r="AC155" s="14">
        <f t="shared" si="41"/>
        <v>26</v>
      </c>
      <c r="AD155" s="14">
        <f t="shared" si="41"/>
        <v>27</v>
      </c>
      <c r="AE155" s="14">
        <f t="shared" si="41"/>
        <v>28</v>
      </c>
      <c r="AF155" s="14">
        <f t="shared" si="41"/>
        <v>29</v>
      </c>
      <c r="AG155" s="14">
        <f t="shared" si="41"/>
        <v>30</v>
      </c>
      <c r="AH155" s="14">
        <f t="shared" si="41"/>
        <v>31</v>
      </c>
      <c r="AI155" s="14">
        <f t="shared" si="41"/>
        <v>32</v>
      </c>
      <c r="AJ155" s="14">
        <f t="shared" si="41"/>
        <v>33</v>
      </c>
      <c r="AK155" s="14">
        <f t="shared" si="41"/>
        <v>34</v>
      </c>
      <c r="AL155" s="14">
        <f t="shared" si="41"/>
        <v>35</v>
      </c>
      <c r="AM155" s="14">
        <f t="shared" si="41"/>
        <v>36</v>
      </c>
      <c r="AN155" s="14">
        <f t="shared" si="41"/>
        <v>37</v>
      </c>
      <c r="AO155" s="14">
        <f t="shared" si="41"/>
        <v>38</v>
      </c>
      <c r="AP155" s="14">
        <f t="shared" si="41"/>
        <v>39</v>
      </c>
      <c r="AQ155" s="14">
        <f t="shared" si="41"/>
        <v>40</v>
      </c>
      <c r="AR155" s="14">
        <f t="shared" si="41"/>
        <v>41</v>
      </c>
      <c r="AS155" s="14">
        <f t="shared" si="41"/>
        <v>42</v>
      </c>
      <c r="AT155" s="14">
        <f t="shared" si="41"/>
        <v>43</v>
      </c>
      <c r="AU155" s="14">
        <f t="shared" si="41"/>
        <v>44</v>
      </c>
      <c r="AV155" s="14">
        <f t="shared" si="41"/>
        <v>45</v>
      </c>
      <c r="AW155" s="14">
        <f t="shared" si="41"/>
        <v>46</v>
      </c>
      <c r="AX155" s="14">
        <f t="shared" si="41"/>
        <v>47</v>
      </c>
      <c r="AY155" s="14">
        <f t="shared" si="41"/>
        <v>48</v>
      </c>
      <c r="AZ155" s="14">
        <f t="shared" si="41"/>
        <v>49</v>
      </c>
      <c r="BA155" s="14">
        <f t="shared" si="41"/>
        <v>50</v>
      </c>
      <c r="BB155" s="14">
        <f t="shared" si="41"/>
        <v>51</v>
      </c>
      <c r="BC155" s="14">
        <f t="shared" si="41"/>
        <v>52</v>
      </c>
      <c r="BD155" s="14">
        <f t="shared" si="41"/>
        <v>53</v>
      </c>
      <c r="BE155" s="14">
        <f t="shared" si="41"/>
        <v>54</v>
      </c>
      <c r="BF155" s="14">
        <f t="shared" si="41"/>
        <v>55</v>
      </c>
      <c r="BG155" s="14">
        <f t="shared" si="41"/>
        <v>56</v>
      </c>
      <c r="BH155" s="14">
        <f t="shared" si="41"/>
        <v>57</v>
      </c>
      <c r="BI155" s="14">
        <f t="shared" si="41"/>
        <v>58</v>
      </c>
      <c r="BJ155" s="14">
        <f t="shared" si="41"/>
        <v>59</v>
      </c>
      <c r="BK155" s="14">
        <f t="shared" si="41"/>
        <v>60</v>
      </c>
      <c r="BL155" s="14">
        <f t="shared" si="41"/>
        <v>61</v>
      </c>
      <c r="BM155" s="14">
        <f t="shared" si="41"/>
        <v>62</v>
      </c>
      <c r="BN155" s="14">
        <f t="shared" si="41"/>
        <v>63</v>
      </c>
    </row>
    <row r="156" spans="1:66">
      <c r="A156">
        <f>VLOOKUP(B156,Teste!$A$137:$G$236,7,FALSE)</f>
        <v>0</v>
      </c>
      <c r="B156">
        <v>0</v>
      </c>
      <c r="C156" s="13">
        <f t="shared" ref="C156:L165" si="42">C$155 + numGenes*$B156</f>
        <v>0</v>
      </c>
      <c r="D156" s="13">
        <f t="shared" si="42"/>
        <v>1</v>
      </c>
      <c r="E156" s="13">
        <f t="shared" si="42"/>
        <v>2</v>
      </c>
      <c r="F156" s="13">
        <f t="shared" si="42"/>
        <v>3</v>
      </c>
      <c r="G156" s="13">
        <f t="shared" si="42"/>
        <v>4</v>
      </c>
      <c r="H156" s="13">
        <f t="shared" si="42"/>
        <v>5</v>
      </c>
      <c r="I156" s="13">
        <f t="shared" si="42"/>
        <v>6</v>
      </c>
      <c r="J156" s="13">
        <f t="shared" si="42"/>
        <v>7</v>
      </c>
      <c r="K156" s="13">
        <f t="shared" si="42"/>
        <v>8</v>
      </c>
      <c r="L156" s="13">
        <f t="shared" si="42"/>
        <v>9</v>
      </c>
      <c r="M156" s="13">
        <f t="shared" ref="M156:V165" si="43">M$155 + numGenes*$B156</f>
        <v>10</v>
      </c>
      <c r="N156" s="13">
        <f t="shared" si="43"/>
        <v>11</v>
      </c>
      <c r="O156" s="13">
        <f t="shared" si="43"/>
        <v>12</v>
      </c>
      <c r="P156" s="13">
        <f t="shared" si="43"/>
        <v>13</v>
      </c>
      <c r="Q156" s="13">
        <f t="shared" si="43"/>
        <v>14</v>
      </c>
      <c r="R156" s="13">
        <f t="shared" si="43"/>
        <v>15</v>
      </c>
      <c r="S156" s="13">
        <f t="shared" si="43"/>
        <v>16</v>
      </c>
      <c r="T156" s="13">
        <f t="shared" si="43"/>
        <v>17</v>
      </c>
      <c r="U156" s="13">
        <f t="shared" si="43"/>
        <v>18</v>
      </c>
      <c r="V156" s="13">
        <f t="shared" si="43"/>
        <v>19</v>
      </c>
      <c r="W156" s="13">
        <f t="shared" ref="W156:AF165" si="44">W$155 + numGenes*$B156</f>
        <v>20</v>
      </c>
      <c r="X156" s="13">
        <f t="shared" si="44"/>
        <v>21</v>
      </c>
      <c r="Y156" s="13">
        <f t="shared" si="44"/>
        <v>22</v>
      </c>
      <c r="Z156" s="13">
        <f t="shared" si="44"/>
        <v>23</v>
      </c>
      <c r="AA156" s="13">
        <f t="shared" si="44"/>
        <v>24</v>
      </c>
      <c r="AB156" s="13">
        <f t="shared" si="44"/>
        <v>25</v>
      </c>
      <c r="AC156" s="13">
        <f t="shared" si="44"/>
        <v>26</v>
      </c>
      <c r="AD156" s="13">
        <f t="shared" si="44"/>
        <v>27</v>
      </c>
      <c r="AE156" s="13">
        <f t="shared" si="44"/>
        <v>28</v>
      </c>
      <c r="AF156" s="13">
        <f t="shared" si="44"/>
        <v>29</v>
      </c>
      <c r="AG156" s="13">
        <f t="shared" ref="AG156:AP165" si="45">AG$155 + numGenes*$B156</f>
        <v>30</v>
      </c>
      <c r="AH156" s="13">
        <f t="shared" si="45"/>
        <v>31</v>
      </c>
      <c r="AI156" s="13">
        <f t="shared" si="45"/>
        <v>32</v>
      </c>
      <c r="AJ156" s="13">
        <f t="shared" si="45"/>
        <v>33</v>
      </c>
      <c r="AK156" s="13">
        <f t="shared" si="45"/>
        <v>34</v>
      </c>
      <c r="AL156" s="13">
        <f t="shared" si="45"/>
        <v>35</v>
      </c>
      <c r="AM156" s="13">
        <f t="shared" si="45"/>
        <v>36</v>
      </c>
      <c r="AN156" s="13">
        <f t="shared" si="45"/>
        <v>37</v>
      </c>
      <c r="AO156" s="13">
        <f t="shared" si="45"/>
        <v>38</v>
      </c>
      <c r="AP156" s="13">
        <f t="shared" si="45"/>
        <v>39</v>
      </c>
      <c r="AQ156" s="13">
        <f t="shared" ref="AQ156:AZ165" si="46">AQ$155 + numGenes*$B156</f>
        <v>40</v>
      </c>
      <c r="AR156" s="13">
        <f t="shared" si="46"/>
        <v>41</v>
      </c>
      <c r="AS156" s="13">
        <f t="shared" si="46"/>
        <v>42</v>
      </c>
      <c r="AT156" s="13">
        <f t="shared" si="46"/>
        <v>43</v>
      </c>
      <c r="AU156" s="13">
        <f t="shared" si="46"/>
        <v>44</v>
      </c>
      <c r="AV156" s="13">
        <f t="shared" si="46"/>
        <v>45</v>
      </c>
      <c r="AW156" s="13">
        <f t="shared" si="46"/>
        <v>46</v>
      </c>
      <c r="AX156" s="13">
        <f t="shared" si="46"/>
        <v>47</v>
      </c>
      <c r="AY156" s="13">
        <f t="shared" si="46"/>
        <v>48</v>
      </c>
      <c r="AZ156" s="13">
        <f t="shared" si="46"/>
        <v>49</v>
      </c>
      <c r="BA156" s="13">
        <f t="shared" ref="BA156:BN165" si="47">BA$155 + numGenes*$B156</f>
        <v>50</v>
      </c>
      <c r="BB156" s="13">
        <f t="shared" si="47"/>
        <v>51</v>
      </c>
      <c r="BC156" s="13">
        <f t="shared" si="47"/>
        <v>52</v>
      </c>
      <c r="BD156" s="13">
        <f t="shared" si="47"/>
        <v>53</v>
      </c>
      <c r="BE156" s="13">
        <f t="shared" si="47"/>
        <v>54</v>
      </c>
      <c r="BF156" s="13">
        <f t="shared" si="47"/>
        <v>55</v>
      </c>
      <c r="BG156" s="13">
        <f t="shared" si="47"/>
        <v>56</v>
      </c>
      <c r="BH156" s="13">
        <f t="shared" si="47"/>
        <v>57</v>
      </c>
      <c r="BI156" s="13">
        <f t="shared" si="47"/>
        <v>58</v>
      </c>
      <c r="BJ156" s="13">
        <f t="shared" si="47"/>
        <v>59</v>
      </c>
      <c r="BK156" s="13">
        <f t="shared" si="47"/>
        <v>60</v>
      </c>
      <c r="BL156" s="13">
        <f t="shared" si="47"/>
        <v>61</v>
      </c>
      <c r="BM156" s="13">
        <f t="shared" si="47"/>
        <v>62</v>
      </c>
      <c r="BN156" s="13">
        <f t="shared" si="47"/>
        <v>63</v>
      </c>
    </row>
    <row r="157" spans="1:66">
      <c r="A157">
        <f>VLOOKUP(B157,Teste!$A$137:$G$236,7,FALSE)</f>
        <v>0</v>
      </c>
      <c r="B157">
        <f>(IF(B156+1&lt;$B$16,B156+1,""))</f>
        <v>1</v>
      </c>
      <c r="C157" s="13">
        <f t="shared" si="42"/>
        <v>50</v>
      </c>
      <c r="D157" s="13">
        <f t="shared" si="42"/>
        <v>51</v>
      </c>
      <c r="E157" s="13">
        <f t="shared" si="42"/>
        <v>52</v>
      </c>
      <c r="F157" s="13">
        <f t="shared" si="42"/>
        <v>53</v>
      </c>
      <c r="G157" s="13">
        <f t="shared" si="42"/>
        <v>54</v>
      </c>
      <c r="H157" s="13">
        <f t="shared" si="42"/>
        <v>55</v>
      </c>
      <c r="I157" s="13">
        <f t="shared" si="42"/>
        <v>56</v>
      </c>
      <c r="J157" s="13">
        <f t="shared" si="42"/>
        <v>57</v>
      </c>
      <c r="K157" s="13">
        <f t="shared" si="42"/>
        <v>58</v>
      </c>
      <c r="L157" s="13">
        <f t="shared" si="42"/>
        <v>59</v>
      </c>
      <c r="M157" s="13">
        <f t="shared" si="43"/>
        <v>60</v>
      </c>
      <c r="N157" s="13">
        <f t="shared" si="43"/>
        <v>61</v>
      </c>
      <c r="O157" s="13">
        <f t="shared" si="43"/>
        <v>62</v>
      </c>
      <c r="P157" s="13">
        <f t="shared" si="43"/>
        <v>63</v>
      </c>
      <c r="Q157" s="13">
        <f t="shared" si="43"/>
        <v>64</v>
      </c>
      <c r="R157" s="13">
        <f t="shared" si="43"/>
        <v>65</v>
      </c>
      <c r="S157" s="13">
        <f t="shared" si="43"/>
        <v>66</v>
      </c>
      <c r="T157" s="13">
        <f t="shared" si="43"/>
        <v>67</v>
      </c>
      <c r="U157" s="13">
        <f t="shared" si="43"/>
        <v>68</v>
      </c>
      <c r="V157" s="13">
        <f t="shared" si="43"/>
        <v>69</v>
      </c>
      <c r="W157" s="13">
        <f t="shared" si="44"/>
        <v>70</v>
      </c>
      <c r="X157" s="13">
        <f t="shared" si="44"/>
        <v>71</v>
      </c>
      <c r="Y157" s="13">
        <f t="shared" si="44"/>
        <v>72</v>
      </c>
      <c r="Z157" s="13">
        <f t="shared" si="44"/>
        <v>73</v>
      </c>
      <c r="AA157" s="13">
        <f t="shared" si="44"/>
        <v>74</v>
      </c>
      <c r="AB157" s="13">
        <f t="shared" si="44"/>
        <v>75</v>
      </c>
      <c r="AC157" s="13">
        <f t="shared" si="44"/>
        <v>76</v>
      </c>
      <c r="AD157" s="13">
        <f t="shared" si="44"/>
        <v>77</v>
      </c>
      <c r="AE157" s="13">
        <f t="shared" si="44"/>
        <v>78</v>
      </c>
      <c r="AF157" s="13">
        <f t="shared" si="44"/>
        <v>79</v>
      </c>
      <c r="AG157" s="13">
        <f t="shared" si="45"/>
        <v>80</v>
      </c>
      <c r="AH157" s="13">
        <f t="shared" si="45"/>
        <v>81</v>
      </c>
      <c r="AI157" s="13">
        <f t="shared" si="45"/>
        <v>82</v>
      </c>
      <c r="AJ157" s="13">
        <f t="shared" si="45"/>
        <v>83</v>
      </c>
      <c r="AK157" s="13">
        <f t="shared" si="45"/>
        <v>84</v>
      </c>
      <c r="AL157" s="13">
        <f t="shared" si="45"/>
        <v>85</v>
      </c>
      <c r="AM157" s="13">
        <f t="shared" si="45"/>
        <v>86</v>
      </c>
      <c r="AN157" s="13">
        <f t="shared" si="45"/>
        <v>87</v>
      </c>
      <c r="AO157" s="13">
        <f t="shared" si="45"/>
        <v>88</v>
      </c>
      <c r="AP157" s="13">
        <f t="shared" si="45"/>
        <v>89</v>
      </c>
      <c r="AQ157" s="13">
        <f t="shared" si="46"/>
        <v>90</v>
      </c>
      <c r="AR157" s="13">
        <f t="shared" si="46"/>
        <v>91</v>
      </c>
      <c r="AS157" s="13">
        <f t="shared" si="46"/>
        <v>92</v>
      </c>
      <c r="AT157" s="13">
        <f t="shared" si="46"/>
        <v>93</v>
      </c>
      <c r="AU157" s="13">
        <f t="shared" si="46"/>
        <v>94</v>
      </c>
      <c r="AV157" s="13">
        <f t="shared" si="46"/>
        <v>95</v>
      </c>
      <c r="AW157" s="13">
        <f t="shared" si="46"/>
        <v>96</v>
      </c>
      <c r="AX157" s="13">
        <f t="shared" si="46"/>
        <v>97</v>
      </c>
      <c r="AY157" s="13">
        <f t="shared" si="46"/>
        <v>98</v>
      </c>
      <c r="AZ157" s="13">
        <f t="shared" si="46"/>
        <v>99</v>
      </c>
      <c r="BA157" s="13">
        <f t="shared" si="47"/>
        <v>100</v>
      </c>
      <c r="BB157" s="13">
        <f t="shared" si="47"/>
        <v>101</v>
      </c>
      <c r="BC157" s="13">
        <f t="shared" si="47"/>
        <v>102</v>
      </c>
      <c r="BD157" s="13">
        <f t="shared" si="47"/>
        <v>103</v>
      </c>
      <c r="BE157" s="13">
        <f t="shared" si="47"/>
        <v>104</v>
      </c>
      <c r="BF157" s="13">
        <f t="shared" si="47"/>
        <v>105</v>
      </c>
      <c r="BG157" s="13">
        <f t="shared" si="47"/>
        <v>106</v>
      </c>
      <c r="BH157" s="13">
        <f t="shared" si="47"/>
        <v>107</v>
      </c>
      <c r="BI157" s="13">
        <f t="shared" si="47"/>
        <v>108</v>
      </c>
      <c r="BJ157" s="13">
        <f t="shared" si="47"/>
        <v>109</v>
      </c>
      <c r="BK157" s="13">
        <f t="shared" si="47"/>
        <v>110</v>
      </c>
      <c r="BL157" s="13">
        <f t="shared" si="47"/>
        <v>111</v>
      </c>
      <c r="BM157" s="13">
        <f t="shared" si="47"/>
        <v>112</v>
      </c>
      <c r="BN157" s="13">
        <f t="shared" si="47"/>
        <v>113</v>
      </c>
    </row>
    <row r="158" spans="1:66">
      <c r="A158">
        <f>VLOOKUP(B158,Teste!$A$137:$G$236,7,FALSE)</f>
        <v>0</v>
      </c>
      <c r="B158">
        <f t="shared" ref="B158:B221" si="48">(IF(B157+1&lt;$B$16,B157+1,""))</f>
        <v>2</v>
      </c>
      <c r="C158" s="13">
        <f t="shared" si="42"/>
        <v>100</v>
      </c>
      <c r="D158" s="13">
        <f t="shared" si="42"/>
        <v>101</v>
      </c>
      <c r="E158" s="13">
        <f t="shared" si="42"/>
        <v>102</v>
      </c>
      <c r="F158" s="13">
        <f t="shared" si="42"/>
        <v>103</v>
      </c>
      <c r="G158" s="13">
        <f t="shared" si="42"/>
        <v>104</v>
      </c>
      <c r="H158" s="13">
        <f t="shared" si="42"/>
        <v>105</v>
      </c>
      <c r="I158" s="13">
        <f t="shared" si="42"/>
        <v>106</v>
      </c>
      <c r="J158" s="13">
        <f t="shared" si="42"/>
        <v>107</v>
      </c>
      <c r="K158" s="13">
        <f t="shared" si="42"/>
        <v>108</v>
      </c>
      <c r="L158" s="13">
        <f t="shared" si="42"/>
        <v>109</v>
      </c>
      <c r="M158" s="13">
        <f t="shared" si="43"/>
        <v>110</v>
      </c>
      <c r="N158" s="13">
        <f t="shared" si="43"/>
        <v>111</v>
      </c>
      <c r="O158" s="13">
        <f t="shared" si="43"/>
        <v>112</v>
      </c>
      <c r="P158" s="13">
        <f t="shared" si="43"/>
        <v>113</v>
      </c>
      <c r="Q158" s="13">
        <f t="shared" si="43"/>
        <v>114</v>
      </c>
      <c r="R158" s="13">
        <f t="shared" si="43"/>
        <v>115</v>
      </c>
      <c r="S158" s="13">
        <f t="shared" si="43"/>
        <v>116</v>
      </c>
      <c r="T158" s="13">
        <f t="shared" si="43"/>
        <v>117</v>
      </c>
      <c r="U158" s="13">
        <f t="shared" si="43"/>
        <v>118</v>
      </c>
      <c r="V158" s="13">
        <f t="shared" si="43"/>
        <v>119</v>
      </c>
      <c r="W158" s="13">
        <f t="shared" si="44"/>
        <v>120</v>
      </c>
      <c r="X158" s="13">
        <f t="shared" si="44"/>
        <v>121</v>
      </c>
      <c r="Y158" s="13">
        <f t="shared" si="44"/>
        <v>122</v>
      </c>
      <c r="Z158" s="13">
        <f t="shared" si="44"/>
        <v>123</v>
      </c>
      <c r="AA158" s="13">
        <f t="shared" si="44"/>
        <v>124</v>
      </c>
      <c r="AB158" s="13">
        <f t="shared" si="44"/>
        <v>125</v>
      </c>
      <c r="AC158" s="13">
        <f t="shared" si="44"/>
        <v>126</v>
      </c>
      <c r="AD158" s="13">
        <f t="shared" si="44"/>
        <v>127</v>
      </c>
      <c r="AE158" s="13">
        <f t="shared" si="44"/>
        <v>128</v>
      </c>
      <c r="AF158" s="13">
        <f t="shared" si="44"/>
        <v>129</v>
      </c>
      <c r="AG158" s="13">
        <f t="shared" si="45"/>
        <v>130</v>
      </c>
      <c r="AH158" s="13">
        <f t="shared" si="45"/>
        <v>131</v>
      </c>
      <c r="AI158" s="13">
        <f t="shared" si="45"/>
        <v>132</v>
      </c>
      <c r="AJ158" s="13">
        <f t="shared" si="45"/>
        <v>133</v>
      </c>
      <c r="AK158" s="13">
        <f t="shared" si="45"/>
        <v>134</v>
      </c>
      <c r="AL158" s="13">
        <f t="shared" si="45"/>
        <v>135</v>
      </c>
      <c r="AM158" s="13">
        <f t="shared" si="45"/>
        <v>136</v>
      </c>
      <c r="AN158" s="13">
        <f t="shared" si="45"/>
        <v>137</v>
      </c>
      <c r="AO158" s="13">
        <f t="shared" si="45"/>
        <v>138</v>
      </c>
      <c r="AP158" s="13">
        <f t="shared" si="45"/>
        <v>139</v>
      </c>
      <c r="AQ158" s="13">
        <f t="shared" si="46"/>
        <v>140</v>
      </c>
      <c r="AR158" s="13">
        <f t="shared" si="46"/>
        <v>141</v>
      </c>
      <c r="AS158" s="13">
        <f t="shared" si="46"/>
        <v>142</v>
      </c>
      <c r="AT158" s="13">
        <f t="shared" si="46"/>
        <v>143</v>
      </c>
      <c r="AU158" s="13">
        <f t="shared" si="46"/>
        <v>144</v>
      </c>
      <c r="AV158" s="13">
        <f t="shared" si="46"/>
        <v>145</v>
      </c>
      <c r="AW158" s="13">
        <f t="shared" si="46"/>
        <v>146</v>
      </c>
      <c r="AX158" s="13">
        <f t="shared" si="46"/>
        <v>147</v>
      </c>
      <c r="AY158" s="13">
        <f t="shared" si="46"/>
        <v>148</v>
      </c>
      <c r="AZ158" s="13">
        <f t="shared" si="46"/>
        <v>149</v>
      </c>
      <c r="BA158" s="13">
        <f t="shared" si="47"/>
        <v>150</v>
      </c>
      <c r="BB158" s="13">
        <f t="shared" si="47"/>
        <v>151</v>
      </c>
      <c r="BC158" s="13">
        <f t="shared" si="47"/>
        <v>152</v>
      </c>
      <c r="BD158" s="13">
        <f t="shared" si="47"/>
        <v>153</v>
      </c>
      <c r="BE158" s="13">
        <f t="shared" si="47"/>
        <v>154</v>
      </c>
      <c r="BF158" s="13">
        <f t="shared" si="47"/>
        <v>155</v>
      </c>
      <c r="BG158" s="13">
        <f t="shared" si="47"/>
        <v>156</v>
      </c>
      <c r="BH158" s="13">
        <f t="shared" si="47"/>
        <v>157</v>
      </c>
      <c r="BI158" s="13">
        <f t="shared" si="47"/>
        <v>158</v>
      </c>
      <c r="BJ158" s="13">
        <f t="shared" si="47"/>
        <v>159</v>
      </c>
      <c r="BK158" s="13">
        <f t="shared" si="47"/>
        <v>160</v>
      </c>
      <c r="BL158" s="13">
        <f t="shared" si="47"/>
        <v>161</v>
      </c>
      <c r="BM158" s="13">
        <f t="shared" si="47"/>
        <v>162</v>
      </c>
      <c r="BN158" s="13">
        <f t="shared" si="47"/>
        <v>163</v>
      </c>
    </row>
    <row r="159" spans="1:66">
      <c r="A159">
        <f>VLOOKUP(B159,Teste!$A$137:$G$236,7,FALSE)</f>
        <v>0</v>
      </c>
      <c r="B159">
        <f t="shared" si="48"/>
        <v>3</v>
      </c>
      <c r="C159" s="13">
        <f t="shared" si="42"/>
        <v>150</v>
      </c>
      <c r="D159" s="13">
        <f t="shared" si="42"/>
        <v>151</v>
      </c>
      <c r="E159" s="13">
        <f t="shared" si="42"/>
        <v>152</v>
      </c>
      <c r="F159" s="13">
        <f t="shared" si="42"/>
        <v>153</v>
      </c>
      <c r="G159" s="13">
        <f t="shared" si="42"/>
        <v>154</v>
      </c>
      <c r="H159" s="13">
        <f t="shared" si="42"/>
        <v>155</v>
      </c>
      <c r="I159" s="13">
        <f t="shared" si="42"/>
        <v>156</v>
      </c>
      <c r="J159" s="13">
        <f t="shared" si="42"/>
        <v>157</v>
      </c>
      <c r="K159" s="13">
        <f t="shared" si="42"/>
        <v>158</v>
      </c>
      <c r="L159" s="13">
        <f t="shared" si="42"/>
        <v>159</v>
      </c>
      <c r="M159" s="13">
        <f t="shared" si="43"/>
        <v>160</v>
      </c>
      <c r="N159" s="13">
        <f t="shared" si="43"/>
        <v>161</v>
      </c>
      <c r="O159" s="13">
        <f t="shared" si="43"/>
        <v>162</v>
      </c>
      <c r="P159" s="13">
        <f t="shared" si="43"/>
        <v>163</v>
      </c>
      <c r="Q159" s="13">
        <f t="shared" si="43"/>
        <v>164</v>
      </c>
      <c r="R159" s="13">
        <f t="shared" si="43"/>
        <v>165</v>
      </c>
      <c r="S159" s="13">
        <f t="shared" si="43"/>
        <v>166</v>
      </c>
      <c r="T159" s="13">
        <f t="shared" si="43"/>
        <v>167</v>
      </c>
      <c r="U159" s="13">
        <f t="shared" si="43"/>
        <v>168</v>
      </c>
      <c r="V159" s="13">
        <f t="shared" si="43"/>
        <v>169</v>
      </c>
      <c r="W159" s="13">
        <f t="shared" si="44"/>
        <v>170</v>
      </c>
      <c r="X159" s="13">
        <f t="shared" si="44"/>
        <v>171</v>
      </c>
      <c r="Y159" s="13">
        <f t="shared" si="44"/>
        <v>172</v>
      </c>
      <c r="Z159" s="13">
        <f t="shared" si="44"/>
        <v>173</v>
      </c>
      <c r="AA159" s="13">
        <f t="shared" si="44"/>
        <v>174</v>
      </c>
      <c r="AB159" s="13">
        <f t="shared" si="44"/>
        <v>175</v>
      </c>
      <c r="AC159" s="13">
        <f t="shared" si="44"/>
        <v>176</v>
      </c>
      <c r="AD159" s="13">
        <f t="shared" si="44"/>
        <v>177</v>
      </c>
      <c r="AE159" s="13">
        <f t="shared" si="44"/>
        <v>178</v>
      </c>
      <c r="AF159" s="13">
        <f t="shared" si="44"/>
        <v>179</v>
      </c>
      <c r="AG159" s="13">
        <f t="shared" si="45"/>
        <v>180</v>
      </c>
      <c r="AH159" s="13">
        <f t="shared" si="45"/>
        <v>181</v>
      </c>
      <c r="AI159" s="13">
        <f t="shared" si="45"/>
        <v>182</v>
      </c>
      <c r="AJ159" s="13">
        <f t="shared" si="45"/>
        <v>183</v>
      </c>
      <c r="AK159" s="13">
        <f t="shared" si="45"/>
        <v>184</v>
      </c>
      <c r="AL159" s="13">
        <f t="shared" si="45"/>
        <v>185</v>
      </c>
      <c r="AM159" s="13">
        <f t="shared" si="45"/>
        <v>186</v>
      </c>
      <c r="AN159" s="13">
        <f t="shared" si="45"/>
        <v>187</v>
      </c>
      <c r="AO159" s="13">
        <f t="shared" si="45"/>
        <v>188</v>
      </c>
      <c r="AP159" s="13">
        <f t="shared" si="45"/>
        <v>189</v>
      </c>
      <c r="AQ159" s="13">
        <f t="shared" si="46"/>
        <v>190</v>
      </c>
      <c r="AR159" s="13">
        <f t="shared" si="46"/>
        <v>191</v>
      </c>
      <c r="AS159" s="13">
        <f t="shared" si="46"/>
        <v>192</v>
      </c>
      <c r="AT159" s="13">
        <f t="shared" si="46"/>
        <v>193</v>
      </c>
      <c r="AU159" s="13">
        <f t="shared" si="46"/>
        <v>194</v>
      </c>
      <c r="AV159" s="13">
        <f t="shared" si="46"/>
        <v>195</v>
      </c>
      <c r="AW159" s="13">
        <f t="shared" si="46"/>
        <v>196</v>
      </c>
      <c r="AX159" s="13">
        <f t="shared" si="46"/>
        <v>197</v>
      </c>
      <c r="AY159" s="13">
        <f t="shared" si="46"/>
        <v>198</v>
      </c>
      <c r="AZ159" s="13">
        <f t="shared" si="46"/>
        <v>199</v>
      </c>
      <c r="BA159" s="13">
        <f t="shared" si="47"/>
        <v>200</v>
      </c>
      <c r="BB159" s="13">
        <f t="shared" si="47"/>
        <v>201</v>
      </c>
      <c r="BC159" s="13">
        <f t="shared" si="47"/>
        <v>202</v>
      </c>
      <c r="BD159" s="13">
        <f t="shared" si="47"/>
        <v>203</v>
      </c>
      <c r="BE159" s="13">
        <f t="shared" si="47"/>
        <v>204</v>
      </c>
      <c r="BF159" s="13">
        <f t="shared" si="47"/>
        <v>205</v>
      </c>
      <c r="BG159" s="13">
        <f t="shared" si="47"/>
        <v>206</v>
      </c>
      <c r="BH159" s="13">
        <f t="shared" si="47"/>
        <v>207</v>
      </c>
      <c r="BI159" s="13">
        <f t="shared" si="47"/>
        <v>208</v>
      </c>
      <c r="BJ159" s="13">
        <f t="shared" si="47"/>
        <v>209</v>
      </c>
      <c r="BK159" s="13">
        <f t="shared" si="47"/>
        <v>210</v>
      </c>
      <c r="BL159" s="13">
        <f t="shared" si="47"/>
        <v>211</v>
      </c>
      <c r="BM159" s="13">
        <f t="shared" si="47"/>
        <v>212</v>
      </c>
      <c r="BN159" s="13">
        <f t="shared" si="47"/>
        <v>213</v>
      </c>
    </row>
    <row r="160" spans="1:66">
      <c r="A160">
        <f>VLOOKUP(B160,Teste!$A$137:$G$236,7,FALSE)</f>
        <v>0</v>
      </c>
      <c r="B160">
        <f t="shared" si="48"/>
        <v>4</v>
      </c>
      <c r="C160" s="13">
        <f t="shared" si="42"/>
        <v>200</v>
      </c>
      <c r="D160" s="13">
        <f t="shared" si="42"/>
        <v>201</v>
      </c>
      <c r="E160" s="13">
        <f t="shared" si="42"/>
        <v>202</v>
      </c>
      <c r="F160" s="13">
        <f t="shared" si="42"/>
        <v>203</v>
      </c>
      <c r="G160" s="13">
        <f t="shared" si="42"/>
        <v>204</v>
      </c>
      <c r="H160" s="13">
        <f t="shared" si="42"/>
        <v>205</v>
      </c>
      <c r="I160" s="13">
        <f t="shared" si="42"/>
        <v>206</v>
      </c>
      <c r="J160" s="13">
        <f t="shared" si="42"/>
        <v>207</v>
      </c>
      <c r="K160" s="13">
        <f t="shared" si="42"/>
        <v>208</v>
      </c>
      <c r="L160" s="13">
        <f t="shared" si="42"/>
        <v>209</v>
      </c>
      <c r="M160" s="13">
        <f t="shared" si="43"/>
        <v>210</v>
      </c>
      <c r="N160" s="13">
        <f t="shared" si="43"/>
        <v>211</v>
      </c>
      <c r="O160" s="13">
        <f t="shared" si="43"/>
        <v>212</v>
      </c>
      <c r="P160" s="13">
        <f t="shared" si="43"/>
        <v>213</v>
      </c>
      <c r="Q160" s="13">
        <f t="shared" si="43"/>
        <v>214</v>
      </c>
      <c r="R160" s="13">
        <f t="shared" si="43"/>
        <v>215</v>
      </c>
      <c r="S160" s="13">
        <f t="shared" si="43"/>
        <v>216</v>
      </c>
      <c r="T160" s="13">
        <f t="shared" si="43"/>
        <v>217</v>
      </c>
      <c r="U160" s="13">
        <f t="shared" si="43"/>
        <v>218</v>
      </c>
      <c r="V160" s="13">
        <f t="shared" si="43"/>
        <v>219</v>
      </c>
      <c r="W160" s="13">
        <f t="shared" si="44"/>
        <v>220</v>
      </c>
      <c r="X160" s="13">
        <f t="shared" si="44"/>
        <v>221</v>
      </c>
      <c r="Y160" s="13">
        <f t="shared" si="44"/>
        <v>222</v>
      </c>
      <c r="Z160" s="13">
        <f t="shared" si="44"/>
        <v>223</v>
      </c>
      <c r="AA160" s="13">
        <f t="shared" si="44"/>
        <v>224</v>
      </c>
      <c r="AB160" s="13">
        <f t="shared" si="44"/>
        <v>225</v>
      </c>
      <c r="AC160" s="13">
        <f t="shared" si="44"/>
        <v>226</v>
      </c>
      <c r="AD160" s="13">
        <f t="shared" si="44"/>
        <v>227</v>
      </c>
      <c r="AE160" s="13">
        <f t="shared" si="44"/>
        <v>228</v>
      </c>
      <c r="AF160" s="13">
        <f t="shared" si="44"/>
        <v>229</v>
      </c>
      <c r="AG160" s="13">
        <f t="shared" si="45"/>
        <v>230</v>
      </c>
      <c r="AH160" s="13">
        <f t="shared" si="45"/>
        <v>231</v>
      </c>
      <c r="AI160" s="13">
        <f t="shared" si="45"/>
        <v>232</v>
      </c>
      <c r="AJ160" s="13">
        <f t="shared" si="45"/>
        <v>233</v>
      </c>
      <c r="AK160" s="13">
        <f t="shared" si="45"/>
        <v>234</v>
      </c>
      <c r="AL160" s="13">
        <f t="shared" si="45"/>
        <v>235</v>
      </c>
      <c r="AM160" s="13">
        <f t="shared" si="45"/>
        <v>236</v>
      </c>
      <c r="AN160" s="13">
        <f t="shared" si="45"/>
        <v>237</v>
      </c>
      <c r="AO160" s="13">
        <f t="shared" si="45"/>
        <v>238</v>
      </c>
      <c r="AP160" s="13">
        <f t="shared" si="45"/>
        <v>239</v>
      </c>
      <c r="AQ160" s="13">
        <f t="shared" si="46"/>
        <v>240</v>
      </c>
      <c r="AR160" s="13">
        <f t="shared" si="46"/>
        <v>241</v>
      </c>
      <c r="AS160" s="13">
        <f t="shared" si="46"/>
        <v>242</v>
      </c>
      <c r="AT160" s="13">
        <f t="shared" si="46"/>
        <v>243</v>
      </c>
      <c r="AU160" s="13">
        <f t="shared" si="46"/>
        <v>244</v>
      </c>
      <c r="AV160" s="13">
        <f t="shared" si="46"/>
        <v>245</v>
      </c>
      <c r="AW160" s="13">
        <f t="shared" si="46"/>
        <v>246</v>
      </c>
      <c r="AX160" s="13">
        <f t="shared" si="46"/>
        <v>247</v>
      </c>
      <c r="AY160" s="13">
        <f t="shared" si="46"/>
        <v>248</v>
      </c>
      <c r="AZ160" s="13">
        <f t="shared" si="46"/>
        <v>249</v>
      </c>
      <c r="BA160" s="13">
        <f t="shared" si="47"/>
        <v>250</v>
      </c>
      <c r="BB160" s="13">
        <f t="shared" si="47"/>
        <v>251</v>
      </c>
      <c r="BC160" s="13">
        <f t="shared" si="47"/>
        <v>252</v>
      </c>
      <c r="BD160" s="13">
        <f t="shared" si="47"/>
        <v>253</v>
      </c>
      <c r="BE160" s="13">
        <f t="shared" si="47"/>
        <v>254</v>
      </c>
      <c r="BF160" s="13">
        <f t="shared" si="47"/>
        <v>255</v>
      </c>
      <c r="BG160" s="13">
        <f t="shared" si="47"/>
        <v>256</v>
      </c>
      <c r="BH160" s="13">
        <f t="shared" si="47"/>
        <v>257</v>
      </c>
      <c r="BI160" s="13">
        <f t="shared" si="47"/>
        <v>258</v>
      </c>
      <c r="BJ160" s="13">
        <f t="shared" si="47"/>
        <v>259</v>
      </c>
      <c r="BK160" s="13">
        <f t="shared" si="47"/>
        <v>260</v>
      </c>
      <c r="BL160" s="13">
        <f t="shared" si="47"/>
        <v>261</v>
      </c>
      <c r="BM160" s="13">
        <f t="shared" si="47"/>
        <v>262</v>
      </c>
      <c r="BN160" s="13">
        <f t="shared" si="47"/>
        <v>263</v>
      </c>
    </row>
    <row r="161" spans="1:66">
      <c r="A161">
        <f>VLOOKUP(B161,Teste!$A$137:$G$236,7,FALSE)</f>
        <v>0</v>
      </c>
      <c r="B161">
        <f t="shared" si="48"/>
        <v>5</v>
      </c>
      <c r="C161" s="13">
        <f t="shared" si="42"/>
        <v>250</v>
      </c>
      <c r="D161" s="13">
        <f t="shared" si="42"/>
        <v>251</v>
      </c>
      <c r="E161" s="13">
        <f t="shared" si="42"/>
        <v>252</v>
      </c>
      <c r="F161" s="13">
        <f t="shared" si="42"/>
        <v>253</v>
      </c>
      <c r="G161" s="13">
        <f t="shared" si="42"/>
        <v>254</v>
      </c>
      <c r="H161" s="13">
        <f t="shared" si="42"/>
        <v>255</v>
      </c>
      <c r="I161" s="13">
        <f t="shared" si="42"/>
        <v>256</v>
      </c>
      <c r="J161" s="13">
        <f t="shared" si="42"/>
        <v>257</v>
      </c>
      <c r="K161" s="13">
        <f t="shared" si="42"/>
        <v>258</v>
      </c>
      <c r="L161" s="13">
        <f t="shared" si="42"/>
        <v>259</v>
      </c>
      <c r="M161" s="13">
        <f t="shared" si="43"/>
        <v>260</v>
      </c>
      <c r="N161" s="13">
        <f t="shared" si="43"/>
        <v>261</v>
      </c>
      <c r="O161" s="13">
        <f t="shared" si="43"/>
        <v>262</v>
      </c>
      <c r="P161" s="13">
        <f t="shared" si="43"/>
        <v>263</v>
      </c>
      <c r="Q161" s="13">
        <f t="shared" si="43"/>
        <v>264</v>
      </c>
      <c r="R161" s="13">
        <f t="shared" si="43"/>
        <v>265</v>
      </c>
      <c r="S161" s="13">
        <f t="shared" si="43"/>
        <v>266</v>
      </c>
      <c r="T161" s="13">
        <f t="shared" si="43"/>
        <v>267</v>
      </c>
      <c r="U161" s="13">
        <f t="shared" si="43"/>
        <v>268</v>
      </c>
      <c r="V161" s="13">
        <f t="shared" si="43"/>
        <v>269</v>
      </c>
      <c r="W161" s="13">
        <f t="shared" si="44"/>
        <v>270</v>
      </c>
      <c r="X161" s="13">
        <f t="shared" si="44"/>
        <v>271</v>
      </c>
      <c r="Y161" s="13">
        <f t="shared" si="44"/>
        <v>272</v>
      </c>
      <c r="Z161" s="13">
        <f t="shared" si="44"/>
        <v>273</v>
      </c>
      <c r="AA161" s="13">
        <f t="shared" si="44"/>
        <v>274</v>
      </c>
      <c r="AB161" s="13">
        <f t="shared" si="44"/>
        <v>275</v>
      </c>
      <c r="AC161" s="13">
        <f t="shared" si="44"/>
        <v>276</v>
      </c>
      <c r="AD161" s="13">
        <f t="shared" si="44"/>
        <v>277</v>
      </c>
      <c r="AE161" s="13">
        <f t="shared" si="44"/>
        <v>278</v>
      </c>
      <c r="AF161" s="13">
        <f t="shared" si="44"/>
        <v>279</v>
      </c>
      <c r="AG161" s="13">
        <f t="shared" si="45"/>
        <v>280</v>
      </c>
      <c r="AH161" s="13">
        <f t="shared" si="45"/>
        <v>281</v>
      </c>
      <c r="AI161" s="13">
        <f t="shared" si="45"/>
        <v>282</v>
      </c>
      <c r="AJ161" s="13">
        <f t="shared" si="45"/>
        <v>283</v>
      </c>
      <c r="AK161" s="13">
        <f t="shared" si="45"/>
        <v>284</v>
      </c>
      <c r="AL161" s="13">
        <f t="shared" si="45"/>
        <v>285</v>
      </c>
      <c r="AM161" s="13">
        <f t="shared" si="45"/>
        <v>286</v>
      </c>
      <c r="AN161" s="13">
        <f t="shared" si="45"/>
        <v>287</v>
      </c>
      <c r="AO161" s="13">
        <f t="shared" si="45"/>
        <v>288</v>
      </c>
      <c r="AP161" s="13">
        <f t="shared" si="45"/>
        <v>289</v>
      </c>
      <c r="AQ161" s="13">
        <f t="shared" si="46"/>
        <v>290</v>
      </c>
      <c r="AR161" s="13">
        <f t="shared" si="46"/>
        <v>291</v>
      </c>
      <c r="AS161" s="13">
        <f t="shared" si="46"/>
        <v>292</v>
      </c>
      <c r="AT161" s="13">
        <f t="shared" si="46"/>
        <v>293</v>
      </c>
      <c r="AU161" s="13">
        <f t="shared" si="46"/>
        <v>294</v>
      </c>
      <c r="AV161" s="13">
        <f t="shared" si="46"/>
        <v>295</v>
      </c>
      <c r="AW161" s="13">
        <f t="shared" si="46"/>
        <v>296</v>
      </c>
      <c r="AX161" s="13">
        <f t="shared" si="46"/>
        <v>297</v>
      </c>
      <c r="AY161" s="13">
        <f t="shared" si="46"/>
        <v>298</v>
      </c>
      <c r="AZ161" s="13">
        <f t="shared" si="46"/>
        <v>299</v>
      </c>
      <c r="BA161" s="13">
        <f t="shared" si="47"/>
        <v>300</v>
      </c>
      <c r="BB161" s="13">
        <f t="shared" si="47"/>
        <v>301</v>
      </c>
      <c r="BC161" s="13">
        <f t="shared" si="47"/>
        <v>302</v>
      </c>
      <c r="BD161" s="13">
        <f t="shared" si="47"/>
        <v>303</v>
      </c>
      <c r="BE161" s="13">
        <f t="shared" si="47"/>
        <v>304</v>
      </c>
      <c r="BF161" s="13">
        <f t="shared" si="47"/>
        <v>305</v>
      </c>
      <c r="BG161" s="13">
        <f t="shared" si="47"/>
        <v>306</v>
      </c>
      <c r="BH161" s="13">
        <f t="shared" si="47"/>
        <v>307</v>
      </c>
      <c r="BI161" s="13">
        <f t="shared" si="47"/>
        <v>308</v>
      </c>
      <c r="BJ161" s="13">
        <f t="shared" si="47"/>
        <v>309</v>
      </c>
      <c r="BK161" s="13">
        <f t="shared" si="47"/>
        <v>310</v>
      </c>
      <c r="BL161" s="13">
        <f t="shared" si="47"/>
        <v>311</v>
      </c>
      <c r="BM161" s="13">
        <f t="shared" si="47"/>
        <v>312</v>
      </c>
      <c r="BN161" s="13">
        <f t="shared" si="47"/>
        <v>313</v>
      </c>
    </row>
    <row r="162" spans="1:66">
      <c r="A162">
        <f>VLOOKUP(B162,Teste!$A$137:$G$236,7,FALSE)</f>
        <v>0</v>
      </c>
      <c r="B162">
        <f t="shared" si="48"/>
        <v>6</v>
      </c>
      <c r="C162" s="13">
        <f t="shared" si="42"/>
        <v>300</v>
      </c>
      <c r="D162" s="13">
        <f t="shared" si="42"/>
        <v>301</v>
      </c>
      <c r="E162" s="13">
        <f t="shared" si="42"/>
        <v>302</v>
      </c>
      <c r="F162" s="13">
        <f t="shared" si="42"/>
        <v>303</v>
      </c>
      <c r="G162" s="13">
        <f t="shared" si="42"/>
        <v>304</v>
      </c>
      <c r="H162" s="13">
        <f t="shared" si="42"/>
        <v>305</v>
      </c>
      <c r="I162" s="13">
        <f t="shared" si="42"/>
        <v>306</v>
      </c>
      <c r="J162" s="13">
        <f t="shared" si="42"/>
        <v>307</v>
      </c>
      <c r="K162" s="13">
        <f t="shared" si="42"/>
        <v>308</v>
      </c>
      <c r="L162" s="13">
        <f t="shared" si="42"/>
        <v>309</v>
      </c>
      <c r="M162" s="13">
        <f t="shared" si="43"/>
        <v>310</v>
      </c>
      <c r="N162" s="13">
        <f t="shared" si="43"/>
        <v>311</v>
      </c>
      <c r="O162" s="13">
        <f t="shared" si="43"/>
        <v>312</v>
      </c>
      <c r="P162" s="13">
        <f t="shared" si="43"/>
        <v>313</v>
      </c>
      <c r="Q162" s="13">
        <f t="shared" si="43"/>
        <v>314</v>
      </c>
      <c r="R162" s="13">
        <f t="shared" si="43"/>
        <v>315</v>
      </c>
      <c r="S162" s="13">
        <f t="shared" si="43"/>
        <v>316</v>
      </c>
      <c r="T162" s="13">
        <f t="shared" si="43"/>
        <v>317</v>
      </c>
      <c r="U162" s="13">
        <f t="shared" si="43"/>
        <v>318</v>
      </c>
      <c r="V162" s="13">
        <f t="shared" si="43"/>
        <v>319</v>
      </c>
      <c r="W162" s="13">
        <f t="shared" si="44"/>
        <v>320</v>
      </c>
      <c r="X162" s="13">
        <f t="shared" si="44"/>
        <v>321</v>
      </c>
      <c r="Y162" s="13">
        <f t="shared" si="44"/>
        <v>322</v>
      </c>
      <c r="Z162" s="13">
        <f t="shared" si="44"/>
        <v>323</v>
      </c>
      <c r="AA162" s="13">
        <f t="shared" si="44"/>
        <v>324</v>
      </c>
      <c r="AB162" s="13">
        <f t="shared" si="44"/>
        <v>325</v>
      </c>
      <c r="AC162" s="13">
        <f t="shared" si="44"/>
        <v>326</v>
      </c>
      <c r="AD162" s="13">
        <f t="shared" si="44"/>
        <v>327</v>
      </c>
      <c r="AE162" s="13">
        <f t="shared" si="44"/>
        <v>328</v>
      </c>
      <c r="AF162" s="13">
        <f t="shared" si="44"/>
        <v>329</v>
      </c>
      <c r="AG162" s="13">
        <f t="shared" si="45"/>
        <v>330</v>
      </c>
      <c r="AH162" s="13">
        <f t="shared" si="45"/>
        <v>331</v>
      </c>
      <c r="AI162" s="13">
        <f t="shared" si="45"/>
        <v>332</v>
      </c>
      <c r="AJ162" s="13">
        <f t="shared" si="45"/>
        <v>333</v>
      </c>
      <c r="AK162" s="13">
        <f t="shared" si="45"/>
        <v>334</v>
      </c>
      <c r="AL162" s="13">
        <f t="shared" si="45"/>
        <v>335</v>
      </c>
      <c r="AM162" s="13">
        <f t="shared" si="45"/>
        <v>336</v>
      </c>
      <c r="AN162" s="13">
        <f t="shared" si="45"/>
        <v>337</v>
      </c>
      <c r="AO162" s="13">
        <f t="shared" si="45"/>
        <v>338</v>
      </c>
      <c r="AP162" s="13">
        <f t="shared" si="45"/>
        <v>339</v>
      </c>
      <c r="AQ162" s="13">
        <f t="shared" si="46"/>
        <v>340</v>
      </c>
      <c r="AR162" s="13">
        <f t="shared" si="46"/>
        <v>341</v>
      </c>
      <c r="AS162" s="13">
        <f t="shared" si="46"/>
        <v>342</v>
      </c>
      <c r="AT162" s="13">
        <f t="shared" si="46"/>
        <v>343</v>
      </c>
      <c r="AU162" s="13">
        <f t="shared" si="46"/>
        <v>344</v>
      </c>
      <c r="AV162" s="13">
        <f t="shared" si="46"/>
        <v>345</v>
      </c>
      <c r="AW162" s="13">
        <f t="shared" si="46"/>
        <v>346</v>
      </c>
      <c r="AX162" s="13">
        <f t="shared" si="46"/>
        <v>347</v>
      </c>
      <c r="AY162" s="13">
        <f t="shared" si="46"/>
        <v>348</v>
      </c>
      <c r="AZ162" s="13">
        <f t="shared" si="46"/>
        <v>349</v>
      </c>
      <c r="BA162" s="13">
        <f t="shared" si="47"/>
        <v>350</v>
      </c>
      <c r="BB162" s="13">
        <f t="shared" si="47"/>
        <v>351</v>
      </c>
      <c r="BC162" s="13">
        <f t="shared" si="47"/>
        <v>352</v>
      </c>
      <c r="BD162" s="13">
        <f t="shared" si="47"/>
        <v>353</v>
      </c>
      <c r="BE162" s="13">
        <f t="shared" si="47"/>
        <v>354</v>
      </c>
      <c r="BF162" s="13">
        <f t="shared" si="47"/>
        <v>355</v>
      </c>
      <c r="BG162" s="13">
        <f t="shared" si="47"/>
        <v>356</v>
      </c>
      <c r="BH162" s="13">
        <f t="shared" si="47"/>
        <v>357</v>
      </c>
      <c r="BI162" s="13">
        <f t="shared" si="47"/>
        <v>358</v>
      </c>
      <c r="BJ162" s="13">
        <f t="shared" si="47"/>
        <v>359</v>
      </c>
      <c r="BK162" s="13">
        <f t="shared" si="47"/>
        <v>360</v>
      </c>
      <c r="BL162" s="13">
        <f t="shared" si="47"/>
        <v>361</v>
      </c>
      <c r="BM162" s="13">
        <f t="shared" si="47"/>
        <v>362</v>
      </c>
      <c r="BN162" s="13">
        <f t="shared" si="47"/>
        <v>363</v>
      </c>
    </row>
    <row r="163" spans="1:66">
      <c r="A163">
        <f>VLOOKUP(B163,Teste!$A$137:$G$236,7,FALSE)</f>
        <v>0</v>
      </c>
      <c r="B163">
        <f t="shared" si="48"/>
        <v>7</v>
      </c>
      <c r="C163" s="13">
        <f t="shared" si="42"/>
        <v>350</v>
      </c>
      <c r="D163" s="13">
        <f t="shared" si="42"/>
        <v>351</v>
      </c>
      <c r="E163" s="13">
        <f t="shared" si="42"/>
        <v>352</v>
      </c>
      <c r="F163" s="13">
        <f t="shared" si="42"/>
        <v>353</v>
      </c>
      <c r="G163" s="13">
        <f t="shared" si="42"/>
        <v>354</v>
      </c>
      <c r="H163" s="13">
        <f t="shared" si="42"/>
        <v>355</v>
      </c>
      <c r="I163" s="13">
        <f t="shared" si="42"/>
        <v>356</v>
      </c>
      <c r="J163" s="13">
        <f t="shared" si="42"/>
        <v>357</v>
      </c>
      <c r="K163" s="13">
        <f t="shared" si="42"/>
        <v>358</v>
      </c>
      <c r="L163" s="13">
        <f t="shared" si="42"/>
        <v>359</v>
      </c>
      <c r="M163" s="13">
        <f t="shared" si="43"/>
        <v>360</v>
      </c>
      <c r="N163" s="13">
        <f t="shared" si="43"/>
        <v>361</v>
      </c>
      <c r="O163" s="13">
        <f t="shared" si="43"/>
        <v>362</v>
      </c>
      <c r="P163" s="13">
        <f t="shared" si="43"/>
        <v>363</v>
      </c>
      <c r="Q163" s="13">
        <f t="shared" si="43"/>
        <v>364</v>
      </c>
      <c r="R163" s="13">
        <f t="shared" si="43"/>
        <v>365</v>
      </c>
      <c r="S163" s="13">
        <f t="shared" si="43"/>
        <v>366</v>
      </c>
      <c r="T163" s="13">
        <f t="shared" si="43"/>
        <v>367</v>
      </c>
      <c r="U163" s="13">
        <f t="shared" si="43"/>
        <v>368</v>
      </c>
      <c r="V163" s="13">
        <f t="shared" si="43"/>
        <v>369</v>
      </c>
      <c r="W163" s="13">
        <f t="shared" si="44"/>
        <v>370</v>
      </c>
      <c r="X163" s="13">
        <f t="shared" si="44"/>
        <v>371</v>
      </c>
      <c r="Y163" s="13">
        <f t="shared" si="44"/>
        <v>372</v>
      </c>
      <c r="Z163" s="13">
        <f t="shared" si="44"/>
        <v>373</v>
      </c>
      <c r="AA163" s="13">
        <f t="shared" si="44"/>
        <v>374</v>
      </c>
      <c r="AB163" s="13">
        <f t="shared" si="44"/>
        <v>375</v>
      </c>
      <c r="AC163" s="13">
        <f t="shared" si="44"/>
        <v>376</v>
      </c>
      <c r="AD163" s="13">
        <f t="shared" si="44"/>
        <v>377</v>
      </c>
      <c r="AE163" s="13">
        <f t="shared" si="44"/>
        <v>378</v>
      </c>
      <c r="AF163" s="13">
        <f t="shared" si="44"/>
        <v>379</v>
      </c>
      <c r="AG163" s="13">
        <f t="shared" si="45"/>
        <v>380</v>
      </c>
      <c r="AH163" s="13">
        <f t="shared" si="45"/>
        <v>381</v>
      </c>
      <c r="AI163" s="13">
        <f t="shared" si="45"/>
        <v>382</v>
      </c>
      <c r="AJ163" s="13">
        <f t="shared" si="45"/>
        <v>383</v>
      </c>
      <c r="AK163" s="13">
        <f t="shared" si="45"/>
        <v>384</v>
      </c>
      <c r="AL163" s="13">
        <f t="shared" si="45"/>
        <v>385</v>
      </c>
      <c r="AM163" s="13">
        <f t="shared" si="45"/>
        <v>386</v>
      </c>
      <c r="AN163" s="13">
        <f t="shared" si="45"/>
        <v>387</v>
      </c>
      <c r="AO163" s="13">
        <f t="shared" si="45"/>
        <v>388</v>
      </c>
      <c r="AP163" s="13">
        <f t="shared" si="45"/>
        <v>389</v>
      </c>
      <c r="AQ163" s="13">
        <f t="shared" si="46"/>
        <v>390</v>
      </c>
      <c r="AR163" s="13">
        <f t="shared" si="46"/>
        <v>391</v>
      </c>
      <c r="AS163" s="13">
        <f t="shared" si="46"/>
        <v>392</v>
      </c>
      <c r="AT163" s="13">
        <f t="shared" si="46"/>
        <v>393</v>
      </c>
      <c r="AU163" s="13">
        <f t="shared" si="46"/>
        <v>394</v>
      </c>
      <c r="AV163" s="13">
        <f t="shared" si="46"/>
        <v>395</v>
      </c>
      <c r="AW163" s="13">
        <f t="shared" si="46"/>
        <v>396</v>
      </c>
      <c r="AX163" s="13">
        <f t="shared" si="46"/>
        <v>397</v>
      </c>
      <c r="AY163" s="13">
        <f t="shared" si="46"/>
        <v>398</v>
      </c>
      <c r="AZ163" s="13">
        <f t="shared" si="46"/>
        <v>399</v>
      </c>
      <c r="BA163" s="13">
        <f t="shared" si="47"/>
        <v>400</v>
      </c>
      <c r="BB163" s="13">
        <f t="shared" si="47"/>
        <v>401</v>
      </c>
      <c r="BC163" s="13">
        <f t="shared" si="47"/>
        <v>402</v>
      </c>
      <c r="BD163" s="13">
        <f t="shared" si="47"/>
        <v>403</v>
      </c>
      <c r="BE163" s="13">
        <f t="shared" si="47"/>
        <v>404</v>
      </c>
      <c r="BF163" s="13">
        <f t="shared" si="47"/>
        <v>405</v>
      </c>
      <c r="BG163" s="13">
        <f t="shared" si="47"/>
        <v>406</v>
      </c>
      <c r="BH163" s="13">
        <f t="shared" si="47"/>
        <v>407</v>
      </c>
      <c r="BI163" s="13">
        <f t="shared" si="47"/>
        <v>408</v>
      </c>
      <c r="BJ163" s="13">
        <f t="shared" si="47"/>
        <v>409</v>
      </c>
      <c r="BK163" s="13">
        <f t="shared" si="47"/>
        <v>410</v>
      </c>
      <c r="BL163" s="13">
        <f t="shared" si="47"/>
        <v>411</v>
      </c>
      <c r="BM163" s="13">
        <f t="shared" si="47"/>
        <v>412</v>
      </c>
      <c r="BN163" s="13">
        <f t="shared" si="47"/>
        <v>413</v>
      </c>
    </row>
    <row r="164" spans="1:66">
      <c r="A164">
        <f>VLOOKUP(B164,Teste!$A$137:$G$236,7,FALSE)</f>
        <v>0</v>
      </c>
      <c r="B164">
        <f t="shared" si="48"/>
        <v>8</v>
      </c>
      <c r="C164" s="13">
        <f t="shared" si="42"/>
        <v>400</v>
      </c>
      <c r="D164" s="13">
        <f t="shared" si="42"/>
        <v>401</v>
      </c>
      <c r="E164" s="13">
        <f t="shared" si="42"/>
        <v>402</v>
      </c>
      <c r="F164" s="13">
        <f t="shared" si="42"/>
        <v>403</v>
      </c>
      <c r="G164" s="13">
        <f t="shared" si="42"/>
        <v>404</v>
      </c>
      <c r="H164" s="13">
        <f t="shared" si="42"/>
        <v>405</v>
      </c>
      <c r="I164" s="13">
        <f t="shared" si="42"/>
        <v>406</v>
      </c>
      <c r="J164" s="13">
        <f t="shared" si="42"/>
        <v>407</v>
      </c>
      <c r="K164" s="13">
        <f t="shared" si="42"/>
        <v>408</v>
      </c>
      <c r="L164" s="13">
        <f t="shared" si="42"/>
        <v>409</v>
      </c>
      <c r="M164" s="13">
        <f t="shared" si="43"/>
        <v>410</v>
      </c>
      <c r="N164" s="13">
        <f t="shared" si="43"/>
        <v>411</v>
      </c>
      <c r="O164" s="13">
        <f t="shared" si="43"/>
        <v>412</v>
      </c>
      <c r="P164" s="13">
        <f t="shared" si="43"/>
        <v>413</v>
      </c>
      <c r="Q164" s="13">
        <f t="shared" si="43"/>
        <v>414</v>
      </c>
      <c r="R164" s="13">
        <f t="shared" si="43"/>
        <v>415</v>
      </c>
      <c r="S164" s="13">
        <f t="shared" si="43"/>
        <v>416</v>
      </c>
      <c r="T164" s="13">
        <f t="shared" si="43"/>
        <v>417</v>
      </c>
      <c r="U164" s="13">
        <f t="shared" si="43"/>
        <v>418</v>
      </c>
      <c r="V164" s="13">
        <f t="shared" si="43"/>
        <v>419</v>
      </c>
      <c r="W164" s="13">
        <f t="shared" si="44"/>
        <v>420</v>
      </c>
      <c r="X164" s="13">
        <f t="shared" si="44"/>
        <v>421</v>
      </c>
      <c r="Y164" s="13">
        <f t="shared" si="44"/>
        <v>422</v>
      </c>
      <c r="Z164" s="13">
        <f t="shared" si="44"/>
        <v>423</v>
      </c>
      <c r="AA164" s="13">
        <f t="shared" si="44"/>
        <v>424</v>
      </c>
      <c r="AB164" s="13">
        <f t="shared" si="44"/>
        <v>425</v>
      </c>
      <c r="AC164" s="13">
        <f t="shared" si="44"/>
        <v>426</v>
      </c>
      <c r="AD164" s="13">
        <f t="shared" si="44"/>
        <v>427</v>
      </c>
      <c r="AE164" s="13">
        <f t="shared" si="44"/>
        <v>428</v>
      </c>
      <c r="AF164" s="13">
        <f t="shared" si="44"/>
        <v>429</v>
      </c>
      <c r="AG164" s="13">
        <f t="shared" si="45"/>
        <v>430</v>
      </c>
      <c r="AH164" s="13">
        <f t="shared" si="45"/>
        <v>431</v>
      </c>
      <c r="AI164" s="13">
        <f t="shared" si="45"/>
        <v>432</v>
      </c>
      <c r="AJ164" s="13">
        <f t="shared" si="45"/>
        <v>433</v>
      </c>
      <c r="AK164" s="13">
        <f t="shared" si="45"/>
        <v>434</v>
      </c>
      <c r="AL164" s="13">
        <f t="shared" si="45"/>
        <v>435</v>
      </c>
      <c r="AM164" s="13">
        <f t="shared" si="45"/>
        <v>436</v>
      </c>
      <c r="AN164" s="13">
        <f t="shared" si="45"/>
        <v>437</v>
      </c>
      <c r="AO164" s="13">
        <f t="shared" si="45"/>
        <v>438</v>
      </c>
      <c r="AP164" s="13">
        <f t="shared" si="45"/>
        <v>439</v>
      </c>
      <c r="AQ164" s="13">
        <f t="shared" si="46"/>
        <v>440</v>
      </c>
      <c r="AR164" s="13">
        <f t="shared" si="46"/>
        <v>441</v>
      </c>
      <c r="AS164" s="13">
        <f t="shared" si="46"/>
        <v>442</v>
      </c>
      <c r="AT164" s="13">
        <f t="shared" si="46"/>
        <v>443</v>
      </c>
      <c r="AU164" s="13">
        <f t="shared" si="46"/>
        <v>444</v>
      </c>
      <c r="AV164" s="13">
        <f t="shared" si="46"/>
        <v>445</v>
      </c>
      <c r="AW164" s="13">
        <f t="shared" si="46"/>
        <v>446</v>
      </c>
      <c r="AX164" s="13">
        <f t="shared" si="46"/>
        <v>447</v>
      </c>
      <c r="AY164" s="13">
        <f t="shared" si="46"/>
        <v>448</v>
      </c>
      <c r="AZ164" s="13">
        <f t="shared" si="46"/>
        <v>449</v>
      </c>
      <c r="BA164" s="13">
        <f t="shared" si="47"/>
        <v>450</v>
      </c>
      <c r="BB164" s="13">
        <f t="shared" si="47"/>
        <v>451</v>
      </c>
      <c r="BC164" s="13">
        <f t="shared" si="47"/>
        <v>452</v>
      </c>
      <c r="BD164" s="13">
        <f t="shared" si="47"/>
        <v>453</v>
      </c>
      <c r="BE164" s="13">
        <f t="shared" si="47"/>
        <v>454</v>
      </c>
      <c r="BF164" s="13">
        <f t="shared" si="47"/>
        <v>455</v>
      </c>
      <c r="BG164" s="13">
        <f t="shared" si="47"/>
        <v>456</v>
      </c>
      <c r="BH164" s="13">
        <f t="shared" si="47"/>
        <v>457</v>
      </c>
      <c r="BI164" s="13">
        <f t="shared" si="47"/>
        <v>458</v>
      </c>
      <c r="BJ164" s="13">
        <f t="shared" si="47"/>
        <v>459</v>
      </c>
      <c r="BK164" s="13">
        <f t="shared" si="47"/>
        <v>460</v>
      </c>
      <c r="BL164" s="13">
        <f t="shared" si="47"/>
        <v>461</v>
      </c>
      <c r="BM164" s="13">
        <f t="shared" si="47"/>
        <v>462</v>
      </c>
      <c r="BN164" s="13">
        <f t="shared" si="47"/>
        <v>463</v>
      </c>
    </row>
    <row r="165" spans="1:66">
      <c r="A165">
        <f>VLOOKUP(B165,Teste!$A$137:$G$236,7,FALSE)</f>
        <v>0</v>
      </c>
      <c r="B165">
        <f t="shared" si="48"/>
        <v>9</v>
      </c>
      <c r="C165" s="13">
        <f t="shared" si="42"/>
        <v>450</v>
      </c>
      <c r="D165" s="13">
        <f t="shared" si="42"/>
        <v>451</v>
      </c>
      <c r="E165" s="13">
        <f t="shared" si="42"/>
        <v>452</v>
      </c>
      <c r="F165" s="13">
        <f t="shared" si="42"/>
        <v>453</v>
      </c>
      <c r="G165" s="13">
        <f t="shared" si="42"/>
        <v>454</v>
      </c>
      <c r="H165" s="13">
        <f t="shared" si="42"/>
        <v>455</v>
      </c>
      <c r="I165" s="13">
        <f t="shared" si="42"/>
        <v>456</v>
      </c>
      <c r="J165" s="13">
        <f t="shared" si="42"/>
        <v>457</v>
      </c>
      <c r="K165" s="13">
        <f t="shared" si="42"/>
        <v>458</v>
      </c>
      <c r="L165" s="13">
        <f t="shared" si="42"/>
        <v>459</v>
      </c>
      <c r="M165" s="13">
        <f t="shared" si="43"/>
        <v>460</v>
      </c>
      <c r="N165" s="13">
        <f t="shared" si="43"/>
        <v>461</v>
      </c>
      <c r="O165" s="13">
        <f t="shared" si="43"/>
        <v>462</v>
      </c>
      <c r="P165" s="13">
        <f t="shared" si="43"/>
        <v>463</v>
      </c>
      <c r="Q165" s="13">
        <f t="shared" si="43"/>
        <v>464</v>
      </c>
      <c r="R165" s="13">
        <f t="shared" si="43"/>
        <v>465</v>
      </c>
      <c r="S165" s="13">
        <f t="shared" si="43"/>
        <v>466</v>
      </c>
      <c r="T165" s="13">
        <f t="shared" si="43"/>
        <v>467</v>
      </c>
      <c r="U165" s="13">
        <f t="shared" si="43"/>
        <v>468</v>
      </c>
      <c r="V165" s="13">
        <f t="shared" si="43"/>
        <v>469</v>
      </c>
      <c r="W165" s="13">
        <f t="shared" si="44"/>
        <v>470</v>
      </c>
      <c r="X165" s="13">
        <f t="shared" si="44"/>
        <v>471</v>
      </c>
      <c r="Y165" s="13">
        <f t="shared" si="44"/>
        <v>472</v>
      </c>
      <c r="Z165" s="13">
        <f t="shared" si="44"/>
        <v>473</v>
      </c>
      <c r="AA165" s="13">
        <f t="shared" si="44"/>
        <v>474</v>
      </c>
      <c r="AB165" s="13">
        <f t="shared" si="44"/>
        <v>475</v>
      </c>
      <c r="AC165" s="13">
        <f t="shared" si="44"/>
        <v>476</v>
      </c>
      <c r="AD165" s="13">
        <f t="shared" si="44"/>
        <v>477</v>
      </c>
      <c r="AE165" s="13">
        <f t="shared" si="44"/>
        <v>478</v>
      </c>
      <c r="AF165" s="13">
        <f t="shared" si="44"/>
        <v>479</v>
      </c>
      <c r="AG165" s="13">
        <f t="shared" si="45"/>
        <v>480</v>
      </c>
      <c r="AH165" s="13">
        <f t="shared" si="45"/>
        <v>481</v>
      </c>
      <c r="AI165" s="13">
        <f t="shared" si="45"/>
        <v>482</v>
      </c>
      <c r="AJ165" s="13">
        <f t="shared" si="45"/>
        <v>483</v>
      </c>
      <c r="AK165" s="13">
        <f t="shared" si="45"/>
        <v>484</v>
      </c>
      <c r="AL165" s="13">
        <f t="shared" si="45"/>
        <v>485</v>
      </c>
      <c r="AM165" s="13">
        <f t="shared" si="45"/>
        <v>486</v>
      </c>
      <c r="AN165" s="13">
        <f t="shared" si="45"/>
        <v>487</v>
      </c>
      <c r="AO165" s="13">
        <f t="shared" si="45"/>
        <v>488</v>
      </c>
      <c r="AP165" s="13">
        <f t="shared" si="45"/>
        <v>489</v>
      </c>
      <c r="AQ165" s="13">
        <f t="shared" si="46"/>
        <v>490</v>
      </c>
      <c r="AR165" s="13">
        <f t="shared" si="46"/>
        <v>491</v>
      </c>
      <c r="AS165" s="13">
        <f t="shared" si="46"/>
        <v>492</v>
      </c>
      <c r="AT165" s="13">
        <f t="shared" si="46"/>
        <v>493</v>
      </c>
      <c r="AU165" s="13">
        <f t="shared" si="46"/>
        <v>494</v>
      </c>
      <c r="AV165" s="13">
        <f t="shared" si="46"/>
        <v>495</v>
      </c>
      <c r="AW165" s="13">
        <f t="shared" si="46"/>
        <v>496</v>
      </c>
      <c r="AX165" s="13">
        <f t="shared" si="46"/>
        <v>497</v>
      </c>
      <c r="AY165" s="13">
        <f t="shared" si="46"/>
        <v>498</v>
      </c>
      <c r="AZ165" s="13">
        <f t="shared" si="46"/>
        <v>499</v>
      </c>
      <c r="BA165" s="13">
        <f t="shared" si="47"/>
        <v>500</v>
      </c>
      <c r="BB165" s="13">
        <f t="shared" si="47"/>
        <v>501</v>
      </c>
      <c r="BC165" s="13">
        <f t="shared" si="47"/>
        <v>502</v>
      </c>
      <c r="BD165" s="13">
        <f t="shared" si="47"/>
        <v>503</v>
      </c>
      <c r="BE165" s="13">
        <f t="shared" si="47"/>
        <v>504</v>
      </c>
      <c r="BF165" s="13">
        <f t="shared" si="47"/>
        <v>505</v>
      </c>
      <c r="BG165" s="13">
        <f t="shared" si="47"/>
        <v>506</v>
      </c>
      <c r="BH165" s="13">
        <f t="shared" si="47"/>
        <v>507</v>
      </c>
      <c r="BI165" s="13">
        <f t="shared" si="47"/>
        <v>508</v>
      </c>
      <c r="BJ165" s="13">
        <f t="shared" si="47"/>
        <v>509</v>
      </c>
      <c r="BK165" s="13">
        <f t="shared" si="47"/>
        <v>510</v>
      </c>
      <c r="BL165" s="13">
        <f t="shared" si="47"/>
        <v>511</v>
      </c>
      <c r="BM165" s="13">
        <f t="shared" si="47"/>
        <v>512</v>
      </c>
      <c r="BN165" s="13">
        <f t="shared" si="47"/>
        <v>513</v>
      </c>
    </row>
    <row r="166" spans="1:66">
      <c r="A166">
        <f>VLOOKUP(B166,Teste!$A$137:$G$236,7,FALSE)</f>
        <v>0</v>
      </c>
      <c r="B166">
        <f t="shared" si="48"/>
        <v>10</v>
      </c>
      <c r="C166" s="13">
        <f t="shared" ref="C166:L175" si="49">C$155 + numGenes*$B166</f>
        <v>500</v>
      </c>
      <c r="D166" s="13">
        <f t="shared" si="49"/>
        <v>501</v>
      </c>
      <c r="E166" s="13">
        <f t="shared" si="49"/>
        <v>502</v>
      </c>
      <c r="F166" s="13">
        <f t="shared" si="49"/>
        <v>503</v>
      </c>
      <c r="G166" s="13">
        <f t="shared" si="49"/>
        <v>504</v>
      </c>
      <c r="H166" s="13">
        <f t="shared" si="49"/>
        <v>505</v>
      </c>
      <c r="I166" s="13">
        <f t="shared" si="49"/>
        <v>506</v>
      </c>
      <c r="J166" s="13">
        <f t="shared" si="49"/>
        <v>507</v>
      </c>
      <c r="K166" s="13">
        <f t="shared" si="49"/>
        <v>508</v>
      </c>
      <c r="L166" s="13">
        <f t="shared" si="49"/>
        <v>509</v>
      </c>
      <c r="M166" s="13">
        <f t="shared" ref="M166:V175" si="50">M$155 + numGenes*$B166</f>
        <v>510</v>
      </c>
      <c r="N166" s="13">
        <f t="shared" si="50"/>
        <v>511</v>
      </c>
      <c r="O166" s="13">
        <f t="shared" si="50"/>
        <v>512</v>
      </c>
      <c r="P166" s="13">
        <f t="shared" si="50"/>
        <v>513</v>
      </c>
      <c r="Q166" s="13">
        <f t="shared" si="50"/>
        <v>514</v>
      </c>
      <c r="R166" s="13">
        <f t="shared" si="50"/>
        <v>515</v>
      </c>
      <c r="S166" s="13">
        <f t="shared" si="50"/>
        <v>516</v>
      </c>
      <c r="T166" s="13">
        <f t="shared" si="50"/>
        <v>517</v>
      </c>
      <c r="U166" s="13">
        <f t="shared" si="50"/>
        <v>518</v>
      </c>
      <c r="V166" s="13">
        <f t="shared" si="50"/>
        <v>519</v>
      </c>
      <c r="W166" s="13">
        <f t="shared" ref="W166:AF175" si="51">W$155 + numGenes*$B166</f>
        <v>520</v>
      </c>
      <c r="X166" s="13">
        <f t="shared" si="51"/>
        <v>521</v>
      </c>
      <c r="Y166" s="13">
        <f t="shared" si="51"/>
        <v>522</v>
      </c>
      <c r="Z166" s="13">
        <f t="shared" si="51"/>
        <v>523</v>
      </c>
      <c r="AA166" s="13">
        <f t="shared" si="51"/>
        <v>524</v>
      </c>
      <c r="AB166" s="13">
        <f t="shared" si="51"/>
        <v>525</v>
      </c>
      <c r="AC166" s="13">
        <f t="shared" si="51"/>
        <v>526</v>
      </c>
      <c r="AD166" s="13">
        <f t="shared" si="51"/>
        <v>527</v>
      </c>
      <c r="AE166" s="13">
        <f t="shared" si="51"/>
        <v>528</v>
      </c>
      <c r="AF166" s="13">
        <f t="shared" si="51"/>
        <v>529</v>
      </c>
      <c r="AG166" s="13">
        <f t="shared" ref="AG166:AP175" si="52">AG$155 + numGenes*$B166</f>
        <v>530</v>
      </c>
      <c r="AH166" s="13">
        <f t="shared" si="52"/>
        <v>531</v>
      </c>
      <c r="AI166" s="13">
        <f t="shared" si="52"/>
        <v>532</v>
      </c>
      <c r="AJ166" s="13">
        <f t="shared" si="52"/>
        <v>533</v>
      </c>
      <c r="AK166" s="13">
        <f t="shared" si="52"/>
        <v>534</v>
      </c>
      <c r="AL166" s="13">
        <f t="shared" si="52"/>
        <v>535</v>
      </c>
      <c r="AM166" s="13">
        <f t="shared" si="52"/>
        <v>536</v>
      </c>
      <c r="AN166" s="13">
        <f t="shared" si="52"/>
        <v>537</v>
      </c>
      <c r="AO166" s="13">
        <f t="shared" si="52"/>
        <v>538</v>
      </c>
      <c r="AP166" s="13">
        <f t="shared" si="52"/>
        <v>539</v>
      </c>
      <c r="AQ166" s="13">
        <f t="shared" ref="AQ166:AZ175" si="53">AQ$155 + numGenes*$B166</f>
        <v>540</v>
      </c>
      <c r="AR166" s="13">
        <f t="shared" si="53"/>
        <v>541</v>
      </c>
      <c r="AS166" s="13">
        <f t="shared" si="53"/>
        <v>542</v>
      </c>
      <c r="AT166" s="13">
        <f t="shared" si="53"/>
        <v>543</v>
      </c>
      <c r="AU166" s="13">
        <f t="shared" si="53"/>
        <v>544</v>
      </c>
      <c r="AV166" s="13">
        <f t="shared" si="53"/>
        <v>545</v>
      </c>
      <c r="AW166" s="13">
        <f t="shared" si="53"/>
        <v>546</v>
      </c>
      <c r="AX166" s="13">
        <f t="shared" si="53"/>
        <v>547</v>
      </c>
      <c r="AY166" s="13">
        <f t="shared" si="53"/>
        <v>548</v>
      </c>
      <c r="AZ166" s="13">
        <f t="shared" si="53"/>
        <v>549</v>
      </c>
      <c r="BA166" s="13">
        <f t="shared" ref="BA166:BN175" si="54">BA$155 + numGenes*$B166</f>
        <v>550</v>
      </c>
      <c r="BB166" s="13">
        <f t="shared" si="54"/>
        <v>551</v>
      </c>
      <c r="BC166" s="13">
        <f t="shared" si="54"/>
        <v>552</v>
      </c>
      <c r="BD166" s="13">
        <f t="shared" si="54"/>
        <v>553</v>
      </c>
      <c r="BE166" s="13">
        <f t="shared" si="54"/>
        <v>554</v>
      </c>
      <c r="BF166" s="13">
        <f t="shared" si="54"/>
        <v>555</v>
      </c>
      <c r="BG166" s="13">
        <f t="shared" si="54"/>
        <v>556</v>
      </c>
      <c r="BH166" s="13">
        <f t="shared" si="54"/>
        <v>557</v>
      </c>
      <c r="BI166" s="13">
        <f t="shared" si="54"/>
        <v>558</v>
      </c>
      <c r="BJ166" s="13">
        <f t="shared" si="54"/>
        <v>559</v>
      </c>
      <c r="BK166" s="13">
        <f t="shared" si="54"/>
        <v>560</v>
      </c>
      <c r="BL166" s="13">
        <f t="shared" si="54"/>
        <v>561</v>
      </c>
      <c r="BM166" s="13">
        <f t="shared" si="54"/>
        <v>562</v>
      </c>
      <c r="BN166" s="13">
        <f t="shared" si="54"/>
        <v>563</v>
      </c>
    </row>
    <row r="167" spans="1:66">
      <c r="A167">
        <f>VLOOKUP(B167,Teste!$A$137:$G$236,7,FALSE)</f>
        <v>0</v>
      </c>
      <c r="B167">
        <f t="shared" si="48"/>
        <v>11</v>
      </c>
      <c r="C167" s="13">
        <f t="shared" si="49"/>
        <v>550</v>
      </c>
      <c r="D167" s="13">
        <f t="shared" si="49"/>
        <v>551</v>
      </c>
      <c r="E167" s="13">
        <f t="shared" si="49"/>
        <v>552</v>
      </c>
      <c r="F167" s="13">
        <f t="shared" si="49"/>
        <v>553</v>
      </c>
      <c r="G167" s="13">
        <f t="shared" si="49"/>
        <v>554</v>
      </c>
      <c r="H167" s="13">
        <f t="shared" si="49"/>
        <v>555</v>
      </c>
      <c r="I167" s="13">
        <f t="shared" si="49"/>
        <v>556</v>
      </c>
      <c r="J167" s="13">
        <f t="shared" si="49"/>
        <v>557</v>
      </c>
      <c r="K167" s="13">
        <f t="shared" si="49"/>
        <v>558</v>
      </c>
      <c r="L167" s="13">
        <f t="shared" si="49"/>
        <v>559</v>
      </c>
      <c r="M167" s="13">
        <f t="shared" si="50"/>
        <v>560</v>
      </c>
      <c r="N167" s="13">
        <f t="shared" si="50"/>
        <v>561</v>
      </c>
      <c r="O167" s="13">
        <f t="shared" si="50"/>
        <v>562</v>
      </c>
      <c r="P167" s="13">
        <f t="shared" si="50"/>
        <v>563</v>
      </c>
      <c r="Q167" s="13">
        <f t="shared" si="50"/>
        <v>564</v>
      </c>
      <c r="R167" s="13">
        <f t="shared" si="50"/>
        <v>565</v>
      </c>
      <c r="S167" s="13">
        <f t="shared" si="50"/>
        <v>566</v>
      </c>
      <c r="T167" s="13">
        <f t="shared" si="50"/>
        <v>567</v>
      </c>
      <c r="U167" s="13">
        <f t="shared" si="50"/>
        <v>568</v>
      </c>
      <c r="V167" s="13">
        <f t="shared" si="50"/>
        <v>569</v>
      </c>
      <c r="W167" s="13">
        <f t="shared" si="51"/>
        <v>570</v>
      </c>
      <c r="X167" s="13">
        <f t="shared" si="51"/>
        <v>571</v>
      </c>
      <c r="Y167" s="13">
        <f t="shared" si="51"/>
        <v>572</v>
      </c>
      <c r="Z167" s="13">
        <f t="shared" si="51"/>
        <v>573</v>
      </c>
      <c r="AA167" s="13">
        <f t="shared" si="51"/>
        <v>574</v>
      </c>
      <c r="AB167" s="13">
        <f t="shared" si="51"/>
        <v>575</v>
      </c>
      <c r="AC167" s="13">
        <f t="shared" si="51"/>
        <v>576</v>
      </c>
      <c r="AD167" s="13">
        <f t="shared" si="51"/>
        <v>577</v>
      </c>
      <c r="AE167" s="13">
        <f t="shared" si="51"/>
        <v>578</v>
      </c>
      <c r="AF167" s="13">
        <f t="shared" si="51"/>
        <v>579</v>
      </c>
      <c r="AG167" s="13">
        <f t="shared" si="52"/>
        <v>580</v>
      </c>
      <c r="AH167" s="13">
        <f t="shared" si="52"/>
        <v>581</v>
      </c>
      <c r="AI167" s="13">
        <f t="shared" si="52"/>
        <v>582</v>
      </c>
      <c r="AJ167" s="13">
        <f t="shared" si="52"/>
        <v>583</v>
      </c>
      <c r="AK167" s="13">
        <f t="shared" si="52"/>
        <v>584</v>
      </c>
      <c r="AL167" s="13">
        <f t="shared" si="52"/>
        <v>585</v>
      </c>
      <c r="AM167" s="13">
        <f t="shared" si="52"/>
        <v>586</v>
      </c>
      <c r="AN167" s="13">
        <f t="shared" si="52"/>
        <v>587</v>
      </c>
      <c r="AO167" s="13">
        <f t="shared" si="52"/>
        <v>588</v>
      </c>
      <c r="AP167" s="13">
        <f t="shared" si="52"/>
        <v>589</v>
      </c>
      <c r="AQ167" s="13">
        <f t="shared" si="53"/>
        <v>590</v>
      </c>
      <c r="AR167" s="13">
        <f t="shared" si="53"/>
        <v>591</v>
      </c>
      <c r="AS167" s="13">
        <f t="shared" si="53"/>
        <v>592</v>
      </c>
      <c r="AT167" s="13">
        <f t="shared" si="53"/>
        <v>593</v>
      </c>
      <c r="AU167" s="13">
        <f t="shared" si="53"/>
        <v>594</v>
      </c>
      <c r="AV167" s="13">
        <f t="shared" si="53"/>
        <v>595</v>
      </c>
      <c r="AW167" s="13">
        <f t="shared" si="53"/>
        <v>596</v>
      </c>
      <c r="AX167" s="13">
        <f t="shared" si="53"/>
        <v>597</v>
      </c>
      <c r="AY167" s="13">
        <f t="shared" si="53"/>
        <v>598</v>
      </c>
      <c r="AZ167" s="13">
        <f t="shared" si="53"/>
        <v>599</v>
      </c>
      <c r="BA167" s="13">
        <f t="shared" si="54"/>
        <v>600</v>
      </c>
      <c r="BB167" s="13">
        <f t="shared" si="54"/>
        <v>601</v>
      </c>
      <c r="BC167" s="13">
        <f t="shared" si="54"/>
        <v>602</v>
      </c>
      <c r="BD167" s="13">
        <f t="shared" si="54"/>
        <v>603</v>
      </c>
      <c r="BE167" s="13">
        <f t="shared" si="54"/>
        <v>604</v>
      </c>
      <c r="BF167" s="13">
        <f t="shared" si="54"/>
        <v>605</v>
      </c>
      <c r="BG167" s="13">
        <f t="shared" si="54"/>
        <v>606</v>
      </c>
      <c r="BH167" s="13">
        <f t="shared" si="54"/>
        <v>607</v>
      </c>
      <c r="BI167" s="13">
        <f t="shared" si="54"/>
        <v>608</v>
      </c>
      <c r="BJ167" s="13">
        <f t="shared" si="54"/>
        <v>609</v>
      </c>
      <c r="BK167" s="13">
        <f t="shared" si="54"/>
        <v>610</v>
      </c>
      <c r="BL167" s="13">
        <f t="shared" si="54"/>
        <v>611</v>
      </c>
      <c r="BM167" s="13">
        <f t="shared" si="54"/>
        <v>612</v>
      </c>
      <c r="BN167" s="13">
        <f t="shared" si="54"/>
        <v>613</v>
      </c>
    </row>
    <row r="168" spans="1:66">
      <c r="A168">
        <f>VLOOKUP(B168,Teste!$A$137:$G$236,7,FALSE)</f>
        <v>0</v>
      </c>
      <c r="B168">
        <f t="shared" si="48"/>
        <v>12</v>
      </c>
      <c r="C168" s="13">
        <f t="shared" si="49"/>
        <v>600</v>
      </c>
      <c r="D168" s="13">
        <f t="shared" si="49"/>
        <v>601</v>
      </c>
      <c r="E168" s="13">
        <f t="shared" si="49"/>
        <v>602</v>
      </c>
      <c r="F168" s="13">
        <f t="shared" si="49"/>
        <v>603</v>
      </c>
      <c r="G168" s="13">
        <f t="shared" si="49"/>
        <v>604</v>
      </c>
      <c r="H168" s="13">
        <f t="shared" si="49"/>
        <v>605</v>
      </c>
      <c r="I168" s="13">
        <f t="shared" si="49"/>
        <v>606</v>
      </c>
      <c r="J168" s="13">
        <f t="shared" si="49"/>
        <v>607</v>
      </c>
      <c r="K168" s="13">
        <f t="shared" si="49"/>
        <v>608</v>
      </c>
      <c r="L168" s="13">
        <f t="shared" si="49"/>
        <v>609</v>
      </c>
      <c r="M168" s="13">
        <f t="shared" si="50"/>
        <v>610</v>
      </c>
      <c r="N168" s="13">
        <f t="shared" si="50"/>
        <v>611</v>
      </c>
      <c r="O168" s="13">
        <f t="shared" si="50"/>
        <v>612</v>
      </c>
      <c r="P168" s="13">
        <f t="shared" si="50"/>
        <v>613</v>
      </c>
      <c r="Q168" s="13">
        <f t="shared" si="50"/>
        <v>614</v>
      </c>
      <c r="R168" s="13">
        <f t="shared" si="50"/>
        <v>615</v>
      </c>
      <c r="S168" s="13">
        <f t="shared" si="50"/>
        <v>616</v>
      </c>
      <c r="T168" s="13">
        <f t="shared" si="50"/>
        <v>617</v>
      </c>
      <c r="U168" s="13">
        <f t="shared" si="50"/>
        <v>618</v>
      </c>
      <c r="V168" s="13">
        <f t="shared" si="50"/>
        <v>619</v>
      </c>
      <c r="W168" s="13">
        <f t="shared" si="51"/>
        <v>620</v>
      </c>
      <c r="X168" s="13">
        <f t="shared" si="51"/>
        <v>621</v>
      </c>
      <c r="Y168" s="13">
        <f t="shared" si="51"/>
        <v>622</v>
      </c>
      <c r="Z168" s="13">
        <f t="shared" si="51"/>
        <v>623</v>
      </c>
      <c r="AA168" s="13">
        <f t="shared" si="51"/>
        <v>624</v>
      </c>
      <c r="AB168" s="13">
        <f t="shared" si="51"/>
        <v>625</v>
      </c>
      <c r="AC168" s="13">
        <f t="shared" si="51"/>
        <v>626</v>
      </c>
      <c r="AD168" s="13">
        <f t="shared" si="51"/>
        <v>627</v>
      </c>
      <c r="AE168" s="13">
        <f t="shared" si="51"/>
        <v>628</v>
      </c>
      <c r="AF168" s="13">
        <f t="shared" si="51"/>
        <v>629</v>
      </c>
      <c r="AG168" s="13">
        <f t="shared" si="52"/>
        <v>630</v>
      </c>
      <c r="AH168" s="13">
        <f t="shared" si="52"/>
        <v>631</v>
      </c>
      <c r="AI168" s="13">
        <f t="shared" si="52"/>
        <v>632</v>
      </c>
      <c r="AJ168" s="13">
        <f t="shared" si="52"/>
        <v>633</v>
      </c>
      <c r="AK168" s="13">
        <f t="shared" si="52"/>
        <v>634</v>
      </c>
      <c r="AL168" s="13">
        <f t="shared" si="52"/>
        <v>635</v>
      </c>
      <c r="AM168" s="13">
        <f t="shared" si="52"/>
        <v>636</v>
      </c>
      <c r="AN168" s="13">
        <f t="shared" si="52"/>
        <v>637</v>
      </c>
      <c r="AO168" s="13">
        <f t="shared" si="52"/>
        <v>638</v>
      </c>
      <c r="AP168" s="13">
        <f t="shared" si="52"/>
        <v>639</v>
      </c>
      <c r="AQ168" s="13">
        <f t="shared" si="53"/>
        <v>640</v>
      </c>
      <c r="AR168" s="13">
        <f t="shared" si="53"/>
        <v>641</v>
      </c>
      <c r="AS168" s="13">
        <f t="shared" si="53"/>
        <v>642</v>
      </c>
      <c r="AT168" s="13">
        <f t="shared" si="53"/>
        <v>643</v>
      </c>
      <c r="AU168" s="13">
        <f t="shared" si="53"/>
        <v>644</v>
      </c>
      <c r="AV168" s="13">
        <f t="shared" si="53"/>
        <v>645</v>
      </c>
      <c r="AW168" s="13">
        <f t="shared" si="53"/>
        <v>646</v>
      </c>
      <c r="AX168" s="13">
        <f t="shared" si="53"/>
        <v>647</v>
      </c>
      <c r="AY168" s="13">
        <f t="shared" si="53"/>
        <v>648</v>
      </c>
      <c r="AZ168" s="13">
        <f t="shared" si="53"/>
        <v>649</v>
      </c>
      <c r="BA168" s="13">
        <f t="shared" si="54"/>
        <v>650</v>
      </c>
      <c r="BB168" s="13">
        <f t="shared" si="54"/>
        <v>651</v>
      </c>
      <c r="BC168" s="13">
        <f t="shared" si="54"/>
        <v>652</v>
      </c>
      <c r="BD168" s="13">
        <f t="shared" si="54"/>
        <v>653</v>
      </c>
      <c r="BE168" s="13">
        <f t="shared" si="54"/>
        <v>654</v>
      </c>
      <c r="BF168" s="13">
        <f t="shared" si="54"/>
        <v>655</v>
      </c>
      <c r="BG168" s="13">
        <f t="shared" si="54"/>
        <v>656</v>
      </c>
      <c r="BH168" s="13">
        <f t="shared" si="54"/>
        <v>657</v>
      </c>
      <c r="BI168" s="13">
        <f t="shared" si="54"/>
        <v>658</v>
      </c>
      <c r="BJ168" s="13">
        <f t="shared" si="54"/>
        <v>659</v>
      </c>
      <c r="BK168" s="13">
        <f t="shared" si="54"/>
        <v>660</v>
      </c>
      <c r="BL168" s="13">
        <f t="shared" si="54"/>
        <v>661</v>
      </c>
      <c r="BM168" s="13">
        <f t="shared" si="54"/>
        <v>662</v>
      </c>
      <c r="BN168" s="13">
        <f t="shared" si="54"/>
        <v>663</v>
      </c>
    </row>
    <row r="169" spans="1:66">
      <c r="A169">
        <f>VLOOKUP(B169,Teste!$A$137:$G$236,7,FALSE)</f>
        <v>0</v>
      </c>
      <c r="B169">
        <f t="shared" si="48"/>
        <v>13</v>
      </c>
      <c r="C169" s="13">
        <f t="shared" si="49"/>
        <v>650</v>
      </c>
      <c r="D169" s="13">
        <f t="shared" si="49"/>
        <v>651</v>
      </c>
      <c r="E169" s="13">
        <f t="shared" si="49"/>
        <v>652</v>
      </c>
      <c r="F169" s="13">
        <f t="shared" si="49"/>
        <v>653</v>
      </c>
      <c r="G169" s="13">
        <f t="shared" si="49"/>
        <v>654</v>
      </c>
      <c r="H169" s="13">
        <f t="shared" si="49"/>
        <v>655</v>
      </c>
      <c r="I169" s="13">
        <f t="shared" si="49"/>
        <v>656</v>
      </c>
      <c r="J169" s="13">
        <f t="shared" si="49"/>
        <v>657</v>
      </c>
      <c r="K169" s="13">
        <f t="shared" si="49"/>
        <v>658</v>
      </c>
      <c r="L169" s="13">
        <f t="shared" si="49"/>
        <v>659</v>
      </c>
      <c r="M169" s="13">
        <f t="shared" si="50"/>
        <v>660</v>
      </c>
      <c r="N169" s="13">
        <f t="shared" si="50"/>
        <v>661</v>
      </c>
      <c r="O169" s="13">
        <f t="shared" si="50"/>
        <v>662</v>
      </c>
      <c r="P169" s="13">
        <f t="shared" si="50"/>
        <v>663</v>
      </c>
      <c r="Q169" s="13">
        <f t="shared" si="50"/>
        <v>664</v>
      </c>
      <c r="R169" s="13">
        <f t="shared" si="50"/>
        <v>665</v>
      </c>
      <c r="S169" s="13">
        <f t="shared" si="50"/>
        <v>666</v>
      </c>
      <c r="T169" s="13">
        <f t="shared" si="50"/>
        <v>667</v>
      </c>
      <c r="U169" s="13">
        <f t="shared" si="50"/>
        <v>668</v>
      </c>
      <c r="V169" s="13">
        <f t="shared" si="50"/>
        <v>669</v>
      </c>
      <c r="W169" s="13">
        <f t="shared" si="51"/>
        <v>670</v>
      </c>
      <c r="X169" s="13">
        <f t="shared" si="51"/>
        <v>671</v>
      </c>
      <c r="Y169" s="13">
        <f t="shared" si="51"/>
        <v>672</v>
      </c>
      <c r="Z169" s="13">
        <f t="shared" si="51"/>
        <v>673</v>
      </c>
      <c r="AA169" s="13">
        <f t="shared" si="51"/>
        <v>674</v>
      </c>
      <c r="AB169" s="13">
        <f t="shared" si="51"/>
        <v>675</v>
      </c>
      <c r="AC169" s="13">
        <f t="shared" si="51"/>
        <v>676</v>
      </c>
      <c r="AD169" s="13">
        <f t="shared" si="51"/>
        <v>677</v>
      </c>
      <c r="AE169" s="13">
        <f t="shared" si="51"/>
        <v>678</v>
      </c>
      <c r="AF169" s="13">
        <f t="shared" si="51"/>
        <v>679</v>
      </c>
      <c r="AG169" s="13">
        <f t="shared" si="52"/>
        <v>680</v>
      </c>
      <c r="AH169" s="13">
        <f t="shared" si="52"/>
        <v>681</v>
      </c>
      <c r="AI169" s="13">
        <f t="shared" si="52"/>
        <v>682</v>
      </c>
      <c r="AJ169" s="13">
        <f t="shared" si="52"/>
        <v>683</v>
      </c>
      <c r="AK169" s="13">
        <f t="shared" si="52"/>
        <v>684</v>
      </c>
      <c r="AL169" s="13">
        <f t="shared" si="52"/>
        <v>685</v>
      </c>
      <c r="AM169" s="13">
        <f t="shared" si="52"/>
        <v>686</v>
      </c>
      <c r="AN169" s="13">
        <f t="shared" si="52"/>
        <v>687</v>
      </c>
      <c r="AO169" s="13">
        <f t="shared" si="52"/>
        <v>688</v>
      </c>
      <c r="AP169" s="13">
        <f t="shared" si="52"/>
        <v>689</v>
      </c>
      <c r="AQ169" s="13">
        <f t="shared" si="53"/>
        <v>690</v>
      </c>
      <c r="AR169" s="13">
        <f t="shared" si="53"/>
        <v>691</v>
      </c>
      <c r="AS169" s="13">
        <f t="shared" si="53"/>
        <v>692</v>
      </c>
      <c r="AT169" s="13">
        <f t="shared" si="53"/>
        <v>693</v>
      </c>
      <c r="AU169" s="13">
        <f t="shared" si="53"/>
        <v>694</v>
      </c>
      <c r="AV169" s="13">
        <f t="shared" si="53"/>
        <v>695</v>
      </c>
      <c r="AW169" s="13">
        <f t="shared" si="53"/>
        <v>696</v>
      </c>
      <c r="AX169" s="13">
        <f t="shared" si="53"/>
        <v>697</v>
      </c>
      <c r="AY169" s="13">
        <f t="shared" si="53"/>
        <v>698</v>
      </c>
      <c r="AZ169" s="13">
        <f t="shared" si="53"/>
        <v>699</v>
      </c>
      <c r="BA169" s="13">
        <f t="shared" si="54"/>
        <v>700</v>
      </c>
      <c r="BB169" s="13">
        <f t="shared" si="54"/>
        <v>701</v>
      </c>
      <c r="BC169" s="13">
        <f t="shared" si="54"/>
        <v>702</v>
      </c>
      <c r="BD169" s="13">
        <f t="shared" si="54"/>
        <v>703</v>
      </c>
      <c r="BE169" s="13">
        <f t="shared" si="54"/>
        <v>704</v>
      </c>
      <c r="BF169" s="13">
        <f t="shared" si="54"/>
        <v>705</v>
      </c>
      <c r="BG169" s="13">
        <f t="shared" si="54"/>
        <v>706</v>
      </c>
      <c r="BH169" s="13">
        <f t="shared" si="54"/>
        <v>707</v>
      </c>
      <c r="BI169" s="13">
        <f t="shared" si="54"/>
        <v>708</v>
      </c>
      <c r="BJ169" s="13">
        <f t="shared" si="54"/>
        <v>709</v>
      </c>
      <c r="BK169" s="13">
        <f t="shared" si="54"/>
        <v>710</v>
      </c>
      <c r="BL169" s="13">
        <f t="shared" si="54"/>
        <v>711</v>
      </c>
      <c r="BM169" s="13">
        <f t="shared" si="54"/>
        <v>712</v>
      </c>
      <c r="BN169" s="13">
        <f t="shared" si="54"/>
        <v>713</v>
      </c>
    </row>
    <row r="170" spans="1:66">
      <c r="A170">
        <f>VLOOKUP(B170,Teste!$A$137:$G$236,7,FALSE)</f>
        <v>0</v>
      </c>
      <c r="B170">
        <f t="shared" si="48"/>
        <v>14</v>
      </c>
      <c r="C170" s="13">
        <f t="shared" si="49"/>
        <v>700</v>
      </c>
      <c r="D170" s="13">
        <f t="shared" si="49"/>
        <v>701</v>
      </c>
      <c r="E170" s="13">
        <f t="shared" si="49"/>
        <v>702</v>
      </c>
      <c r="F170" s="13">
        <f t="shared" si="49"/>
        <v>703</v>
      </c>
      <c r="G170" s="13">
        <f t="shared" si="49"/>
        <v>704</v>
      </c>
      <c r="H170" s="13">
        <f t="shared" si="49"/>
        <v>705</v>
      </c>
      <c r="I170" s="13">
        <f t="shared" si="49"/>
        <v>706</v>
      </c>
      <c r="J170" s="13">
        <f t="shared" si="49"/>
        <v>707</v>
      </c>
      <c r="K170" s="13">
        <f t="shared" si="49"/>
        <v>708</v>
      </c>
      <c r="L170" s="13">
        <f t="shared" si="49"/>
        <v>709</v>
      </c>
      <c r="M170" s="13">
        <f t="shared" si="50"/>
        <v>710</v>
      </c>
      <c r="N170" s="13">
        <f t="shared" si="50"/>
        <v>711</v>
      </c>
      <c r="O170" s="13">
        <f t="shared" si="50"/>
        <v>712</v>
      </c>
      <c r="P170" s="13">
        <f t="shared" si="50"/>
        <v>713</v>
      </c>
      <c r="Q170" s="13">
        <f t="shared" si="50"/>
        <v>714</v>
      </c>
      <c r="R170" s="13">
        <f t="shared" si="50"/>
        <v>715</v>
      </c>
      <c r="S170" s="13">
        <f t="shared" si="50"/>
        <v>716</v>
      </c>
      <c r="T170" s="13">
        <f t="shared" si="50"/>
        <v>717</v>
      </c>
      <c r="U170" s="13">
        <f t="shared" si="50"/>
        <v>718</v>
      </c>
      <c r="V170" s="13">
        <f t="shared" si="50"/>
        <v>719</v>
      </c>
      <c r="W170" s="13">
        <f t="shared" si="51"/>
        <v>720</v>
      </c>
      <c r="X170" s="13">
        <f t="shared" si="51"/>
        <v>721</v>
      </c>
      <c r="Y170" s="13">
        <f t="shared" si="51"/>
        <v>722</v>
      </c>
      <c r="Z170" s="13">
        <f t="shared" si="51"/>
        <v>723</v>
      </c>
      <c r="AA170" s="13">
        <f t="shared" si="51"/>
        <v>724</v>
      </c>
      <c r="AB170" s="13">
        <f t="shared" si="51"/>
        <v>725</v>
      </c>
      <c r="AC170" s="13">
        <f t="shared" si="51"/>
        <v>726</v>
      </c>
      <c r="AD170" s="13">
        <f t="shared" si="51"/>
        <v>727</v>
      </c>
      <c r="AE170" s="13">
        <f t="shared" si="51"/>
        <v>728</v>
      </c>
      <c r="AF170" s="13">
        <f t="shared" si="51"/>
        <v>729</v>
      </c>
      <c r="AG170" s="13">
        <f t="shared" si="52"/>
        <v>730</v>
      </c>
      <c r="AH170" s="13">
        <f t="shared" si="52"/>
        <v>731</v>
      </c>
      <c r="AI170" s="13">
        <f t="shared" si="52"/>
        <v>732</v>
      </c>
      <c r="AJ170" s="13">
        <f t="shared" si="52"/>
        <v>733</v>
      </c>
      <c r="AK170" s="13">
        <f t="shared" si="52"/>
        <v>734</v>
      </c>
      <c r="AL170" s="13">
        <f t="shared" si="52"/>
        <v>735</v>
      </c>
      <c r="AM170" s="13">
        <f t="shared" si="52"/>
        <v>736</v>
      </c>
      <c r="AN170" s="13">
        <f t="shared" si="52"/>
        <v>737</v>
      </c>
      <c r="AO170" s="13">
        <f t="shared" si="52"/>
        <v>738</v>
      </c>
      <c r="AP170" s="13">
        <f t="shared" si="52"/>
        <v>739</v>
      </c>
      <c r="AQ170" s="13">
        <f t="shared" si="53"/>
        <v>740</v>
      </c>
      <c r="AR170" s="13">
        <f t="shared" si="53"/>
        <v>741</v>
      </c>
      <c r="AS170" s="13">
        <f t="shared" si="53"/>
        <v>742</v>
      </c>
      <c r="AT170" s="13">
        <f t="shared" si="53"/>
        <v>743</v>
      </c>
      <c r="AU170" s="13">
        <f t="shared" si="53"/>
        <v>744</v>
      </c>
      <c r="AV170" s="13">
        <f t="shared" si="53"/>
        <v>745</v>
      </c>
      <c r="AW170" s="13">
        <f t="shared" si="53"/>
        <v>746</v>
      </c>
      <c r="AX170" s="13">
        <f t="shared" si="53"/>
        <v>747</v>
      </c>
      <c r="AY170" s="13">
        <f t="shared" si="53"/>
        <v>748</v>
      </c>
      <c r="AZ170" s="13">
        <f t="shared" si="53"/>
        <v>749</v>
      </c>
      <c r="BA170" s="13">
        <f t="shared" si="54"/>
        <v>750</v>
      </c>
      <c r="BB170" s="13">
        <f t="shared" si="54"/>
        <v>751</v>
      </c>
      <c r="BC170" s="13">
        <f t="shared" si="54"/>
        <v>752</v>
      </c>
      <c r="BD170" s="13">
        <f t="shared" si="54"/>
        <v>753</v>
      </c>
      <c r="BE170" s="13">
        <f t="shared" si="54"/>
        <v>754</v>
      </c>
      <c r="BF170" s="13">
        <f t="shared" si="54"/>
        <v>755</v>
      </c>
      <c r="BG170" s="13">
        <f t="shared" si="54"/>
        <v>756</v>
      </c>
      <c r="BH170" s="13">
        <f t="shared" si="54"/>
        <v>757</v>
      </c>
      <c r="BI170" s="13">
        <f t="shared" si="54"/>
        <v>758</v>
      </c>
      <c r="BJ170" s="13">
        <f t="shared" si="54"/>
        <v>759</v>
      </c>
      <c r="BK170" s="13">
        <f t="shared" si="54"/>
        <v>760</v>
      </c>
      <c r="BL170" s="13">
        <f t="shared" si="54"/>
        <v>761</v>
      </c>
      <c r="BM170" s="13">
        <f t="shared" si="54"/>
        <v>762</v>
      </c>
      <c r="BN170" s="13">
        <f t="shared" si="54"/>
        <v>763</v>
      </c>
    </row>
    <row r="171" spans="1:66">
      <c r="A171">
        <f>VLOOKUP(B171,Teste!$A$137:$G$236,7,FALSE)</f>
        <v>0</v>
      </c>
      <c r="B171">
        <f t="shared" si="48"/>
        <v>15</v>
      </c>
      <c r="C171" s="13">
        <f t="shared" si="49"/>
        <v>750</v>
      </c>
      <c r="D171" s="13">
        <f t="shared" si="49"/>
        <v>751</v>
      </c>
      <c r="E171" s="13">
        <f t="shared" si="49"/>
        <v>752</v>
      </c>
      <c r="F171" s="13">
        <f t="shared" si="49"/>
        <v>753</v>
      </c>
      <c r="G171" s="13">
        <f t="shared" si="49"/>
        <v>754</v>
      </c>
      <c r="H171" s="13">
        <f t="shared" si="49"/>
        <v>755</v>
      </c>
      <c r="I171" s="13">
        <f t="shared" si="49"/>
        <v>756</v>
      </c>
      <c r="J171" s="13">
        <f t="shared" si="49"/>
        <v>757</v>
      </c>
      <c r="K171" s="13">
        <f t="shared" si="49"/>
        <v>758</v>
      </c>
      <c r="L171" s="13">
        <f t="shared" si="49"/>
        <v>759</v>
      </c>
      <c r="M171" s="13">
        <f t="shared" si="50"/>
        <v>760</v>
      </c>
      <c r="N171" s="13">
        <f t="shared" si="50"/>
        <v>761</v>
      </c>
      <c r="O171" s="13">
        <f t="shared" si="50"/>
        <v>762</v>
      </c>
      <c r="P171" s="13">
        <f t="shared" si="50"/>
        <v>763</v>
      </c>
      <c r="Q171" s="13">
        <f t="shared" si="50"/>
        <v>764</v>
      </c>
      <c r="R171" s="13">
        <f t="shared" si="50"/>
        <v>765</v>
      </c>
      <c r="S171" s="13">
        <f t="shared" si="50"/>
        <v>766</v>
      </c>
      <c r="T171" s="13">
        <f t="shared" si="50"/>
        <v>767</v>
      </c>
      <c r="U171" s="13">
        <f t="shared" si="50"/>
        <v>768</v>
      </c>
      <c r="V171" s="13">
        <f t="shared" si="50"/>
        <v>769</v>
      </c>
      <c r="W171" s="13">
        <f t="shared" si="51"/>
        <v>770</v>
      </c>
      <c r="X171" s="13">
        <f t="shared" si="51"/>
        <v>771</v>
      </c>
      <c r="Y171" s="13">
        <f t="shared" si="51"/>
        <v>772</v>
      </c>
      <c r="Z171" s="13">
        <f t="shared" si="51"/>
        <v>773</v>
      </c>
      <c r="AA171" s="13">
        <f t="shared" si="51"/>
        <v>774</v>
      </c>
      <c r="AB171" s="13">
        <f t="shared" si="51"/>
        <v>775</v>
      </c>
      <c r="AC171" s="13">
        <f t="shared" si="51"/>
        <v>776</v>
      </c>
      <c r="AD171" s="13">
        <f t="shared" si="51"/>
        <v>777</v>
      </c>
      <c r="AE171" s="13">
        <f t="shared" si="51"/>
        <v>778</v>
      </c>
      <c r="AF171" s="13">
        <f t="shared" si="51"/>
        <v>779</v>
      </c>
      <c r="AG171" s="13">
        <f t="shared" si="52"/>
        <v>780</v>
      </c>
      <c r="AH171" s="13">
        <f t="shared" si="52"/>
        <v>781</v>
      </c>
      <c r="AI171" s="13">
        <f t="shared" si="52"/>
        <v>782</v>
      </c>
      <c r="AJ171" s="13">
        <f t="shared" si="52"/>
        <v>783</v>
      </c>
      <c r="AK171" s="13">
        <f t="shared" si="52"/>
        <v>784</v>
      </c>
      <c r="AL171" s="13">
        <f t="shared" si="52"/>
        <v>785</v>
      </c>
      <c r="AM171" s="13">
        <f t="shared" si="52"/>
        <v>786</v>
      </c>
      <c r="AN171" s="13">
        <f t="shared" si="52"/>
        <v>787</v>
      </c>
      <c r="AO171" s="13">
        <f t="shared" si="52"/>
        <v>788</v>
      </c>
      <c r="AP171" s="13">
        <f t="shared" si="52"/>
        <v>789</v>
      </c>
      <c r="AQ171" s="13">
        <f t="shared" si="53"/>
        <v>790</v>
      </c>
      <c r="AR171" s="13">
        <f t="shared" si="53"/>
        <v>791</v>
      </c>
      <c r="AS171" s="13">
        <f t="shared" si="53"/>
        <v>792</v>
      </c>
      <c r="AT171" s="13">
        <f t="shared" si="53"/>
        <v>793</v>
      </c>
      <c r="AU171" s="13">
        <f t="shared" si="53"/>
        <v>794</v>
      </c>
      <c r="AV171" s="13">
        <f t="shared" si="53"/>
        <v>795</v>
      </c>
      <c r="AW171" s="13">
        <f t="shared" si="53"/>
        <v>796</v>
      </c>
      <c r="AX171" s="13">
        <f t="shared" si="53"/>
        <v>797</v>
      </c>
      <c r="AY171" s="13">
        <f t="shared" si="53"/>
        <v>798</v>
      </c>
      <c r="AZ171" s="13">
        <f t="shared" si="53"/>
        <v>799</v>
      </c>
      <c r="BA171" s="13">
        <f t="shared" si="54"/>
        <v>800</v>
      </c>
      <c r="BB171" s="13">
        <f t="shared" si="54"/>
        <v>801</v>
      </c>
      <c r="BC171" s="13">
        <f t="shared" si="54"/>
        <v>802</v>
      </c>
      <c r="BD171" s="13">
        <f t="shared" si="54"/>
        <v>803</v>
      </c>
      <c r="BE171" s="13">
        <f t="shared" si="54"/>
        <v>804</v>
      </c>
      <c r="BF171" s="13">
        <f t="shared" si="54"/>
        <v>805</v>
      </c>
      <c r="BG171" s="13">
        <f t="shared" si="54"/>
        <v>806</v>
      </c>
      <c r="BH171" s="13">
        <f t="shared" si="54"/>
        <v>807</v>
      </c>
      <c r="BI171" s="13">
        <f t="shared" si="54"/>
        <v>808</v>
      </c>
      <c r="BJ171" s="13">
        <f t="shared" si="54"/>
        <v>809</v>
      </c>
      <c r="BK171" s="13">
        <f t="shared" si="54"/>
        <v>810</v>
      </c>
      <c r="BL171" s="13">
        <f t="shared" si="54"/>
        <v>811</v>
      </c>
      <c r="BM171" s="13">
        <f t="shared" si="54"/>
        <v>812</v>
      </c>
      <c r="BN171" s="13">
        <f t="shared" si="54"/>
        <v>813</v>
      </c>
    </row>
    <row r="172" spans="1:66">
      <c r="A172">
        <f>VLOOKUP(B172,Teste!$A$137:$G$236,7,FALSE)</f>
        <v>0</v>
      </c>
      <c r="B172">
        <f t="shared" si="48"/>
        <v>16</v>
      </c>
      <c r="C172" s="13">
        <f t="shared" si="49"/>
        <v>800</v>
      </c>
      <c r="D172" s="13">
        <f t="shared" si="49"/>
        <v>801</v>
      </c>
      <c r="E172" s="13">
        <f t="shared" si="49"/>
        <v>802</v>
      </c>
      <c r="F172" s="13">
        <f t="shared" si="49"/>
        <v>803</v>
      </c>
      <c r="G172" s="13">
        <f t="shared" si="49"/>
        <v>804</v>
      </c>
      <c r="H172" s="13">
        <f t="shared" si="49"/>
        <v>805</v>
      </c>
      <c r="I172" s="13">
        <f t="shared" si="49"/>
        <v>806</v>
      </c>
      <c r="J172" s="13">
        <f t="shared" si="49"/>
        <v>807</v>
      </c>
      <c r="K172" s="13">
        <f t="shared" si="49"/>
        <v>808</v>
      </c>
      <c r="L172" s="13">
        <f t="shared" si="49"/>
        <v>809</v>
      </c>
      <c r="M172" s="13">
        <f t="shared" si="50"/>
        <v>810</v>
      </c>
      <c r="N172" s="13">
        <f t="shared" si="50"/>
        <v>811</v>
      </c>
      <c r="O172" s="13">
        <f t="shared" si="50"/>
        <v>812</v>
      </c>
      <c r="P172" s="13">
        <f t="shared" si="50"/>
        <v>813</v>
      </c>
      <c r="Q172" s="13">
        <f t="shared" si="50"/>
        <v>814</v>
      </c>
      <c r="R172" s="13">
        <f t="shared" si="50"/>
        <v>815</v>
      </c>
      <c r="S172" s="13">
        <f t="shared" si="50"/>
        <v>816</v>
      </c>
      <c r="T172" s="13">
        <f t="shared" si="50"/>
        <v>817</v>
      </c>
      <c r="U172" s="13">
        <f t="shared" si="50"/>
        <v>818</v>
      </c>
      <c r="V172" s="13">
        <f t="shared" si="50"/>
        <v>819</v>
      </c>
      <c r="W172" s="13">
        <f t="shared" si="51"/>
        <v>820</v>
      </c>
      <c r="X172" s="13">
        <f t="shared" si="51"/>
        <v>821</v>
      </c>
      <c r="Y172" s="13">
        <f t="shared" si="51"/>
        <v>822</v>
      </c>
      <c r="Z172" s="13">
        <f t="shared" si="51"/>
        <v>823</v>
      </c>
      <c r="AA172" s="13">
        <f t="shared" si="51"/>
        <v>824</v>
      </c>
      <c r="AB172" s="13">
        <f t="shared" si="51"/>
        <v>825</v>
      </c>
      <c r="AC172" s="13">
        <f t="shared" si="51"/>
        <v>826</v>
      </c>
      <c r="AD172" s="13">
        <f t="shared" si="51"/>
        <v>827</v>
      </c>
      <c r="AE172" s="13">
        <f t="shared" si="51"/>
        <v>828</v>
      </c>
      <c r="AF172" s="13">
        <f t="shared" si="51"/>
        <v>829</v>
      </c>
      <c r="AG172" s="13">
        <f t="shared" si="52"/>
        <v>830</v>
      </c>
      <c r="AH172" s="13">
        <f t="shared" si="52"/>
        <v>831</v>
      </c>
      <c r="AI172" s="13">
        <f t="shared" si="52"/>
        <v>832</v>
      </c>
      <c r="AJ172" s="13">
        <f t="shared" si="52"/>
        <v>833</v>
      </c>
      <c r="AK172" s="13">
        <f t="shared" si="52"/>
        <v>834</v>
      </c>
      <c r="AL172" s="13">
        <f t="shared" si="52"/>
        <v>835</v>
      </c>
      <c r="AM172" s="13">
        <f t="shared" si="52"/>
        <v>836</v>
      </c>
      <c r="AN172" s="13">
        <f t="shared" si="52"/>
        <v>837</v>
      </c>
      <c r="AO172" s="13">
        <f t="shared" si="52"/>
        <v>838</v>
      </c>
      <c r="AP172" s="13">
        <f t="shared" si="52"/>
        <v>839</v>
      </c>
      <c r="AQ172" s="13">
        <f t="shared" si="53"/>
        <v>840</v>
      </c>
      <c r="AR172" s="13">
        <f t="shared" si="53"/>
        <v>841</v>
      </c>
      <c r="AS172" s="13">
        <f t="shared" si="53"/>
        <v>842</v>
      </c>
      <c r="AT172" s="13">
        <f t="shared" si="53"/>
        <v>843</v>
      </c>
      <c r="AU172" s="13">
        <f t="shared" si="53"/>
        <v>844</v>
      </c>
      <c r="AV172" s="13">
        <f t="shared" si="53"/>
        <v>845</v>
      </c>
      <c r="AW172" s="13">
        <f t="shared" si="53"/>
        <v>846</v>
      </c>
      <c r="AX172" s="13">
        <f t="shared" si="53"/>
        <v>847</v>
      </c>
      <c r="AY172" s="13">
        <f t="shared" si="53"/>
        <v>848</v>
      </c>
      <c r="AZ172" s="13">
        <f t="shared" si="53"/>
        <v>849</v>
      </c>
      <c r="BA172" s="13">
        <f t="shared" si="54"/>
        <v>850</v>
      </c>
      <c r="BB172" s="13">
        <f t="shared" si="54"/>
        <v>851</v>
      </c>
      <c r="BC172" s="13">
        <f t="shared" si="54"/>
        <v>852</v>
      </c>
      <c r="BD172" s="13">
        <f t="shared" si="54"/>
        <v>853</v>
      </c>
      <c r="BE172" s="13">
        <f t="shared" si="54"/>
        <v>854</v>
      </c>
      <c r="BF172" s="13">
        <f t="shared" si="54"/>
        <v>855</v>
      </c>
      <c r="BG172" s="13">
        <f t="shared" si="54"/>
        <v>856</v>
      </c>
      <c r="BH172" s="13">
        <f t="shared" si="54"/>
        <v>857</v>
      </c>
      <c r="BI172" s="13">
        <f t="shared" si="54"/>
        <v>858</v>
      </c>
      <c r="BJ172" s="13">
        <f t="shared" si="54"/>
        <v>859</v>
      </c>
      <c r="BK172" s="13">
        <f t="shared" si="54"/>
        <v>860</v>
      </c>
      <c r="BL172" s="13">
        <f t="shared" si="54"/>
        <v>861</v>
      </c>
      <c r="BM172" s="13">
        <f t="shared" si="54"/>
        <v>862</v>
      </c>
      <c r="BN172" s="13">
        <f t="shared" si="54"/>
        <v>863</v>
      </c>
    </row>
    <row r="173" spans="1:66">
      <c r="A173">
        <f>VLOOKUP(B173,Teste!$A$137:$G$236,7,FALSE)</f>
        <v>0</v>
      </c>
      <c r="B173">
        <f t="shared" si="48"/>
        <v>17</v>
      </c>
      <c r="C173" s="13">
        <f t="shared" si="49"/>
        <v>850</v>
      </c>
      <c r="D173" s="13">
        <f t="shared" si="49"/>
        <v>851</v>
      </c>
      <c r="E173" s="13">
        <f t="shared" si="49"/>
        <v>852</v>
      </c>
      <c r="F173" s="13">
        <f t="shared" si="49"/>
        <v>853</v>
      </c>
      <c r="G173" s="13">
        <f t="shared" si="49"/>
        <v>854</v>
      </c>
      <c r="H173" s="13">
        <f t="shared" si="49"/>
        <v>855</v>
      </c>
      <c r="I173" s="13">
        <f t="shared" si="49"/>
        <v>856</v>
      </c>
      <c r="J173" s="13">
        <f t="shared" si="49"/>
        <v>857</v>
      </c>
      <c r="K173" s="13">
        <f t="shared" si="49"/>
        <v>858</v>
      </c>
      <c r="L173" s="13">
        <f t="shared" si="49"/>
        <v>859</v>
      </c>
      <c r="M173" s="13">
        <f t="shared" si="50"/>
        <v>860</v>
      </c>
      <c r="N173" s="13">
        <f t="shared" si="50"/>
        <v>861</v>
      </c>
      <c r="O173" s="13">
        <f t="shared" si="50"/>
        <v>862</v>
      </c>
      <c r="P173" s="13">
        <f t="shared" si="50"/>
        <v>863</v>
      </c>
      <c r="Q173" s="13">
        <f t="shared" si="50"/>
        <v>864</v>
      </c>
      <c r="R173" s="13">
        <f t="shared" si="50"/>
        <v>865</v>
      </c>
      <c r="S173" s="13">
        <f t="shared" si="50"/>
        <v>866</v>
      </c>
      <c r="T173" s="13">
        <f t="shared" si="50"/>
        <v>867</v>
      </c>
      <c r="U173" s="13">
        <f t="shared" si="50"/>
        <v>868</v>
      </c>
      <c r="V173" s="13">
        <f t="shared" si="50"/>
        <v>869</v>
      </c>
      <c r="W173" s="13">
        <f t="shared" si="51"/>
        <v>870</v>
      </c>
      <c r="X173" s="13">
        <f t="shared" si="51"/>
        <v>871</v>
      </c>
      <c r="Y173" s="13">
        <f t="shared" si="51"/>
        <v>872</v>
      </c>
      <c r="Z173" s="13">
        <f t="shared" si="51"/>
        <v>873</v>
      </c>
      <c r="AA173" s="13">
        <f t="shared" si="51"/>
        <v>874</v>
      </c>
      <c r="AB173" s="13">
        <f t="shared" si="51"/>
        <v>875</v>
      </c>
      <c r="AC173" s="13">
        <f t="shared" si="51"/>
        <v>876</v>
      </c>
      <c r="AD173" s="13">
        <f t="shared" si="51"/>
        <v>877</v>
      </c>
      <c r="AE173" s="13">
        <f t="shared" si="51"/>
        <v>878</v>
      </c>
      <c r="AF173" s="13">
        <f t="shared" si="51"/>
        <v>879</v>
      </c>
      <c r="AG173" s="13">
        <f t="shared" si="52"/>
        <v>880</v>
      </c>
      <c r="AH173" s="13">
        <f t="shared" si="52"/>
        <v>881</v>
      </c>
      <c r="AI173" s="13">
        <f t="shared" si="52"/>
        <v>882</v>
      </c>
      <c r="AJ173" s="13">
        <f t="shared" si="52"/>
        <v>883</v>
      </c>
      <c r="AK173" s="13">
        <f t="shared" si="52"/>
        <v>884</v>
      </c>
      <c r="AL173" s="13">
        <f t="shared" si="52"/>
        <v>885</v>
      </c>
      <c r="AM173" s="13">
        <f t="shared" si="52"/>
        <v>886</v>
      </c>
      <c r="AN173" s="13">
        <f t="shared" si="52"/>
        <v>887</v>
      </c>
      <c r="AO173" s="13">
        <f t="shared" si="52"/>
        <v>888</v>
      </c>
      <c r="AP173" s="13">
        <f t="shared" si="52"/>
        <v>889</v>
      </c>
      <c r="AQ173" s="13">
        <f t="shared" si="53"/>
        <v>890</v>
      </c>
      <c r="AR173" s="13">
        <f t="shared" si="53"/>
        <v>891</v>
      </c>
      <c r="AS173" s="13">
        <f t="shared" si="53"/>
        <v>892</v>
      </c>
      <c r="AT173" s="13">
        <f t="shared" si="53"/>
        <v>893</v>
      </c>
      <c r="AU173" s="13">
        <f t="shared" si="53"/>
        <v>894</v>
      </c>
      <c r="AV173" s="13">
        <f t="shared" si="53"/>
        <v>895</v>
      </c>
      <c r="AW173" s="13">
        <f t="shared" si="53"/>
        <v>896</v>
      </c>
      <c r="AX173" s="13">
        <f t="shared" si="53"/>
        <v>897</v>
      </c>
      <c r="AY173" s="13">
        <f t="shared" si="53"/>
        <v>898</v>
      </c>
      <c r="AZ173" s="13">
        <f t="shared" si="53"/>
        <v>899</v>
      </c>
      <c r="BA173" s="13">
        <f t="shared" si="54"/>
        <v>900</v>
      </c>
      <c r="BB173" s="13">
        <f t="shared" si="54"/>
        <v>901</v>
      </c>
      <c r="BC173" s="13">
        <f t="shared" si="54"/>
        <v>902</v>
      </c>
      <c r="BD173" s="13">
        <f t="shared" si="54"/>
        <v>903</v>
      </c>
      <c r="BE173" s="13">
        <f t="shared" si="54"/>
        <v>904</v>
      </c>
      <c r="BF173" s="13">
        <f t="shared" si="54"/>
        <v>905</v>
      </c>
      <c r="BG173" s="13">
        <f t="shared" si="54"/>
        <v>906</v>
      </c>
      <c r="BH173" s="13">
        <f t="shared" si="54"/>
        <v>907</v>
      </c>
      <c r="BI173" s="13">
        <f t="shared" si="54"/>
        <v>908</v>
      </c>
      <c r="BJ173" s="13">
        <f t="shared" si="54"/>
        <v>909</v>
      </c>
      <c r="BK173" s="13">
        <f t="shared" si="54"/>
        <v>910</v>
      </c>
      <c r="BL173" s="13">
        <f t="shared" si="54"/>
        <v>911</v>
      </c>
      <c r="BM173" s="13">
        <f t="shared" si="54"/>
        <v>912</v>
      </c>
      <c r="BN173" s="13">
        <f t="shared" si="54"/>
        <v>913</v>
      </c>
    </row>
    <row r="174" spans="1:66">
      <c r="A174">
        <f>VLOOKUP(B174,Teste!$A$137:$G$236,7,FALSE)</f>
        <v>0</v>
      </c>
      <c r="B174">
        <f t="shared" si="48"/>
        <v>18</v>
      </c>
      <c r="C174" s="13">
        <f t="shared" si="49"/>
        <v>900</v>
      </c>
      <c r="D174" s="13">
        <f t="shared" si="49"/>
        <v>901</v>
      </c>
      <c r="E174" s="13">
        <f t="shared" si="49"/>
        <v>902</v>
      </c>
      <c r="F174" s="13">
        <f t="shared" si="49"/>
        <v>903</v>
      </c>
      <c r="G174" s="13">
        <f t="shared" si="49"/>
        <v>904</v>
      </c>
      <c r="H174" s="13">
        <f t="shared" si="49"/>
        <v>905</v>
      </c>
      <c r="I174" s="13">
        <f t="shared" si="49"/>
        <v>906</v>
      </c>
      <c r="J174" s="13">
        <f t="shared" si="49"/>
        <v>907</v>
      </c>
      <c r="K174" s="13">
        <f t="shared" si="49"/>
        <v>908</v>
      </c>
      <c r="L174" s="13">
        <f t="shared" si="49"/>
        <v>909</v>
      </c>
      <c r="M174" s="13">
        <f t="shared" si="50"/>
        <v>910</v>
      </c>
      <c r="N174" s="13">
        <f t="shared" si="50"/>
        <v>911</v>
      </c>
      <c r="O174" s="13">
        <f t="shared" si="50"/>
        <v>912</v>
      </c>
      <c r="P174" s="13">
        <f t="shared" si="50"/>
        <v>913</v>
      </c>
      <c r="Q174" s="13">
        <f t="shared" si="50"/>
        <v>914</v>
      </c>
      <c r="R174" s="13">
        <f t="shared" si="50"/>
        <v>915</v>
      </c>
      <c r="S174" s="13">
        <f t="shared" si="50"/>
        <v>916</v>
      </c>
      <c r="T174" s="13">
        <f t="shared" si="50"/>
        <v>917</v>
      </c>
      <c r="U174" s="13">
        <f t="shared" si="50"/>
        <v>918</v>
      </c>
      <c r="V174" s="13">
        <f t="shared" si="50"/>
        <v>919</v>
      </c>
      <c r="W174" s="13">
        <f t="shared" si="51"/>
        <v>920</v>
      </c>
      <c r="X174" s="13">
        <f t="shared" si="51"/>
        <v>921</v>
      </c>
      <c r="Y174" s="13">
        <f t="shared" si="51"/>
        <v>922</v>
      </c>
      <c r="Z174" s="13">
        <f t="shared" si="51"/>
        <v>923</v>
      </c>
      <c r="AA174" s="13">
        <f t="shared" si="51"/>
        <v>924</v>
      </c>
      <c r="AB174" s="13">
        <f t="shared" si="51"/>
        <v>925</v>
      </c>
      <c r="AC174" s="13">
        <f t="shared" si="51"/>
        <v>926</v>
      </c>
      <c r="AD174" s="13">
        <f t="shared" si="51"/>
        <v>927</v>
      </c>
      <c r="AE174" s="13">
        <f t="shared" si="51"/>
        <v>928</v>
      </c>
      <c r="AF174" s="13">
        <f t="shared" si="51"/>
        <v>929</v>
      </c>
      <c r="AG174" s="13">
        <f t="shared" si="52"/>
        <v>930</v>
      </c>
      <c r="AH174" s="13">
        <f t="shared" si="52"/>
        <v>931</v>
      </c>
      <c r="AI174" s="13">
        <f t="shared" si="52"/>
        <v>932</v>
      </c>
      <c r="AJ174" s="13">
        <f t="shared" si="52"/>
        <v>933</v>
      </c>
      <c r="AK174" s="13">
        <f t="shared" si="52"/>
        <v>934</v>
      </c>
      <c r="AL174" s="13">
        <f t="shared" si="52"/>
        <v>935</v>
      </c>
      <c r="AM174" s="13">
        <f t="shared" si="52"/>
        <v>936</v>
      </c>
      <c r="AN174" s="13">
        <f t="shared" si="52"/>
        <v>937</v>
      </c>
      <c r="AO174" s="13">
        <f t="shared" si="52"/>
        <v>938</v>
      </c>
      <c r="AP174" s="13">
        <f t="shared" si="52"/>
        <v>939</v>
      </c>
      <c r="AQ174" s="13">
        <f t="shared" si="53"/>
        <v>940</v>
      </c>
      <c r="AR174" s="13">
        <f t="shared" si="53"/>
        <v>941</v>
      </c>
      <c r="AS174" s="13">
        <f t="shared" si="53"/>
        <v>942</v>
      </c>
      <c r="AT174" s="13">
        <f t="shared" si="53"/>
        <v>943</v>
      </c>
      <c r="AU174" s="13">
        <f t="shared" si="53"/>
        <v>944</v>
      </c>
      <c r="AV174" s="13">
        <f t="shared" si="53"/>
        <v>945</v>
      </c>
      <c r="AW174" s="13">
        <f t="shared" si="53"/>
        <v>946</v>
      </c>
      <c r="AX174" s="13">
        <f t="shared" si="53"/>
        <v>947</v>
      </c>
      <c r="AY174" s="13">
        <f t="shared" si="53"/>
        <v>948</v>
      </c>
      <c r="AZ174" s="13">
        <f t="shared" si="53"/>
        <v>949</v>
      </c>
      <c r="BA174" s="13">
        <f t="shared" si="54"/>
        <v>950</v>
      </c>
      <c r="BB174" s="13">
        <f t="shared" si="54"/>
        <v>951</v>
      </c>
      <c r="BC174" s="13">
        <f t="shared" si="54"/>
        <v>952</v>
      </c>
      <c r="BD174" s="13">
        <f t="shared" si="54"/>
        <v>953</v>
      </c>
      <c r="BE174" s="13">
        <f t="shared" si="54"/>
        <v>954</v>
      </c>
      <c r="BF174" s="13">
        <f t="shared" si="54"/>
        <v>955</v>
      </c>
      <c r="BG174" s="13">
        <f t="shared" si="54"/>
        <v>956</v>
      </c>
      <c r="BH174" s="13">
        <f t="shared" si="54"/>
        <v>957</v>
      </c>
      <c r="BI174" s="13">
        <f t="shared" si="54"/>
        <v>958</v>
      </c>
      <c r="BJ174" s="13">
        <f t="shared" si="54"/>
        <v>959</v>
      </c>
      <c r="BK174" s="13">
        <f t="shared" si="54"/>
        <v>960</v>
      </c>
      <c r="BL174" s="13">
        <f t="shared" si="54"/>
        <v>961</v>
      </c>
      <c r="BM174" s="13">
        <f t="shared" si="54"/>
        <v>962</v>
      </c>
      <c r="BN174" s="13">
        <f t="shared" si="54"/>
        <v>963</v>
      </c>
    </row>
    <row r="175" spans="1:66">
      <c r="A175">
        <f>VLOOKUP(B175,Teste!$A$137:$G$236,7,FALSE)</f>
        <v>0</v>
      </c>
      <c r="B175">
        <f t="shared" si="48"/>
        <v>19</v>
      </c>
      <c r="C175" s="13">
        <f t="shared" si="49"/>
        <v>950</v>
      </c>
      <c r="D175" s="13">
        <f t="shared" si="49"/>
        <v>951</v>
      </c>
      <c r="E175" s="13">
        <f t="shared" si="49"/>
        <v>952</v>
      </c>
      <c r="F175" s="13">
        <f t="shared" si="49"/>
        <v>953</v>
      </c>
      <c r="G175" s="13">
        <f t="shared" si="49"/>
        <v>954</v>
      </c>
      <c r="H175" s="13">
        <f t="shared" si="49"/>
        <v>955</v>
      </c>
      <c r="I175" s="13">
        <f t="shared" si="49"/>
        <v>956</v>
      </c>
      <c r="J175" s="13">
        <f t="shared" si="49"/>
        <v>957</v>
      </c>
      <c r="K175" s="13">
        <f t="shared" si="49"/>
        <v>958</v>
      </c>
      <c r="L175" s="13">
        <f t="shared" si="49"/>
        <v>959</v>
      </c>
      <c r="M175" s="13">
        <f t="shared" si="50"/>
        <v>960</v>
      </c>
      <c r="N175" s="13">
        <f t="shared" si="50"/>
        <v>961</v>
      </c>
      <c r="O175" s="13">
        <f t="shared" si="50"/>
        <v>962</v>
      </c>
      <c r="P175" s="13">
        <f t="shared" si="50"/>
        <v>963</v>
      </c>
      <c r="Q175" s="13">
        <f t="shared" si="50"/>
        <v>964</v>
      </c>
      <c r="R175" s="13">
        <f t="shared" si="50"/>
        <v>965</v>
      </c>
      <c r="S175" s="13">
        <f t="shared" si="50"/>
        <v>966</v>
      </c>
      <c r="T175" s="13">
        <f t="shared" si="50"/>
        <v>967</v>
      </c>
      <c r="U175" s="13">
        <f t="shared" si="50"/>
        <v>968</v>
      </c>
      <c r="V175" s="13">
        <f t="shared" si="50"/>
        <v>969</v>
      </c>
      <c r="W175" s="13">
        <f t="shared" si="51"/>
        <v>970</v>
      </c>
      <c r="X175" s="13">
        <f t="shared" si="51"/>
        <v>971</v>
      </c>
      <c r="Y175" s="13">
        <f t="shared" si="51"/>
        <v>972</v>
      </c>
      <c r="Z175" s="13">
        <f t="shared" si="51"/>
        <v>973</v>
      </c>
      <c r="AA175" s="13">
        <f t="shared" si="51"/>
        <v>974</v>
      </c>
      <c r="AB175" s="13">
        <f t="shared" si="51"/>
        <v>975</v>
      </c>
      <c r="AC175" s="13">
        <f t="shared" si="51"/>
        <v>976</v>
      </c>
      <c r="AD175" s="13">
        <f t="shared" si="51"/>
        <v>977</v>
      </c>
      <c r="AE175" s="13">
        <f t="shared" si="51"/>
        <v>978</v>
      </c>
      <c r="AF175" s="13">
        <f t="shared" si="51"/>
        <v>979</v>
      </c>
      <c r="AG175" s="13">
        <f t="shared" si="52"/>
        <v>980</v>
      </c>
      <c r="AH175" s="13">
        <f t="shared" si="52"/>
        <v>981</v>
      </c>
      <c r="AI175" s="13">
        <f t="shared" si="52"/>
        <v>982</v>
      </c>
      <c r="AJ175" s="13">
        <f t="shared" si="52"/>
        <v>983</v>
      </c>
      <c r="AK175" s="13">
        <f t="shared" si="52"/>
        <v>984</v>
      </c>
      <c r="AL175" s="13">
        <f t="shared" si="52"/>
        <v>985</v>
      </c>
      <c r="AM175" s="13">
        <f t="shared" si="52"/>
        <v>986</v>
      </c>
      <c r="AN175" s="13">
        <f t="shared" si="52"/>
        <v>987</v>
      </c>
      <c r="AO175" s="13">
        <f t="shared" si="52"/>
        <v>988</v>
      </c>
      <c r="AP175" s="13">
        <f t="shared" si="52"/>
        <v>989</v>
      </c>
      <c r="AQ175" s="13">
        <f t="shared" si="53"/>
        <v>990</v>
      </c>
      <c r="AR175" s="13">
        <f t="shared" si="53"/>
        <v>991</v>
      </c>
      <c r="AS175" s="13">
        <f t="shared" si="53"/>
        <v>992</v>
      </c>
      <c r="AT175" s="13">
        <f t="shared" si="53"/>
        <v>993</v>
      </c>
      <c r="AU175" s="13">
        <f t="shared" si="53"/>
        <v>994</v>
      </c>
      <c r="AV175" s="13">
        <f t="shared" si="53"/>
        <v>995</v>
      </c>
      <c r="AW175" s="13">
        <f t="shared" si="53"/>
        <v>996</v>
      </c>
      <c r="AX175" s="13">
        <f t="shared" si="53"/>
        <v>997</v>
      </c>
      <c r="AY175" s="13">
        <f t="shared" si="53"/>
        <v>998</v>
      </c>
      <c r="AZ175" s="13">
        <f t="shared" si="53"/>
        <v>999</v>
      </c>
      <c r="BA175" s="13">
        <f t="shared" si="54"/>
        <v>1000</v>
      </c>
      <c r="BB175" s="13">
        <f t="shared" si="54"/>
        <v>1001</v>
      </c>
      <c r="BC175" s="13">
        <f t="shared" si="54"/>
        <v>1002</v>
      </c>
      <c r="BD175" s="13">
        <f t="shared" si="54"/>
        <v>1003</v>
      </c>
      <c r="BE175" s="13">
        <f t="shared" si="54"/>
        <v>1004</v>
      </c>
      <c r="BF175" s="13">
        <f t="shared" si="54"/>
        <v>1005</v>
      </c>
      <c r="BG175" s="13">
        <f t="shared" si="54"/>
        <v>1006</v>
      </c>
      <c r="BH175" s="13">
        <f t="shared" si="54"/>
        <v>1007</v>
      </c>
      <c r="BI175" s="13">
        <f t="shared" si="54"/>
        <v>1008</v>
      </c>
      <c r="BJ175" s="13">
        <f t="shared" si="54"/>
        <v>1009</v>
      </c>
      <c r="BK175" s="13">
        <f t="shared" si="54"/>
        <v>1010</v>
      </c>
      <c r="BL175" s="13">
        <f t="shared" si="54"/>
        <v>1011</v>
      </c>
      <c r="BM175" s="13">
        <f t="shared" si="54"/>
        <v>1012</v>
      </c>
      <c r="BN175" s="13">
        <f t="shared" si="54"/>
        <v>1013</v>
      </c>
    </row>
    <row r="176" spans="1:66">
      <c r="A176">
        <f>VLOOKUP(B176,Teste!$A$137:$G$236,7,FALSE)</f>
        <v>0</v>
      </c>
      <c r="B176">
        <f t="shared" si="48"/>
        <v>20</v>
      </c>
      <c r="C176" s="13">
        <f t="shared" ref="C176:L185" si="55">C$155 + numGenes*$B176</f>
        <v>1000</v>
      </c>
      <c r="D176" s="13">
        <f t="shared" si="55"/>
        <v>1001</v>
      </c>
      <c r="E176" s="13">
        <f t="shared" si="55"/>
        <v>1002</v>
      </c>
      <c r="F176" s="13">
        <f t="shared" si="55"/>
        <v>1003</v>
      </c>
      <c r="G176" s="13">
        <f t="shared" si="55"/>
        <v>1004</v>
      </c>
      <c r="H176" s="13">
        <f t="shared" si="55"/>
        <v>1005</v>
      </c>
      <c r="I176" s="13">
        <f t="shared" si="55"/>
        <v>1006</v>
      </c>
      <c r="J176" s="13">
        <f t="shared" si="55"/>
        <v>1007</v>
      </c>
      <c r="K176" s="13">
        <f t="shared" si="55"/>
        <v>1008</v>
      </c>
      <c r="L176" s="13">
        <f t="shared" si="55"/>
        <v>1009</v>
      </c>
      <c r="M176" s="13">
        <f t="shared" ref="M176:V185" si="56">M$155 + numGenes*$B176</f>
        <v>1010</v>
      </c>
      <c r="N176" s="13">
        <f t="shared" si="56"/>
        <v>1011</v>
      </c>
      <c r="O176" s="13">
        <f t="shared" si="56"/>
        <v>1012</v>
      </c>
      <c r="P176" s="13">
        <f t="shared" si="56"/>
        <v>1013</v>
      </c>
      <c r="Q176" s="13">
        <f t="shared" si="56"/>
        <v>1014</v>
      </c>
      <c r="R176" s="13">
        <f t="shared" si="56"/>
        <v>1015</v>
      </c>
      <c r="S176" s="13">
        <f t="shared" si="56"/>
        <v>1016</v>
      </c>
      <c r="T176" s="13">
        <f t="shared" si="56"/>
        <v>1017</v>
      </c>
      <c r="U176" s="13">
        <f t="shared" si="56"/>
        <v>1018</v>
      </c>
      <c r="V176" s="13">
        <f t="shared" si="56"/>
        <v>1019</v>
      </c>
      <c r="W176" s="13">
        <f t="shared" ref="W176:AF185" si="57">W$155 + numGenes*$B176</f>
        <v>1020</v>
      </c>
      <c r="X176" s="13">
        <f t="shared" si="57"/>
        <v>1021</v>
      </c>
      <c r="Y176" s="13">
        <f t="shared" si="57"/>
        <v>1022</v>
      </c>
      <c r="Z176" s="13">
        <f t="shared" si="57"/>
        <v>1023</v>
      </c>
      <c r="AA176" s="13">
        <f t="shared" si="57"/>
        <v>1024</v>
      </c>
      <c r="AB176" s="13">
        <f t="shared" si="57"/>
        <v>1025</v>
      </c>
      <c r="AC176" s="13">
        <f t="shared" si="57"/>
        <v>1026</v>
      </c>
      <c r="AD176" s="13">
        <f t="shared" si="57"/>
        <v>1027</v>
      </c>
      <c r="AE176" s="13">
        <f t="shared" si="57"/>
        <v>1028</v>
      </c>
      <c r="AF176" s="13">
        <f t="shared" si="57"/>
        <v>1029</v>
      </c>
      <c r="AG176" s="13">
        <f t="shared" ref="AG176:AP185" si="58">AG$155 + numGenes*$B176</f>
        <v>1030</v>
      </c>
      <c r="AH176" s="13">
        <f t="shared" si="58"/>
        <v>1031</v>
      </c>
      <c r="AI176" s="13">
        <f t="shared" si="58"/>
        <v>1032</v>
      </c>
      <c r="AJ176" s="13">
        <f t="shared" si="58"/>
        <v>1033</v>
      </c>
      <c r="AK176" s="13">
        <f t="shared" si="58"/>
        <v>1034</v>
      </c>
      <c r="AL176" s="13">
        <f t="shared" si="58"/>
        <v>1035</v>
      </c>
      <c r="AM176" s="13">
        <f t="shared" si="58"/>
        <v>1036</v>
      </c>
      <c r="AN176" s="13">
        <f t="shared" si="58"/>
        <v>1037</v>
      </c>
      <c r="AO176" s="13">
        <f t="shared" si="58"/>
        <v>1038</v>
      </c>
      <c r="AP176" s="13">
        <f t="shared" si="58"/>
        <v>1039</v>
      </c>
      <c r="AQ176" s="13">
        <f t="shared" ref="AQ176:AZ185" si="59">AQ$155 + numGenes*$B176</f>
        <v>1040</v>
      </c>
      <c r="AR176" s="13">
        <f t="shared" si="59"/>
        <v>1041</v>
      </c>
      <c r="AS176" s="13">
        <f t="shared" si="59"/>
        <v>1042</v>
      </c>
      <c r="AT176" s="13">
        <f t="shared" si="59"/>
        <v>1043</v>
      </c>
      <c r="AU176" s="13">
        <f t="shared" si="59"/>
        <v>1044</v>
      </c>
      <c r="AV176" s="13">
        <f t="shared" si="59"/>
        <v>1045</v>
      </c>
      <c r="AW176" s="13">
        <f t="shared" si="59"/>
        <v>1046</v>
      </c>
      <c r="AX176" s="13">
        <f t="shared" si="59"/>
        <v>1047</v>
      </c>
      <c r="AY176" s="13">
        <f t="shared" si="59"/>
        <v>1048</v>
      </c>
      <c r="AZ176" s="13">
        <f t="shared" si="59"/>
        <v>1049</v>
      </c>
      <c r="BA176" s="13">
        <f t="shared" ref="BA176:BN185" si="60">BA$155 + numGenes*$B176</f>
        <v>1050</v>
      </c>
      <c r="BB176" s="13">
        <f t="shared" si="60"/>
        <v>1051</v>
      </c>
      <c r="BC176" s="13">
        <f t="shared" si="60"/>
        <v>1052</v>
      </c>
      <c r="BD176" s="13">
        <f t="shared" si="60"/>
        <v>1053</v>
      </c>
      <c r="BE176" s="13">
        <f t="shared" si="60"/>
        <v>1054</v>
      </c>
      <c r="BF176" s="13">
        <f t="shared" si="60"/>
        <v>1055</v>
      </c>
      <c r="BG176" s="13">
        <f t="shared" si="60"/>
        <v>1056</v>
      </c>
      <c r="BH176" s="13">
        <f t="shared" si="60"/>
        <v>1057</v>
      </c>
      <c r="BI176" s="13">
        <f t="shared" si="60"/>
        <v>1058</v>
      </c>
      <c r="BJ176" s="13">
        <f t="shared" si="60"/>
        <v>1059</v>
      </c>
      <c r="BK176" s="13">
        <f t="shared" si="60"/>
        <v>1060</v>
      </c>
      <c r="BL176" s="13">
        <f t="shared" si="60"/>
        <v>1061</v>
      </c>
      <c r="BM176" s="13">
        <f t="shared" si="60"/>
        <v>1062</v>
      </c>
      <c r="BN176" s="13">
        <f t="shared" si="60"/>
        <v>1063</v>
      </c>
    </row>
    <row r="177" spans="1:66">
      <c r="A177">
        <f>VLOOKUP(B177,Teste!$A$137:$G$236,7,FALSE)</f>
        <v>0</v>
      </c>
      <c r="B177">
        <f t="shared" si="48"/>
        <v>21</v>
      </c>
      <c r="C177" s="13">
        <f t="shared" si="55"/>
        <v>1050</v>
      </c>
      <c r="D177" s="13">
        <f t="shared" si="55"/>
        <v>1051</v>
      </c>
      <c r="E177" s="13">
        <f t="shared" si="55"/>
        <v>1052</v>
      </c>
      <c r="F177" s="13">
        <f t="shared" si="55"/>
        <v>1053</v>
      </c>
      <c r="G177" s="13">
        <f t="shared" si="55"/>
        <v>1054</v>
      </c>
      <c r="H177" s="13">
        <f t="shared" si="55"/>
        <v>1055</v>
      </c>
      <c r="I177" s="13">
        <f t="shared" si="55"/>
        <v>1056</v>
      </c>
      <c r="J177" s="13">
        <f t="shared" si="55"/>
        <v>1057</v>
      </c>
      <c r="K177" s="13">
        <f t="shared" si="55"/>
        <v>1058</v>
      </c>
      <c r="L177" s="13">
        <f t="shared" si="55"/>
        <v>1059</v>
      </c>
      <c r="M177" s="13">
        <f t="shared" si="56"/>
        <v>1060</v>
      </c>
      <c r="N177" s="13">
        <f t="shared" si="56"/>
        <v>1061</v>
      </c>
      <c r="O177" s="13">
        <f t="shared" si="56"/>
        <v>1062</v>
      </c>
      <c r="P177" s="13">
        <f t="shared" si="56"/>
        <v>1063</v>
      </c>
      <c r="Q177" s="13">
        <f t="shared" si="56"/>
        <v>1064</v>
      </c>
      <c r="R177" s="13">
        <f t="shared" si="56"/>
        <v>1065</v>
      </c>
      <c r="S177" s="13">
        <f t="shared" si="56"/>
        <v>1066</v>
      </c>
      <c r="T177" s="13">
        <f t="shared" si="56"/>
        <v>1067</v>
      </c>
      <c r="U177" s="13">
        <f t="shared" si="56"/>
        <v>1068</v>
      </c>
      <c r="V177" s="13">
        <f t="shared" si="56"/>
        <v>1069</v>
      </c>
      <c r="W177" s="13">
        <f t="shared" si="57"/>
        <v>1070</v>
      </c>
      <c r="X177" s="13">
        <f t="shared" si="57"/>
        <v>1071</v>
      </c>
      <c r="Y177" s="13">
        <f t="shared" si="57"/>
        <v>1072</v>
      </c>
      <c r="Z177" s="13">
        <f t="shared" si="57"/>
        <v>1073</v>
      </c>
      <c r="AA177" s="13">
        <f t="shared" si="57"/>
        <v>1074</v>
      </c>
      <c r="AB177" s="13">
        <f t="shared" si="57"/>
        <v>1075</v>
      </c>
      <c r="AC177" s="13">
        <f t="shared" si="57"/>
        <v>1076</v>
      </c>
      <c r="AD177" s="13">
        <f t="shared" si="57"/>
        <v>1077</v>
      </c>
      <c r="AE177" s="13">
        <f t="shared" si="57"/>
        <v>1078</v>
      </c>
      <c r="AF177" s="13">
        <f t="shared" si="57"/>
        <v>1079</v>
      </c>
      <c r="AG177" s="13">
        <f t="shared" si="58"/>
        <v>1080</v>
      </c>
      <c r="AH177" s="13">
        <f t="shared" si="58"/>
        <v>1081</v>
      </c>
      <c r="AI177" s="13">
        <f t="shared" si="58"/>
        <v>1082</v>
      </c>
      <c r="AJ177" s="13">
        <f t="shared" si="58"/>
        <v>1083</v>
      </c>
      <c r="AK177" s="13">
        <f t="shared" si="58"/>
        <v>1084</v>
      </c>
      <c r="AL177" s="13">
        <f t="shared" si="58"/>
        <v>1085</v>
      </c>
      <c r="AM177" s="13">
        <f t="shared" si="58"/>
        <v>1086</v>
      </c>
      <c r="AN177" s="13">
        <f t="shared" si="58"/>
        <v>1087</v>
      </c>
      <c r="AO177" s="13">
        <f t="shared" si="58"/>
        <v>1088</v>
      </c>
      <c r="AP177" s="13">
        <f t="shared" si="58"/>
        <v>1089</v>
      </c>
      <c r="AQ177" s="13">
        <f t="shared" si="59"/>
        <v>1090</v>
      </c>
      <c r="AR177" s="13">
        <f t="shared" si="59"/>
        <v>1091</v>
      </c>
      <c r="AS177" s="13">
        <f t="shared" si="59"/>
        <v>1092</v>
      </c>
      <c r="AT177" s="13">
        <f t="shared" si="59"/>
        <v>1093</v>
      </c>
      <c r="AU177" s="13">
        <f t="shared" si="59"/>
        <v>1094</v>
      </c>
      <c r="AV177" s="13">
        <f t="shared" si="59"/>
        <v>1095</v>
      </c>
      <c r="AW177" s="13">
        <f t="shared" si="59"/>
        <v>1096</v>
      </c>
      <c r="AX177" s="13">
        <f t="shared" si="59"/>
        <v>1097</v>
      </c>
      <c r="AY177" s="13">
        <f t="shared" si="59"/>
        <v>1098</v>
      </c>
      <c r="AZ177" s="13">
        <f t="shared" si="59"/>
        <v>1099</v>
      </c>
      <c r="BA177" s="13">
        <f t="shared" si="60"/>
        <v>1100</v>
      </c>
      <c r="BB177" s="13">
        <f t="shared" si="60"/>
        <v>1101</v>
      </c>
      <c r="BC177" s="13">
        <f t="shared" si="60"/>
        <v>1102</v>
      </c>
      <c r="BD177" s="13">
        <f t="shared" si="60"/>
        <v>1103</v>
      </c>
      <c r="BE177" s="13">
        <f t="shared" si="60"/>
        <v>1104</v>
      </c>
      <c r="BF177" s="13">
        <f t="shared" si="60"/>
        <v>1105</v>
      </c>
      <c r="BG177" s="13">
        <f t="shared" si="60"/>
        <v>1106</v>
      </c>
      <c r="BH177" s="13">
        <f t="shared" si="60"/>
        <v>1107</v>
      </c>
      <c r="BI177" s="13">
        <f t="shared" si="60"/>
        <v>1108</v>
      </c>
      <c r="BJ177" s="13">
        <f t="shared" si="60"/>
        <v>1109</v>
      </c>
      <c r="BK177" s="13">
        <f t="shared" si="60"/>
        <v>1110</v>
      </c>
      <c r="BL177" s="13">
        <f t="shared" si="60"/>
        <v>1111</v>
      </c>
      <c r="BM177" s="13">
        <f t="shared" si="60"/>
        <v>1112</v>
      </c>
      <c r="BN177" s="13">
        <f t="shared" si="60"/>
        <v>1113</v>
      </c>
    </row>
    <row r="178" spans="1:66">
      <c r="A178">
        <f>VLOOKUP(B178,Teste!$A$137:$G$236,7,FALSE)</f>
        <v>0</v>
      </c>
      <c r="B178">
        <f t="shared" si="48"/>
        <v>22</v>
      </c>
      <c r="C178" s="13">
        <f t="shared" si="55"/>
        <v>1100</v>
      </c>
      <c r="D178" s="13">
        <f t="shared" si="55"/>
        <v>1101</v>
      </c>
      <c r="E178" s="13">
        <f t="shared" si="55"/>
        <v>1102</v>
      </c>
      <c r="F178" s="13">
        <f t="shared" si="55"/>
        <v>1103</v>
      </c>
      <c r="G178" s="13">
        <f t="shared" si="55"/>
        <v>1104</v>
      </c>
      <c r="H178" s="13">
        <f t="shared" si="55"/>
        <v>1105</v>
      </c>
      <c r="I178" s="13">
        <f t="shared" si="55"/>
        <v>1106</v>
      </c>
      <c r="J178" s="13">
        <f t="shared" si="55"/>
        <v>1107</v>
      </c>
      <c r="K178" s="13">
        <f t="shared" si="55"/>
        <v>1108</v>
      </c>
      <c r="L178" s="13">
        <f t="shared" si="55"/>
        <v>1109</v>
      </c>
      <c r="M178" s="13">
        <f t="shared" si="56"/>
        <v>1110</v>
      </c>
      <c r="N178" s="13">
        <f t="shared" si="56"/>
        <v>1111</v>
      </c>
      <c r="O178" s="13">
        <f t="shared" si="56"/>
        <v>1112</v>
      </c>
      <c r="P178" s="13">
        <f t="shared" si="56"/>
        <v>1113</v>
      </c>
      <c r="Q178" s="13">
        <f t="shared" si="56"/>
        <v>1114</v>
      </c>
      <c r="R178" s="13">
        <f t="shared" si="56"/>
        <v>1115</v>
      </c>
      <c r="S178" s="13">
        <f t="shared" si="56"/>
        <v>1116</v>
      </c>
      <c r="T178" s="13">
        <f t="shared" si="56"/>
        <v>1117</v>
      </c>
      <c r="U178" s="13">
        <f t="shared" si="56"/>
        <v>1118</v>
      </c>
      <c r="V178" s="13">
        <f t="shared" si="56"/>
        <v>1119</v>
      </c>
      <c r="W178" s="13">
        <f t="shared" si="57"/>
        <v>1120</v>
      </c>
      <c r="X178" s="13">
        <f t="shared" si="57"/>
        <v>1121</v>
      </c>
      <c r="Y178" s="13">
        <f t="shared" si="57"/>
        <v>1122</v>
      </c>
      <c r="Z178" s="13">
        <f t="shared" si="57"/>
        <v>1123</v>
      </c>
      <c r="AA178" s="13">
        <f t="shared" si="57"/>
        <v>1124</v>
      </c>
      <c r="AB178" s="13">
        <f t="shared" si="57"/>
        <v>1125</v>
      </c>
      <c r="AC178" s="13">
        <f t="shared" si="57"/>
        <v>1126</v>
      </c>
      <c r="AD178" s="13">
        <f t="shared" si="57"/>
        <v>1127</v>
      </c>
      <c r="AE178" s="13">
        <f t="shared" si="57"/>
        <v>1128</v>
      </c>
      <c r="AF178" s="13">
        <f t="shared" si="57"/>
        <v>1129</v>
      </c>
      <c r="AG178" s="13">
        <f t="shared" si="58"/>
        <v>1130</v>
      </c>
      <c r="AH178" s="13">
        <f t="shared" si="58"/>
        <v>1131</v>
      </c>
      <c r="AI178" s="13">
        <f t="shared" si="58"/>
        <v>1132</v>
      </c>
      <c r="AJ178" s="13">
        <f t="shared" si="58"/>
        <v>1133</v>
      </c>
      <c r="AK178" s="13">
        <f t="shared" si="58"/>
        <v>1134</v>
      </c>
      <c r="AL178" s="13">
        <f t="shared" si="58"/>
        <v>1135</v>
      </c>
      <c r="AM178" s="13">
        <f t="shared" si="58"/>
        <v>1136</v>
      </c>
      <c r="AN178" s="13">
        <f t="shared" si="58"/>
        <v>1137</v>
      </c>
      <c r="AO178" s="13">
        <f t="shared" si="58"/>
        <v>1138</v>
      </c>
      <c r="AP178" s="13">
        <f t="shared" si="58"/>
        <v>1139</v>
      </c>
      <c r="AQ178" s="13">
        <f t="shared" si="59"/>
        <v>1140</v>
      </c>
      <c r="AR178" s="13">
        <f t="shared" si="59"/>
        <v>1141</v>
      </c>
      <c r="AS178" s="13">
        <f t="shared" si="59"/>
        <v>1142</v>
      </c>
      <c r="AT178" s="13">
        <f t="shared" si="59"/>
        <v>1143</v>
      </c>
      <c r="AU178" s="13">
        <f t="shared" si="59"/>
        <v>1144</v>
      </c>
      <c r="AV178" s="13">
        <f t="shared" si="59"/>
        <v>1145</v>
      </c>
      <c r="AW178" s="13">
        <f t="shared" si="59"/>
        <v>1146</v>
      </c>
      <c r="AX178" s="13">
        <f t="shared" si="59"/>
        <v>1147</v>
      </c>
      <c r="AY178" s="13">
        <f t="shared" si="59"/>
        <v>1148</v>
      </c>
      <c r="AZ178" s="13">
        <f t="shared" si="59"/>
        <v>1149</v>
      </c>
      <c r="BA178" s="13">
        <f t="shared" si="60"/>
        <v>1150</v>
      </c>
      <c r="BB178" s="13">
        <f t="shared" si="60"/>
        <v>1151</v>
      </c>
      <c r="BC178" s="13">
        <f t="shared" si="60"/>
        <v>1152</v>
      </c>
      <c r="BD178" s="13">
        <f t="shared" si="60"/>
        <v>1153</v>
      </c>
      <c r="BE178" s="13">
        <f t="shared" si="60"/>
        <v>1154</v>
      </c>
      <c r="BF178" s="13">
        <f t="shared" si="60"/>
        <v>1155</v>
      </c>
      <c r="BG178" s="13">
        <f t="shared" si="60"/>
        <v>1156</v>
      </c>
      <c r="BH178" s="13">
        <f t="shared" si="60"/>
        <v>1157</v>
      </c>
      <c r="BI178" s="13">
        <f t="shared" si="60"/>
        <v>1158</v>
      </c>
      <c r="BJ178" s="13">
        <f t="shared" si="60"/>
        <v>1159</v>
      </c>
      <c r="BK178" s="13">
        <f t="shared" si="60"/>
        <v>1160</v>
      </c>
      <c r="BL178" s="13">
        <f t="shared" si="60"/>
        <v>1161</v>
      </c>
      <c r="BM178" s="13">
        <f t="shared" si="60"/>
        <v>1162</v>
      </c>
      <c r="BN178" s="13">
        <f t="shared" si="60"/>
        <v>1163</v>
      </c>
    </row>
    <row r="179" spans="1:66">
      <c r="A179">
        <f>VLOOKUP(B179,Teste!$A$137:$G$236,7,FALSE)</f>
        <v>0</v>
      </c>
      <c r="B179">
        <f t="shared" si="48"/>
        <v>23</v>
      </c>
      <c r="C179" s="13">
        <f t="shared" si="55"/>
        <v>1150</v>
      </c>
      <c r="D179" s="13">
        <f t="shared" si="55"/>
        <v>1151</v>
      </c>
      <c r="E179" s="13">
        <f t="shared" si="55"/>
        <v>1152</v>
      </c>
      <c r="F179" s="13">
        <f t="shared" si="55"/>
        <v>1153</v>
      </c>
      <c r="G179" s="13">
        <f t="shared" si="55"/>
        <v>1154</v>
      </c>
      <c r="H179" s="13">
        <f t="shared" si="55"/>
        <v>1155</v>
      </c>
      <c r="I179" s="13">
        <f t="shared" si="55"/>
        <v>1156</v>
      </c>
      <c r="J179" s="13">
        <f t="shared" si="55"/>
        <v>1157</v>
      </c>
      <c r="K179" s="13">
        <f t="shared" si="55"/>
        <v>1158</v>
      </c>
      <c r="L179" s="13">
        <f t="shared" si="55"/>
        <v>1159</v>
      </c>
      <c r="M179" s="13">
        <f t="shared" si="56"/>
        <v>1160</v>
      </c>
      <c r="N179" s="13">
        <f t="shared" si="56"/>
        <v>1161</v>
      </c>
      <c r="O179" s="13">
        <f t="shared" si="56"/>
        <v>1162</v>
      </c>
      <c r="P179" s="13">
        <f t="shared" si="56"/>
        <v>1163</v>
      </c>
      <c r="Q179" s="13">
        <f t="shared" si="56"/>
        <v>1164</v>
      </c>
      <c r="R179" s="13">
        <f t="shared" si="56"/>
        <v>1165</v>
      </c>
      <c r="S179" s="13">
        <f t="shared" si="56"/>
        <v>1166</v>
      </c>
      <c r="T179" s="13">
        <f t="shared" si="56"/>
        <v>1167</v>
      </c>
      <c r="U179" s="13">
        <f t="shared" si="56"/>
        <v>1168</v>
      </c>
      <c r="V179" s="13">
        <f t="shared" si="56"/>
        <v>1169</v>
      </c>
      <c r="W179" s="13">
        <f t="shared" si="57"/>
        <v>1170</v>
      </c>
      <c r="X179" s="13">
        <f t="shared" si="57"/>
        <v>1171</v>
      </c>
      <c r="Y179" s="13">
        <f t="shared" si="57"/>
        <v>1172</v>
      </c>
      <c r="Z179" s="13">
        <f t="shared" si="57"/>
        <v>1173</v>
      </c>
      <c r="AA179" s="13">
        <f t="shared" si="57"/>
        <v>1174</v>
      </c>
      <c r="AB179" s="13">
        <f t="shared" si="57"/>
        <v>1175</v>
      </c>
      <c r="AC179" s="13">
        <f t="shared" si="57"/>
        <v>1176</v>
      </c>
      <c r="AD179" s="13">
        <f t="shared" si="57"/>
        <v>1177</v>
      </c>
      <c r="AE179" s="13">
        <f t="shared" si="57"/>
        <v>1178</v>
      </c>
      <c r="AF179" s="13">
        <f t="shared" si="57"/>
        <v>1179</v>
      </c>
      <c r="AG179" s="13">
        <f t="shared" si="58"/>
        <v>1180</v>
      </c>
      <c r="AH179" s="13">
        <f t="shared" si="58"/>
        <v>1181</v>
      </c>
      <c r="AI179" s="13">
        <f t="shared" si="58"/>
        <v>1182</v>
      </c>
      <c r="AJ179" s="13">
        <f t="shared" si="58"/>
        <v>1183</v>
      </c>
      <c r="AK179" s="13">
        <f t="shared" si="58"/>
        <v>1184</v>
      </c>
      <c r="AL179" s="13">
        <f t="shared" si="58"/>
        <v>1185</v>
      </c>
      <c r="AM179" s="13">
        <f t="shared" si="58"/>
        <v>1186</v>
      </c>
      <c r="AN179" s="13">
        <f t="shared" si="58"/>
        <v>1187</v>
      </c>
      <c r="AO179" s="13">
        <f t="shared" si="58"/>
        <v>1188</v>
      </c>
      <c r="AP179" s="13">
        <f t="shared" si="58"/>
        <v>1189</v>
      </c>
      <c r="AQ179" s="13">
        <f t="shared" si="59"/>
        <v>1190</v>
      </c>
      <c r="AR179" s="13">
        <f t="shared" si="59"/>
        <v>1191</v>
      </c>
      <c r="AS179" s="13">
        <f t="shared" si="59"/>
        <v>1192</v>
      </c>
      <c r="AT179" s="13">
        <f t="shared" si="59"/>
        <v>1193</v>
      </c>
      <c r="AU179" s="13">
        <f t="shared" si="59"/>
        <v>1194</v>
      </c>
      <c r="AV179" s="13">
        <f t="shared" si="59"/>
        <v>1195</v>
      </c>
      <c r="AW179" s="13">
        <f t="shared" si="59"/>
        <v>1196</v>
      </c>
      <c r="AX179" s="13">
        <f t="shared" si="59"/>
        <v>1197</v>
      </c>
      <c r="AY179" s="13">
        <f t="shared" si="59"/>
        <v>1198</v>
      </c>
      <c r="AZ179" s="13">
        <f t="shared" si="59"/>
        <v>1199</v>
      </c>
      <c r="BA179" s="13">
        <f t="shared" si="60"/>
        <v>1200</v>
      </c>
      <c r="BB179" s="13">
        <f t="shared" si="60"/>
        <v>1201</v>
      </c>
      <c r="BC179" s="13">
        <f t="shared" si="60"/>
        <v>1202</v>
      </c>
      <c r="BD179" s="13">
        <f t="shared" si="60"/>
        <v>1203</v>
      </c>
      <c r="BE179" s="13">
        <f t="shared" si="60"/>
        <v>1204</v>
      </c>
      <c r="BF179" s="13">
        <f t="shared" si="60"/>
        <v>1205</v>
      </c>
      <c r="BG179" s="13">
        <f t="shared" si="60"/>
        <v>1206</v>
      </c>
      <c r="BH179" s="13">
        <f t="shared" si="60"/>
        <v>1207</v>
      </c>
      <c r="BI179" s="13">
        <f t="shared" si="60"/>
        <v>1208</v>
      </c>
      <c r="BJ179" s="13">
        <f t="shared" si="60"/>
        <v>1209</v>
      </c>
      <c r="BK179" s="13">
        <f t="shared" si="60"/>
        <v>1210</v>
      </c>
      <c r="BL179" s="13">
        <f t="shared" si="60"/>
        <v>1211</v>
      </c>
      <c r="BM179" s="13">
        <f t="shared" si="60"/>
        <v>1212</v>
      </c>
      <c r="BN179" s="13">
        <f t="shared" si="60"/>
        <v>1213</v>
      </c>
    </row>
    <row r="180" spans="1:66">
      <c r="A180">
        <f>VLOOKUP(B180,Teste!$A$137:$G$236,7,FALSE)</f>
        <v>0</v>
      </c>
      <c r="B180">
        <f t="shared" si="48"/>
        <v>24</v>
      </c>
      <c r="C180" s="13">
        <f t="shared" si="55"/>
        <v>1200</v>
      </c>
      <c r="D180" s="13">
        <f t="shared" si="55"/>
        <v>1201</v>
      </c>
      <c r="E180" s="13">
        <f t="shared" si="55"/>
        <v>1202</v>
      </c>
      <c r="F180" s="13">
        <f t="shared" si="55"/>
        <v>1203</v>
      </c>
      <c r="G180" s="13">
        <f t="shared" si="55"/>
        <v>1204</v>
      </c>
      <c r="H180" s="13">
        <f t="shared" si="55"/>
        <v>1205</v>
      </c>
      <c r="I180" s="13">
        <f t="shared" si="55"/>
        <v>1206</v>
      </c>
      <c r="J180" s="13">
        <f t="shared" si="55"/>
        <v>1207</v>
      </c>
      <c r="K180" s="13">
        <f t="shared" si="55"/>
        <v>1208</v>
      </c>
      <c r="L180" s="13">
        <f t="shared" si="55"/>
        <v>1209</v>
      </c>
      <c r="M180" s="13">
        <f t="shared" si="56"/>
        <v>1210</v>
      </c>
      <c r="N180" s="13">
        <f t="shared" si="56"/>
        <v>1211</v>
      </c>
      <c r="O180" s="13">
        <f t="shared" si="56"/>
        <v>1212</v>
      </c>
      <c r="P180" s="13">
        <f t="shared" si="56"/>
        <v>1213</v>
      </c>
      <c r="Q180" s="13">
        <f t="shared" si="56"/>
        <v>1214</v>
      </c>
      <c r="R180" s="13">
        <f t="shared" si="56"/>
        <v>1215</v>
      </c>
      <c r="S180" s="13">
        <f t="shared" si="56"/>
        <v>1216</v>
      </c>
      <c r="T180" s="13">
        <f t="shared" si="56"/>
        <v>1217</v>
      </c>
      <c r="U180" s="13">
        <f t="shared" si="56"/>
        <v>1218</v>
      </c>
      <c r="V180" s="13">
        <f t="shared" si="56"/>
        <v>1219</v>
      </c>
      <c r="W180" s="13">
        <f t="shared" si="57"/>
        <v>1220</v>
      </c>
      <c r="X180" s="13">
        <f t="shared" si="57"/>
        <v>1221</v>
      </c>
      <c r="Y180" s="13">
        <f t="shared" si="57"/>
        <v>1222</v>
      </c>
      <c r="Z180" s="13">
        <f t="shared" si="57"/>
        <v>1223</v>
      </c>
      <c r="AA180" s="13">
        <f t="shared" si="57"/>
        <v>1224</v>
      </c>
      <c r="AB180" s="13">
        <f t="shared" si="57"/>
        <v>1225</v>
      </c>
      <c r="AC180" s="13">
        <f t="shared" si="57"/>
        <v>1226</v>
      </c>
      <c r="AD180" s="13">
        <f t="shared" si="57"/>
        <v>1227</v>
      </c>
      <c r="AE180" s="13">
        <f t="shared" si="57"/>
        <v>1228</v>
      </c>
      <c r="AF180" s="13">
        <f t="shared" si="57"/>
        <v>1229</v>
      </c>
      <c r="AG180" s="13">
        <f t="shared" si="58"/>
        <v>1230</v>
      </c>
      <c r="AH180" s="13">
        <f t="shared" si="58"/>
        <v>1231</v>
      </c>
      <c r="AI180" s="13">
        <f t="shared" si="58"/>
        <v>1232</v>
      </c>
      <c r="AJ180" s="13">
        <f t="shared" si="58"/>
        <v>1233</v>
      </c>
      <c r="AK180" s="13">
        <f t="shared" si="58"/>
        <v>1234</v>
      </c>
      <c r="AL180" s="13">
        <f t="shared" si="58"/>
        <v>1235</v>
      </c>
      <c r="AM180" s="13">
        <f t="shared" si="58"/>
        <v>1236</v>
      </c>
      <c r="AN180" s="13">
        <f t="shared" si="58"/>
        <v>1237</v>
      </c>
      <c r="AO180" s="13">
        <f t="shared" si="58"/>
        <v>1238</v>
      </c>
      <c r="AP180" s="13">
        <f t="shared" si="58"/>
        <v>1239</v>
      </c>
      <c r="AQ180" s="13">
        <f t="shared" si="59"/>
        <v>1240</v>
      </c>
      <c r="AR180" s="13">
        <f t="shared" si="59"/>
        <v>1241</v>
      </c>
      <c r="AS180" s="13">
        <f t="shared" si="59"/>
        <v>1242</v>
      </c>
      <c r="AT180" s="13">
        <f t="shared" si="59"/>
        <v>1243</v>
      </c>
      <c r="AU180" s="13">
        <f t="shared" si="59"/>
        <v>1244</v>
      </c>
      <c r="AV180" s="13">
        <f t="shared" si="59"/>
        <v>1245</v>
      </c>
      <c r="AW180" s="13">
        <f t="shared" si="59"/>
        <v>1246</v>
      </c>
      <c r="AX180" s="13">
        <f t="shared" si="59"/>
        <v>1247</v>
      </c>
      <c r="AY180" s="13">
        <f t="shared" si="59"/>
        <v>1248</v>
      </c>
      <c r="AZ180" s="13">
        <f t="shared" si="59"/>
        <v>1249</v>
      </c>
      <c r="BA180" s="13">
        <f t="shared" si="60"/>
        <v>1250</v>
      </c>
      <c r="BB180" s="13">
        <f t="shared" si="60"/>
        <v>1251</v>
      </c>
      <c r="BC180" s="13">
        <f t="shared" si="60"/>
        <v>1252</v>
      </c>
      <c r="BD180" s="13">
        <f t="shared" si="60"/>
        <v>1253</v>
      </c>
      <c r="BE180" s="13">
        <f t="shared" si="60"/>
        <v>1254</v>
      </c>
      <c r="BF180" s="13">
        <f t="shared" si="60"/>
        <v>1255</v>
      </c>
      <c r="BG180" s="13">
        <f t="shared" si="60"/>
        <v>1256</v>
      </c>
      <c r="BH180" s="13">
        <f t="shared" si="60"/>
        <v>1257</v>
      </c>
      <c r="BI180" s="13">
        <f t="shared" si="60"/>
        <v>1258</v>
      </c>
      <c r="BJ180" s="13">
        <f t="shared" si="60"/>
        <v>1259</v>
      </c>
      <c r="BK180" s="13">
        <f t="shared" si="60"/>
        <v>1260</v>
      </c>
      <c r="BL180" s="13">
        <f t="shared" si="60"/>
        <v>1261</v>
      </c>
      <c r="BM180" s="13">
        <f t="shared" si="60"/>
        <v>1262</v>
      </c>
      <c r="BN180" s="13">
        <f t="shared" si="60"/>
        <v>1263</v>
      </c>
    </row>
    <row r="181" spans="1:66">
      <c r="A181">
        <f>VLOOKUP(B181,Teste!$A$137:$G$236,7,FALSE)</f>
        <v>0</v>
      </c>
      <c r="B181">
        <f t="shared" si="48"/>
        <v>25</v>
      </c>
      <c r="C181" s="13">
        <f t="shared" si="55"/>
        <v>1250</v>
      </c>
      <c r="D181" s="13">
        <f t="shared" si="55"/>
        <v>1251</v>
      </c>
      <c r="E181" s="13">
        <f t="shared" si="55"/>
        <v>1252</v>
      </c>
      <c r="F181" s="13">
        <f t="shared" si="55"/>
        <v>1253</v>
      </c>
      <c r="G181" s="13">
        <f t="shared" si="55"/>
        <v>1254</v>
      </c>
      <c r="H181" s="13">
        <f t="shared" si="55"/>
        <v>1255</v>
      </c>
      <c r="I181" s="13">
        <f t="shared" si="55"/>
        <v>1256</v>
      </c>
      <c r="J181" s="13">
        <f t="shared" si="55"/>
        <v>1257</v>
      </c>
      <c r="K181" s="13">
        <f t="shared" si="55"/>
        <v>1258</v>
      </c>
      <c r="L181" s="13">
        <f t="shared" si="55"/>
        <v>1259</v>
      </c>
      <c r="M181" s="13">
        <f t="shared" si="56"/>
        <v>1260</v>
      </c>
      <c r="N181" s="13">
        <f t="shared" si="56"/>
        <v>1261</v>
      </c>
      <c r="O181" s="13">
        <f t="shared" si="56"/>
        <v>1262</v>
      </c>
      <c r="P181" s="13">
        <f t="shared" si="56"/>
        <v>1263</v>
      </c>
      <c r="Q181" s="13">
        <f t="shared" si="56"/>
        <v>1264</v>
      </c>
      <c r="R181" s="13">
        <f t="shared" si="56"/>
        <v>1265</v>
      </c>
      <c r="S181" s="13">
        <f t="shared" si="56"/>
        <v>1266</v>
      </c>
      <c r="T181" s="13">
        <f t="shared" si="56"/>
        <v>1267</v>
      </c>
      <c r="U181" s="13">
        <f t="shared" si="56"/>
        <v>1268</v>
      </c>
      <c r="V181" s="13">
        <f t="shared" si="56"/>
        <v>1269</v>
      </c>
      <c r="W181" s="13">
        <f t="shared" si="57"/>
        <v>1270</v>
      </c>
      <c r="X181" s="13">
        <f t="shared" si="57"/>
        <v>1271</v>
      </c>
      <c r="Y181" s="13">
        <f t="shared" si="57"/>
        <v>1272</v>
      </c>
      <c r="Z181" s="13">
        <f t="shared" si="57"/>
        <v>1273</v>
      </c>
      <c r="AA181" s="13">
        <f t="shared" si="57"/>
        <v>1274</v>
      </c>
      <c r="AB181" s="13">
        <f t="shared" si="57"/>
        <v>1275</v>
      </c>
      <c r="AC181" s="13">
        <f t="shared" si="57"/>
        <v>1276</v>
      </c>
      <c r="AD181" s="13">
        <f t="shared" si="57"/>
        <v>1277</v>
      </c>
      <c r="AE181" s="13">
        <f t="shared" si="57"/>
        <v>1278</v>
      </c>
      <c r="AF181" s="13">
        <f t="shared" si="57"/>
        <v>1279</v>
      </c>
      <c r="AG181" s="13">
        <f t="shared" si="58"/>
        <v>1280</v>
      </c>
      <c r="AH181" s="13">
        <f t="shared" si="58"/>
        <v>1281</v>
      </c>
      <c r="AI181" s="13">
        <f t="shared" si="58"/>
        <v>1282</v>
      </c>
      <c r="AJ181" s="13">
        <f t="shared" si="58"/>
        <v>1283</v>
      </c>
      <c r="AK181" s="13">
        <f t="shared" si="58"/>
        <v>1284</v>
      </c>
      <c r="AL181" s="13">
        <f t="shared" si="58"/>
        <v>1285</v>
      </c>
      <c r="AM181" s="13">
        <f t="shared" si="58"/>
        <v>1286</v>
      </c>
      <c r="AN181" s="13">
        <f t="shared" si="58"/>
        <v>1287</v>
      </c>
      <c r="AO181" s="13">
        <f t="shared" si="58"/>
        <v>1288</v>
      </c>
      <c r="AP181" s="13">
        <f t="shared" si="58"/>
        <v>1289</v>
      </c>
      <c r="AQ181" s="13">
        <f t="shared" si="59"/>
        <v>1290</v>
      </c>
      <c r="AR181" s="13">
        <f t="shared" si="59"/>
        <v>1291</v>
      </c>
      <c r="AS181" s="13">
        <f t="shared" si="59"/>
        <v>1292</v>
      </c>
      <c r="AT181" s="13">
        <f t="shared" si="59"/>
        <v>1293</v>
      </c>
      <c r="AU181" s="13">
        <f t="shared" si="59"/>
        <v>1294</v>
      </c>
      <c r="AV181" s="13">
        <f t="shared" si="59"/>
        <v>1295</v>
      </c>
      <c r="AW181" s="13">
        <f t="shared" si="59"/>
        <v>1296</v>
      </c>
      <c r="AX181" s="13">
        <f t="shared" si="59"/>
        <v>1297</v>
      </c>
      <c r="AY181" s="13">
        <f t="shared" si="59"/>
        <v>1298</v>
      </c>
      <c r="AZ181" s="13">
        <f t="shared" si="59"/>
        <v>1299</v>
      </c>
      <c r="BA181" s="13">
        <f t="shared" si="60"/>
        <v>1300</v>
      </c>
      <c r="BB181" s="13">
        <f t="shared" si="60"/>
        <v>1301</v>
      </c>
      <c r="BC181" s="13">
        <f t="shared" si="60"/>
        <v>1302</v>
      </c>
      <c r="BD181" s="13">
        <f t="shared" si="60"/>
        <v>1303</v>
      </c>
      <c r="BE181" s="13">
        <f t="shared" si="60"/>
        <v>1304</v>
      </c>
      <c r="BF181" s="13">
        <f t="shared" si="60"/>
        <v>1305</v>
      </c>
      <c r="BG181" s="13">
        <f t="shared" si="60"/>
        <v>1306</v>
      </c>
      <c r="BH181" s="13">
        <f t="shared" si="60"/>
        <v>1307</v>
      </c>
      <c r="BI181" s="13">
        <f t="shared" si="60"/>
        <v>1308</v>
      </c>
      <c r="BJ181" s="13">
        <f t="shared" si="60"/>
        <v>1309</v>
      </c>
      <c r="BK181" s="13">
        <f t="shared" si="60"/>
        <v>1310</v>
      </c>
      <c r="BL181" s="13">
        <f t="shared" si="60"/>
        <v>1311</v>
      </c>
      <c r="BM181" s="13">
        <f t="shared" si="60"/>
        <v>1312</v>
      </c>
      <c r="BN181" s="13">
        <f t="shared" si="60"/>
        <v>1313</v>
      </c>
    </row>
    <row r="182" spans="1:66">
      <c r="A182">
        <f>VLOOKUP(B182,Teste!$A$137:$G$236,7,FALSE)</f>
        <v>0</v>
      </c>
      <c r="B182">
        <f t="shared" si="48"/>
        <v>26</v>
      </c>
      <c r="C182" s="13">
        <f t="shared" si="55"/>
        <v>1300</v>
      </c>
      <c r="D182" s="13">
        <f t="shared" si="55"/>
        <v>1301</v>
      </c>
      <c r="E182" s="13">
        <f t="shared" si="55"/>
        <v>1302</v>
      </c>
      <c r="F182" s="13">
        <f t="shared" si="55"/>
        <v>1303</v>
      </c>
      <c r="G182" s="13">
        <f t="shared" si="55"/>
        <v>1304</v>
      </c>
      <c r="H182" s="13">
        <f t="shared" si="55"/>
        <v>1305</v>
      </c>
      <c r="I182" s="13">
        <f t="shared" si="55"/>
        <v>1306</v>
      </c>
      <c r="J182" s="13">
        <f t="shared" si="55"/>
        <v>1307</v>
      </c>
      <c r="K182" s="13">
        <f t="shared" si="55"/>
        <v>1308</v>
      </c>
      <c r="L182" s="13">
        <f t="shared" si="55"/>
        <v>1309</v>
      </c>
      <c r="M182" s="13">
        <f t="shared" si="56"/>
        <v>1310</v>
      </c>
      <c r="N182" s="13">
        <f t="shared" si="56"/>
        <v>1311</v>
      </c>
      <c r="O182" s="13">
        <f t="shared" si="56"/>
        <v>1312</v>
      </c>
      <c r="P182" s="13">
        <f t="shared" si="56"/>
        <v>1313</v>
      </c>
      <c r="Q182" s="13">
        <f t="shared" si="56"/>
        <v>1314</v>
      </c>
      <c r="R182" s="13">
        <f t="shared" si="56"/>
        <v>1315</v>
      </c>
      <c r="S182" s="13">
        <f t="shared" si="56"/>
        <v>1316</v>
      </c>
      <c r="T182" s="13">
        <f t="shared" si="56"/>
        <v>1317</v>
      </c>
      <c r="U182" s="13">
        <f t="shared" si="56"/>
        <v>1318</v>
      </c>
      <c r="V182" s="13">
        <f t="shared" si="56"/>
        <v>1319</v>
      </c>
      <c r="W182" s="13">
        <f t="shared" si="57"/>
        <v>1320</v>
      </c>
      <c r="X182" s="13">
        <f t="shared" si="57"/>
        <v>1321</v>
      </c>
      <c r="Y182" s="13">
        <f t="shared" si="57"/>
        <v>1322</v>
      </c>
      <c r="Z182" s="13">
        <f t="shared" si="57"/>
        <v>1323</v>
      </c>
      <c r="AA182" s="13">
        <f t="shared" si="57"/>
        <v>1324</v>
      </c>
      <c r="AB182" s="13">
        <f t="shared" si="57"/>
        <v>1325</v>
      </c>
      <c r="AC182" s="13">
        <f t="shared" si="57"/>
        <v>1326</v>
      </c>
      <c r="AD182" s="13">
        <f t="shared" si="57"/>
        <v>1327</v>
      </c>
      <c r="AE182" s="13">
        <f t="shared" si="57"/>
        <v>1328</v>
      </c>
      <c r="AF182" s="13">
        <f t="shared" si="57"/>
        <v>1329</v>
      </c>
      <c r="AG182" s="13">
        <f t="shared" si="58"/>
        <v>1330</v>
      </c>
      <c r="AH182" s="13">
        <f t="shared" si="58"/>
        <v>1331</v>
      </c>
      <c r="AI182" s="13">
        <f t="shared" si="58"/>
        <v>1332</v>
      </c>
      <c r="AJ182" s="13">
        <f t="shared" si="58"/>
        <v>1333</v>
      </c>
      <c r="AK182" s="13">
        <f t="shared" si="58"/>
        <v>1334</v>
      </c>
      <c r="AL182" s="13">
        <f t="shared" si="58"/>
        <v>1335</v>
      </c>
      <c r="AM182" s="13">
        <f t="shared" si="58"/>
        <v>1336</v>
      </c>
      <c r="AN182" s="13">
        <f t="shared" si="58"/>
        <v>1337</v>
      </c>
      <c r="AO182" s="13">
        <f t="shared" si="58"/>
        <v>1338</v>
      </c>
      <c r="AP182" s="13">
        <f t="shared" si="58"/>
        <v>1339</v>
      </c>
      <c r="AQ182" s="13">
        <f t="shared" si="59"/>
        <v>1340</v>
      </c>
      <c r="AR182" s="13">
        <f t="shared" si="59"/>
        <v>1341</v>
      </c>
      <c r="AS182" s="13">
        <f t="shared" si="59"/>
        <v>1342</v>
      </c>
      <c r="AT182" s="13">
        <f t="shared" si="59"/>
        <v>1343</v>
      </c>
      <c r="AU182" s="13">
        <f t="shared" si="59"/>
        <v>1344</v>
      </c>
      <c r="AV182" s="13">
        <f t="shared" si="59"/>
        <v>1345</v>
      </c>
      <c r="AW182" s="13">
        <f t="shared" si="59"/>
        <v>1346</v>
      </c>
      <c r="AX182" s="13">
        <f t="shared" si="59"/>
        <v>1347</v>
      </c>
      <c r="AY182" s="13">
        <f t="shared" si="59"/>
        <v>1348</v>
      </c>
      <c r="AZ182" s="13">
        <f t="shared" si="59"/>
        <v>1349</v>
      </c>
      <c r="BA182" s="13">
        <f t="shared" si="60"/>
        <v>1350</v>
      </c>
      <c r="BB182" s="13">
        <f t="shared" si="60"/>
        <v>1351</v>
      </c>
      <c r="BC182" s="13">
        <f t="shared" si="60"/>
        <v>1352</v>
      </c>
      <c r="BD182" s="13">
        <f t="shared" si="60"/>
        <v>1353</v>
      </c>
      <c r="BE182" s="13">
        <f t="shared" si="60"/>
        <v>1354</v>
      </c>
      <c r="BF182" s="13">
        <f t="shared" si="60"/>
        <v>1355</v>
      </c>
      <c r="BG182" s="13">
        <f t="shared" si="60"/>
        <v>1356</v>
      </c>
      <c r="BH182" s="13">
        <f t="shared" si="60"/>
        <v>1357</v>
      </c>
      <c r="BI182" s="13">
        <f t="shared" si="60"/>
        <v>1358</v>
      </c>
      <c r="BJ182" s="13">
        <f t="shared" si="60"/>
        <v>1359</v>
      </c>
      <c r="BK182" s="13">
        <f t="shared" si="60"/>
        <v>1360</v>
      </c>
      <c r="BL182" s="13">
        <f t="shared" si="60"/>
        <v>1361</v>
      </c>
      <c r="BM182" s="13">
        <f t="shared" si="60"/>
        <v>1362</v>
      </c>
      <c r="BN182" s="13">
        <f t="shared" si="60"/>
        <v>1363</v>
      </c>
    </row>
    <row r="183" spans="1:66">
      <c r="A183">
        <f>VLOOKUP(B183,Teste!$A$137:$G$236,7,FALSE)</f>
        <v>0</v>
      </c>
      <c r="B183">
        <f t="shared" si="48"/>
        <v>27</v>
      </c>
      <c r="C183" s="13">
        <f t="shared" si="55"/>
        <v>1350</v>
      </c>
      <c r="D183" s="13">
        <f t="shared" si="55"/>
        <v>1351</v>
      </c>
      <c r="E183" s="13">
        <f t="shared" si="55"/>
        <v>1352</v>
      </c>
      <c r="F183" s="13">
        <f t="shared" si="55"/>
        <v>1353</v>
      </c>
      <c r="G183" s="13">
        <f t="shared" si="55"/>
        <v>1354</v>
      </c>
      <c r="H183" s="13">
        <f t="shared" si="55"/>
        <v>1355</v>
      </c>
      <c r="I183" s="13">
        <f t="shared" si="55"/>
        <v>1356</v>
      </c>
      <c r="J183" s="13">
        <f t="shared" si="55"/>
        <v>1357</v>
      </c>
      <c r="K183" s="13">
        <f t="shared" si="55"/>
        <v>1358</v>
      </c>
      <c r="L183" s="13">
        <f t="shared" si="55"/>
        <v>1359</v>
      </c>
      <c r="M183" s="13">
        <f t="shared" si="56"/>
        <v>1360</v>
      </c>
      <c r="N183" s="13">
        <f t="shared" si="56"/>
        <v>1361</v>
      </c>
      <c r="O183" s="13">
        <f t="shared" si="56"/>
        <v>1362</v>
      </c>
      <c r="P183" s="13">
        <f t="shared" si="56"/>
        <v>1363</v>
      </c>
      <c r="Q183" s="13">
        <f t="shared" si="56"/>
        <v>1364</v>
      </c>
      <c r="R183" s="13">
        <f t="shared" si="56"/>
        <v>1365</v>
      </c>
      <c r="S183" s="13">
        <f t="shared" si="56"/>
        <v>1366</v>
      </c>
      <c r="T183" s="13">
        <f t="shared" si="56"/>
        <v>1367</v>
      </c>
      <c r="U183" s="13">
        <f t="shared" si="56"/>
        <v>1368</v>
      </c>
      <c r="V183" s="13">
        <f t="shared" si="56"/>
        <v>1369</v>
      </c>
      <c r="W183" s="13">
        <f t="shared" si="57"/>
        <v>1370</v>
      </c>
      <c r="X183" s="13">
        <f t="shared" si="57"/>
        <v>1371</v>
      </c>
      <c r="Y183" s="13">
        <f t="shared" si="57"/>
        <v>1372</v>
      </c>
      <c r="Z183" s="13">
        <f t="shared" si="57"/>
        <v>1373</v>
      </c>
      <c r="AA183" s="13">
        <f t="shared" si="57"/>
        <v>1374</v>
      </c>
      <c r="AB183" s="13">
        <f t="shared" si="57"/>
        <v>1375</v>
      </c>
      <c r="AC183" s="13">
        <f t="shared" si="57"/>
        <v>1376</v>
      </c>
      <c r="AD183" s="13">
        <f t="shared" si="57"/>
        <v>1377</v>
      </c>
      <c r="AE183" s="13">
        <f t="shared" si="57"/>
        <v>1378</v>
      </c>
      <c r="AF183" s="13">
        <f t="shared" si="57"/>
        <v>1379</v>
      </c>
      <c r="AG183" s="13">
        <f t="shared" si="58"/>
        <v>1380</v>
      </c>
      <c r="AH183" s="13">
        <f t="shared" si="58"/>
        <v>1381</v>
      </c>
      <c r="AI183" s="13">
        <f t="shared" si="58"/>
        <v>1382</v>
      </c>
      <c r="AJ183" s="13">
        <f t="shared" si="58"/>
        <v>1383</v>
      </c>
      <c r="AK183" s="13">
        <f t="shared" si="58"/>
        <v>1384</v>
      </c>
      <c r="AL183" s="13">
        <f t="shared" si="58"/>
        <v>1385</v>
      </c>
      <c r="AM183" s="13">
        <f t="shared" si="58"/>
        <v>1386</v>
      </c>
      <c r="AN183" s="13">
        <f t="shared" si="58"/>
        <v>1387</v>
      </c>
      <c r="AO183" s="13">
        <f t="shared" si="58"/>
        <v>1388</v>
      </c>
      <c r="AP183" s="13">
        <f t="shared" si="58"/>
        <v>1389</v>
      </c>
      <c r="AQ183" s="13">
        <f t="shared" si="59"/>
        <v>1390</v>
      </c>
      <c r="AR183" s="13">
        <f t="shared" si="59"/>
        <v>1391</v>
      </c>
      <c r="AS183" s="13">
        <f t="shared" si="59"/>
        <v>1392</v>
      </c>
      <c r="AT183" s="13">
        <f t="shared" si="59"/>
        <v>1393</v>
      </c>
      <c r="AU183" s="13">
        <f t="shared" si="59"/>
        <v>1394</v>
      </c>
      <c r="AV183" s="13">
        <f t="shared" si="59"/>
        <v>1395</v>
      </c>
      <c r="AW183" s="13">
        <f t="shared" si="59"/>
        <v>1396</v>
      </c>
      <c r="AX183" s="13">
        <f t="shared" si="59"/>
        <v>1397</v>
      </c>
      <c r="AY183" s="13">
        <f t="shared" si="59"/>
        <v>1398</v>
      </c>
      <c r="AZ183" s="13">
        <f t="shared" si="59"/>
        <v>1399</v>
      </c>
      <c r="BA183" s="13">
        <f t="shared" si="60"/>
        <v>1400</v>
      </c>
      <c r="BB183" s="13">
        <f t="shared" si="60"/>
        <v>1401</v>
      </c>
      <c r="BC183" s="13">
        <f t="shared" si="60"/>
        <v>1402</v>
      </c>
      <c r="BD183" s="13">
        <f t="shared" si="60"/>
        <v>1403</v>
      </c>
      <c r="BE183" s="13">
        <f t="shared" si="60"/>
        <v>1404</v>
      </c>
      <c r="BF183" s="13">
        <f t="shared" si="60"/>
        <v>1405</v>
      </c>
      <c r="BG183" s="13">
        <f t="shared" si="60"/>
        <v>1406</v>
      </c>
      <c r="BH183" s="13">
        <f t="shared" si="60"/>
        <v>1407</v>
      </c>
      <c r="BI183" s="13">
        <f t="shared" si="60"/>
        <v>1408</v>
      </c>
      <c r="BJ183" s="13">
        <f t="shared" si="60"/>
        <v>1409</v>
      </c>
      <c r="BK183" s="13">
        <f t="shared" si="60"/>
        <v>1410</v>
      </c>
      <c r="BL183" s="13">
        <f t="shared" si="60"/>
        <v>1411</v>
      </c>
      <c r="BM183" s="13">
        <f t="shared" si="60"/>
        <v>1412</v>
      </c>
      <c r="BN183" s="13">
        <f t="shared" si="60"/>
        <v>1413</v>
      </c>
    </row>
    <row r="184" spans="1:66">
      <c r="A184">
        <f>VLOOKUP(B184,Teste!$A$137:$G$236,7,FALSE)</f>
        <v>0</v>
      </c>
      <c r="B184">
        <f t="shared" si="48"/>
        <v>28</v>
      </c>
      <c r="C184" s="13">
        <f t="shared" si="55"/>
        <v>1400</v>
      </c>
      <c r="D184" s="13">
        <f t="shared" si="55"/>
        <v>1401</v>
      </c>
      <c r="E184" s="13">
        <f t="shared" si="55"/>
        <v>1402</v>
      </c>
      <c r="F184" s="13">
        <f t="shared" si="55"/>
        <v>1403</v>
      </c>
      <c r="G184" s="13">
        <f t="shared" si="55"/>
        <v>1404</v>
      </c>
      <c r="H184" s="13">
        <f t="shared" si="55"/>
        <v>1405</v>
      </c>
      <c r="I184" s="13">
        <f t="shared" si="55"/>
        <v>1406</v>
      </c>
      <c r="J184" s="13">
        <f t="shared" si="55"/>
        <v>1407</v>
      </c>
      <c r="K184" s="13">
        <f t="shared" si="55"/>
        <v>1408</v>
      </c>
      <c r="L184" s="13">
        <f t="shared" si="55"/>
        <v>1409</v>
      </c>
      <c r="M184" s="13">
        <f t="shared" si="56"/>
        <v>1410</v>
      </c>
      <c r="N184" s="13">
        <f t="shared" si="56"/>
        <v>1411</v>
      </c>
      <c r="O184" s="13">
        <f t="shared" si="56"/>
        <v>1412</v>
      </c>
      <c r="P184" s="13">
        <f t="shared" si="56"/>
        <v>1413</v>
      </c>
      <c r="Q184" s="13">
        <f t="shared" si="56"/>
        <v>1414</v>
      </c>
      <c r="R184" s="13">
        <f t="shared" si="56"/>
        <v>1415</v>
      </c>
      <c r="S184" s="13">
        <f t="shared" si="56"/>
        <v>1416</v>
      </c>
      <c r="T184" s="13">
        <f t="shared" si="56"/>
        <v>1417</v>
      </c>
      <c r="U184" s="13">
        <f t="shared" si="56"/>
        <v>1418</v>
      </c>
      <c r="V184" s="13">
        <f t="shared" si="56"/>
        <v>1419</v>
      </c>
      <c r="W184" s="13">
        <f t="shared" si="57"/>
        <v>1420</v>
      </c>
      <c r="X184" s="13">
        <f t="shared" si="57"/>
        <v>1421</v>
      </c>
      <c r="Y184" s="13">
        <f t="shared" si="57"/>
        <v>1422</v>
      </c>
      <c r="Z184" s="13">
        <f t="shared" si="57"/>
        <v>1423</v>
      </c>
      <c r="AA184" s="13">
        <f t="shared" si="57"/>
        <v>1424</v>
      </c>
      <c r="AB184" s="13">
        <f t="shared" si="57"/>
        <v>1425</v>
      </c>
      <c r="AC184" s="13">
        <f t="shared" si="57"/>
        <v>1426</v>
      </c>
      <c r="AD184" s="13">
        <f t="shared" si="57"/>
        <v>1427</v>
      </c>
      <c r="AE184" s="13">
        <f t="shared" si="57"/>
        <v>1428</v>
      </c>
      <c r="AF184" s="13">
        <f t="shared" si="57"/>
        <v>1429</v>
      </c>
      <c r="AG184" s="13">
        <f t="shared" si="58"/>
        <v>1430</v>
      </c>
      <c r="AH184" s="13">
        <f t="shared" si="58"/>
        <v>1431</v>
      </c>
      <c r="AI184" s="13">
        <f t="shared" si="58"/>
        <v>1432</v>
      </c>
      <c r="AJ184" s="13">
        <f t="shared" si="58"/>
        <v>1433</v>
      </c>
      <c r="AK184" s="13">
        <f t="shared" si="58"/>
        <v>1434</v>
      </c>
      <c r="AL184" s="13">
        <f t="shared" si="58"/>
        <v>1435</v>
      </c>
      <c r="AM184" s="13">
        <f t="shared" si="58"/>
        <v>1436</v>
      </c>
      <c r="AN184" s="13">
        <f t="shared" si="58"/>
        <v>1437</v>
      </c>
      <c r="AO184" s="13">
        <f t="shared" si="58"/>
        <v>1438</v>
      </c>
      <c r="AP184" s="13">
        <f t="shared" si="58"/>
        <v>1439</v>
      </c>
      <c r="AQ184" s="13">
        <f t="shared" si="59"/>
        <v>1440</v>
      </c>
      <c r="AR184" s="13">
        <f t="shared" si="59"/>
        <v>1441</v>
      </c>
      <c r="AS184" s="13">
        <f t="shared" si="59"/>
        <v>1442</v>
      </c>
      <c r="AT184" s="13">
        <f t="shared" si="59"/>
        <v>1443</v>
      </c>
      <c r="AU184" s="13">
        <f t="shared" si="59"/>
        <v>1444</v>
      </c>
      <c r="AV184" s="13">
        <f t="shared" si="59"/>
        <v>1445</v>
      </c>
      <c r="AW184" s="13">
        <f t="shared" si="59"/>
        <v>1446</v>
      </c>
      <c r="AX184" s="13">
        <f t="shared" si="59"/>
        <v>1447</v>
      </c>
      <c r="AY184" s="13">
        <f t="shared" si="59"/>
        <v>1448</v>
      </c>
      <c r="AZ184" s="13">
        <f t="shared" si="59"/>
        <v>1449</v>
      </c>
      <c r="BA184" s="13">
        <f t="shared" si="60"/>
        <v>1450</v>
      </c>
      <c r="BB184" s="13">
        <f t="shared" si="60"/>
        <v>1451</v>
      </c>
      <c r="BC184" s="13">
        <f t="shared" si="60"/>
        <v>1452</v>
      </c>
      <c r="BD184" s="13">
        <f t="shared" si="60"/>
        <v>1453</v>
      </c>
      <c r="BE184" s="13">
        <f t="shared" si="60"/>
        <v>1454</v>
      </c>
      <c r="BF184" s="13">
        <f t="shared" si="60"/>
        <v>1455</v>
      </c>
      <c r="BG184" s="13">
        <f t="shared" si="60"/>
        <v>1456</v>
      </c>
      <c r="BH184" s="13">
        <f t="shared" si="60"/>
        <v>1457</v>
      </c>
      <c r="BI184" s="13">
        <f t="shared" si="60"/>
        <v>1458</v>
      </c>
      <c r="BJ184" s="13">
        <f t="shared" si="60"/>
        <v>1459</v>
      </c>
      <c r="BK184" s="13">
        <f t="shared" si="60"/>
        <v>1460</v>
      </c>
      <c r="BL184" s="13">
        <f t="shared" si="60"/>
        <v>1461</v>
      </c>
      <c r="BM184" s="13">
        <f t="shared" si="60"/>
        <v>1462</v>
      </c>
      <c r="BN184" s="13">
        <f t="shared" si="60"/>
        <v>1463</v>
      </c>
    </row>
    <row r="185" spans="1:66">
      <c r="A185">
        <f>VLOOKUP(B185,Teste!$A$137:$G$236,7,FALSE)</f>
        <v>0</v>
      </c>
      <c r="B185">
        <f t="shared" si="48"/>
        <v>29</v>
      </c>
      <c r="C185" s="13">
        <f t="shared" si="55"/>
        <v>1450</v>
      </c>
      <c r="D185" s="13">
        <f t="shared" si="55"/>
        <v>1451</v>
      </c>
      <c r="E185" s="13">
        <f t="shared" si="55"/>
        <v>1452</v>
      </c>
      <c r="F185" s="13">
        <f t="shared" si="55"/>
        <v>1453</v>
      </c>
      <c r="G185" s="13">
        <f t="shared" si="55"/>
        <v>1454</v>
      </c>
      <c r="H185" s="13">
        <f t="shared" si="55"/>
        <v>1455</v>
      </c>
      <c r="I185" s="13">
        <f t="shared" si="55"/>
        <v>1456</v>
      </c>
      <c r="J185" s="13">
        <f t="shared" si="55"/>
        <v>1457</v>
      </c>
      <c r="K185" s="13">
        <f t="shared" si="55"/>
        <v>1458</v>
      </c>
      <c r="L185" s="13">
        <f t="shared" si="55"/>
        <v>1459</v>
      </c>
      <c r="M185" s="13">
        <f t="shared" si="56"/>
        <v>1460</v>
      </c>
      <c r="N185" s="13">
        <f t="shared" si="56"/>
        <v>1461</v>
      </c>
      <c r="O185" s="13">
        <f t="shared" si="56"/>
        <v>1462</v>
      </c>
      <c r="P185" s="13">
        <f t="shared" si="56"/>
        <v>1463</v>
      </c>
      <c r="Q185" s="13">
        <f t="shared" si="56"/>
        <v>1464</v>
      </c>
      <c r="R185" s="13">
        <f t="shared" si="56"/>
        <v>1465</v>
      </c>
      <c r="S185" s="13">
        <f t="shared" si="56"/>
        <v>1466</v>
      </c>
      <c r="T185" s="13">
        <f t="shared" si="56"/>
        <v>1467</v>
      </c>
      <c r="U185" s="13">
        <f t="shared" si="56"/>
        <v>1468</v>
      </c>
      <c r="V185" s="13">
        <f t="shared" si="56"/>
        <v>1469</v>
      </c>
      <c r="W185" s="13">
        <f t="shared" si="57"/>
        <v>1470</v>
      </c>
      <c r="X185" s="13">
        <f t="shared" si="57"/>
        <v>1471</v>
      </c>
      <c r="Y185" s="13">
        <f t="shared" si="57"/>
        <v>1472</v>
      </c>
      <c r="Z185" s="13">
        <f t="shared" si="57"/>
        <v>1473</v>
      </c>
      <c r="AA185" s="13">
        <f t="shared" si="57"/>
        <v>1474</v>
      </c>
      <c r="AB185" s="13">
        <f t="shared" si="57"/>
        <v>1475</v>
      </c>
      <c r="AC185" s="13">
        <f t="shared" si="57"/>
        <v>1476</v>
      </c>
      <c r="AD185" s="13">
        <f t="shared" si="57"/>
        <v>1477</v>
      </c>
      <c r="AE185" s="13">
        <f t="shared" si="57"/>
        <v>1478</v>
      </c>
      <c r="AF185" s="13">
        <f t="shared" si="57"/>
        <v>1479</v>
      </c>
      <c r="AG185" s="13">
        <f t="shared" si="58"/>
        <v>1480</v>
      </c>
      <c r="AH185" s="13">
        <f t="shared" si="58"/>
        <v>1481</v>
      </c>
      <c r="AI185" s="13">
        <f t="shared" si="58"/>
        <v>1482</v>
      </c>
      <c r="AJ185" s="13">
        <f t="shared" si="58"/>
        <v>1483</v>
      </c>
      <c r="AK185" s="13">
        <f t="shared" si="58"/>
        <v>1484</v>
      </c>
      <c r="AL185" s="13">
        <f t="shared" si="58"/>
        <v>1485</v>
      </c>
      <c r="AM185" s="13">
        <f t="shared" si="58"/>
        <v>1486</v>
      </c>
      <c r="AN185" s="13">
        <f t="shared" si="58"/>
        <v>1487</v>
      </c>
      <c r="AO185" s="13">
        <f t="shared" si="58"/>
        <v>1488</v>
      </c>
      <c r="AP185" s="13">
        <f t="shared" si="58"/>
        <v>1489</v>
      </c>
      <c r="AQ185" s="13">
        <f t="shared" si="59"/>
        <v>1490</v>
      </c>
      <c r="AR185" s="13">
        <f t="shared" si="59"/>
        <v>1491</v>
      </c>
      <c r="AS185" s="13">
        <f t="shared" si="59"/>
        <v>1492</v>
      </c>
      <c r="AT185" s="13">
        <f t="shared" si="59"/>
        <v>1493</v>
      </c>
      <c r="AU185" s="13">
        <f t="shared" si="59"/>
        <v>1494</v>
      </c>
      <c r="AV185" s="13">
        <f t="shared" si="59"/>
        <v>1495</v>
      </c>
      <c r="AW185" s="13">
        <f t="shared" si="59"/>
        <v>1496</v>
      </c>
      <c r="AX185" s="13">
        <f t="shared" si="59"/>
        <v>1497</v>
      </c>
      <c r="AY185" s="13">
        <f t="shared" si="59"/>
        <v>1498</v>
      </c>
      <c r="AZ185" s="13">
        <f t="shared" si="59"/>
        <v>1499</v>
      </c>
      <c r="BA185" s="13">
        <f t="shared" si="60"/>
        <v>1500</v>
      </c>
      <c r="BB185" s="13">
        <f t="shared" si="60"/>
        <v>1501</v>
      </c>
      <c r="BC185" s="13">
        <f t="shared" si="60"/>
        <v>1502</v>
      </c>
      <c r="BD185" s="13">
        <f t="shared" si="60"/>
        <v>1503</v>
      </c>
      <c r="BE185" s="13">
        <f t="shared" si="60"/>
        <v>1504</v>
      </c>
      <c r="BF185" s="13">
        <f t="shared" si="60"/>
        <v>1505</v>
      </c>
      <c r="BG185" s="13">
        <f t="shared" si="60"/>
        <v>1506</v>
      </c>
      <c r="BH185" s="13">
        <f t="shared" si="60"/>
        <v>1507</v>
      </c>
      <c r="BI185" s="13">
        <f t="shared" si="60"/>
        <v>1508</v>
      </c>
      <c r="BJ185" s="13">
        <f t="shared" si="60"/>
        <v>1509</v>
      </c>
      <c r="BK185" s="13">
        <f t="shared" si="60"/>
        <v>1510</v>
      </c>
      <c r="BL185" s="13">
        <f t="shared" si="60"/>
        <v>1511</v>
      </c>
      <c r="BM185" s="13">
        <f t="shared" si="60"/>
        <v>1512</v>
      </c>
      <c r="BN185" s="13">
        <f t="shared" si="60"/>
        <v>1513</v>
      </c>
    </row>
    <row r="186" spans="1:66">
      <c r="A186">
        <f>VLOOKUP(B186,Teste!$A$137:$G$236,7,FALSE)</f>
        <v>0</v>
      </c>
      <c r="B186">
        <f t="shared" si="48"/>
        <v>30</v>
      </c>
      <c r="C186" s="13">
        <f t="shared" ref="C186:L195" si="61">C$155 + numGenes*$B186</f>
        <v>1500</v>
      </c>
      <c r="D186" s="13">
        <f t="shared" si="61"/>
        <v>1501</v>
      </c>
      <c r="E186" s="13">
        <f t="shared" si="61"/>
        <v>1502</v>
      </c>
      <c r="F186" s="13">
        <f t="shared" si="61"/>
        <v>1503</v>
      </c>
      <c r="G186" s="13">
        <f t="shared" si="61"/>
        <v>1504</v>
      </c>
      <c r="H186" s="13">
        <f t="shared" si="61"/>
        <v>1505</v>
      </c>
      <c r="I186" s="13">
        <f t="shared" si="61"/>
        <v>1506</v>
      </c>
      <c r="J186" s="13">
        <f t="shared" si="61"/>
        <v>1507</v>
      </c>
      <c r="K186" s="13">
        <f t="shared" si="61"/>
        <v>1508</v>
      </c>
      <c r="L186" s="13">
        <f t="shared" si="61"/>
        <v>1509</v>
      </c>
      <c r="M186" s="13">
        <f t="shared" ref="M186:V195" si="62">M$155 + numGenes*$B186</f>
        <v>1510</v>
      </c>
      <c r="N186" s="13">
        <f t="shared" si="62"/>
        <v>1511</v>
      </c>
      <c r="O186" s="13">
        <f t="shared" si="62"/>
        <v>1512</v>
      </c>
      <c r="P186" s="13">
        <f t="shared" si="62"/>
        <v>1513</v>
      </c>
      <c r="Q186" s="13">
        <f t="shared" si="62"/>
        <v>1514</v>
      </c>
      <c r="R186" s="13">
        <f t="shared" si="62"/>
        <v>1515</v>
      </c>
      <c r="S186" s="13">
        <f t="shared" si="62"/>
        <v>1516</v>
      </c>
      <c r="T186" s="13">
        <f t="shared" si="62"/>
        <v>1517</v>
      </c>
      <c r="U186" s="13">
        <f t="shared" si="62"/>
        <v>1518</v>
      </c>
      <c r="V186" s="13">
        <f t="shared" si="62"/>
        <v>1519</v>
      </c>
      <c r="W186" s="13">
        <f t="shared" ref="W186:AF195" si="63">W$155 + numGenes*$B186</f>
        <v>1520</v>
      </c>
      <c r="X186" s="13">
        <f t="shared" si="63"/>
        <v>1521</v>
      </c>
      <c r="Y186" s="13">
        <f t="shared" si="63"/>
        <v>1522</v>
      </c>
      <c r="Z186" s="13">
        <f t="shared" si="63"/>
        <v>1523</v>
      </c>
      <c r="AA186" s="13">
        <f t="shared" si="63"/>
        <v>1524</v>
      </c>
      <c r="AB186" s="13">
        <f t="shared" si="63"/>
        <v>1525</v>
      </c>
      <c r="AC186" s="13">
        <f t="shared" si="63"/>
        <v>1526</v>
      </c>
      <c r="AD186" s="13">
        <f t="shared" si="63"/>
        <v>1527</v>
      </c>
      <c r="AE186" s="13">
        <f t="shared" si="63"/>
        <v>1528</v>
      </c>
      <c r="AF186" s="13">
        <f t="shared" si="63"/>
        <v>1529</v>
      </c>
      <c r="AG186" s="13">
        <f t="shared" ref="AG186:AP195" si="64">AG$155 + numGenes*$B186</f>
        <v>1530</v>
      </c>
      <c r="AH186" s="13">
        <f t="shared" si="64"/>
        <v>1531</v>
      </c>
      <c r="AI186" s="13">
        <f t="shared" si="64"/>
        <v>1532</v>
      </c>
      <c r="AJ186" s="13">
        <f t="shared" si="64"/>
        <v>1533</v>
      </c>
      <c r="AK186" s="13">
        <f t="shared" si="64"/>
        <v>1534</v>
      </c>
      <c r="AL186" s="13">
        <f t="shared" si="64"/>
        <v>1535</v>
      </c>
      <c r="AM186" s="13">
        <f t="shared" si="64"/>
        <v>1536</v>
      </c>
      <c r="AN186" s="13">
        <f t="shared" si="64"/>
        <v>1537</v>
      </c>
      <c r="AO186" s="13">
        <f t="shared" si="64"/>
        <v>1538</v>
      </c>
      <c r="AP186" s="13">
        <f t="shared" si="64"/>
        <v>1539</v>
      </c>
      <c r="AQ186" s="13">
        <f t="shared" ref="AQ186:AZ195" si="65">AQ$155 + numGenes*$B186</f>
        <v>1540</v>
      </c>
      <c r="AR186" s="13">
        <f t="shared" si="65"/>
        <v>1541</v>
      </c>
      <c r="AS186" s="13">
        <f t="shared" si="65"/>
        <v>1542</v>
      </c>
      <c r="AT186" s="13">
        <f t="shared" si="65"/>
        <v>1543</v>
      </c>
      <c r="AU186" s="13">
        <f t="shared" si="65"/>
        <v>1544</v>
      </c>
      <c r="AV186" s="13">
        <f t="shared" si="65"/>
        <v>1545</v>
      </c>
      <c r="AW186" s="13">
        <f t="shared" si="65"/>
        <v>1546</v>
      </c>
      <c r="AX186" s="13">
        <f t="shared" si="65"/>
        <v>1547</v>
      </c>
      <c r="AY186" s="13">
        <f t="shared" si="65"/>
        <v>1548</v>
      </c>
      <c r="AZ186" s="13">
        <f t="shared" si="65"/>
        <v>1549</v>
      </c>
      <c r="BA186" s="13">
        <f t="shared" ref="BA186:BN195" si="66">BA$155 + numGenes*$B186</f>
        <v>1550</v>
      </c>
      <c r="BB186" s="13">
        <f t="shared" si="66"/>
        <v>1551</v>
      </c>
      <c r="BC186" s="13">
        <f t="shared" si="66"/>
        <v>1552</v>
      </c>
      <c r="BD186" s="13">
        <f t="shared" si="66"/>
        <v>1553</v>
      </c>
      <c r="BE186" s="13">
        <f t="shared" si="66"/>
        <v>1554</v>
      </c>
      <c r="BF186" s="13">
        <f t="shared" si="66"/>
        <v>1555</v>
      </c>
      <c r="BG186" s="13">
        <f t="shared" si="66"/>
        <v>1556</v>
      </c>
      <c r="BH186" s="13">
        <f t="shared" si="66"/>
        <v>1557</v>
      </c>
      <c r="BI186" s="13">
        <f t="shared" si="66"/>
        <v>1558</v>
      </c>
      <c r="BJ186" s="13">
        <f t="shared" si="66"/>
        <v>1559</v>
      </c>
      <c r="BK186" s="13">
        <f t="shared" si="66"/>
        <v>1560</v>
      </c>
      <c r="BL186" s="13">
        <f t="shared" si="66"/>
        <v>1561</v>
      </c>
      <c r="BM186" s="13">
        <f t="shared" si="66"/>
        <v>1562</v>
      </c>
      <c r="BN186" s="13">
        <f t="shared" si="66"/>
        <v>1563</v>
      </c>
    </row>
    <row r="187" spans="1:66">
      <c r="A187">
        <f>VLOOKUP(B187,Teste!$A$137:$G$236,7,FALSE)</f>
        <v>0</v>
      </c>
      <c r="B187">
        <f t="shared" si="48"/>
        <v>31</v>
      </c>
      <c r="C187" s="13">
        <f t="shared" si="61"/>
        <v>1550</v>
      </c>
      <c r="D187" s="13">
        <f t="shared" si="61"/>
        <v>1551</v>
      </c>
      <c r="E187" s="13">
        <f t="shared" si="61"/>
        <v>1552</v>
      </c>
      <c r="F187" s="13">
        <f t="shared" si="61"/>
        <v>1553</v>
      </c>
      <c r="G187" s="13">
        <f t="shared" si="61"/>
        <v>1554</v>
      </c>
      <c r="H187" s="13">
        <f t="shared" si="61"/>
        <v>1555</v>
      </c>
      <c r="I187" s="13">
        <f t="shared" si="61"/>
        <v>1556</v>
      </c>
      <c r="J187" s="13">
        <f t="shared" si="61"/>
        <v>1557</v>
      </c>
      <c r="K187" s="13">
        <f t="shared" si="61"/>
        <v>1558</v>
      </c>
      <c r="L187" s="13">
        <f t="shared" si="61"/>
        <v>1559</v>
      </c>
      <c r="M187" s="13">
        <f t="shared" si="62"/>
        <v>1560</v>
      </c>
      <c r="N187" s="13">
        <f t="shared" si="62"/>
        <v>1561</v>
      </c>
      <c r="O187" s="13">
        <f t="shared" si="62"/>
        <v>1562</v>
      </c>
      <c r="P187" s="13">
        <f t="shared" si="62"/>
        <v>1563</v>
      </c>
      <c r="Q187" s="13">
        <f t="shared" si="62"/>
        <v>1564</v>
      </c>
      <c r="R187" s="13">
        <f t="shared" si="62"/>
        <v>1565</v>
      </c>
      <c r="S187" s="13">
        <f t="shared" si="62"/>
        <v>1566</v>
      </c>
      <c r="T187" s="13">
        <f t="shared" si="62"/>
        <v>1567</v>
      </c>
      <c r="U187" s="13">
        <f t="shared" si="62"/>
        <v>1568</v>
      </c>
      <c r="V187" s="13">
        <f t="shared" si="62"/>
        <v>1569</v>
      </c>
      <c r="W187" s="13">
        <f t="shared" si="63"/>
        <v>1570</v>
      </c>
      <c r="X187" s="13">
        <f t="shared" si="63"/>
        <v>1571</v>
      </c>
      <c r="Y187" s="13">
        <f t="shared" si="63"/>
        <v>1572</v>
      </c>
      <c r="Z187" s="13">
        <f t="shared" si="63"/>
        <v>1573</v>
      </c>
      <c r="AA187" s="13">
        <f t="shared" si="63"/>
        <v>1574</v>
      </c>
      <c r="AB187" s="13">
        <f t="shared" si="63"/>
        <v>1575</v>
      </c>
      <c r="AC187" s="13">
        <f t="shared" si="63"/>
        <v>1576</v>
      </c>
      <c r="AD187" s="13">
        <f t="shared" si="63"/>
        <v>1577</v>
      </c>
      <c r="AE187" s="13">
        <f t="shared" si="63"/>
        <v>1578</v>
      </c>
      <c r="AF187" s="13">
        <f t="shared" si="63"/>
        <v>1579</v>
      </c>
      <c r="AG187" s="13">
        <f t="shared" si="64"/>
        <v>1580</v>
      </c>
      <c r="AH187" s="13">
        <f t="shared" si="64"/>
        <v>1581</v>
      </c>
      <c r="AI187" s="13">
        <f t="shared" si="64"/>
        <v>1582</v>
      </c>
      <c r="AJ187" s="13">
        <f t="shared" si="64"/>
        <v>1583</v>
      </c>
      <c r="AK187" s="13">
        <f t="shared" si="64"/>
        <v>1584</v>
      </c>
      <c r="AL187" s="13">
        <f t="shared" si="64"/>
        <v>1585</v>
      </c>
      <c r="AM187" s="13">
        <f t="shared" si="64"/>
        <v>1586</v>
      </c>
      <c r="AN187" s="13">
        <f t="shared" si="64"/>
        <v>1587</v>
      </c>
      <c r="AO187" s="13">
        <f t="shared" si="64"/>
        <v>1588</v>
      </c>
      <c r="AP187" s="13">
        <f t="shared" si="64"/>
        <v>1589</v>
      </c>
      <c r="AQ187" s="13">
        <f t="shared" si="65"/>
        <v>1590</v>
      </c>
      <c r="AR187" s="13">
        <f t="shared" si="65"/>
        <v>1591</v>
      </c>
      <c r="AS187" s="13">
        <f t="shared" si="65"/>
        <v>1592</v>
      </c>
      <c r="AT187" s="13">
        <f t="shared" si="65"/>
        <v>1593</v>
      </c>
      <c r="AU187" s="13">
        <f t="shared" si="65"/>
        <v>1594</v>
      </c>
      <c r="AV187" s="13">
        <f t="shared" si="65"/>
        <v>1595</v>
      </c>
      <c r="AW187" s="13">
        <f t="shared" si="65"/>
        <v>1596</v>
      </c>
      <c r="AX187" s="13">
        <f t="shared" si="65"/>
        <v>1597</v>
      </c>
      <c r="AY187" s="13">
        <f t="shared" si="65"/>
        <v>1598</v>
      </c>
      <c r="AZ187" s="13">
        <f t="shared" si="65"/>
        <v>1599</v>
      </c>
      <c r="BA187" s="13">
        <f t="shared" si="66"/>
        <v>1600</v>
      </c>
      <c r="BB187" s="13">
        <f t="shared" si="66"/>
        <v>1601</v>
      </c>
      <c r="BC187" s="13">
        <f t="shared" si="66"/>
        <v>1602</v>
      </c>
      <c r="BD187" s="13">
        <f t="shared" si="66"/>
        <v>1603</v>
      </c>
      <c r="BE187" s="13">
        <f t="shared" si="66"/>
        <v>1604</v>
      </c>
      <c r="BF187" s="13">
        <f t="shared" si="66"/>
        <v>1605</v>
      </c>
      <c r="BG187" s="13">
        <f t="shared" si="66"/>
        <v>1606</v>
      </c>
      <c r="BH187" s="13">
        <f t="shared" si="66"/>
        <v>1607</v>
      </c>
      <c r="BI187" s="13">
        <f t="shared" si="66"/>
        <v>1608</v>
      </c>
      <c r="BJ187" s="13">
        <f t="shared" si="66"/>
        <v>1609</v>
      </c>
      <c r="BK187" s="13">
        <f t="shared" si="66"/>
        <v>1610</v>
      </c>
      <c r="BL187" s="13">
        <f t="shared" si="66"/>
        <v>1611</v>
      </c>
      <c r="BM187" s="13">
        <f t="shared" si="66"/>
        <v>1612</v>
      </c>
      <c r="BN187" s="13">
        <f t="shared" si="66"/>
        <v>1613</v>
      </c>
    </row>
    <row r="188" spans="1:66">
      <c r="A188">
        <f>VLOOKUP(B188,Teste!$A$137:$G$236,7,FALSE)</f>
        <v>0</v>
      </c>
      <c r="B188">
        <f t="shared" si="48"/>
        <v>32</v>
      </c>
      <c r="C188" s="13">
        <f t="shared" si="61"/>
        <v>1600</v>
      </c>
      <c r="D188" s="13">
        <f t="shared" si="61"/>
        <v>1601</v>
      </c>
      <c r="E188" s="13">
        <f t="shared" si="61"/>
        <v>1602</v>
      </c>
      <c r="F188" s="13">
        <f t="shared" si="61"/>
        <v>1603</v>
      </c>
      <c r="G188" s="13">
        <f t="shared" si="61"/>
        <v>1604</v>
      </c>
      <c r="H188" s="13">
        <f t="shared" si="61"/>
        <v>1605</v>
      </c>
      <c r="I188" s="13">
        <f t="shared" si="61"/>
        <v>1606</v>
      </c>
      <c r="J188" s="13">
        <f t="shared" si="61"/>
        <v>1607</v>
      </c>
      <c r="K188" s="13">
        <f t="shared" si="61"/>
        <v>1608</v>
      </c>
      <c r="L188" s="13">
        <f t="shared" si="61"/>
        <v>1609</v>
      </c>
      <c r="M188" s="13">
        <f t="shared" si="62"/>
        <v>1610</v>
      </c>
      <c r="N188" s="13">
        <f t="shared" si="62"/>
        <v>1611</v>
      </c>
      <c r="O188" s="13">
        <f t="shared" si="62"/>
        <v>1612</v>
      </c>
      <c r="P188" s="13">
        <f t="shared" si="62"/>
        <v>1613</v>
      </c>
      <c r="Q188" s="13">
        <f t="shared" si="62"/>
        <v>1614</v>
      </c>
      <c r="R188" s="13">
        <f t="shared" si="62"/>
        <v>1615</v>
      </c>
      <c r="S188" s="13">
        <f t="shared" si="62"/>
        <v>1616</v>
      </c>
      <c r="T188" s="13">
        <f t="shared" si="62"/>
        <v>1617</v>
      </c>
      <c r="U188" s="13">
        <f t="shared" si="62"/>
        <v>1618</v>
      </c>
      <c r="V188" s="13">
        <f t="shared" si="62"/>
        <v>1619</v>
      </c>
      <c r="W188" s="13">
        <f t="shared" si="63"/>
        <v>1620</v>
      </c>
      <c r="X188" s="13">
        <f t="shared" si="63"/>
        <v>1621</v>
      </c>
      <c r="Y188" s="13">
        <f t="shared" si="63"/>
        <v>1622</v>
      </c>
      <c r="Z188" s="13">
        <f t="shared" si="63"/>
        <v>1623</v>
      </c>
      <c r="AA188" s="13">
        <f t="shared" si="63"/>
        <v>1624</v>
      </c>
      <c r="AB188" s="13">
        <f t="shared" si="63"/>
        <v>1625</v>
      </c>
      <c r="AC188" s="13">
        <f t="shared" si="63"/>
        <v>1626</v>
      </c>
      <c r="AD188" s="13">
        <f t="shared" si="63"/>
        <v>1627</v>
      </c>
      <c r="AE188" s="13">
        <f t="shared" si="63"/>
        <v>1628</v>
      </c>
      <c r="AF188" s="13">
        <f t="shared" si="63"/>
        <v>1629</v>
      </c>
      <c r="AG188" s="13">
        <f t="shared" si="64"/>
        <v>1630</v>
      </c>
      <c r="AH188" s="13">
        <f t="shared" si="64"/>
        <v>1631</v>
      </c>
      <c r="AI188" s="13">
        <f t="shared" si="64"/>
        <v>1632</v>
      </c>
      <c r="AJ188" s="13">
        <f t="shared" si="64"/>
        <v>1633</v>
      </c>
      <c r="AK188" s="13">
        <f t="shared" si="64"/>
        <v>1634</v>
      </c>
      <c r="AL188" s="13">
        <f t="shared" si="64"/>
        <v>1635</v>
      </c>
      <c r="AM188" s="13">
        <f t="shared" si="64"/>
        <v>1636</v>
      </c>
      <c r="AN188" s="13">
        <f t="shared" si="64"/>
        <v>1637</v>
      </c>
      <c r="AO188" s="13">
        <f t="shared" si="64"/>
        <v>1638</v>
      </c>
      <c r="AP188" s="13">
        <f t="shared" si="64"/>
        <v>1639</v>
      </c>
      <c r="AQ188" s="13">
        <f t="shared" si="65"/>
        <v>1640</v>
      </c>
      <c r="AR188" s="13">
        <f t="shared" si="65"/>
        <v>1641</v>
      </c>
      <c r="AS188" s="13">
        <f t="shared" si="65"/>
        <v>1642</v>
      </c>
      <c r="AT188" s="13">
        <f t="shared" si="65"/>
        <v>1643</v>
      </c>
      <c r="AU188" s="13">
        <f t="shared" si="65"/>
        <v>1644</v>
      </c>
      <c r="AV188" s="13">
        <f t="shared" si="65"/>
        <v>1645</v>
      </c>
      <c r="AW188" s="13">
        <f t="shared" si="65"/>
        <v>1646</v>
      </c>
      <c r="AX188" s="13">
        <f t="shared" si="65"/>
        <v>1647</v>
      </c>
      <c r="AY188" s="13">
        <f t="shared" si="65"/>
        <v>1648</v>
      </c>
      <c r="AZ188" s="13">
        <f t="shared" si="65"/>
        <v>1649</v>
      </c>
      <c r="BA188" s="13">
        <f t="shared" si="66"/>
        <v>1650</v>
      </c>
      <c r="BB188" s="13">
        <f t="shared" si="66"/>
        <v>1651</v>
      </c>
      <c r="BC188" s="13">
        <f t="shared" si="66"/>
        <v>1652</v>
      </c>
      <c r="BD188" s="13">
        <f t="shared" si="66"/>
        <v>1653</v>
      </c>
      <c r="BE188" s="13">
        <f t="shared" si="66"/>
        <v>1654</v>
      </c>
      <c r="BF188" s="13">
        <f t="shared" si="66"/>
        <v>1655</v>
      </c>
      <c r="BG188" s="13">
        <f t="shared" si="66"/>
        <v>1656</v>
      </c>
      <c r="BH188" s="13">
        <f t="shared" si="66"/>
        <v>1657</v>
      </c>
      <c r="BI188" s="13">
        <f t="shared" si="66"/>
        <v>1658</v>
      </c>
      <c r="BJ188" s="13">
        <f t="shared" si="66"/>
        <v>1659</v>
      </c>
      <c r="BK188" s="13">
        <f t="shared" si="66"/>
        <v>1660</v>
      </c>
      <c r="BL188" s="13">
        <f t="shared" si="66"/>
        <v>1661</v>
      </c>
      <c r="BM188" s="13">
        <f t="shared" si="66"/>
        <v>1662</v>
      </c>
      <c r="BN188" s="13">
        <f t="shared" si="66"/>
        <v>1663</v>
      </c>
    </row>
    <row r="189" spans="1:66">
      <c r="A189">
        <f>VLOOKUP(B189,Teste!$A$137:$G$236,7,FALSE)</f>
        <v>0</v>
      </c>
      <c r="B189">
        <f t="shared" si="48"/>
        <v>33</v>
      </c>
      <c r="C189" s="13">
        <f t="shared" si="61"/>
        <v>1650</v>
      </c>
      <c r="D189" s="13">
        <f t="shared" si="61"/>
        <v>1651</v>
      </c>
      <c r="E189" s="13">
        <f t="shared" si="61"/>
        <v>1652</v>
      </c>
      <c r="F189" s="13">
        <f t="shared" si="61"/>
        <v>1653</v>
      </c>
      <c r="G189" s="13">
        <f t="shared" si="61"/>
        <v>1654</v>
      </c>
      <c r="H189" s="13">
        <f t="shared" si="61"/>
        <v>1655</v>
      </c>
      <c r="I189" s="13">
        <f t="shared" si="61"/>
        <v>1656</v>
      </c>
      <c r="J189" s="13">
        <f t="shared" si="61"/>
        <v>1657</v>
      </c>
      <c r="K189" s="13">
        <f t="shared" si="61"/>
        <v>1658</v>
      </c>
      <c r="L189" s="13">
        <f t="shared" si="61"/>
        <v>1659</v>
      </c>
      <c r="M189" s="13">
        <f t="shared" si="62"/>
        <v>1660</v>
      </c>
      <c r="N189" s="13">
        <f t="shared" si="62"/>
        <v>1661</v>
      </c>
      <c r="O189" s="13">
        <f t="shared" si="62"/>
        <v>1662</v>
      </c>
      <c r="P189" s="13">
        <f t="shared" si="62"/>
        <v>1663</v>
      </c>
      <c r="Q189" s="13">
        <f t="shared" si="62"/>
        <v>1664</v>
      </c>
      <c r="R189" s="13">
        <f t="shared" si="62"/>
        <v>1665</v>
      </c>
      <c r="S189" s="13">
        <f t="shared" si="62"/>
        <v>1666</v>
      </c>
      <c r="T189" s="13">
        <f t="shared" si="62"/>
        <v>1667</v>
      </c>
      <c r="U189" s="13">
        <f t="shared" si="62"/>
        <v>1668</v>
      </c>
      <c r="V189" s="13">
        <f t="shared" si="62"/>
        <v>1669</v>
      </c>
      <c r="W189" s="13">
        <f t="shared" si="63"/>
        <v>1670</v>
      </c>
      <c r="X189" s="13">
        <f t="shared" si="63"/>
        <v>1671</v>
      </c>
      <c r="Y189" s="13">
        <f t="shared" si="63"/>
        <v>1672</v>
      </c>
      <c r="Z189" s="13">
        <f t="shared" si="63"/>
        <v>1673</v>
      </c>
      <c r="AA189" s="13">
        <f t="shared" si="63"/>
        <v>1674</v>
      </c>
      <c r="AB189" s="13">
        <f t="shared" si="63"/>
        <v>1675</v>
      </c>
      <c r="AC189" s="13">
        <f t="shared" si="63"/>
        <v>1676</v>
      </c>
      <c r="AD189" s="13">
        <f t="shared" si="63"/>
        <v>1677</v>
      </c>
      <c r="AE189" s="13">
        <f t="shared" si="63"/>
        <v>1678</v>
      </c>
      <c r="AF189" s="13">
        <f t="shared" si="63"/>
        <v>1679</v>
      </c>
      <c r="AG189" s="13">
        <f t="shared" si="64"/>
        <v>1680</v>
      </c>
      <c r="AH189" s="13">
        <f t="shared" si="64"/>
        <v>1681</v>
      </c>
      <c r="AI189" s="13">
        <f t="shared" si="64"/>
        <v>1682</v>
      </c>
      <c r="AJ189" s="13">
        <f t="shared" si="64"/>
        <v>1683</v>
      </c>
      <c r="AK189" s="13">
        <f t="shared" si="64"/>
        <v>1684</v>
      </c>
      <c r="AL189" s="13">
        <f t="shared" si="64"/>
        <v>1685</v>
      </c>
      <c r="AM189" s="13">
        <f t="shared" si="64"/>
        <v>1686</v>
      </c>
      <c r="AN189" s="13">
        <f t="shared" si="64"/>
        <v>1687</v>
      </c>
      <c r="AO189" s="13">
        <f t="shared" si="64"/>
        <v>1688</v>
      </c>
      <c r="AP189" s="13">
        <f t="shared" si="64"/>
        <v>1689</v>
      </c>
      <c r="AQ189" s="13">
        <f t="shared" si="65"/>
        <v>1690</v>
      </c>
      <c r="AR189" s="13">
        <f t="shared" si="65"/>
        <v>1691</v>
      </c>
      <c r="AS189" s="13">
        <f t="shared" si="65"/>
        <v>1692</v>
      </c>
      <c r="AT189" s="13">
        <f t="shared" si="65"/>
        <v>1693</v>
      </c>
      <c r="AU189" s="13">
        <f t="shared" si="65"/>
        <v>1694</v>
      </c>
      <c r="AV189" s="13">
        <f t="shared" si="65"/>
        <v>1695</v>
      </c>
      <c r="AW189" s="13">
        <f t="shared" si="65"/>
        <v>1696</v>
      </c>
      <c r="AX189" s="13">
        <f t="shared" si="65"/>
        <v>1697</v>
      </c>
      <c r="AY189" s="13">
        <f t="shared" si="65"/>
        <v>1698</v>
      </c>
      <c r="AZ189" s="13">
        <f t="shared" si="65"/>
        <v>1699</v>
      </c>
      <c r="BA189" s="13">
        <f t="shared" si="66"/>
        <v>1700</v>
      </c>
      <c r="BB189" s="13">
        <f t="shared" si="66"/>
        <v>1701</v>
      </c>
      <c r="BC189" s="13">
        <f t="shared" si="66"/>
        <v>1702</v>
      </c>
      <c r="BD189" s="13">
        <f t="shared" si="66"/>
        <v>1703</v>
      </c>
      <c r="BE189" s="13">
        <f t="shared" si="66"/>
        <v>1704</v>
      </c>
      <c r="BF189" s="13">
        <f t="shared" si="66"/>
        <v>1705</v>
      </c>
      <c r="BG189" s="13">
        <f t="shared" si="66"/>
        <v>1706</v>
      </c>
      <c r="BH189" s="13">
        <f t="shared" si="66"/>
        <v>1707</v>
      </c>
      <c r="BI189" s="13">
        <f t="shared" si="66"/>
        <v>1708</v>
      </c>
      <c r="BJ189" s="13">
        <f t="shared" si="66"/>
        <v>1709</v>
      </c>
      <c r="BK189" s="13">
        <f t="shared" si="66"/>
        <v>1710</v>
      </c>
      <c r="BL189" s="13">
        <f t="shared" si="66"/>
        <v>1711</v>
      </c>
      <c r="BM189" s="13">
        <f t="shared" si="66"/>
        <v>1712</v>
      </c>
      <c r="BN189" s="13">
        <f t="shared" si="66"/>
        <v>1713</v>
      </c>
    </row>
    <row r="190" spans="1:66">
      <c r="A190">
        <f>VLOOKUP(B190,Teste!$A$137:$G$236,7,FALSE)</f>
        <v>0</v>
      </c>
      <c r="B190">
        <f t="shared" si="48"/>
        <v>34</v>
      </c>
      <c r="C190" s="13">
        <f t="shared" si="61"/>
        <v>1700</v>
      </c>
      <c r="D190" s="13">
        <f t="shared" si="61"/>
        <v>1701</v>
      </c>
      <c r="E190" s="13">
        <f t="shared" si="61"/>
        <v>1702</v>
      </c>
      <c r="F190" s="13">
        <f t="shared" si="61"/>
        <v>1703</v>
      </c>
      <c r="G190" s="13">
        <f t="shared" si="61"/>
        <v>1704</v>
      </c>
      <c r="H190" s="13">
        <f t="shared" si="61"/>
        <v>1705</v>
      </c>
      <c r="I190" s="13">
        <f t="shared" si="61"/>
        <v>1706</v>
      </c>
      <c r="J190" s="13">
        <f t="shared" si="61"/>
        <v>1707</v>
      </c>
      <c r="K190" s="13">
        <f t="shared" si="61"/>
        <v>1708</v>
      </c>
      <c r="L190" s="13">
        <f t="shared" si="61"/>
        <v>1709</v>
      </c>
      <c r="M190" s="13">
        <f t="shared" si="62"/>
        <v>1710</v>
      </c>
      <c r="N190" s="13">
        <f t="shared" si="62"/>
        <v>1711</v>
      </c>
      <c r="O190" s="13">
        <f t="shared" si="62"/>
        <v>1712</v>
      </c>
      <c r="P190" s="13">
        <f t="shared" si="62"/>
        <v>1713</v>
      </c>
      <c r="Q190" s="13">
        <f t="shared" si="62"/>
        <v>1714</v>
      </c>
      <c r="R190" s="13">
        <f t="shared" si="62"/>
        <v>1715</v>
      </c>
      <c r="S190" s="13">
        <f t="shared" si="62"/>
        <v>1716</v>
      </c>
      <c r="T190" s="13">
        <f t="shared" si="62"/>
        <v>1717</v>
      </c>
      <c r="U190" s="13">
        <f t="shared" si="62"/>
        <v>1718</v>
      </c>
      <c r="V190" s="13">
        <f t="shared" si="62"/>
        <v>1719</v>
      </c>
      <c r="W190" s="13">
        <f t="shared" si="63"/>
        <v>1720</v>
      </c>
      <c r="X190" s="13">
        <f t="shared" si="63"/>
        <v>1721</v>
      </c>
      <c r="Y190" s="13">
        <f t="shared" si="63"/>
        <v>1722</v>
      </c>
      <c r="Z190" s="13">
        <f t="shared" si="63"/>
        <v>1723</v>
      </c>
      <c r="AA190" s="13">
        <f t="shared" si="63"/>
        <v>1724</v>
      </c>
      <c r="AB190" s="13">
        <f t="shared" si="63"/>
        <v>1725</v>
      </c>
      <c r="AC190" s="13">
        <f t="shared" si="63"/>
        <v>1726</v>
      </c>
      <c r="AD190" s="13">
        <f t="shared" si="63"/>
        <v>1727</v>
      </c>
      <c r="AE190" s="13">
        <f t="shared" si="63"/>
        <v>1728</v>
      </c>
      <c r="AF190" s="13">
        <f t="shared" si="63"/>
        <v>1729</v>
      </c>
      <c r="AG190" s="13">
        <f t="shared" si="64"/>
        <v>1730</v>
      </c>
      <c r="AH190" s="13">
        <f t="shared" si="64"/>
        <v>1731</v>
      </c>
      <c r="AI190" s="13">
        <f t="shared" si="64"/>
        <v>1732</v>
      </c>
      <c r="AJ190" s="13">
        <f t="shared" si="64"/>
        <v>1733</v>
      </c>
      <c r="AK190" s="13">
        <f t="shared" si="64"/>
        <v>1734</v>
      </c>
      <c r="AL190" s="13">
        <f t="shared" si="64"/>
        <v>1735</v>
      </c>
      <c r="AM190" s="13">
        <f t="shared" si="64"/>
        <v>1736</v>
      </c>
      <c r="AN190" s="13">
        <f t="shared" si="64"/>
        <v>1737</v>
      </c>
      <c r="AO190" s="13">
        <f t="shared" si="64"/>
        <v>1738</v>
      </c>
      <c r="AP190" s="13">
        <f t="shared" si="64"/>
        <v>1739</v>
      </c>
      <c r="AQ190" s="13">
        <f t="shared" si="65"/>
        <v>1740</v>
      </c>
      <c r="AR190" s="13">
        <f t="shared" si="65"/>
        <v>1741</v>
      </c>
      <c r="AS190" s="13">
        <f t="shared" si="65"/>
        <v>1742</v>
      </c>
      <c r="AT190" s="13">
        <f t="shared" si="65"/>
        <v>1743</v>
      </c>
      <c r="AU190" s="13">
        <f t="shared" si="65"/>
        <v>1744</v>
      </c>
      <c r="AV190" s="13">
        <f t="shared" si="65"/>
        <v>1745</v>
      </c>
      <c r="AW190" s="13">
        <f t="shared" si="65"/>
        <v>1746</v>
      </c>
      <c r="AX190" s="13">
        <f t="shared" si="65"/>
        <v>1747</v>
      </c>
      <c r="AY190" s="13">
        <f t="shared" si="65"/>
        <v>1748</v>
      </c>
      <c r="AZ190" s="13">
        <f t="shared" si="65"/>
        <v>1749</v>
      </c>
      <c r="BA190" s="13">
        <f t="shared" si="66"/>
        <v>1750</v>
      </c>
      <c r="BB190" s="13">
        <f t="shared" si="66"/>
        <v>1751</v>
      </c>
      <c r="BC190" s="13">
        <f t="shared" si="66"/>
        <v>1752</v>
      </c>
      <c r="BD190" s="13">
        <f t="shared" si="66"/>
        <v>1753</v>
      </c>
      <c r="BE190" s="13">
        <f t="shared" si="66"/>
        <v>1754</v>
      </c>
      <c r="BF190" s="13">
        <f t="shared" si="66"/>
        <v>1755</v>
      </c>
      <c r="BG190" s="13">
        <f t="shared" si="66"/>
        <v>1756</v>
      </c>
      <c r="BH190" s="13">
        <f t="shared" si="66"/>
        <v>1757</v>
      </c>
      <c r="BI190" s="13">
        <f t="shared" si="66"/>
        <v>1758</v>
      </c>
      <c r="BJ190" s="13">
        <f t="shared" si="66"/>
        <v>1759</v>
      </c>
      <c r="BK190" s="13">
        <f t="shared" si="66"/>
        <v>1760</v>
      </c>
      <c r="BL190" s="13">
        <f t="shared" si="66"/>
        <v>1761</v>
      </c>
      <c r="BM190" s="13">
        <f t="shared" si="66"/>
        <v>1762</v>
      </c>
      <c r="BN190" s="13">
        <f t="shared" si="66"/>
        <v>1763</v>
      </c>
    </row>
    <row r="191" spans="1:66">
      <c r="A191">
        <f>VLOOKUP(B191,Teste!$A$137:$G$236,7,FALSE)</f>
        <v>0</v>
      </c>
      <c r="B191">
        <f t="shared" si="48"/>
        <v>35</v>
      </c>
      <c r="C191" s="13">
        <f t="shared" si="61"/>
        <v>1750</v>
      </c>
      <c r="D191" s="13">
        <f t="shared" si="61"/>
        <v>1751</v>
      </c>
      <c r="E191" s="13">
        <f t="shared" si="61"/>
        <v>1752</v>
      </c>
      <c r="F191" s="13">
        <f t="shared" si="61"/>
        <v>1753</v>
      </c>
      <c r="G191" s="13">
        <f t="shared" si="61"/>
        <v>1754</v>
      </c>
      <c r="H191" s="13">
        <f t="shared" si="61"/>
        <v>1755</v>
      </c>
      <c r="I191" s="13">
        <f t="shared" si="61"/>
        <v>1756</v>
      </c>
      <c r="J191" s="13">
        <f t="shared" si="61"/>
        <v>1757</v>
      </c>
      <c r="K191" s="13">
        <f t="shared" si="61"/>
        <v>1758</v>
      </c>
      <c r="L191" s="13">
        <f t="shared" si="61"/>
        <v>1759</v>
      </c>
      <c r="M191" s="13">
        <f t="shared" si="62"/>
        <v>1760</v>
      </c>
      <c r="N191" s="13">
        <f t="shared" si="62"/>
        <v>1761</v>
      </c>
      <c r="O191" s="13">
        <f t="shared" si="62"/>
        <v>1762</v>
      </c>
      <c r="P191" s="13">
        <f t="shared" si="62"/>
        <v>1763</v>
      </c>
      <c r="Q191" s="13">
        <f t="shared" si="62"/>
        <v>1764</v>
      </c>
      <c r="R191" s="13">
        <f t="shared" si="62"/>
        <v>1765</v>
      </c>
      <c r="S191" s="13">
        <f t="shared" si="62"/>
        <v>1766</v>
      </c>
      <c r="T191" s="13">
        <f t="shared" si="62"/>
        <v>1767</v>
      </c>
      <c r="U191" s="13">
        <f t="shared" si="62"/>
        <v>1768</v>
      </c>
      <c r="V191" s="13">
        <f t="shared" si="62"/>
        <v>1769</v>
      </c>
      <c r="W191" s="13">
        <f t="shared" si="63"/>
        <v>1770</v>
      </c>
      <c r="X191" s="13">
        <f t="shared" si="63"/>
        <v>1771</v>
      </c>
      <c r="Y191" s="13">
        <f t="shared" si="63"/>
        <v>1772</v>
      </c>
      <c r="Z191" s="13">
        <f t="shared" si="63"/>
        <v>1773</v>
      </c>
      <c r="AA191" s="13">
        <f t="shared" si="63"/>
        <v>1774</v>
      </c>
      <c r="AB191" s="13">
        <f t="shared" si="63"/>
        <v>1775</v>
      </c>
      <c r="AC191" s="13">
        <f t="shared" si="63"/>
        <v>1776</v>
      </c>
      <c r="AD191" s="13">
        <f t="shared" si="63"/>
        <v>1777</v>
      </c>
      <c r="AE191" s="13">
        <f t="shared" si="63"/>
        <v>1778</v>
      </c>
      <c r="AF191" s="13">
        <f t="shared" si="63"/>
        <v>1779</v>
      </c>
      <c r="AG191" s="13">
        <f t="shared" si="64"/>
        <v>1780</v>
      </c>
      <c r="AH191" s="13">
        <f t="shared" si="64"/>
        <v>1781</v>
      </c>
      <c r="AI191" s="13">
        <f t="shared" si="64"/>
        <v>1782</v>
      </c>
      <c r="AJ191" s="13">
        <f t="shared" si="64"/>
        <v>1783</v>
      </c>
      <c r="AK191" s="13">
        <f t="shared" si="64"/>
        <v>1784</v>
      </c>
      <c r="AL191" s="13">
        <f t="shared" si="64"/>
        <v>1785</v>
      </c>
      <c r="AM191" s="13">
        <f t="shared" si="64"/>
        <v>1786</v>
      </c>
      <c r="AN191" s="13">
        <f t="shared" si="64"/>
        <v>1787</v>
      </c>
      <c r="AO191" s="13">
        <f t="shared" si="64"/>
        <v>1788</v>
      </c>
      <c r="AP191" s="13">
        <f t="shared" si="64"/>
        <v>1789</v>
      </c>
      <c r="AQ191" s="13">
        <f t="shared" si="65"/>
        <v>1790</v>
      </c>
      <c r="AR191" s="13">
        <f t="shared" si="65"/>
        <v>1791</v>
      </c>
      <c r="AS191" s="13">
        <f t="shared" si="65"/>
        <v>1792</v>
      </c>
      <c r="AT191" s="13">
        <f t="shared" si="65"/>
        <v>1793</v>
      </c>
      <c r="AU191" s="13">
        <f t="shared" si="65"/>
        <v>1794</v>
      </c>
      <c r="AV191" s="13">
        <f t="shared" si="65"/>
        <v>1795</v>
      </c>
      <c r="AW191" s="13">
        <f t="shared" si="65"/>
        <v>1796</v>
      </c>
      <c r="AX191" s="13">
        <f t="shared" si="65"/>
        <v>1797</v>
      </c>
      <c r="AY191" s="13">
        <f t="shared" si="65"/>
        <v>1798</v>
      </c>
      <c r="AZ191" s="13">
        <f t="shared" si="65"/>
        <v>1799</v>
      </c>
      <c r="BA191" s="13">
        <f t="shared" si="66"/>
        <v>1800</v>
      </c>
      <c r="BB191" s="13">
        <f t="shared" si="66"/>
        <v>1801</v>
      </c>
      <c r="BC191" s="13">
        <f t="shared" si="66"/>
        <v>1802</v>
      </c>
      <c r="BD191" s="13">
        <f t="shared" si="66"/>
        <v>1803</v>
      </c>
      <c r="BE191" s="13">
        <f t="shared" si="66"/>
        <v>1804</v>
      </c>
      <c r="BF191" s="13">
        <f t="shared" si="66"/>
        <v>1805</v>
      </c>
      <c r="BG191" s="13">
        <f t="shared" si="66"/>
        <v>1806</v>
      </c>
      <c r="BH191" s="13">
        <f t="shared" si="66"/>
        <v>1807</v>
      </c>
      <c r="BI191" s="13">
        <f t="shared" si="66"/>
        <v>1808</v>
      </c>
      <c r="BJ191" s="13">
        <f t="shared" si="66"/>
        <v>1809</v>
      </c>
      <c r="BK191" s="13">
        <f t="shared" si="66"/>
        <v>1810</v>
      </c>
      <c r="BL191" s="13">
        <f t="shared" si="66"/>
        <v>1811</v>
      </c>
      <c r="BM191" s="13">
        <f t="shared" si="66"/>
        <v>1812</v>
      </c>
      <c r="BN191" s="13">
        <f t="shared" si="66"/>
        <v>1813</v>
      </c>
    </row>
    <row r="192" spans="1:66">
      <c r="A192">
        <f>VLOOKUP(B192,Teste!$A$137:$G$236,7,FALSE)</f>
        <v>0</v>
      </c>
      <c r="B192">
        <f t="shared" si="48"/>
        <v>36</v>
      </c>
      <c r="C192" s="13">
        <f t="shared" si="61"/>
        <v>1800</v>
      </c>
      <c r="D192" s="13">
        <f t="shared" si="61"/>
        <v>1801</v>
      </c>
      <c r="E192" s="13">
        <f t="shared" si="61"/>
        <v>1802</v>
      </c>
      <c r="F192" s="13">
        <f t="shared" si="61"/>
        <v>1803</v>
      </c>
      <c r="G192" s="13">
        <f t="shared" si="61"/>
        <v>1804</v>
      </c>
      <c r="H192" s="13">
        <f t="shared" si="61"/>
        <v>1805</v>
      </c>
      <c r="I192" s="13">
        <f t="shared" si="61"/>
        <v>1806</v>
      </c>
      <c r="J192" s="13">
        <f t="shared" si="61"/>
        <v>1807</v>
      </c>
      <c r="K192" s="13">
        <f t="shared" si="61"/>
        <v>1808</v>
      </c>
      <c r="L192" s="13">
        <f t="shared" si="61"/>
        <v>1809</v>
      </c>
      <c r="M192" s="13">
        <f t="shared" si="62"/>
        <v>1810</v>
      </c>
      <c r="N192" s="13">
        <f t="shared" si="62"/>
        <v>1811</v>
      </c>
      <c r="O192" s="13">
        <f t="shared" si="62"/>
        <v>1812</v>
      </c>
      <c r="P192" s="13">
        <f t="shared" si="62"/>
        <v>1813</v>
      </c>
      <c r="Q192" s="13">
        <f t="shared" si="62"/>
        <v>1814</v>
      </c>
      <c r="R192" s="13">
        <f t="shared" si="62"/>
        <v>1815</v>
      </c>
      <c r="S192" s="13">
        <f t="shared" si="62"/>
        <v>1816</v>
      </c>
      <c r="T192" s="13">
        <f t="shared" si="62"/>
        <v>1817</v>
      </c>
      <c r="U192" s="13">
        <f t="shared" si="62"/>
        <v>1818</v>
      </c>
      <c r="V192" s="13">
        <f t="shared" si="62"/>
        <v>1819</v>
      </c>
      <c r="W192" s="13">
        <f t="shared" si="63"/>
        <v>1820</v>
      </c>
      <c r="X192" s="13">
        <f t="shared" si="63"/>
        <v>1821</v>
      </c>
      <c r="Y192" s="13">
        <f t="shared" si="63"/>
        <v>1822</v>
      </c>
      <c r="Z192" s="13">
        <f t="shared" si="63"/>
        <v>1823</v>
      </c>
      <c r="AA192" s="13">
        <f t="shared" si="63"/>
        <v>1824</v>
      </c>
      <c r="AB192" s="13">
        <f t="shared" si="63"/>
        <v>1825</v>
      </c>
      <c r="AC192" s="13">
        <f t="shared" si="63"/>
        <v>1826</v>
      </c>
      <c r="AD192" s="13">
        <f t="shared" si="63"/>
        <v>1827</v>
      </c>
      <c r="AE192" s="13">
        <f t="shared" si="63"/>
        <v>1828</v>
      </c>
      <c r="AF192" s="13">
        <f t="shared" si="63"/>
        <v>1829</v>
      </c>
      <c r="AG192" s="13">
        <f t="shared" si="64"/>
        <v>1830</v>
      </c>
      <c r="AH192" s="13">
        <f t="shared" si="64"/>
        <v>1831</v>
      </c>
      <c r="AI192" s="13">
        <f t="shared" si="64"/>
        <v>1832</v>
      </c>
      <c r="AJ192" s="13">
        <f t="shared" si="64"/>
        <v>1833</v>
      </c>
      <c r="AK192" s="13">
        <f t="shared" si="64"/>
        <v>1834</v>
      </c>
      <c r="AL192" s="13">
        <f t="shared" si="64"/>
        <v>1835</v>
      </c>
      <c r="AM192" s="13">
        <f t="shared" si="64"/>
        <v>1836</v>
      </c>
      <c r="AN192" s="13">
        <f t="shared" si="64"/>
        <v>1837</v>
      </c>
      <c r="AO192" s="13">
        <f t="shared" si="64"/>
        <v>1838</v>
      </c>
      <c r="AP192" s="13">
        <f t="shared" si="64"/>
        <v>1839</v>
      </c>
      <c r="AQ192" s="13">
        <f t="shared" si="65"/>
        <v>1840</v>
      </c>
      <c r="AR192" s="13">
        <f t="shared" si="65"/>
        <v>1841</v>
      </c>
      <c r="AS192" s="13">
        <f t="shared" si="65"/>
        <v>1842</v>
      </c>
      <c r="AT192" s="13">
        <f t="shared" si="65"/>
        <v>1843</v>
      </c>
      <c r="AU192" s="13">
        <f t="shared" si="65"/>
        <v>1844</v>
      </c>
      <c r="AV192" s="13">
        <f t="shared" si="65"/>
        <v>1845</v>
      </c>
      <c r="AW192" s="13">
        <f t="shared" si="65"/>
        <v>1846</v>
      </c>
      <c r="AX192" s="13">
        <f t="shared" si="65"/>
        <v>1847</v>
      </c>
      <c r="AY192" s="13">
        <f t="shared" si="65"/>
        <v>1848</v>
      </c>
      <c r="AZ192" s="13">
        <f t="shared" si="65"/>
        <v>1849</v>
      </c>
      <c r="BA192" s="13">
        <f t="shared" si="66"/>
        <v>1850</v>
      </c>
      <c r="BB192" s="13">
        <f t="shared" si="66"/>
        <v>1851</v>
      </c>
      <c r="BC192" s="13">
        <f t="shared" si="66"/>
        <v>1852</v>
      </c>
      <c r="BD192" s="13">
        <f t="shared" si="66"/>
        <v>1853</v>
      </c>
      <c r="BE192" s="13">
        <f t="shared" si="66"/>
        <v>1854</v>
      </c>
      <c r="BF192" s="13">
        <f t="shared" si="66"/>
        <v>1855</v>
      </c>
      <c r="BG192" s="13">
        <f t="shared" si="66"/>
        <v>1856</v>
      </c>
      <c r="BH192" s="13">
        <f t="shared" si="66"/>
        <v>1857</v>
      </c>
      <c r="BI192" s="13">
        <f t="shared" si="66"/>
        <v>1858</v>
      </c>
      <c r="BJ192" s="13">
        <f t="shared" si="66"/>
        <v>1859</v>
      </c>
      <c r="BK192" s="13">
        <f t="shared" si="66"/>
        <v>1860</v>
      </c>
      <c r="BL192" s="13">
        <f t="shared" si="66"/>
        <v>1861</v>
      </c>
      <c r="BM192" s="13">
        <f t="shared" si="66"/>
        <v>1862</v>
      </c>
      <c r="BN192" s="13">
        <f t="shared" si="66"/>
        <v>1863</v>
      </c>
    </row>
    <row r="193" spans="1:66">
      <c r="A193">
        <f>VLOOKUP(B193,Teste!$A$137:$G$236,7,FALSE)</f>
        <v>0</v>
      </c>
      <c r="B193">
        <f t="shared" si="48"/>
        <v>37</v>
      </c>
      <c r="C193" s="13">
        <f t="shared" si="61"/>
        <v>1850</v>
      </c>
      <c r="D193" s="13">
        <f t="shared" si="61"/>
        <v>1851</v>
      </c>
      <c r="E193" s="13">
        <f t="shared" si="61"/>
        <v>1852</v>
      </c>
      <c r="F193" s="13">
        <f t="shared" si="61"/>
        <v>1853</v>
      </c>
      <c r="G193" s="13">
        <f t="shared" si="61"/>
        <v>1854</v>
      </c>
      <c r="H193" s="13">
        <f t="shared" si="61"/>
        <v>1855</v>
      </c>
      <c r="I193" s="13">
        <f t="shared" si="61"/>
        <v>1856</v>
      </c>
      <c r="J193" s="13">
        <f t="shared" si="61"/>
        <v>1857</v>
      </c>
      <c r="K193" s="13">
        <f t="shared" si="61"/>
        <v>1858</v>
      </c>
      <c r="L193" s="13">
        <f t="shared" si="61"/>
        <v>1859</v>
      </c>
      <c r="M193" s="13">
        <f t="shared" si="62"/>
        <v>1860</v>
      </c>
      <c r="N193" s="13">
        <f t="shared" si="62"/>
        <v>1861</v>
      </c>
      <c r="O193" s="13">
        <f t="shared" si="62"/>
        <v>1862</v>
      </c>
      <c r="P193" s="13">
        <f t="shared" si="62"/>
        <v>1863</v>
      </c>
      <c r="Q193" s="13">
        <f t="shared" si="62"/>
        <v>1864</v>
      </c>
      <c r="R193" s="13">
        <f t="shared" si="62"/>
        <v>1865</v>
      </c>
      <c r="S193" s="13">
        <f t="shared" si="62"/>
        <v>1866</v>
      </c>
      <c r="T193" s="13">
        <f t="shared" si="62"/>
        <v>1867</v>
      </c>
      <c r="U193" s="13">
        <f t="shared" si="62"/>
        <v>1868</v>
      </c>
      <c r="V193" s="13">
        <f t="shared" si="62"/>
        <v>1869</v>
      </c>
      <c r="W193" s="13">
        <f t="shared" si="63"/>
        <v>1870</v>
      </c>
      <c r="X193" s="13">
        <f t="shared" si="63"/>
        <v>1871</v>
      </c>
      <c r="Y193" s="13">
        <f t="shared" si="63"/>
        <v>1872</v>
      </c>
      <c r="Z193" s="13">
        <f t="shared" si="63"/>
        <v>1873</v>
      </c>
      <c r="AA193" s="13">
        <f t="shared" si="63"/>
        <v>1874</v>
      </c>
      <c r="AB193" s="13">
        <f t="shared" si="63"/>
        <v>1875</v>
      </c>
      <c r="AC193" s="13">
        <f t="shared" si="63"/>
        <v>1876</v>
      </c>
      <c r="AD193" s="13">
        <f t="shared" si="63"/>
        <v>1877</v>
      </c>
      <c r="AE193" s="13">
        <f t="shared" si="63"/>
        <v>1878</v>
      </c>
      <c r="AF193" s="13">
        <f t="shared" si="63"/>
        <v>1879</v>
      </c>
      <c r="AG193" s="13">
        <f t="shared" si="64"/>
        <v>1880</v>
      </c>
      <c r="AH193" s="13">
        <f t="shared" si="64"/>
        <v>1881</v>
      </c>
      <c r="AI193" s="13">
        <f t="shared" si="64"/>
        <v>1882</v>
      </c>
      <c r="AJ193" s="13">
        <f t="shared" si="64"/>
        <v>1883</v>
      </c>
      <c r="AK193" s="13">
        <f t="shared" si="64"/>
        <v>1884</v>
      </c>
      <c r="AL193" s="13">
        <f t="shared" si="64"/>
        <v>1885</v>
      </c>
      <c r="AM193" s="13">
        <f t="shared" si="64"/>
        <v>1886</v>
      </c>
      <c r="AN193" s="13">
        <f t="shared" si="64"/>
        <v>1887</v>
      </c>
      <c r="AO193" s="13">
        <f t="shared" si="64"/>
        <v>1888</v>
      </c>
      <c r="AP193" s="13">
        <f t="shared" si="64"/>
        <v>1889</v>
      </c>
      <c r="AQ193" s="13">
        <f t="shared" si="65"/>
        <v>1890</v>
      </c>
      <c r="AR193" s="13">
        <f t="shared" si="65"/>
        <v>1891</v>
      </c>
      <c r="AS193" s="13">
        <f t="shared" si="65"/>
        <v>1892</v>
      </c>
      <c r="AT193" s="13">
        <f t="shared" si="65"/>
        <v>1893</v>
      </c>
      <c r="AU193" s="13">
        <f t="shared" si="65"/>
        <v>1894</v>
      </c>
      <c r="AV193" s="13">
        <f t="shared" si="65"/>
        <v>1895</v>
      </c>
      <c r="AW193" s="13">
        <f t="shared" si="65"/>
        <v>1896</v>
      </c>
      <c r="AX193" s="13">
        <f t="shared" si="65"/>
        <v>1897</v>
      </c>
      <c r="AY193" s="13">
        <f t="shared" si="65"/>
        <v>1898</v>
      </c>
      <c r="AZ193" s="13">
        <f t="shared" si="65"/>
        <v>1899</v>
      </c>
      <c r="BA193" s="13">
        <f t="shared" si="66"/>
        <v>1900</v>
      </c>
      <c r="BB193" s="13">
        <f t="shared" si="66"/>
        <v>1901</v>
      </c>
      <c r="BC193" s="13">
        <f t="shared" si="66"/>
        <v>1902</v>
      </c>
      <c r="BD193" s="13">
        <f t="shared" si="66"/>
        <v>1903</v>
      </c>
      <c r="BE193" s="13">
        <f t="shared" si="66"/>
        <v>1904</v>
      </c>
      <c r="BF193" s="13">
        <f t="shared" si="66"/>
        <v>1905</v>
      </c>
      <c r="BG193" s="13">
        <f t="shared" si="66"/>
        <v>1906</v>
      </c>
      <c r="BH193" s="13">
        <f t="shared" si="66"/>
        <v>1907</v>
      </c>
      <c r="BI193" s="13">
        <f t="shared" si="66"/>
        <v>1908</v>
      </c>
      <c r="BJ193" s="13">
        <f t="shared" si="66"/>
        <v>1909</v>
      </c>
      <c r="BK193" s="13">
        <f t="shared" si="66"/>
        <v>1910</v>
      </c>
      <c r="BL193" s="13">
        <f t="shared" si="66"/>
        <v>1911</v>
      </c>
      <c r="BM193" s="13">
        <f t="shared" si="66"/>
        <v>1912</v>
      </c>
      <c r="BN193" s="13">
        <f t="shared" si="66"/>
        <v>1913</v>
      </c>
    </row>
    <row r="194" spans="1:66">
      <c r="A194">
        <f>VLOOKUP(B194,Teste!$A$137:$G$236,7,FALSE)</f>
        <v>0</v>
      </c>
      <c r="B194">
        <f t="shared" si="48"/>
        <v>38</v>
      </c>
      <c r="C194" s="13">
        <f t="shared" si="61"/>
        <v>1900</v>
      </c>
      <c r="D194" s="13">
        <f t="shared" si="61"/>
        <v>1901</v>
      </c>
      <c r="E194" s="13">
        <f t="shared" si="61"/>
        <v>1902</v>
      </c>
      <c r="F194" s="13">
        <f t="shared" si="61"/>
        <v>1903</v>
      </c>
      <c r="G194" s="13">
        <f t="shared" si="61"/>
        <v>1904</v>
      </c>
      <c r="H194" s="13">
        <f t="shared" si="61"/>
        <v>1905</v>
      </c>
      <c r="I194" s="13">
        <f t="shared" si="61"/>
        <v>1906</v>
      </c>
      <c r="J194" s="13">
        <f t="shared" si="61"/>
        <v>1907</v>
      </c>
      <c r="K194" s="13">
        <f t="shared" si="61"/>
        <v>1908</v>
      </c>
      <c r="L194" s="13">
        <f t="shared" si="61"/>
        <v>1909</v>
      </c>
      <c r="M194" s="13">
        <f t="shared" si="62"/>
        <v>1910</v>
      </c>
      <c r="N194" s="13">
        <f t="shared" si="62"/>
        <v>1911</v>
      </c>
      <c r="O194" s="13">
        <f t="shared" si="62"/>
        <v>1912</v>
      </c>
      <c r="P194" s="13">
        <f t="shared" si="62"/>
        <v>1913</v>
      </c>
      <c r="Q194" s="13">
        <f t="shared" si="62"/>
        <v>1914</v>
      </c>
      <c r="R194" s="13">
        <f t="shared" si="62"/>
        <v>1915</v>
      </c>
      <c r="S194" s="13">
        <f t="shared" si="62"/>
        <v>1916</v>
      </c>
      <c r="T194" s="13">
        <f t="shared" si="62"/>
        <v>1917</v>
      </c>
      <c r="U194" s="13">
        <f t="shared" si="62"/>
        <v>1918</v>
      </c>
      <c r="V194" s="13">
        <f t="shared" si="62"/>
        <v>1919</v>
      </c>
      <c r="W194" s="13">
        <f t="shared" si="63"/>
        <v>1920</v>
      </c>
      <c r="X194" s="13">
        <f t="shared" si="63"/>
        <v>1921</v>
      </c>
      <c r="Y194" s="13">
        <f t="shared" si="63"/>
        <v>1922</v>
      </c>
      <c r="Z194" s="13">
        <f t="shared" si="63"/>
        <v>1923</v>
      </c>
      <c r="AA194" s="13">
        <f t="shared" si="63"/>
        <v>1924</v>
      </c>
      <c r="AB194" s="13">
        <f t="shared" si="63"/>
        <v>1925</v>
      </c>
      <c r="AC194" s="13">
        <f t="shared" si="63"/>
        <v>1926</v>
      </c>
      <c r="AD194" s="13">
        <f t="shared" si="63"/>
        <v>1927</v>
      </c>
      <c r="AE194" s="13">
        <f t="shared" si="63"/>
        <v>1928</v>
      </c>
      <c r="AF194" s="13">
        <f t="shared" si="63"/>
        <v>1929</v>
      </c>
      <c r="AG194" s="13">
        <f t="shared" si="64"/>
        <v>1930</v>
      </c>
      <c r="AH194" s="13">
        <f t="shared" si="64"/>
        <v>1931</v>
      </c>
      <c r="AI194" s="13">
        <f t="shared" si="64"/>
        <v>1932</v>
      </c>
      <c r="AJ194" s="13">
        <f t="shared" si="64"/>
        <v>1933</v>
      </c>
      <c r="AK194" s="13">
        <f t="shared" si="64"/>
        <v>1934</v>
      </c>
      <c r="AL194" s="13">
        <f t="shared" si="64"/>
        <v>1935</v>
      </c>
      <c r="AM194" s="13">
        <f t="shared" si="64"/>
        <v>1936</v>
      </c>
      <c r="AN194" s="13">
        <f t="shared" si="64"/>
        <v>1937</v>
      </c>
      <c r="AO194" s="13">
        <f t="shared" si="64"/>
        <v>1938</v>
      </c>
      <c r="AP194" s="13">
        <f t="shared" si="64"/>
        <v>1939</v>
      </c>
      <c r="AQ194" s="13">
        <f t="shared" si="65"/>
        <v>1940</v>
      </c>
      <c r="AR194" s="13">
        <f t="shared" si="65"/>
        <v>1941</v>
      </c>
      <c r="AS194" s="13">
        <f t="shared" si="65"/>
        <v>1942</v>
      </c>
      <c r="AT194" s="13">
        <f t="shared" si="65"/>
        <v>1943</v>
      </c>
      <c r="AU194" s="13">
        <f t="shared" si="65"/>
        <v>1944</v>
      </c>
      <c r="AV194" s="13">
        <f t="shared" si="65"/>
        <v>1945</v>
      </c>
      <c r="AW194" s="13">
        <f t="shared" si="65"/>
        <v>1946</v>
      </c>
      <c r="AX194" s="13">
        <f t="shared" si="65"/>
        <v>1947</v>
      </c>
      <c r="AY194" s="13">
        <f t="shared" si="65"/>
        <v>1948</v>
      </c>
      <c r="AZ194" s="13">
        <f t="shared" si="65"/>
        <v>1949</v>
      </c>
      <c r="BA194" s="13">
        <f t="shared" si="66"/>
        <v>1950</v>
      </c>
      <c r="BB194" s="13">
        <f t="shared" si="66"/>
        <v>1951</v>
      </c>
      <c r="BC194" s="13">
        <f t="shared" si="66"/>
        <v>1952</v>
      </c>
      <c r="BD194" s="13">
        <f t="shared" si="66"/>
        <v>1953</v>
      </c>
      <c r="BE194" s="13">
        <f t="shared" si="66"/>
        <v>1954</v>
      </c>
      <c r="BF194" s="13">
        <f t="shared" si="66"/>
        <v>1955</v>
      </c>
      <c r="BG194" s="13">
        <f t="shared" si="66"/>
        <v>1956</v>
      </c>
      <c r="BH194" s="13">
        <f t="shared" si="66"/>
        <v>1957</v>
      </c>
      <c r="BI194" s="13">
        <f t="shared" si="66"/>
        <v>1958</v>
      </c>
      <c r="BJ194" s="13">
        <f t="shared" si="66"/>
        <v>1959</v>
      </c>
      <c r="BK194" s="13">
        <f t="shared" si="66"/>
        <v>1960</v>
      </c>
      <c r="BL194" s="13">
        <f t="shared" si="66"/>
        <v>1961</v>
      </c>
      <c r="BM194" s="13">
        <f t="shared" si="66"/>
        <v>1962</v>
      </c>
      <c r="BN194" s="13">
        <f t="shared" si="66"/>
        <v>1963</v>
      </c>
    </row>
    <row r="195" spans="1:66">
      <c r="A195">
        <f>VLOOKUP(B195,Teste!$A$137:$G$236,7,FALSE)</f>
        <v>0</v>
      </c>
      <c r="B195">
        <f t="shared" si="48"/>
        <v>39</v>
      </c>
      <c r="C195" s="13">
        <f t="shared" si="61"/>
        <v>1950</v>
      </c>
      <c r="D195" s="13">
        <f t="shared" si="61"/>
        <v>1951</v>
      </c>
      <c r="E195" s="13">
        <f t="shared" si="61"/>
        <v>1952</v>
      </c>
      <c r="F195" s="13">
        <f t="shared" si="61"/>
        <v>1953</v>
      </c>
      <c r="G195" s="13">
        <f t="shared" si="61"/>
        <v>1954</v>
      </c>
      <c r="H195" s="13">
        <f t="shared" si="61"/>
        <v>1955</v>
      </c>
      <c r="I195" s="13">
        <f t="shared" si="61"/>
        <v>1956</v>
      </c>
      <c r="J195" s="13">
        <f t="shared" si="61"/>
        <v>1957</v>
      </c>
      <c r="K195" s="13">
        <f t="shared" si="61"/>
        <v>1958</v>
      </c>
      <c r="L195" s="13">
        <f t="shared" si="61"/>
        <v>1959</v>
      </c>
      <c r="M195" s="13">
        <f t="shared" si="62"/>
        <v>1960</v>
      </c>
      <c r="N195" s="13">
        <f t="shared" si="62"/>
        <v>1961</v>
      </c>
      <c r="O195" s="13">
        <f t="shared" si="62"/>
        <v>1962</v>
      </c>
      <c r="P195" s="13">
        <f t="shared" si="62"/>
        <v>1963</v>
      </c>
      <c r="Q195" s="13">
        <f t="shared" si="62"/>
        <v>1964</v>
      </c>
      <c r="R195" s="13">
        <f t="shared" si="62"/>
        <v>1965</v>
      </c>
      <c r="S195" s="13">
        <f t="shared" si="62"/>
        <v>1966</v>
      </c>
      <c r="T195" s="13">
        <f t="shared" si="62"/>
        <v>1967</v>
      </c>
      <c r="U195" s="13">
        <f t="shared" si="62"/>
        <v>1968</v>
      </c>
      <c r="V195" s="13">
        <f t="shared" si="62"/>
        <v>1969</v>
      </c>
      <c r="W195" s="13">
        <f t="shared" si="63"/>
        <v>1970</v>
      </c>
      <c r="X195" s="13">
        <f t="shared" si="63"/>
        <v>1971</v>
      </c>
      <c r="Y195" s="13">
        <f t="shared" si="63"/>
        <v>1972</v>
      </c>
      <c r="Z195" s="13">
        <f t="shared" si="63"/>
        <v>1973</v>
      </c>
      <c r="AA195" s="13">
        <f t="shared" si="63"/>
        <v>1974</v>
      </c>
      <c r="AB195" s="13">
        <f t="shared" si="63"/>
        <v>1975</v>
      </c>
      <c r="AC195" s="13">
        <f t="shared" si="63"/>
        <v>1976</v>
      </c>
      <c r="AD195" s="13">
        <f t="shared" si="63"/>
        <v>1977</v>
      </c>
      <c r="AE195" s="13">
        <f t="shared" si="63"/>
        <v>1978</v>
      </c>
      <c r="AF195" s="13">
        <f t="shared" si="63"/>
        <v>1979</v>
      </c>
      <c r="AG195" s="13">
        <f t="shared" si="64"/>
        <v>1980</v>
      </c>
      <c r="AH195" s="13">
        <f t="shared" si="64"/>
        <v>1981</v>
      </c>
      <c r="AI195" s="13">
        <f t="shared" si="64"/>
        <v>1982</v>
      </c>
      <c r="AJ195" s="13">
        <f t="shared" si="64"/>
        <v>1983</v>
      </c>
      <c r="AK195" s="13">
        <f t="shared" si="64"/>
        <v>1984</v>
      </c>
      <c r="AL195" s="13">
        <f t="shared" si="64"/>
        <v>1985</v>
      </c>
      <c r="AM195" s="13">
        <f t="shared" si="64"/>
        <v>1986</v>
      </c>
      <c r="AN195" s="13">
        <f t="shared" si="64"/>
        <v>1987</v>
      </c>
      <c r="AO195" s="13">
        <f t="shared" si="64"/>
        <v>1988</v>
      </c>
      <c r="AP195" s="13">
        <f t="shared" si="64"/>
        <v>1989</v>
      </c>
      <c r="AQ195" s="13">
        <f t="shared" si="65"/>
        <v>1990</v>
      </c>
      <c r="AR195" s="13">
        <f t="shared" si="65"/>
        <v>1991</v>
      </c>
      <c r="AS195" s="13">
        <f t="shared" si="65"/>
        <v>1992</v>
      </c>
      <c r="AT195" s="13">
        <f t="shared" si="65"/>
        <v>1993</v>
      </c>
      <c r="AU195" s="13">
        <f t="shared" si="65"/>
        <v>1994</v>
      </c>
      <c r="AV195" s="13">
        <f t="shared" si="65"/>
        <v>1995</v>
      </c>
      <c r="AW195" s="13">
        <f t="shared" si="65"/>
        <v>1996</v>
      </c>
      <c r="AX195" s="13">
        <f t="shared" si="65"/>
        <v>1997</v>
      </c>
      <c r="AY195" s="13">
        <f t="shared" si="65"/>
        <v>1998</v>
      </c>
      <c r="AZ195" s="13">
        <f t="shared" si="65"/>
        <v>1999</v>
      </c>
      <c r="BA195" s="13">
        <f t="shared" si="66"/>
        <v>2000</v>
      </c>
      <c r="BB195" s="13">
        <f t="shared" si="66"/>
        <v>2001</v>
      </c>
      <c r="BC195" s="13">
        <f t="shared" si="66"/>
        <v>2002</v>
      </c>
      <c r="BD195" s="13">
        <f t="shared" si="66"/>
        <v>2003</v>
      </c>
      <c r="BE195" s="13">
        <f t="shared" si="66"/>
        <v>2004</v>
      </c>
      <c r="BF195" s="13">
        <f t="shared" si="66"/>
        <v>2005</v>
      </c>
      <c r="BG195" s="13">
        <f t="shared" si="66"/>
        <v>2006</v>
      </c>
      <c r="BH195" s="13">
        <f t="shared" si="66"/>
        <v>2007</v>
      </c>
      <c r="BI195" s="13">
        <f t="shared" si="66"/>
        <v>2008</v>
      </c>
      <c r="BJ195" s="13">
        <f t="shared" si="66"/>
        <v>2009</v>
      </c>
      <c r="BK195" s="13">
        <f t="shared" si="66"/>
        <v>2010</v>
      </c>
      <c r="BL195" s="13">
        <f t="shared" si="66"/>
        <v>2011</v>
      </c>
      <c r="BM195" s="13">
        <f t="shared" si="66"/>
        <v>2012</v>
      </c>
      <c r="BN195" s="13">
        <f t="shared" si="66"/>
        <v>2013</v>
      </c>
    </row>
    <row r="196" spans="1:66">
      <c r="A196">
        <f>VLOOKUP(B196,Teste!$A$137:$G$236,7,FALSE)</f>
        <v>0</v>
      </c>
      <c r="B196">
        <f t="shared" si="48"/>
        <v>40</v>
      </c>
      <c r="C196" s="13">
        <f t="shared" ref="C196:L205" si="67">C$155 + numGenes*$B196</f>
        <v>2000</v>
      </c>
      <c r="D196" s="13">
        <f t="shared" si="67"/>
        <v>2001</v>
      </c>
      <c r="E196" s="13">
        <f t="shared" si="67"/>
        <v>2002</v>
      </c>
      <c r="F196" s="13">
        <f t="shared" si="67"/>
        <v>2003</v>
      </c>
      <c r="G196" s="13">
        <f t="shared" si="67"/>
        <v>2004</v>
      </c>
      <c r="H196" s="13">
        <f t="shared" si="67"/>
        <v>2005</v>
      </c>
      <c r="I196" s="13">
        <f t="shared" si="67"/>
        <v>2006</v>
      </c>
      <c r="J196" s="13">
        <f t="shared" si="67"/>
        <v>2007</v>
      </c>
      <c r="K196" s="13">
        <f t="shared" si="67"/>
        <v>2008</v>
      </c>
      <c r="L196" s="13">
        <f t="shared" si="67"/>
        <v>2009</v>
      </c>
      <c r="M196" s="13">
        <f t="shared" ref="M196:V205" si="68">M$155 + numGenes*$B196</f>
        <v>2010</v>
      </c>
      <c r="N196" s="13">
        <f t="shared" si="68"/>
        <v>2011</v>
      </c>
      <c r="O196" s="13">
        <f t="shared" si="68"/>
        <v>2012</v>
      </c>
      <c r="P196" s="13">
        <f t="shared" si="68"/>
        <v>2013</v>
      </c>
      <c r="Q196" s="13">
        <f t="shared" si="68"/>
        <v>2014</v>
      </c>
      <c r="R196" s="13">
        <f t="shared" si="68"/>
        <v>2015</v>
      </c>
      <c r="S196" s="13">
        <f t="shared" si="68"/>
        <v>2016</v>
      </c>
      <c r="T196" s="13">
        <f t="shared" si="68"/>
        <v>2017</v>
      </c>
      <c r="U196" s="13">
        <f t="shared" si="68"/>
        <v>2018</v>
      </c>
      <c r="V196" s="13">
        <f t="shared" si="68"/>
        <v>2019</v>
      </c>
      <c r="W196" s="13">
        <f t="shared" ref="W196:AF205" si="69">W$155 + numGenes*$B196</f>
        <v>2020</v>
      </c>
      <c r="X196" s="13">
        <f t="shared" si="69"/>
        <v>2021</v>
      </c>
      <c r="Y196" s="13">
        <f t="shared" si="69"/>
        <v>2022</v>
      </c>
      <c r="Z196" s="13">
        <f t="shared" si="69"/>
        <v>2023</v>
      </c>
      <c r="AA196" s="13">
        <f t="shared" si="69"/>
        <v>2024</v>
      </c>
      <c r="AB196" s="13">
        <f t="shared" si="69"/>
        <v>2025</v>
      </c>
      <c r="AC196" s="13">
        <f t="shared" si="69"/>
        <v>2026</v>
      </c>
      <c r="AD196" s="13">
        <f t="shared" si="69"/>
        <v>2027</v>
      </c>
      <c r="AE196" s="13">
        <f t="shared" si="69"/>
        <v>2028</v>
      </c>
      <c r="AF196" s="13">
        <f t="shared" si="69"/>
        <v>2029</v>
      </c>
      <c r="AG196" s="13">
        <f t="shared" ref="AG196:AP205" si="70">AG$155 + numGenes*$B196</f>
        <v>2030</v>
      </c>
      <c r="AH196" s="13">
        <f t="shared" si="70"/>
        <v>2031</v>
      </c>
      <c r="AI196" s="13">
        <f t="shared" si="70"/>
        <v>2032</v>
      </c>
      <c r="AJ196" s="13">
        <f t="shared" si="70"/>
        <v>2033</v>
      </c>
      <c r="AK196" s="13">
        <f t="shared" si="70"/>
        <v>2034</v>
      </c>
      <c r="AL196" s="13">
        <f t="shared" si="70"/>
        <v>2035</v>
      </c>
      <c r="AM196" s="13">
        <f t="shared" si="70"/>
        <v>2036</v>
      </c>
      <c r="AN196" s="13">
        <f t="shared" si="70"/>
        <v>2037</v>
      </c>
      <c r="AO196" s="13">
        <f t="shared" si="70"/>
        <v>2038</v>
      </c>
      <c r="AP196" s="13">
        <f t="shared" si="70"/>
        <v>2039</v>
      </c>
      <c r="AQ196" s="13">
        <f t="shared" ref="AQ196:AZ205" si="71">AQ$155 + numGenes*$B196</f>
        <v>2040</v>
      </c>
      <c r="AR196" s="13">
        <f t="shared" si="71"/>
        <v>2041</v>
      </c>
      <c r="AS196" s="13">
        <f t="shared" si="71"/>
        <v>2042</v>
      </c>
      <c r="AT196" s="13">
        <f t="shared" si="71"/>
        <v>2043</v>
      </c>
      <c r="AU196" s="13">
        <f t="shared" si="71"/>
        <v>2044</v>
      </c>
      <c r="AV196" s="13">
        <f t="shared" si="71"/>
        <v>2045</v>
      </c>
      <c r="AW196" s="13">
        <f t="shared" si="71"/>
        <v>2046</v>
      </c>
      <c r="AX196" s="13">
        <f t="shared" si="71"/>
        <v>2047</v>
      </c>
      <c r="AY196" s="13">
        <f t="shared" si="71"/>
        <v>2048</v>
      </c>
      <c r="AZ196" s="13">
        <f t="shared" si="71"/>
        <v>2049</v>
      </c>
      <c r="BA196" s="13">
        <f t="shared" ref="BA196:BN205" si="72">BA$155 + numGenes*$B196</f>
        <v>2050</v>
      </c>
      <c r="BB196" s="13">
        <f t="shared" si="72"/>
        <v>2051</v>
      </c>
      <c r="BC196" s="13">
        <f t="shared" si="72"/>
        <v>2052</v>
      </c>
      <c r="BD196" s="13">
        <f t="shared" si="72"/>
        <v>2053</v>
      </c>
      <c r="BE196" s="13">
        <f t="shared" si="72"/>
        <v>2054</v>
      </c>
      <c r="BF196" s="13">
        <f t="shared" si="72"/>
        <v>2055</v>
      </c>
      <c r="BG196" s="13">
        <f t="shared" si="72"/>
        <v>2056</v>
      </c>
      <c r="BH196" s="13">
        <f t="shared" si="72"/>
        <v>2057</v>
      </c>
      <c r="BI196" s="13">
        <f t="shared" si="72"/>
        <v>2058</v>
      </c>
      <c r="BJ196" s="13">
        <f t="shared" si="72"/>
        <v>2059</v>
      </c>
      <c r="BK196" s="13">
        <f t="shared" si="72"/>
        <v>2060</v>
      </c>
      <c r="BL196" s="13">
        <f t="shared" si="72"/>
        <v>2061</v>
      </c>
      <c r="BM196" s="13">
        <f t="shared" si="72"/>
        <v>2062</v>
      </c>
      <c r="BN196" s="13">
        <f t="shared" si="72"/>
        <v>2063</v>
      </c>
    </row>
    <row r="197" spans="1:66">
      <c r="A197">
        <f>VLOOKUP(B197,Teste!$A$137:$G$236,7,FALSE)</f>
        <v>0</v>
      </c>
      <c r="B197">
        <f t="shared" si="48"/>
        <v>41</v>
      </c>
      <c r="C197" s="13">
        <f t="shared" si="67"/>
        <v>2050</v>
      </c>
      <c r="D197" s="13">
        <f t="shared" si="67"/>
        <v>2051</v>
      </c>
      <c r="E197" s="13">
        <f t="shared" si="67"/>
        <v>2052</v>
      </c>
      <c r="F197" s="13">
        <f t="shared" si="67"/>
        <v>2053</v>
      </c>
      <c r="G197" s="13">
        <f t="shared" si="67"/>
        <v>2054</v>
      </c>
      <c r="H197" s="13">
        <f t="shared" si="67"/>
        <v>2055</v>
      </c>
      <c r="I197" s="13">
        <f t="shared" si="67"/>
        <v>2056</v>
      </c>
      <c r="J197" s="13">
        <f t="shared" si="67"/>
        <v>2057</v>
      </c>
      <c r="K197" s="13">
        <f t="shared" si="67"/>
        <v>2058</v>
      </c>
      <c r="L197" s="13">
        <f t="shared" si="67"/>
        <v>2059</v>
      </c>
      <c r="M197" s="13">
        <f t="shared" si="68"/>
        <v>2060</v>
      </c>
      <c r="N197" s="13">
        <f t="shared" si="68"/>
        <v>2061</v>
      </c>
      <c r="O197" s="13">
        <f t="shared" si="68"/>
        <v>2062</v>
      </c>
      <c r="P197" s="13">
        <f t="shared" si="68"/>
        <v>2063</v>
      </c>
      <c r="Q197" s="13">
        <f t="shared" si="68"/>
        <v>2064</v>
      </c>
      <c r="R197" s="13">
        <f t="shared" si="68"/>
        <v>2065</v>
      </c>
      <c r="S197" s="13">
        <f t="shared" si="68"/>
        <v>2066</v>
      </c>
      <c r="T197" s="13">
        <f t="shared" si="68"/>
        <v>2067</v>
      </c>
      <c r="U197" s="13">
        <f t="shared" si="68"/>
        <v>2068</v>
      </c>
      <c r="V197" s="13">
        <f t="shared" si="68"/>
        <v>2069</v>
      </c>
      <c r="W197" s="13">
        <f t="shared" si="69"/>
        <v>2070</v>
      </c>
      <c r="X197" s="13">
        <f t="shared" si="69"/>
        <v>2071</v>
      </c>
      <c r="Y197" s="13">
        <f t="shared" si="69"/>
        <v>2072</v>
      </c>
      <c r="Z197" s="13">
        <f t="shared" si="69"/>
        <v>2073</v>
      </c>
      <c r="AA197" s="13">
        <f t="shared" si="69"/>
        <v>2074</v>
      </c>
      <c r="AB197" s="13">
        <f t="shared" si="69"/>
        <v>2075</v>
      </c>
      <c r="AC197" s="13">
        <f t="shared" si="69"/>
        <v>2076</v>
      </c>
      <c r="AD197" s="13">
        <f t="shared" si="69"/>
        <v>2077</v>
      </c>
      <c r="AE197" s="13">
        <f t="shared" si="69"/>
        <v>2078</v>
      </c>
      <c r="AF197" s="13">
        <f t="shared" si="69"/>
        <v>2079</v>
      </c>
      <c r="AG197" s="13">
        <f t="shared" si="70"/>
        <v>2080</v>
      </c>
      <c r="AH197" s="13">
        <f t="shared" si="70"/>
        <v>2081</v>
      </c>
      <c r="AI197" s="13">
        <f t="shared" si="70"/>
        <v>2082</v>
      </c>
      <c r="AJ197" s="13">
        <f t="shared" si="70"/>
        <v>2083</v>
      </c>
      <c r="AK197" s="13">
        <f t="shared" si="70"/>
        <v>2084</v>
      </c>
      <c r="AL197" s="13">
        <f t="shared" si="70"/>
        <v>2085</v>
      </c>
      <c r="AM197" s="13">
        <f t="shared" si="70"/>
        <v>2086</v>
      </c>
      <c r="AN197" s="13">
        <f t="shared" si="70"/>
        <v>2087</v>
      </c>
      <c r="AO197" s="13">
        <f t="shared" si="70"/>
        <v>2088</v>
      </c>
      <c r="AP197" s="13">
        <f t="shared" si="70"/>
        <v>2089</v>
      </c>
      <c r="AQ197" s="13">
        <f t="shared" si="71"/>
        <v>2090</v>
      </c>
      <c r="AR197" s="13">
        <f t="shared" si="71"/>
        <v>2091</v>
      </c>
      <c r="AS197" s="13">
        <f t="shared" si="71"/>
        <v>2092</v>
      </c>
      <c r="AT197" s="13">
        <f t="shared" si="71"/>
        <v>2093</v>
      </c>
      <c r="AU197" s="13">
        <f t="shared" si="71"/>
        <v>2094</v>
      </c>
      <c r="AV197" s="13">
        <f t="shared" si="71"/>
        <v>2095</v>
      </c>
      <c r="AW197" s="13">
        <f t="shared" si="71"/>
        <v>2096</v>
      </c>
      <c r="AX197" s="13">
        <f t="shared" si="71"/>
        <v>2097</v>
      </c>
      <c r="AY197" s="13">
        <f t="shared" si="71"/>
        <v>2098</v>
      </c>
      <c r="AZ197" s="13">
        <f t="shared" si="71"/>
        <v>2099</v>
      </c>
      <c r="BA197" s="13">
        <f t="shared" si="72"/>
        <v>2100</v>
      </c>
      <c r="BB197" s="13">
        <f t="shared" si="72"/>
        <v>2101</v>
      </c>
      <c r="BC197" s="13">
        <f t="shared" si="72"/>
        <v>2102</v>
      </c>
      <c r="BD197" s="13">
        <f t="shared" si="72"/>
        <v>2103</v>
      </c>
      <c r="BE197" s="13">
        <f t="shared" si="72"/>
        <v>2104</v>
      </c>
      <c r="BF197" s="13">
        <f t="shared" si="72"/>
        <v>2105</v>
      </c>
      <c r="BG197" s="13">
        <f t="shared" si="72"/>
        <v>2106</v>
      </c>
      <c r="BH197" s="13">
        <f t="shared" si="72"/>
        <v>2107</v>
      </c>
      <c r="BI197" s="13">
        <f t="shared" si="72"/>
        <v>2108</v>
      </c>
      <c r="BJ197" s="13">
        <f t="shared" si="72"/>
        <v>2109</v>
      </c>
      <c r="BK197" s="13">
        <f t="shared" si="72"/>
        <v>2110</v>
      </c>
      <c r="BL197" s="13">
        <f t="shared" si="72"/>
        <v>2111</v>
      </c>
      <c r="BM197" s="13">
        <f t="shared" si="72"/>
        <v>2112</v>
      </c>
      <c r="BN197" s="13">
        <f t="shared" si="72"/>
        <v>2113</v>
      </c>
    </row>
    <row r="198" spans="1:66">
      <c r="A198">
        <f>VLOOKUP(B198,Teste!$A$137:$G$236,7,FALSE)</f>
        <v>0</v>
      </c>
      <c r="B198">
        <f t="shared" si="48"/>
        <v>42</v>
      </c>
      <c r="C198" s="13">
        <f t="shared" si="67"/>
        <v>2100</v>
      </c>
      <c r="D198" s="13">
        <f t="shared" si="67"/>
        <v>2101</v>
      </c>
      <c r="E198" s="13">
        <f t="shared" si="67"/>
        <v>2102</v>
      </c>
      <c r="F198" s="13">
        <f t="shared" si="67"/>
        <v>2103</v>
      </c>
      <c r="G198" s="13">
        <f t="shared" si="67"/>
        <v>2104</v>
      </c>
      <c r="H198" s="13">
        <f t="shared" si="67"/>
        <v>2105</v>
      </c>
      <c r="I198" s="13">
        <f t="shared" si="67"/>
        <v>2106</v>
      </c>
      <c r="J198" s="13">
        <f t="shared" si="67"/>
        <v>2107</v>
      </c>
      <c r="K198" s="13">
        <f t="shared" si="67"/>
        <v>2108</v>
      </c>
      <c r="L198" s="13">
        <f t="shared" si="67"/>
        <v>2109</v>
      </c>
      <c r="M198" s="13">
        <f t="shared" si="68"/>
        <v>2110</v>
      </c>
      <c r="N198" s="13">
        <f t="shared" si="68"/>
        <v>2111</v>
      </c>
      <c r="O198" s="13">
        <f t="shared" si="68"/>
        <v>2112</v>
      </c>
      <c r="P198" s="13">
        <f t="shared" si="68"/>
        <v>2113</v>
      </c>
      <c r="Q198" s="13">
        <f t="shared" si="68"/>
        <v>2114</v>
      </c>
      <c r="R198" s="13">
        <f t="shared" si="68"/>
        <v>2115</v>
      </c>
      <c r="S198" s="13">
        <f t="shared" si="68"/>
        <v>2116</v>
      </c>
      <c r="T198" s="13">
        <f t="shared" si="68"/>
        <v>2117</v>
      </c>
      <c r="U198" s="13">
        <f t="shared" si="68"/>
        <v>2118</v>
      </c>
      <c r="V198" s="13">
        <f t="shared" si="68"/>
        <v>2119</v>
      </c>
      <c r="W198" s="13">
        <f t="shared" si="69"/>
        <v>2120</v>
      </c>
      <c r="X198" s="13">
        <f t="shared" si="69"/>
        <v>2121</v>
      </c>
      <c r="Y198" s="13">
        <f t="shared" si="69"/>
        <v>2122</v>
      </c>
      <c r="Z198" s="13">
        <f t="shared" si="69"/>
        <v>2123</v>
      </c>
      <c r="AA198" s="13">
        <f t="shared" si="69"/>
        <v>2124</v>
      </c>
      <c r="AB198" s="13">
        <f t="shared" si="69"/>
        <v>2125</v>
      </c>
      <c r="AC198" s="13">
        <f t="shared" si="69"/>
        <v>2126</v>
      </c>
      <c r="AD198" s="13">
        <f t="shared" si="69"/>
        <v>2127</v>
      </c>
      <c r="AE198" s="13">
        <f t="shared" si="69"/>
        <v>2128</v>
      </c>
      <c r="AF198" s="13">
        <f t="shared" si="69"/>
        <v>2129</v>
      </c>
      <c r="AG198" s="13">
        <f t="shared" si="70"/>
        <v>2130</v>
      </c>
      <c r="AH198" s="13">
        <f t="shared" si="70"/>
        <v>2131</v>
      </c>
      <c r="AI198" s="13">
        <f t="shared" si="70"/>
        <v>2132</v>
      </c>
      <c r="AJ198" s="13">
        <f t="shared" si="70"/>
        <v>2133</v>
      </c>
      <c r="AK198" s="13">
        <f t="shared" si="70"/>
        <v>2134</v>
      </c>
      <c r="AL198" s="13">
        <f t="shared" si="70"/>
        <v>2135</v>
      </c>
      <c r="AM198" s="13">
        <f t="shared" si="70"/>
        <v>2136</v>
      </c>
      <c r="AN198" s="13">
        <f t="shared" si="70"/>
        <v>2137</v>
      </c>
      <c r="AO198" s="13">
        <f t="shared" si="70"/>
        <v>2138</v>
      </c>
      <c r="AP198" s="13">
        <f t="shared" si="70"/>
        <v>2139</v>
      </c>
      <c r="AQ198" s="13">
        <f t="shared" si="71"/>
        <v>2140</v>
      </c>
      <c r="AR198" s="13">
        <f t="shared" si="71"/>
        <v>2141</v>
      </c>
      <c r="AS198" s="13">
        <f t="shared" si="71"/>
        <v>2142</v>
      </c>
      <c r="AT198" s="13">
        <f t="shared" si="71"/>
        <v>2143</v>
      </c>
      <c r="AU198" s="13">
        <f t="shared" si="71"/>
        <v>2144</v>
      </c>
      <c r="AV198" s="13">
        <f t="shared" si="71"/>
        <v>2145</v>
      </c>
      <c r="AW198" s="13">
        <f t="shared" si="71"/>
        <v>2146</v>
      </c>
      <c r="AX198" s="13">
        <f t="shared" si="71"/>
        <v>2147</v>
      </c>
      <c r="AY198" s="13">
        <f t="shared" si="71"/>
        <v>2148</v>
      </c>
      <c r="AZ198" s="13">
        <f t="shared" si="71"/>
        <v>2149</v>
      </c>
      <c r="BA198" s="13">
        <f t="shared" si="72"/>
        <v>2150</v>
      </c>
      <c r="BB198" s="13">
        <f t="shared" si="72"/>
        <v>2151</v>
      </c>
      <c r="BC198" s="13">
        <f t="shared" si="72"/>
        <v>2152</v>
      </c>
      <c r="BD198" s="13">
        <f t="shared" si="72"/>
        <v>2153</v>
      </c>
      <c r="BE198" s="13">
        <f t="shared" si="72"/>
        <v>2154</v>
      </c>
      <c r="BF198" s="13">
        <f t="shared" si="72"/>
        <v>2155</v>
      </c>
      <c r="BG198" s="13">
        <f t="shared" si="72"/>
        <v>2156</v>
      </c>
      <c r="BH198" s="13">
        <f t="shared" si="72"/>
        <v>2157</v>
      </c>
      <c r="BI198" s="13">
        <f t="shared" si="72"/>
        <v>2158</v>
      </c>
      <c r="BJ198" s="13">
        <f t="shared" si="72"/>
        <v>2159</v>
      </c>
      <c r="BK198" s="13">
        <f t="shared" si="72"/>
        <v>2160</v>
      </c>
      <c r="BL198" s="13">
        <f t="shared" si="72"/>
        <v>2161</v>
      </c>
      <c r="BM198" s="13">
        <f t="shared" si="72"/>
        <v>2162</v>
      </c>
      <c r="BN198" s="13">
        <f t="shared" si="72"/>
        <v>2163</v>
      </c>
    </row>
    <row r="199" spans="1:66">
      <c r="A199">
        <f>VLOOKUP(B199,Teste!$A$137:$G$236,7,FALSE)</f>
        <v>0</v>
      </c>
      <c r="B199">
        <f t="shared" si="48"/>
        <v>43</v>
      </c>
      <c r="C199" s="13">
        <f t="shared" si="67"/>
        <v>2150</v>
      </c>
      <c r="D199" s="13">
        <f t="shared" si="67"/>
        <v>2151</v>
      </c>
      <c r="E199" s="13">
        <f t="shared" si="67"/>
        <v>2152</v>
      </c>
      <c r="F199" s="13">
        <f t="shared" si="67"/>
        <v>2153</v>
      </c>
      <c r="G199" s="13">
        <f t="shared" si="67"/>
        <v>2154</v>
      </c>
      <c r="H199" s="13">
        <f t="shared" si="67"/>
        <v>2155</v>
      </c>
      <c r="I199" s="13">
        <f t="shared" si="67"/>
        <v>2156</v>
      </c>
      <c r="J199" s="13">
        <f t="shared" si="67"/>
        <v>2157</v>
      </c>
      <c r="K199" s="13">
        <f t="shared" si="67"/>
        <v>2158</v>
      </c>
      <c r="L199" s="13">
        <f t="shared" si="67"/>
        <v>2159</v>
      </c>
      <c r="M199" s="13">
        <f t="shared" si="68"/>
        <v>2160</v>
      </c>
      <c r="N199" s="13">
        <f t="shared" si="68"/>
        <v>2161</v>
      </c>
      <c r="O199" s="13">
        <f t="shared" si="68"/>
        <v>2162</v>
      </c>
      <c r="P199" s="13">
        <f t="shared" si="68"/>
        <v>2163</v>
      </c>
      <c r="Q199" s="13">
        <f t="shared" si="68"/>
        <v>2164</v>
      </c>
      <c r="R199" s="13">
        <f t="shared" si="68"/>
        <v>2165</v>
      </c>
      <c r="S199" s="13">
        <f t="shared" si="68"/>
        <v>2166</v>
      </c>
      <c r="T199" s="13">
        <f t="shared" si="68"/>
        <v>2167</v>
      </c>
      <c r="U199" s="13">
        <f t="shared" si="68"/>
        <v>2168</v>
      </c>
      <c r="V199" s="13">
        <f t="shared" si="68"/>
        <v>2169</v>
      </c>
      <c r="W199" s="13">
        <f t="shared" si="69"/>
        <v>2170</v>
      </c>
      <c r="X199" s="13">
        <f t="shared" si="69"/>
        <v>2171</v>
      </c>
      <c r="Y199" s="13">
        <f t="shared" si="69"/>
        <v>2172</v>
      </c>
      <c r="Z199" s="13">
        <f t="shared" si="69"/>
        <v>2173</v>
      </c>
      <c r="AA199" s="13">
        <f t="shared" si="69"/>
        <v>2174</v>
      </c>
      <c r="AB199" s="13">
        <f t="shared" si="69"/>
        <v>2175</v>
      </c>
      <c r="AC199" s="13">
        <f t="shared" si="69"/>
        <v>2176</v>
      </c>
      <c r="AD199" s="13">
        <f t="shared" si="69"/>
        <v>2177</v>
      </c>
      <c r="AE199" s="13">
        <f t="shared" si="69"/>
        <v>2178</v>
      </c>
      <c r="AF199" s="13">
        <f t="shared" si="69"/>
        <v>2179</v>
      </c>
      <c r="AG199" s="13">
        <f t="shared" si="70"/>
        <v>2180</v>
      </c>
      <c r="AH199" s="13">
        <f t="shared" si="70"/>
        <v>2181</v>
      </c>
      <c r="AI199" s="13">
        <f t="shared" si="70"/>
        <v>2182</v>
      </c>
      <c r="AJ199" s="13">
        <f t="shared" si="70"/>
        <v>2183</v>
      </c>
      <c r="AK199" s="13">
        <f t="shared" si="70"/>
        <v>2184</v>
      </c>
      <c r="AL199" s="13">
        <f t="shared" si="70"/>
        <v>2185</v>
      </c>
      <c r="AM199" s="13">
        <f t="shared" si="70"/>
        <v>2186</v>
      </c>
      <c r="AN199" s="13">
        <f t="shared" si="70"/>
        <v>2187</v>
      </c>
      <c r="AO199" s="13">
        <f t="shared" si="70"/>
        <v>2188</v>
      </c>
      <c r="AP199" s="13">
        <f t="shared" si="70"/>
        <v>2189</v>
      </c>
      <c r="AQ199" s="13">
        <f t="shared" si="71"/>
        <v>2190</v>
      </c>
      <c r="AR199" s="13">
        <f t="shared" si="71"/>
        <v>2191</v>
      </c>
      <c r="AS199" s="13">
        <f t="shared" si="71"/>
        <v>2192</v>
      </c>
      <c r="AT199" s="13">
        <f t="shared" si="71"/>
        <v>2193</v>
      </c>
      <c r="AU199" s="13">
        <f t="shared" si="71"/>
        <v>2194</v>
      </c>
      <c r="AV199" s="13">
        <f t="shared" si="71"/>
        <v>2195</v>
      </c>
      <c r="AW199" s="13">
        <f t="shared" si="71"/>
        <v>2196</v>
      </c>
      <c r="AX199" s="13">
        <f t="shared" si="71"/>
        <v>2197</v>
      </c>
      <c r="AY199" s="13">
        <f t="shared" si="71"/>
        <v>2198</v>
      </c>
      <c r="AZ199" s="13">
        <f t="shared" si="71"/>
        <v>2199</v>
      </c>
      <c r="BA199" s="13">
        <f t="shared" si="72"/>
        <v>2200</v>
      </c>
      <c r="BB199" s="13">
        <f t="shared" si="72"/>
        <v>2201</v>
      </c>
      <c r="BC199" s="13">
        <f t="shared" si="72"/>
        <v>2202</v>
      </c>
      <c r="BD199" s="13">
        <f t="shared" si="72"/>
        <v>2203</v>
      </c>
      <c r="BE199" s="13">
        <f t="shared" si="72"/>
        <v>2204</v>
      </c>
      <c r="BF199" s="13">
        <f t="shared" si="72"/>
        <v>2205</v>
      </c>
      <c r="BG199" s="13">
        <f t="shared" si="72"/>
        <v>2206</v>
      </c>
      <c r="BH199" s="13">
        <f t="shared" si="72"/>
        <v>2207</v>
      </c>
      <c r="BI199" s="13">
        <f t="shared" si="72"/>
        <v>2208</v>
      </c>
      <c r="BJ199" s="13">
        <f t="shared" si="72"/>
        <v>2209</v>
      </c>
      <c r="BK199" s="13">
        <f t="shared" si="72"/>
        <v>2210</v>
      </c>
      <c r="BL199" s="13">
        <f t="shared" si="72"/>
        <v>2211</v>
      </c>
      <c r="BM199" s="13">
        <f t="shared" si="72"/>
        <v>2212</v>
      </c>
      <c r="BN199" s="13">
        <f t="shared" si="72"/>
        <v>2213</v>
      </c>
    </row>
    <row r="200" spans="1:66">
      <c r="A200">
        <f>VLOOKUP(B200,Teste!$A$137:$G$236,7,FALSE)</f>
        <v>0</v>
      </c>
      <c r="B200">
        <f t="shared" si="48"/>
        <v>44</v>
      </c>
      <c r="C200" s="13">
        <f t="shared" si="67"/>
        <v>2200</v>
      </c>
      <c r="D200" s="13">
        <f t="shared" si="67"/>
        <v>2201</v>
      </c>
      <c r="E200" s="13">
        <f t="shared" si="67"/>
        <v>2202</v>
      </c>
      <c r="F200" s="13">
        <f t="shared" si="67"/>
        <v>2203</v>
      </c>
      <c r="G200" s="13">
        <f t="shared" si="67"/>
        <v>2204</v>
      </c>
      <c r="H200" s="13">
        <f t="shared" si="67"/>
        <v>2205</v>
      </c>
      <c r="I200" s="13">
        <f t="shared" si="67"/>
        <v>2206</v>
      </c>
      <c r="J200" s="13">
        <f t="shared" si="67"/>
        <v>2207</v>
      </c>
      <c r="K200" s="13">
        <f t="shared" si="67"/>
        <v>2208</v>
      </c>
      <c r="L200" s="13">
        <f t="shared" si="67"/>
        <v>2209</v>
      </c>
      <c r="M200" s="13">
        <f t="shared" si="68"/>
        <v>2210</v>
      </c>
      <c r="N200" s="13">
        <f t="shared" si="68"/>
        <v>2211</v>
      </c>
      <c r="O200" s="13">
        <f t="shared" si="68"/>
        <v>2212</v>
      </c>
      <c r="P200" s="13">
        <f t="shared" si="68"/>
        <v>2213</v>
      </c>
      <c r="Q200" s="13">
        <f t="shared" si="68"/>
        <v>2214</v>
      </c>
      <c r="R200" s="13">
        <f t="shared" si="68"/>
        <v>2215</v>
      </c>
      <c r="S200" s="13">
        <f t="shared" si="68"/>
        <v>2216</v>
      </c>
      <c r="T200" s="13">
        <f t="shared" si="68"/>
        <v>2217</v>
      </c>
      <c r="U200" s="13">
        <f t="shared" si="68"/>
        <v>2218</v>
      </c>
      <c r="V200" s="13">
        <f t="shared" si="68"/>
        <v>2219</v>
      </c>
      <c r="W200" s="13">
        <f t="shared" si="69"/>
        <v>2220</v>
      </c>
      <c r="X200" s="13">
        <f t="shared" si="69"/>
        <v>2221</v>
      </c>
      <c r="Y200" s="13">
        <f t="shared" si="69"/>
        <v>2222</v>
      </c>
      <c r="Z200" s="13">
        <f t="shared" si="69"/>
        <v>2223</v>
      </c>
      <c r="AA200" s="13">
        <f t="shared" si="69"/>
        <v>2224</v>
      </c>
      <c r="AB200" s="13">
        <f t="shared" si="69"/>
        <v>2225</v>
      </c>
      <c r="AC200" s="13">
        <f t="shared" si="69"/>
        <v>2226</v>
      </c>
      <c r="AD200" s="13">
        <f t="shared" si="69"/>
        <v>2227</v>
      </c>
      <c r="AE200" s="13">
        <f t="shared" si="69"/>
        <v>2228</v>
      </c>
      <c r="AF200" s="13">
        <f t="shared" si="69"/>
        <v>2229</v>
      </c>
      <c r="AG200" s="13">
        <f t="shared" si="70"/>
        <v>2230</v>
      </c>
      <c r="AH200" s="13">
        <f t="shared" si="70"/>
        <v>2231</v>
      </c>
      <c r="AI200" s="13">
        <f t="shared" si="70"/>
        <v>2232</v>
      </c>
      <c r="AJ200" s="13">
        <f t="shared" si="70"/>
        <v>2233</v>
      </c>
      <c r="AK200" s="13">
        <f t="shared" si="70"/>
        <v>2234</v>
      </c>
      <c r="AL200" s="13">
        <f t="shared" si="70"/>
        <v>2235</v>
      </c>
      <c r="AM200" s="13">
        <f t="shared" si="70"/>
        <v>2236</v>
      </c>
      <c r="AN200" s="13">
        <f t="shared" si="70"/>
        <v>2237</v>
      </c>
      <c r="AO200" s="13">
        <f t="shared" si="70"/>
        <v>2238</v>
      </c>
      <c r="AP200" s="13">
        <f t="shared" si="70"/>
        <v>2239</v>
      </c>
      <c r="AQ200" s="13">
        <f t="shared" si="71"/>
        <v>2240</v>
      </c>
      <c r="AR200" s="13">
        <f t="shared" si="71"/>
        <v>2241</v>
      </c>
      <c r="AS200" s="13">
        <f t="shared" si="71"/>
        <v>2242</v>
      </c>
      <c r="AT200" s="13">
        <f t="shared" si="71"/>
        <v>2243</v>
      </c>
      <c r="AU200" s="13">
        <f t="shared" si="71"/>
        <v>2244</v>
      </c>
      <c r="AV200" s="13">
        <f t="shared" si="71"/>
        <v>2245</v>
      </c>
      <c r="AW200" s="13">
        <f t="shared" si="71"/>
        <v>2246</v>
      </c>
      <c r="AX200" s="13">
        <f t="shared" si="71"/>
        <v>2247</v>
      </c>
      <c r="AY200" s="13">
        <f t="shared" si="71"/>
        <v>2248</v>
      </c>
      <c r="AZ200" s="13">
        <f t="shared" si="71"/>
        <v>2249</v>
      </c>
      <c r="BA200" s="13">
        <f t="shared" si="72"/>
        <v>2250</v>
      </c>
      <c r="BB200" s="13">
        <f t="shared" si="72"/>
        <v>2251</v>
      </c>
      <c r="BC200" s="13">
        <f t="shared" si="72"/>
        <v>2252</v>
      </c>
      <c r="BD200" s="13">
        <f t="shared" si="72"/>
        <v>2253</v>
      </c>
      <c r="BE200" s="13">
        <f t="shared" si="72"/>
        <v>2254</v>
      </c>
      <c r="BF200" s="13">
        <f t="shared" si="72"/>
        <v>2255</v>
      </c>
      <c r="BG200" s="13">
        <f t="shared" si="72"/>
        <v>2256</v>
      </c>
      <c r="BH200" s="13">
        <f t="shared" si="72"/>
        <v>2257</v>
      </c>
      <c r="BI200" s="13">
        <f t="shared" si="72"/>
        <v>2258</v>
      </c>
      <c r="BJ200" s="13">
        <f t="shared" si="72"/>
        <v>2259</v>
      </c>
      <c r="BK200" s="13">
        <f t="shared" si="72"/>
        <v>2260</v>
      </c>
      <c r="BL200" s="13">
        <f t="shared" si="72"/>
        <v>2261</v>
      </c>
      <c r="BM200" s="13">
        <f t="shared" si="72"/>
        <v>2262</v>
      </c>
      <c r="BN200" s="13">
        <f t="shared" si="72"/>
        <v>2263</v>
      </c>
    </row>
    <row r="201" spans="1:66">
      <c r="A201">
        <f>VLOOKUP(B201,Teste!$A$137:$G$236,7,FALSE)</f>
        <v>0</v>
      </c>
      <c r="B201">
        <f t="shared" si="48"/>
        <v>45</v>
      </c>
      <c r="C201" s="13">
        <f t="shared" si="67"/>
        <v>2250</v>
      </c>
      <c r="D201" s="13">
        <f t="shared" si="67"/>
        <v>2251</v>
      </c>
      <c r="E201" s="13">
        <f t="shared" si="67"/>
        <v>2252</v>
      </c>
      <c r="F201" s="13">
        <f t="shared" si="67"/>
        <v>2253</v>
      </c>
      <c r="G201" s="13">
        <f t="shared" si="67"/>
        <v>2254</v>
      </c>
      <c r="H201" s="13">
        <f t="shared" si="67"/>
        <v>2255</v>
      </c>
      <c r="I201" s="13">
        <f t="shared" si="67"/>
        <v>2256</v>
      </c>
      <c r="J201" s="13">
        <f t="shared" si="67"/>
        <v>2257</v>
      </c>
      <c r="K201" s="13">
        <f t="shared" si="67"/>
        <v>2258</v>
      </c>
      <c r="L201" s="13">
        <f t="shared" si="67"/>
        <v>2259</v>
      </c>
      <c r="M201" s="13">
        <f t="shared" si="68"/>
        <v>2260</v>
      </c>
      <c r="N201" s="13">
        <f t="shared" si="68"/>
        <v>2261</v>
      </c>
      <c r="O201" s="13">
        <f t="shared" si="68"/>
        <v>2262</v>
      </c>
      <c r="P201" s="13">
        <f t="shared" si="68"/>
        <v>2263</v>
      </c>
      <c r="Q201" s="13">
        <f t="shared" si="68"/>
        <v>2264</v>
      </c>
      <c r="R201" s="13">
        <f t="shared" si="68"/>
        <v>2265</v>
      </c>
      <c r="S201" s="13">
        <f t="shared" si="68"/>
        <v>2266</v>
      </c>
      <c r="T201" s="13">
        <f t="shared" si="68"/>
        <v>2267</v>
      </c>
      <c r="U201" s="13">
        <f t="shared" si="68"/>
        <v>2268</v>
      </c>
      <c r="V201" s="13">
        <f t="shared" si="68"/>
        <v>2269</v>
      </c>
      <c r="W201" s="13">
        <f t="shared" si="69"/>
        <v>2270</v>
      </c>
      <c r="X201" s="13">
        <f t="shared" si="69"/>
        <v>2271</v>
      </c>
      <c r="Y201" s="13">
        <f t="shared" si="69"/>
        <v>2272</v>
      </c>
      <c r="Z201" s="13">
        <f t="shared" si="69"/>
        <v>2273</v>
      </c>
      <c r="AA201" s="13">
        <f t="shared" si="69"/>
        <v>2274</v>
      </c>
      <c r="AB201" s="13">
        <f t="shared" si="69"/>
        <v>2275</v>
      </c>
      <c r="AC201" s="13">
        <f t="shared" si="69"/>
        <v>2276</v>
      </c>
      <c r="AD201" s="13">
        <f t="shared" si="69"/>
        <v>2277</v>
      </c>
      <c r="AE201" s="13">
        <f t="shared" si="69"/>
        <v>2278</v>
      </c>
      <c r="AF201" s="13">
        <f t="shared" si="69"/>
        <v>2279</v>
      </c>
      <c r="AG201" s="13">
        <f t="shared" si="70"/>
        <v>2280</v>
      </c>
      <c r="AH201" s="13">
        <f t="shared" si="70"/>
        <v>2281</v>
      </c>
      <c r="AI201" s="13">
        <f t="shared" si="70"/>
        <v>2282</v>
      </c>
      <c r="AJ201" s="13">
        <f t="shared" si="70"/>
        <v>2283</v>
      </c>
      <c r="AK201" s="13">
        <f t="shared" si="70"/>
        <v>2284</v>
      </c>
      <c r="AL201" s="13">
        <f t="shared" si="70"/>
        <v>2285</v>
      </c>
      <c r="AM201" s="13">
        <f t="shared" si="70"/>
        <v>2286</v>
      </c>
      <c r="AN201" s="13">
        <f t="shared" si="70"/>
        <v>2287</v>
      </c>
      <c r="AO201" s="13">
        <f t="shared" si="70"/>
        <v>2288</v>
      </c>
      <c r="AP201" s="13">
        <f t="shared" si="70"/>
        <v>2289</v>
      </c>
      <c r="AQ201" s="13">
        <f t="shared" si="71"/>
        <v>2290</v>
      </c>
      <c r="AR201" s="13">
        <f t="shared" si="71"/>
        <v>2291</v>
      </c>
      <c r="AS201" s="13">
        <f t="shared" si="71"/>
        <v>2292</v>
      </c>
      <c r="AT201" s="13">
        <f t="shared" si="71"/>
        <v>2293</v>
      </c>
      <c r="AU201" s="13">
        <f t="shared" si="71"/>
        <v>2294</v>
      </c>
      <c r="AV201" s="13">
        <f t="shared" si="71"/>
        <v>2295</v>
      </c>
      <c r="AW201" s="13">
        <f t="shared" si="71"/>
        <v>2296</v>
      </c>
      <c r="AX201" s="13">
        <f t="shared" si="71"/>
        <v>2297</v>
      </c>
      <c r="AY201" s="13">
        <f t="shared" si="71"/>
        <v>2298</v>
      </c>
      <c r="AZ201" s="13">
        <f t="shared" si="71"/>
        <v>2299</v>
      </c>
      <c r="BA201" s="13">
        <f t="shared" si="72"/>
        <v>2300</v>
      </c>
      <c r="BB201" s="13">
        <f t="shared" si="72"/>
        <v>2301</v>
      </c>
      <c r="BC201" s="13">
        <f t="shared" si="72"/>
        <v>2302</v>
      </c>
      <c r="BD201" s="13">
        <f t="shared" si="72"/>
        <v>2303</v>
      </c>
      <c r="BE201" s="13">
        <f t="shared" si="72"/>
        <v>2304</v>
      </c>
      <c r="BF201" s="13">
        <f t="shared" si="72"/>
        <v>2305</v>
      </c>
      <c r="BG201" s="13">
        <f t="shared" si="72"/>
        <v>2306</v>
      </c>
      <c r="BH201" s="13">
        <f t="shared" si="72"/>
        <v>2307</v>
      </c>
      <c r="BI201" s="13">
        <f t="shared" si="72"/>
        <v>2308</v>
      </c>
      <c r="BJ201" s="13">
        <f t="shared" si="72"/>
        <v>2309</v>
      </c>
      <c r="BK201" s="13">
        <f t="shared" si="72"/>
        <v>2310</v>
      </c>
      <c r="BL201" s="13">
        <f t="shared" si="72"/>
        <v>2311</v>
      </c>
      <c r="BM201" s="13">
        <f t="shared" si="72"/>
        <v>2312</v>
      </c>
      <c r="BN201" s="13">
        <f t="shared" si="72"/>
        <v>2313</v>
      </c>
    </row>
    <row r="202" spans="1:66">
      <c r="A202">
        <f>VLOOKUP(B202,Teste!$A$137:$G$236,7,FALSE)</f>
        <v>0</v>
      </c>
      <c r="B202">
        <f t="shared" si="48"/>
        <v>46</v>
      </c>
      <c r="C202" s="13">
        <f t="shared" si="67"/>
        <v>2300</v>
      </c>
      <c r="D202" s="13">
        <f t="shared" si="67"/>
        <v>2301</v>
      </c>
      <c r="E202" s="13">
        <f t="shared" si="67"/>
        <v>2302</v>
      </c>
      <c r="F202" s="13">
        <f t="shared" si="67"/>
        <v>2303</v>
      </c>
      <c r="G202" s="13">
        <f t="shared" si="67"/>
        <v>2304</v>
      </c>
      <c r="H202" s="13">
        <f t="shared" si="67"/>
        <v>2305</v>
      </c>
      <c r="I202" s="13">
        <f t="shared" si="67"/>
        <v>2306</v>
      </c>
      <c r="J202" s="13">
        <f t="shared" si="67"/>
        <v>2307</v>
      </c>
      <c r="K202" s="13">
        <f t="shared" si="67"/>
        <v>2308</v>
      </c>
      <c r="L202" s="13">
        <f t="shared" si="67"/>
        <v>2309</v>
      </c>
      <c r="M202" s="13">
        <f t="shared" si="68"/>
        <v>2310</v>
      </c>
      <c r="N202" s="13">
        <f t="shared" si="68"/>
        <v>2311</v>
      </c>
      <c r="O202" s="13">
        <f t="shared" si="68"/>
        <v>2312</v>
      </c>
      <c r="P202" s="13">
        <f t="shared" si="68"/>
        <v>2313</v>
      </c>
      <c r="Q202" s="13">
        <f t="shared" si="68"/>
        <v>2314</v>
      </c>
      <c r="R202" s="13">
        <f t="shared" si="68"/>
        <v>2315</v>
      </c>
      <c r="S202" s="13">
        <f t="shared" si="68"/>
        <v>2316</v>
      </c>
      <c r="T202" s="13">
        <f t="shared" si="68"/>
        <v>2317</v>
      </c>
      <c r="U202" s="13">
        <f t="shared" si="68"/>
        <v>2318</v>
      </c>
      <c r="V202" s="13">
        <f t="shared" si="68"/>
        <v>2319</v>
      </c>
      <c r="W202" s="13">
        <f t="shared" si="69"/>
        <v>2320</v>
      </c>
      <c r="X202" s="13">
        <f t="shared" si="69"/>
        <v>2321</v>
      </c>
      <c r="Y202" s="13">
        <f t="shared" si="69"/>
        <v>2322</v>
      </c>
      <c r="Z202" s="13">
        <f t="shared" si="69"/>
        <v>2323</v>
      </c>
      <c r="AA202" s="13">
        <f t="shared" si="69"/>
        <v>2324</v>
      </c>
      <c r="AB202" s="13">
        <f t="shared" si="69"/>
        <v>2325</v>
      </c>
      <c r="AC202" s="13">
        <f t="shared" si="69"/>
        <v>2326</v>
      </c>
      <c r="AD202" s="13">
        <f t="shared" si="69"/>
        <v>2327</v>
      </c>
      <c r="AE202" s="13">
        <f t="shared" si="69"/>
        <v>2328</v>
      </c>
      <c r="AF202" s="13">
        <f t="shared" si="69"/>
        <v>2329</v>
      </c>
      <c r="AG202" s="13">
        <f t="shared" si="70"/>
        <v>2330</v>
      </c>
      <c r="AH202" s="13">
        <f t="shared" si="70"/>
        <v>2331</v>
      </c>
      <c r="AI202" s="13">
        <f t="shared" si="70"/>
        <v>2332</v>
      </c>
      <c r="AJ202" s="13">
        <f t="shared" si="70"/>
        <v>2333</v>
      </c>
      <c r="AK202" s="13">
        <f t="shared" si="70"/>
        <v>2334</v>
      </c>
      <c r="AL202" s="13">
        <f t="shared" si="70"/>
        <v>2335</v>
      </c>
      <c r="AM202" s="13">
        <f t="shared" si="70"/>
        <v>2336</v>
      </c>
      <c r="AN202" s="13">
        <f t="shared" si="70"/>
        <v>2337</v>
      </c>
      <c r="AO202" s="13">
        <f t="shared" si="70"/>
        <v>2338</v>
      </c>
      <c r="AP202" s="13">
        <f t="shared" si="70"/>
        <v>2339</v>
      </c>
      <c r="AQ202" s="13">
        <f t="shared" si="71"/>
        <v>2340</v>
      </c>
      <c r="AR202" s="13">
        <f t="shared" si="71"/>
        <v>2341</v>
      </c>
      <c r="AS202" s="13">
        <f t="shared" si="71"/>
        <v>2342</v>
      </c>
      <c r="AT202" s="13">
        <f t="shared" si="71"/>
        <v>2343</v>
      </c>
      <c r="AU202" s="13">
        <f t="shared" si="71"/>
        <v>2344</v>
      </c>
      <c r="AV202" s="13">
        <f t="shared" si="71"/>
        <v>2345</v>
      </c>
      <c r="AW202" s="13">
        <f t="shared" si="71"/>
        <v>2346</v>
      </c>
      <c r="AX202" s="13">
        <f t="shared" si="71"/>
        <v>2347</v>
      </c>
      <c r="AY202" s="13">
        <f t="shared" si="71"/>
        <v>2348</v>
      </c>
      <c r="AZ202" s="13">
        <f t="shared" si="71"/>
        <v>2349</v>
      </c>
      <c r="BA202" s="13">
        <f t="shared" si="72"/>
        <v>2350</v>
      </c>
      <c r="BB202" s="13">
        <f t="shared" si="72"/>
        <v>2351</v>
      </c>
      <c r="BC202" s="13">
        <f t="shared" si="72"/>
        <v>2352</v>
      </c>
      <c r="BD202" s="13">
        <f t="shared" si="72"/>
        <v>2353</v>
      </c>
      <c r="BE202" s="13">
        <f t="shared" si="72"/>
        <v>2354</v>
      </c>
      <c r="BF202" s="13">
        <f t="shared" si="72"/>
        <v>2355</v>
      </c>
      <c r="BG202" s="13">
        <f t="shared" si="72"/>
        <v>2356</v>
      </c>
      <c r="BH202" s="13">
        <f t="shared" si="72"/>
        <v>2357</v>
      </c>
      <c r="BI202" s="13">
        <f t="shared" si="72"/>
        <v>2358</v>
      </c>
      <c r="BJ202" s="13">
        <f t="shared" si="72"/>
        <v>2359</v>
      </c>
      <c r="BK202" s="13">
        <f t="shared" si="72"/>
        <v>2360</v>
      </c>
      <c r="BL202" s="13">
        <f t="shared" si="72"/>
        <v>2361</v>
      </c>
      <c r="BM202" s="13">
        <f t="shared" si="72"/>
        <v>2362</v>
      </c>
      <c r="BN202" s="13">
        <f t="shared" si="72"/>
        <v>2363</v>
      </c>
    </row>
    <row r="203" spans="1:66">
      <c r="A203">
        <f>VLOOKUP(B203,Teste!$A$137:$G$236,7,FALSE)</f>
        <v>0</v>
      </c>
      <c r="B203">
        <f t="shared" si="48"/>
        <v>47</v>
      </c>
      <c r="C203" s="13">
        <f t="shared" si="67"/>
        <v>2350</v>
      </c>
      <c r="D203" s="13">
        <f t="shared" si="67"/>
        <v>2351</v>
      </c>
      <c r="E203" s="13">
        <f t="shared" si="67"/>
        <v>2352</v>
      </c>
      <c r="F203" s="13">
        <f t="shared" si="67"/>
        <v>2353</v>
      </c>
      <c r="G203" s="13">
        <f t="shared" si="67"/>
        <v>2354</v>
      </c>
      <c r="H203" s="13">
        <f t="shared" si="67"/>
        <v>2355</v>
      </c>
      <c r="I203" s="13">
        <f t="shared" si="67"/>
        <v>2356</v>
      </c>
      <c r="J203" s="13">
        <f t="shared" si="67"/>
        <v>2357</v>
      </c>
      <c r="K203" s="13">
        <f t="shared" si="67"/>
        <v>2358</v>
      </c>
      <c r="L203" s="13">
        <f t="shared" si="67"/>
        <v>2359</v>
      </c>
      <c r="M203" s="13">
        <f t="shared" si="68"/>
        <v>2360</v>
      </c>
      <c r="N203" s="13">
        <f t="shared" si="68"/>
        <v>2361</v>
      </c>
      <c r="O203" s="13">
        <f t="shared" si="68"/>
        <v>2362</v>
      </c>
      <c r="P203" s="13">
        <f t="shared" si="68"/>
        <v>2363</v>
      </c>
      <c r="Q203" s="13">
        <f t="shared" si="68"/>
        <v>2364</v>
      </c>
      <c r="R203" s="13">
        <f t="shared" si="68"/>
        <v>2365</v>
      </c>
      <c r="S203" s="13">
        <f t="shared" si="68"/>
        <v>2366</v>
      </c>
      <c r="T203" s="13">
        <f t="shared" si="68"/>
        <v>2367</v>
      </c>
      <c r="U203" s="13">
        <f t="shared" si="68"/>
        <v>2368</v>
      </c>
      <c r="V203" s="13">
        <f t="shared" si="68"/>
        <v>2369</v>
      </c>
      <c r="W203" s="13">
        <f t="shared" si="69"/>
        <v>2370</v>
      </c>
      <c r="X203" s="13">
        <f t="shared" si="69"/>
        <v>2371</v>
      </c>
      <c r="Y203" s="13">
        <f t="shared" si="69"/>
        <v>2372</v>
      </c>
      <c r="Z203" s="13">
        <f t="shared" si="69"/>
        <v>2373</v>
      </c>
      <c r="AA203" s="13">
        <f t="shared" si="69"/>
        <v>2374</v>
      </c>
      <c r="AB203" s="13">
        <f t="shared" si="69"/>
        <v>2375</v>
      </c>
      <c r="AC203" s="13">
        <f t="shared" si="69"/>
        <v>2376</v>
      </c>
      <c r="AD203" s="13">
        <f t="shared" si="69"/>
        <v>2377</v>
      </c>
      <c r="AE203" s="13">
        <f t="shared" si="69"/>
        <v>2378</v>
      </c>
      <c r="AF203" s="13">
        <f t="shared" si="69"/>
        <v>2379</v>
      </c>
      <c r="AG203" s="13">
        <f t="shared" si="70"/>
        <v>2380</v>
      </c>
      <c r="AH203" s="13">
        <f t="shared" si="70"/>
        <v>2381</v>
      </c>
      <c r="AI203" s="13">
        <f t="shared" si="70"/>
        <v>2382</v>
      </c>
      <c r="AJ203" s="13">
        <f t="shared" si="70"/>
        <v>2383</v>
      </c>
      <c r="AK203" s="13">
        <f t="shared" si="70"/>
        <v>2384</v>
      </c>
      <c r="AL203" s="13">
        <f t="shared" si="70"/>
        <v>2385</v>
      </c>
      <c r="AM203" s="13">
        <f t="shared" si="70"/>
        <v>2386</v>
      </c>
      <c r="AN203" s="13">
        <f t="shared" si="70"/>
        <v>2387</v>
      </c>
      <c r="AO203" s="13">
        <f t="shared" si="70"/>
        <v>2388</v>
      </c>
      <c r="AP203" s="13">
        <f t="shared" si="70"/>
        <v>2389</v>
      </c>
      <c r="AQ203" s="13">
        <f t="shared" si="71"/>
        <v>2390</v>
      </c>
      <c r="AR203" s="13">
        <f t="shared" si="71"/>
        <v>2391</v>
      </c>
      <c r="AS203" s="13">
        <f t="shared" si="71"/>
        <v>2392</v>
      </c>
      <c r="AT203" s="13">
        <f t="shared" si="71"/>
        <v>2393</v>
      </c>
      <c r="AU203" s="13">
        <f t="shared" si="71"/>
        <v>2394</v>
      </c>
      <c r="AV203" s="13">
        <f t="shared" si="71"/>
        <v>2395</v>
      </c>
      <c r="AW203" s="13">
        <f t="shared" si="71"/>
        <v>2396</v>
      </c>
      <c r="AX203" s="13">
        <f t="shared" si="71"/>
        <v>2397</v>
      </c>
      <c r="AY203" s="13">
        <f t="shared" si="71"/>
        <v>2398</v>
      </c>
      <c r="AZ203" s="13">
        <f t="shared" si="71"/>
        <v>2399</v>
      </c>
      <c r="BA203" s="13">
        <f t="shared" si="72"/>
        <v>2400</v>
      </c>
      <c r="BB203" s="13">
        <f t="shared" si="72"/>
        <v>2401</v>
      </c>
      <c r="BC203" s="13">
        <f t="shared" si="72"/>
        <v>2402</v>
      </c>
      <c r="BD203" s="13">
        <f t="shared" si="72"/>
        <v>2403</v>
      </c>
      <c r="BE203" s="13">
        <f t="shared" si="72"/>
        <v>2404</v>
      </c>
      <c r="BF203" s="13">
        <f t="shared" si="72"/>
        <v>2405</v>
      </c>
      <c r="BG203" s="13">
        <f t="shared" si="72"/>
        <v>2406</v>
      </c>
      <c r="BH203" s="13">
        <f t="shared" si="72"/>
        <v>2407</v>
      </c>
      <c r="BI203" s="13">
        <f t="shared" si="72"/>
        <v>2408</v>
      </c>
      <c r="BJ203" s="13">
        <f t="shared" si="72"/>
        <v>2409</v>
      </c>
      <c r="BK203" s="13">
        <f t="shared" si="72"/>
        <v>2410</v>
      </c>
      <c r="BL203" s="13">
        <f t="shared" si="72"/>
        <v>2411</v>
      </c>
      <c r="BM203" s="13">
        <f t="shared" si="72"/>
        <v>2412</v>
      </c>
      <c r="BN203" s="13">
        <f t="shared" si="72"/>
        <v>2413</v>
      </c>
    </row>
    <row r="204" spans="1:66">
      <c r="A204">
        <f>VLOOKUP(B204,Teste!$A$137:$G$236,7,FALSE)</f>
        <v>0</v>
      </c>
      <c r="B204">
        <f t="shared" si="48"/>
        <v>48</v>
      </c>
      <c r="C204" s="13">
        <f t="shared" si="67"/>
        <v>2400</v>
      </c>
      <c r="D204" s="13">
        <f t="shared" si="67"/>
        <v>2401</v>
      </c>
      <c r="E204" s="13">
        <f t="shared" si="67"/>
        <v>2402</v>
      </c>
      <c r="F204" s="13">
        <f t="shared" si="67"/>
        <v>2403</v>
      </c>
      <c r="G204" s="13">
        <f t="shared" si="67"/>
        <v>2404</v>
      </c>
      <c r="H204" s="13">
        <f t="shared" si="67"/>
        <v>2405</v>
      </c>
      <c r="I204" s="13">
        <f t="shared" si="67"/>
        <v>2406</v>
      </c>
      <c r="J204" s="13">
        <f t="shared" si="67"/>
        <v>2407</v>
      </c>
      <c r="K204" s="13">
        <f t="shared" si="67"/>
        <v>2408</v>
      </c>
      <c r="L204" s="13">
        <f t="shared" si="67"/>
        <v>2409</v>
      </c>
      <c r="M204" s="13">
        <f t="shared" si="68"/>
        <v>2410</v>
      </c>
      <c r="N204" s="13">
        <f t="shared" si="68"/>
        <v>2411</v>
      </c>
      <c r="O204" s="13">
        <f t="shared" si="68"/>
        <v>2412</v>
      </c>
      <c r="P204" s="13">
        <f t="shared" si="68"/>
        <v>2413</v>
      </c>
      <c r="Q204" s="13">
        <f t="shared" si="68"/>
        <v>2414</v>
      </c>
      <c r="R204" s="13">
        <f t="shared" si="68"/>
        <v>2415</v>
      </c>
      <c r="S204" s="13">
        <f t="shared" si="68"/>
        <v>2416</v>
      </c>
      <c r="T204" s="13">
        <f t="shared" si="68"/>
        <v>2417</v>
      </c>
      <c r="U204" s="13">
        <f t="shared" si="68"/>
        <v>2418</v>
      </c>
      <c r="V204" s="13">
        <f t="shared" si="68"/>
        <v>2419</v>
      </c>
      <c r="W204" s="13">
        <f t="shared" si="69"/>
        <v>2420</v>
      </c>
      <c r="X204" s="13">
        <f t="shared" si="69"/>
        <v>2421</v>
      </c>
      <c r="Y204" s="13">
        <f t="shared" si="69"/>
        <v>2422</v>
      </c>
      <c r="Z204" s="13">
        <f t="shared" si="69"/>
        <v>2423</v>
      </c>
      <c r="AA204" s="13">
        <f t="shared" si="69"/>
        <v>2424</v>
      </c>
      <c r="AB204" s="13">
        <f t="shared" si="69"/>
        <v>2425</v>
      </c>
      <c r="AC204" s="13">
        <f t="shared" si="69"/>
        <v>2426</v>
      </c>
      <c r="AD204" s="13">
        <f t="shared" si="69"/>
        <v>2427</v>
      </c>
      <c r="AE204" s="13">
        <f t="shared" si="69"/>
        <v>2428</v>
      </c>
      <c r="AF204" s="13">
        <f t="shared" si="69"/>
        <v>2429</v>
      </c>
      <c r="AG204" s="13">
        <f t="shared" si="70"/>
        <v>2430</v>
      </c>
      <c r="AH204" s="13">
        <f t="shared" si="70"/>
        <v>2431</v>
      </c>
      <c r="AI204" s="13">
        <f t="shared" si="70"/>
        <v>2432</v>
      </c>
      <c r="AJ204" s="13">
        <f t="shared" si="70"/>
        <v>2433</v>
      </c>
      <c r="AK204" s="13">
        <f t="shared" si="70"/>
        <v>2434</v>
      </c>
      <c r="AL204" s="13">
        <f t="shared" si="70"/>
        <v>2435</v>
      </c>
      <c r="AM204" s="13">
        <f t="shared" si="70"/>
        <v>2436</v>
      </c>
      <c r="AN204" s="13">
        <f t="shared" si="70"/>
        <v>2437</v>
      </c>
      <c r="AO204" s="13">
        <f t="shared" si="70"/>
        <v>2438</v>
      </c>
      <c r="AP204" s="13">
        <f t="shared" si="70"/>
        <v>2439</v>
      </c>
      <c r="AQ204" s="13">
        <f t="shared" si="71"/>
        <v>2440</v>
      </c>
      <c r="AR204" s="13">
        <f t="shared" si="71"/>
        <v>2441</v>
      </c>
      <c r="AS204" s="13">
        <f t="shared" si="71"/>
        <v>2442</v>
      </c>
      <c r="AT204" s="13">
        <f t="shared" si="71"/>
        <v>2443</v>
      </c>
      <c r="AU204" s="13">
        <f t="shared" si="71"/>
        <v>2444</v>
      </c>
      <c r="AV204" s="13">
        <f t="shared" si="71"/>
        <v>2445</v>
      </c>
      <c r="AW204" s="13">
        <f t="shared" si="71"/>
        <v>2446</v>
      </c>
      <c r="AX204" s="13">
        <f t="shared" si="71"/>
        <v>2447</v>
      </c>
      <c r="AY204" s="13">
        <f t="shared" si="71"/>
        <v>2448</v>
      </c>
      <c r="AZ204" s="13">
        <f t="shared" si="71"/>
        <v>2449</v>
      </c>
      <c r="BA204" s="13">
        <f t="shared" si="72"/>
        <v>2450</v>
      </c>
      <c r="BB204" s="13">
        <f t="shared" si="72"/>
        <v>2451</v>
      </c>
      <c r="BC204" s="13">
        <f t="shared" si="72"/>
        <v>2452</v>
      </c>
      <c r="BD204" s="13">
        <f t="shared" si="72"/>
        <v>2453</v>
      </c>
      <c r="BE204" s="13">
        <f t="shared" si="72"/>
        <v>2454</v>
      </c>
      <c r="BF204" s="13">
        <f t="shared" si="72"/>
        <v>2455</v>
      </c>
      <c r="BG204" s="13">
        <f t="shared" si="72"/>
        <v>2456</v>
      </c>
      <c r="BH204" s="13">
        <f t="shared" si="72"/>
        <v>2457</v>
      </c>
      <c r="BI204" s="13">
        <f t="shared" si="72"/>
        <v>2458</v>
      </c>
      <c r="BJ204" s="13">
        <f t="shared" si="72"/>
        <v>2459</v>
      </c>
      <c r="BK204" s="13">
        <f t="shared" si="72"/>
        <v>2460</v>
      </c>
      <c r="BL204" s="13">
        <f t="shared" si="72"/>
        <v>2461</v>
      </c>
      <c r="BM204" s="13">
        <f t="shared" si="72"/>
        <v>2462</v>
      </c>
      <c r="BN204" s="13">
        <f t="shared" si="72"/>
        <v>2463</v>
      </c>
    </row>
    <row r="205" spans="1:66">
      <c r="A205">
        <f>VLOOKUP(B205,Teste!$A$137:$G$236,7,FALSE)</f>
        <v>0</v>
      </c>
      <c r="B205">
        <f t="shared" si="48"/>
        <v>49</v>
      </c>
      <c r="C205" s="13">
        <f t="shared" si="67"/>
        <v>2450</v>
      </c>
      <c r="D205" s="13">
        <f t="shared" si="67"/>
        <v>2451</v>
      </c>
      <c r="E205" s="13">
        <f t="shared" si="67"/>
        <v>2452</v>
      </c>
      <c r="F205" s="13">
        <f t="shared" si="67"/>
        <v>2453</v>
      </c>
      <c r="G205" s="13">
        <f t="shared" si="67"/>
        <v>2454</v>
      </c>
      <c r="H205" s="13">
        <f t="shared" si="67"/>
        <v>2455</v>
      </c>
      <c r="I205" s="13">
        <f t="shared" si="67"/>
        <v>2456</v>
      </c>
      <c r="J205" s="13">
        <f t="shared" si="67"/>
        <v>2457</v>
      </c>
      <c r="K205" s="13">
        <f t="shared" si="67"/>
        <v>2458</v>
      </c>
      <c r="L205" s="13">
        <f t="shared" si="67"/>
        <v>2459</v>
      </c>
      <c r="M205" s="13">
        <f t="shared" si="68"/>
        <v>2460</v>
      </c>
      <c r="N205" s="13">
        <f t="shared" si="68"/>
        <v>2461</v>
      </c>
      <c r="O205" s="13">
        <f t="shared" si="68"/>
        <v>2462</v>
      </c>
      <c r="P205" s="13">
        <f t="shared" si="68"/>
        <v>2463</v>
      </c>
      <c r="Q205" s="13">
        <f t="shared" si="68"/>
        <v>2464</v>
      </c>
      <c r="R205" s="13">
        <f t="shared" si="68"/>
        <v>2465</v>
      </c>
      <c r="S205" s="13">
        <f t="shared" si="68"/>
        <v>2466</v>
      </c>
      <c r="T205" s="13">
        <f t="shared" si="68"/>
        <v>2467</v>
      </c>
      <c r="U205" s="13">
        <f t="shared" si="68"/>
        <v>2468</v>
      </c>
      <c r="V205" s="13">
        <f t="shared" si="68"/>
        <v>2469</v>
      </c>
      <c r="W205" s="13">
        <f t="shared" si="69"/>
        <v>2470</v>
      </c>
      <c r="X205" s="13">
        <f t="shared" si="69"/>
        <v>2471</v>
      </c>
      <c r="Y205" s="13">
        <f t="shared" si="69"/>
        <v>2472</v>
      </c>
      <c r="Z205" s="13">
        <f t="shared" si="69"/>
        <v>2473</v>
      </c>
      <c r="AA205" s="13">
        <f t="shared" si="69"/>
        <v>2474</v>
      </c>
      <c r="AB205" s="13">
        <f t="shared" si="69"/>
        <v>2475</v>
      </c>
      <c r="AC205" s="13">
        <f t="shared" si="69"/>
        <v>2476</v>
      </c>
      <c r="AD205" s="13">
        <f t="shared" si="69"/>
        <v>2477</v>
      </c>
      <c r="AE205" s="13">
        <f t="shared" si="69"/>
        <v>2478</v>
      </c>
      <c r="AF205" s="13">
        <f t="shared" si="69"/>
        <v>2479</v>
      </c>
      <c r="AG205" s="13">
        <f t="shared" si="70"/>
        <v>2480</v>
      </c>
      <c r="AH205" s="13">
        <f t="shared" si="70"/>
        <v>2481</v>
      </c>
      <c r="AI205" s="13">
        <f t="shared" si="70"/>
        <v>2482</v>
      </c>
      <c r="AJ205" s="13">
        <f t="shared" si="70"/>
        <v>2483</v>
      </c>
      <c r="AK205" s="13">
        <f t="shared" si="70"/>
        <v>2484</v>
      </c>
      <c r="AL205" s="13">
        <f t="shared" si="70"/>
        <v>2485</v>
      </c>
      <c r="AM205" s="13">
        <f t="shared" si="70"/>
        <v>2486</v>
      </c>
      <c r="AN205" s="13">
        <f t="shared" si="70"/>
        <v>2487</v>
      </c>
      <c r="AO205" s="13">
        <f t="shared" si="70"/>
        <v>2488</v>
      </c>
      <c r="AP205" s="13">
        <f t="shared" si="70"/>
        <v>2489</v>
      </c>
      <c r="AQ205" s="13">
        <f t="shared" si="71"/>
        <v>2490</v>
      </c>
      <c r="AR205" s="13">
        <f t="shared" si="71"/>
        <v>2491</v>
      </c>
      <c r="AS205" s="13">
        <f t="shared" si="71"/>
        <v>2492</v>
      </c>
      <c r="AT205" s="13">
        <f t="shared" si="71"/>
        <v>2493</v>
      </c>
      <c r="AU205" s="13">
        <f t="shared" si="71"/>
        <v>2494</v>
      </c>
      <c r="AV205" s="13">
        <f t="shared" si="71"/>
        <v>2495</v>
      </c>
      <c r="AW205" s="13">
        <f t="shared" si="71"/>
        <v>2496</v>
      </c>
      <c r="AX205" s="13">
        <f t="shared" si="71"/>
        <v>2497</v>
      </c>
      <c r="AY205" s="13">
        <f t="shared" si="71"/>
        <v>2498</v>
      </c>
      <c r="AZ205" s="13">
        <f t="shared" si="71"/>
        <v>2499</v>
      </c>
      <c r="BA205" s="13">
        <f t="shared" si="72"/>
        <v>2500</v>
      </c>
      <c r="BB205" s="13">
        <f t="shared" si="72"/>
        <v>2501</v>
      </c>
      <c r="BC205" s="13">
        <f t="shared" si="72"/>
        <v>2502</v>
      </c>
      <c r="BD205" s="13">
        <f t="shared" si="72"/>
        <v>2503</v>
      </c>
      <c r="BE205" s="13">
        <f t="shared" si="72"/>
        <v>2504</v>
      </c>
      <c r="BF205" s="13">
        <f t="shared" si="72"/>
        <v>2505</v>
      </c>
      <c r="BG205" s="13">
        <f t="shared" si="72"/>
        <v>2506</v>
      </c>
      <c r="BH205" s="13">
        <f t="shared" si="72"/>
        <v>2507</v>
      </c>
      <c r="BI205" s="13">
        <f t="shared" si="72"/>
        <v>2508</v>
      </c>
      <c r="BJ205" s="13">
        <f t="shared" si="72"/>
        <v>2509</v>
      </c>
      <c r="BK205" s="13">
        <f t="shared" si="72"/>
        <v>2510</v>
      </c>
      <c r="BL205" s="13">
        <f t="shared" si="72"/>
        <v>2511</v>
      </c>
      <c r="BM205" s="13">
        <f t="shared" si="72"/>
        <v>2512</v>
      </c>
      <c r="BN205" s="13">
        <f t="shared" si="72"/>
        <v>2513</v>
      </c>
    </row>
    <row r="206" spans="1:66">
      <c r="A206">
        <f>VLOOKUP(B206,Teste!$A$137:$G$236,7,FALSE)</f>
        <v>0</v>
      </c>
      <c r="B206">
        <f t="shared" si="48"/>
        <v>50</v>
      </c>
      <c r="C206" s="13">
        <f t="shared" ref="C206:L215" si="73">C$155 + numGenes*$B206</f>
        <v>2500</v>
      </c>
      <c r="D206" s="13">
        <f t="shared" si="73"/>
        <v>2501</v>
      </c>
      <c r="E206" s="13">
        <f t="shared" si="73"/>
        <v>2502</v>
      </c>
      <c r="F206" s="13">
        <f t="shared" si="73"/>
        <v>2503</v>
      </c>
      <c r="G206" s="13">
        <f t="shared" si="73"/>
        <v>2504</v>
      </c>
      <c r="H206" s="13">
        <f t="shared" si="73"/>
        <v>2505</v>
      </c>
      <c r="I206" s="13">
        <f t="shared" si="73"/>
        <v>2506</v>
      </c>
      <c r="J206" s="13">
        <f t="shared" si="73"/>
        <v>2507</v>
      </c>
      <c r="K206" s="13">
        <f t="shared" si="73"/>
        <v>2508</v>
      </c>
      <c r="L206" s="13">
        <f t="shared" si="73"/>
        <v>2509</v>
      </c>
      <c r="M206" s="13">
        <f t="shared" ref="M206:V215" si="74">M$155 + numGenes*$B206</f>
        <v>2510</v>
      </c>
      <c r="N206" s="13">
        <f t="shared" si="74"/>
        <v>2511</v>
      </c>
      <c r="O206" s="13">
        <f t="shared" si="74"/>
        <v>2512</v>
      </c>
      <c r="P206" s="13">
        <f t="shared" si="74"/>
        <v>2513</v>
      </c>
      <c r="Q206" s="13">
        <f t="shared" si="74"/>
        <v>2514</v>
      </c>
      <c r="R206" s="13">
        <f t="shared" si="74"/>
        <v>2515</v>
      </c>
      <c r="S206" s="13">
        <f t="shared" si="74"/>
        <v>2516</v>
      </c>
      <c r="T206" s="13">
        <f t="shared" si="74"/>
        <v>2517</v>
      </c>
      <c r="U206" s="13">
        <f t="shared" si="74"/>
        <v>2518</v>
      </c>
      <c r="V206" s="13">
        <f t="shared" si="74"/>
        <v>2519</v>
      </c>
      <c r="W206" s="13">
        <f t="shared" ref="W206:AF215" si="75">W$155 + numGenes*$B206</f>
        <v>2520</v>
      </c>
      <c r="X206" s="13">
        <f t="shared" si="75"/>
        <v>2521</v>
      </c>
      <c r="Y206" s="13">
        <f t="shared" si="75"/>
        <v>2522</v>
      </c>
      <c r="Z206" s="13">
        <f t="shared" si="75"/>
        <v>2523</v>
      </c>
      <c r="AA206" s="13">
        <f t="shared" si="75"/>
        <v>2524</v>
      </c>
      <c r="AB206" s="13">
        <f t="shared" si="75"/>
        <v>2525</v>
      </c>
      <c r="AC206" s="13">
        <f t="shared" si="75"/>
        <v>2526</v>
      </c>
      <c r="AD206" s="13">
        <f t="shared" si="75"/>
        <v>2527</v>
      </c>
      <c r="AE206" s="13">
        <f t="shared" si="75"/>
        <v>2528</v>
      </c>
      <c r="AF206" s="13">
        <f t="shared" si="75"/>
        <v>2529</v>
      </c>
      <c r="AG206" s="13">
        <f t="shared" ref="AG206:AP215" si="76">AG$155 + numGenes*$B206</f>
        <v>2530</v>
      </c>
      <c r="AH206" s="13">
        <f t="shared" si="76"/>
        <v>2531</v>
      </c>
      <c r="AI206" s="13">
        <f t="shared" si="76"/>
        <v>2532</v>
      </c>
      <c r="AJ206" s="13">
        <f t="shared" si="76"/>
        <v>2533</v>
      </c>
      <c r="AK206" s="13">
        <f t="shared" si="76"/>
        <v>2534</v>
      </c>
      <c r="AL206" s="13">
        <f t="shared" si="76"/>
        <v>2535</v>
      </c>
      <c r="AM206" s="13">
        <f t="shared" si="76"/>
        <v>2536</v>
      </c>
      <c r="AN206" s="13">
        <f t="shared" si="76"/>
        <v>2537</v>
      </c>
      <c r="AO206" s="13">
        <f t="shared" si="76"/>
        <v>2538</v>
      </c>
      <c r="AP206" s="13">
        <f t="shared" si="76"/>
        <v>2539</v>
      </c>
      <c r="AQ206" s="13">
        <f t="shared" ref="AQ206:AZ215" si="77">AQ$155 + numGenes*$B206</f>
        <v>2540</v>
      </c>
      <c r="AR206" s="13">
        <f t="shared" si="77"/>
        <v>2541</v>
      </c>
      <c r="AS206" s="13">
        <f t="shared" si="77"/>
        <v>2542</v>
      </c>
      <c r="AT206" s="13">
        <f t="shared" si="77"/>
        <v>2543</v>
      </c>
      <c r="AU206" s="13">
        <f t="shared" si="77"/>
        <v>2544</v>
      </c>
      <c r="AV206" s="13">
        <f t="shared" si="77"/>
        <v>2545</v>
      </c>
      <c r="AW206" s="13">
        <f t="shared" si="77"/>
        <v>2546</v>
      </c>
      <c r="AX206" s="13">
        <f t="shared" si="77"/>
        <v>2547</v>
      </c>
      <c r="AY206" s="13">
        <f t="shared" si="77"/>
        <v>2548</v>
      </c>
      <c r="AZ206" s="13">
        <f t="shared" si="77"/>
        <v>2549</v>
      </c>
      <c r="BA206" s="13">
        <f t="shared" ref="BA206:BN215" si="78">BA$155 + numGenes*$B206</f>
        <v>2550</v>
      </c>
      <c r="BB206" s="13">
        <f t="shared" si="78"/>
        <v>2551</v>
      </c>
      <c r="BC206" s="13">
        <f t="shared" si="78"/>
        <v>2552</v>
      </c>
      <c r="BD206" s="13">
        <f t="shared" si="78"/>
        <v>2553</v>
      </c>
      <c r="BE206" s="13">
        <f t="shared" si="78"/>
        <v>2554</v>
      </c>
      <c r="BF206" s="13">
        <f t="shared" si="78"/>
        <v>2555</v>
      </c>
      <c r="BG206" s="13">
        <f t="shared" si="78"/>
        <v>2556</v>
      </c>
      <c r="BH206" s="13">
        <f t="shared" si="78"/>
        <v>2557</v>
      </c>
      <c r="BI206" s="13">
        <f t="shared" si="78"/>
        <v>2558</v>
      </c>
      <c r="BJ206" s="13">
        <f t="shared" si="78"/>
        <v>2559</v>
      </c>
      <c r="BK206" s="13">
        <f t="shared" si="78"/>
        <v>2560</v>
      </c>
      <c r="BL206" s="13">
        <f t="shared" si="78"/>
        <v>2561</v>
      </c>
      <c r="BM206" s="13">
        <f t="shared" si="78"/>
        <v>2562</v>
      </c>
      <c r="BN206" s="13">
        <f t="shared" si="78"/>
        <v>2563</v>
      </c>
    </row>
    <row r="207" spans="1:66">
      <c r="A207">
        <f>VLOOKUP(B207,Teste!$A$137:$G$236,7,FALSE)</f>
        <v>0</v>
      </c>
      <c r="B207">
        <f t="shared" si="48"/>
        <v>51</v>
      </c>
      <c r="C207" s="13">
        <f t="shared" si="73"/>
        <v>2550</v>
      </c>
      <c r="D207" s="13">
        <f t="shared" si="73"/>
        <v>2551</v>
      </c>
      <c r="E207" s="13">
        <f t="shared" si="73"/>
        <v>2552</v>
      </c>
      <c r="F207" s="13">
        <f t="shared" si="73"/>
        <v>2553</v>
      </c>
      <c r="G207" s="13">
        <f t="shared" si="73"/>
        <v>2554</v>
      </c>
      <c r="H207" s="13">
        <f t="shared" si="73"/>
        <v>2555</v>
      </c>
      <c r="I207" s="13">
        <f t="shared" si="73"/>
        <v>2556</v>
      </c>
      <c r="J207" s="13">
        <f t="shared" si="73"/>
        <v>2557</v>
      </c>
      <c r="K207" s="13">
        <f t="shared" si="73"/>
        <v>2558</v>
      </c>
      <c r="L207" s="13">
        <f t="shared" si="73"/>
        <v>2559</v>
      </c>
      <c r="M207" s="13">
        <f t="shared" si="74"/>
        <v>2560</v>
      </c>
      <c r="N207" s="13">
        <f t="shared" si="74"/>
        <v>2561</v>
      </c>
      <c r="O207" s="13">
        <f t="shared" si="74"/>
        <v>2562</v>
      </c>
      <c r="P207" s="13">
        <f t="shared" si="74"/>
        <v>2563</v>
      </c>
      <c r="Q207" s="13">
        <f t="shared" si="74"/>
        <v>2564</v>
      </c>
      <c r="R207" s="13">
        <f t="shared" si="74"/>
        <v>2565</v>
      </c>
      <c r="S207" s="13">
        <f t="shared" si="74"/>
        <v>2566</v>
      </c>
      <c r="T207" s="13">
        <f t="shared" si="74"/>
        <v>2567</v>
      </c>
      <c r="U207" s="13">
        <f t="shared" si="74"/>
        <v>2568</v>
      </c>
      <c r="V207" s="13">
        <f t="shared" si="74"/>
        <v>2569</v>
      </c>
      <c r="W207" s="13">
        <f t="shared" si="75"/>
        <v>2570</v>
      </c>
      <c r="X207" s="13">
        <f t="shared" si="75"/>
        <v>2571</v>
      </c>
      <c r="Y207" s="13">
        <f t="shared" si="75"/>
        <v>2572</v>
      </c>
      <c r="Z207" s="13">
        <f t="shared" si="75"/>
        <v>2573</v>
      </c>
      <c r="AA207" s="13">
        <f t="shared" si="75"/>
        <v>2574</v>
      </c>
      <c r="AB207" s="13">
        <f t="shared" si="75"/>
        <v>2575</v>
      </c>
      <c r="AC207" s="13">
        <f t="shared" si="75"/>
        <v>2576</v>
      </c>
      <c r="AD207" s="13">
        <f t="shared" si="75"/>
        <v>2577</v>
      </c>
      <c r="AE207" s="13">
        <f t="shared" si="75"/>
        <v>2578</v>
      </c>
      <c r="AF207" s="13">
        <f t="shared" si="75"/>
        <v>2579</v>
      </c>
      <c r="AG207" s="13">
        <f t="shared" si="76"/>
        <v>2580</v>
      </c>
      <c r="AH207" s="13">
        <f t="shared" si="76"/>
        <v>2581</v>
      </c>
      <c r="AI207" s="13">
        <f t="shared" si="76"/>
        <v>2582</v>
      </c>
      <c r="AJ207" s="13">
        <f t="shared" si="76"/>
        <v>2583</v>
      </c>
      <c r="AK207" s="13">
        <f t="shared" si="76"/>
        <v>2584</v>
      </c>
      <c r="AL207" s="13">
        <f t="shared" si="76"/>
        <v>2585</v>
      </c>
      <c r="AM207" s="13">
        <f t="shared" si="76"/>
        <v>2586</v>
      </c>
      <c r="AN207" s="13">
        <f t="shared" si="76"/>
        <v>2587</v>
      </c>
      <c r="AO207" s="13">
        <f t="shared" si="76"/>
        <v>2588</v>
      </c>
      <c r="AP207" s="13">
        <f t="shared" si="76"/>
        <v>2589</v>
      </c>
      <c r="AQ207" s="13">
        <f t="shared" si="77"/>
        <v>2590</v>
      </c>
      <c r="AR207" s="13">
        <f t="shared" si="77"/>
        <v>2591</v>
      </c>
      <c r="AS207" s="13">
        <f t="shared" si="77"/>
        <v>2592</v>
      </c>
      <c r="AT207" s="13">
        <f t="shared" si="77"/>
        <v>2593</v>
      </c>
      <c r="AU207" s="13">
        <f t="shared" si="77"/>
        <v>2594</v>
      </c>
      <c r="AV207" s="13">
        <f t="shared" si="77"/>
        <v>2595</v>
      </c>
      <c r="AW207" s="13">
        <f t="shared" si="77"/>
        <v>2596</v>
      </c>
      <c r="AX207" s="13">
        <f t="shared" si="77"/>
        <v>2597</v>
      </c>
      <c r="AY207" s="13">
        <f t="shared" si="77"/>
        <v>2598</v>
      </c>
      <c r="AZ207" s="13">
        <f t="shared" si="77"/>
        <v>2599</v>
      </c>
      <c r="BA207" s="13">
        <f t="shared" si="78"/>
        <v>2600</v>
      </c>
      <c r="BB207" s="13">
        <f t="shared" si="78"/>
        <v>2601</v>
      </c>
      <c r="BC207" s="13">
        <f t="shared" si="78"/>
        <v>2602</v>
      </c>
      <c r="BD207" s="13">
        <f t="shared" si="78"/>
        <v>2603</v>
      </c>
      <c r="BE207" s="13">
        <f t="shared" si="78"/>
        <v>2604</v>
      </c>
      <c r="BF207" s="13">
        <f t="shared" si="78"/>
        <v>2605</v>
      </c>
      <c r="BG207" s="13">
        <f t="shared" si="78"/>
        <v>2606</v>
      </c>
      <c r="BH207" s="13">
        <f t="shared" si="78"/>
        <v>2607</v>
      </c>
      <c r="BI207" s="13">
        <f t="shared" si="78"/>
        <v>2608</v>
      </c>
      <c r="BJ207" s="13">
        <f t="shared" si="78"/>
        <v>2609</v>
      </c>
      <c r="BK207" s="13">
        <f t="shared" si="78"/>
        <v>2610</v>
      </c>
      <c r="BL207" s="13">
        <f t="shared" si="78"/>
        <v>2611</v>
      </c>
      <c r="BM207" s="13">
        <f t="shared" si="78"/>
        <v>2612</v>
      </c>
      <c r="BN207" s="13">
        <f t="shared" si="78"/>
        <v>2613</v>
      </c>
    </row>
    <row r="208" spans="1:66">
      <c r="A208">
        <f>VLOOKUP(B208,Teste!$A$137:$G$236,7,FALSE)</f>
        <v>0</v>
      </c>
      <c r="B208">
        <f t="shared" si="48"/>
        <v>52</v>
      </c>
      <c r="C208" s="13">
        <f t="shared" si="73"/>
        <v>2600</v>
      </c>
      <c r="D208" s="13">
        <f t="shared" si="73"/>
        <v>2601</v>
      </c>
      <c r="E208" s="13">
        <f t="shared" si="73"/>
        <v>2602</v>
      </c>
      <c r="F208" s="13">
        <f t="shared" si="73"/>
        <v>2603</v>
      </c>
      <c r="G208" s="13">
        <f t="shared" si="73"/>
        <v>2604</v>
      </c>
      <c r="H208" s="13">
        <f t="shared" si="73"/>
        <v>2605</v>
      </c>
      <c r="I208" s="13">
        <f t="shared" si="73"/>
        <v>2606</v>
      </c>
      <c r="J208" s="13">
        <f t="shared" si="73"/>
        <v>2607</v>
      </c>
      <c r="K208" s="13">
        <f t="shared" si="73"/>
        <v>2608</v>
      </c>
      <c r="L208" s="13">
        <f t="shared" si="73"/>
        <v>2609</v>
      </c>
      <c r="M208" s="13">
        <f t="shared" si="74"/>
        <v>2610</v>
      </c>
      <c r="N208" s="13">
        <f t="shared" si="74"/>
        <v>2611</v>
      </c>
      <c r="O208" s="13">
        <f t="shared" si="74"/>
        <v>2612</v>
      </c>
      <c r="P208" s="13">
        <f t="shared" si="74"/>
        <v>2613</v>
      </c>
      <c r="Q208" s="13">
        <f t="shared" si="74"/>
        <v>2614</v>
      </c>
      <c r="R208" s="13">
        <f t="shared" si="74"/>
        <v>2615</v>
      </c>
      <c r="S208" s="13">
        <f t="shared" si="74"/>
        <v>2616</v>
      </c>
      <c r="T208" s="13">
        <f t="shared" si="74"/>
        <v>2617</v>
      </c>
      <c r="U208" s="13">
        <f t="shared" si="74"/>
        <v>2618</v>
      </c>
      <c r="V208" s="13">
        <f t="shared" si="74"/>
        <v>2619</v>
      </c>
      <c r="W208" s="13">
        <f t="shared" si="75"/>
        <v>2620</v>
      </c>
      <c r="X208" s="13">
        <f t="shared" si="75"/>
        <v>2621</v>
      </c>
      <c r="Y208" s="13">
        <f t="shared" si="75"/>
        <v>2622</v>
      </c>
      <c r="Z208" s="13">
        <f t="shared" si="75"/>
        <v>2623</v>
      </c>
      <c r="AA208" s="13">
        <f t="shared" si="75"/>
        <v>2624</v>
      </c>
      <c r="AB208" s="13">
        <f t="shared" si="75"/>
        <v>2625</v>
      </c>
      <c r="AC208" s="13">
        <f t="shared" si="75"/>
        <v>2626</v>
      </c>
      <c r="AD208" s="13">
        <f t="shared" si="75"/>
        <v>2627</v>
      </c>
      <c r="AE208" s="13">
        <f t="shared" si="75"/>
        <v>2628</v>
      </c>
      <c r="AF208" s="13">
        <f t="shared" si="75"/>
        <v>2629</v>
      </c>
      <c r="AG208" s="13">
        <f t="shared" si="76"/>
        <v>2630</v>
      </c>
      <c r="AH208" s="13">
        <f t="shared" si="76"/>
        <v>2631</v>
      </c>
      <c r="AI208" s="13">
        <f t="shared" si="76"/>
        <v>2632</v>
      </c>
      <c r="AJ208" s="13">
        <f t="shared" si="76"/>
        <v>2633</v>
      </c>
      <c r="AK208" s="13">
        <f t="shared" si="76"/>
        <v>2634</v>
      </c>
      <c r="AL208" s="13">
        <f t="shared" si="76"/>
        <v>2635</v>
      </c>
      <c r="AM208" s="13">
        <f t="shared" si="76"/>
        <v>2636</v>
      </c>
      <c r="AN208" s="13">
        <f t="shared" si="76"/>
        <v>2637</v>
      </c>
      <c r="AO208" s="13">
        <f t="shared" si="76"/>
        <v>2638</v>
      </c>
      <c r="AP208" s="13">
        <f t="shared" si="76"/>
        <v>2639</v>
      </c>
      <c r="AQ208" s="13">
        <f t="shared" si="77"/>
        <v>2640</v>
      </c>
      <c r="AR208" s="13">
        <f t="shared" si="77"/>
        <v>2641</v>
      </c>
      <c r="AS208" s="13">
        <f t="shared" si="77"/>
        <v>2642</v>
      </c>
      <c r="AT208" s="13">
        <f t="shared" si="77"/>
        <v>2643</v>
      </c>
      <c r="AU208" s="13">
        <f t="shared" si="77"/>
        <v>2644</v>
      </c>
      <c r="AV208" s="13">
        <f t="shared" si="77"/>
        <v>2645</v>
      </c>
      <c r="AW208" s="13">
        <f t="shared" si="77"/>
        <v>2646</v>
      </c>
      <c r="AX208" s="13">
        <f t="shared" si="77"/>
        <v>2647</v>
      </c>
      <c r="AY208" s="13">
        <f t="shared" si="77"/>
        <v>2648</v>
      </c>
      <c r="AZ208" s="13">
        <f t="shared" si="77"/>
        <v>2649</v>
      </c>
      <c r="BA208" s="13">
        <f t="shared" si="78"/>
        <v>2650</v>
      </c>
      <c r="BB208" s="13">
        <f t="shared" si="78"/>
        <v>2651</v>
      </c>
      <c r="BC208" s="13">
        <f t="shared" si="78"/>
        <v>2652</v>
      </c>
      <c r="BD208" s="13">
        <f t="shared" si="78"/>
        <v>2653</v>
      </c>
      <c r="BE208" s="13">
        <f t="shared" si="78"/>
        <v>2654</v>
      </c>
      <c r="BF208" s="13">
        <f t="shared" si="78"/>
        <v>2655</v>
      </c>
      <c r="BG208" s="13">
        <f t="shared" si="78"/>
        <v>2656</v>
      </c>
      <c r="BH208" s="13">
        <f t="shared" si="78"/>
        <v>2657</v>
      </c>
      <c r="BI208" s="13">
        <f t="shared" si="78"/>
        <v>2658</v>
      </c>
      <c r="BJ208" s="13">
        <f t="shared" si="78"/>
        <v>2659</v>
      </c>
      <c r="BK208" s="13">
        <f t="shared" si="78"/>
        <v>2660</v>
      </c>
      <c r="BL208" s="13">
        <f t="shared" si="78"/>
        <v>2661</v>
      </c>
      <c r="BM208" s="13">
        <f t="shared" si="78"/>
        <v>2662</v>
      </c>
      <c r="BN208" s="13">
        <f t="shared" si="78"/>
        <v>2663</v>
      </c>
    </row>
    <row r="209" spans="1:66">
      <c r="A209">
        <f>VLOOKUP(B209,Teste!$A$137:$G$236,7,FALSE)</f>
        <v>0</v>
      </c>
      <c r="B209">
        <f t="shared" si="48"/>
        <v>53</v>
      </c>
      <c r="C209" s="13">
        <f t="shared" si="73"/>
        <v>2650</v>
      </c>
      <c r="D209" s="13">
        <f t="shared" si="73"/>
        <v>2651</v>
      </c>
      <c r="E209" s="13">
        <f t="shared" si="73"/>
        <v>2652</v>
      </c>
      <c r="F209" s="13">
        <f t="shared" si="73"/>
        <v>2653</v>
      </c>
      <c r="G209" s="13">
        <f t="shared" si="73"/>
        <v>2654</v>
      </c>
      <c r="H209" s="13">
        <f t="shared" si="73"/>
        <v>2655</v>
      </c>
      <c r="I209" s="13">
        <f t="shared" si="73"/>
        <v>2656</v>
      </c>
      <c r="J209" s="13">
        <f t="shared" si="73"/>
        <v>2657</v>
      </c>
      <c r="K209" s="13">
        <f t="shared" si="73"/>
        <v>2658</v>
      </c>
      <c r="L209" s="13">
        <f t="shared" si="73"/>
        <v>2659</v>
      </c>
      <c r="M209" s="13">
        <f t="shared" si="74"/>
        <v>2660</v>
      </c>
      <c r="N209" s="13">
        <f t="shared" si="74"/>
        <v>2661</v>
      </c>
      <c r="O209" s="13">
        <f t="shared" si="74"/>
        <v>2662</v>
      </c>
      <c r="P209" s="13">
        <f t="shared" si="74"/>
        <v>2663</v>
      </c>
      <c r="Q209" s="13">
        <f t="shared" si="74"/>
        <v>2664</v>
      </c>
      <c r="R209" s="13">
        <f t="shared" si="74"/>
        <v>2665</v>
      </c>
      <c r="S209" s="13">
        <f t="shared" si="74"/>
        <v>2666</v>
      </c>
      <c r="T209" s="13">
        <f t="shared" si="74"/>
        <v>2667</v>
      </c>
      <c r="U209" s="13">
        <f t="shared" si="74"/>
        <v>2668</v>
      </c>
      <c r="V209" s="13">
        <f t="shared" si="74"/>
        <v>2669</v>
      </c>
      <c r="W209" s="13">
        <f t="shared" si="75"/>
        <v>2670</v>
      </c>
      <c r="X209" s="13">
        <f t="shared" si="75"/>
        <v>2671</v>
      </c>
      <c r="Y209" s="13">
        <f t="shared" si="75"/>
        <v>2672</v>
      </c>
      <c r="Z209" s="13">
        <f t="shared" si="75"/>
        <v>2673</v>
      </c>
      <c r="AA209" s="13">
        <f t="shared" si="75"/>
        <v>2674</v>
      </c>
      <c r="AB209" s="13">
        <f t="shared" si="75"/>
        <v>2675</v>
      </c>
      <c r="AC209" s="13">
        <f t="shared" si="75"/>
        <v>2676</v>
      </c>
      <c r="AD209" s="13">
        <f t="shared" si="75"/>
        <v>2677</v>
      </c>
      <c r="AE209" s="13">
        <f t="shared" si="75"/>
        <v>2678</v>
      </c>
      <c r="AF209" s="13">
        <f t="shared" si="75"/>
        <v>2679</v>
      </c>
      <c r="AG209" s="13">
        <f t="shared" si="76"/>
        <v>2680</v>
      </c>
      <c r="AH209" s="13">
        <f t="shared" si="76"/>
        <v>2681</v>
      </c>
      <c r="AI209" s="13">
        <f t="shared" si="76"/>
        <v>2682</v>
      </c>
      <c r="AJ209" s="13">
        <f t="shared" si="76"/>
        <v>2683</v>
      </c>
      <c r="AK209" s="13">
        <f t="shared" si="76"/>
        <v>2684</v>
      </c>
      <c r="AL209" s="13">
        <f t="shared" si="76"/>
        <v>2685</v>
      </c>
      <c r="AM209" s="13">
        <f t="shared" si="76"/>
        <v>2686</v>
      </c>
      <c r="AN209" s="13">
        <f t="shared" si="76"/>
        <v>2687</v>
      </c>
      <c r="AO209" s="13">
        <f t="shared" si="76"/>
        <v>2688</v>
      </c>
      <c r="AP209" s="13">
        <f t="shared" si="76"/>
        <v>2689</v>
      </c>
      <c r="AQ209" s="13">
        <f t="shared" si="77"/>
        <v>2690</v>
      </c>
      <c r="AR209" s="13">
        <f t="shared" si="77"/>
        <v>2691</v>
      </c>
      <c r="AS209" s="13">
        <f t="shared" si="77"/>
        <v>2692</v>
      </c>
      <c r="AT209" s="13">
        <f t="shared" si="77"/>
        <v>2693</v>
      </c>
      <c r="AU209" s="13">
        <f t="shared" si="77"/>
        <v>2694</v>
      </c>
      <c r="AV209" s="13">
        <f t="shared" si="77"/>
        <v>2695</v>
      </c>
      <c r="AW209" s="13">
        <f t="shared" si="77"/>
        <v>2696</v>
      </c>
      <c r="AX209" s="13">
        <f t="shared" si="77"/>
        <v>2697</v>
      </c>
      <c r="AY209" s="13">
        <f t="shared" si="77"/>
        <v>2698</v>
      </c>
      <c r="AZ209" s="13">
        <f t="shared" si="77"/>
        <v>2699</v>
      </c>
      <c r="BA209" s="13">
        <f t="shared" si="78"/>
        <v>2700</v>
      </c>
      <c r="BB209" s="13">
        <f t="shared" si="78"/>
        <v>2701</v>
      </c>
      <c r="BC209" s="13">
        <f t="shared" si="78"/>
        <v>2702</v>
      </c>
      <c r="BD209" s="13">
        <f t="shared" si="78"/>
        <v>2703</v>
      </c>
      <c r="BE209" s="13">
        <f t="shared" si="78"/>
        <v>2704</v>
      </c>
      <c r="BF209" s="13">
        <f t="shared" si="78"/>
        <v>2705</v>
      </c>
      <c r="BG209" s="13">
        <f t="shared" si="78"/>
        <v>2706</v>
      </c>
      <c r="BH209" s="13">
        <f t="shared" si="78"/>
        <v>2707</v>
      </c>
      <c r="BI209" s="13">
        <f t="shared" si="78"/>
        <v>2708</v>
      </c>
      <c r="BJ209" s="13">
        <f t="shared" si="78"/>
        <v>2709</v>
      </c>
      <c r="BK209" s="13">
        <f t="shared" si="78"/>
        <v>2710</v>
      </c>
      <c r="BL209" s="13">
        <f t="shared" si="78"/>
        <v>2711</v>
      </c>
      <c r="BM209" s="13">
        <f t="shared" si="78"/>
        <v>2712</v>
      </c>
      <c r="BN209" s="13">
        <f t="shared" si="78"/>
        <v>2713</v>
      </c>
    </row>
    <row r="210" spans="1:66">
      <c r="A210">
        <f>VLOOKUP(B210,Teste!$A$137:$G$236,7,FALSE)</f>
        <v>0</v>
      </c>
      <c r="B210">
        <f t="shared" si="48"/>
        <v>54</v>
      </c>
      <c r="C210" s="13">
        <f t="shared" si="73"/>
        <v>2700</v>
      </c>
      <c r="D210" s="13">
        <f t="shared" si="73"/>
        <v>2701</v>
      </c>
      <c r="E210" s="13">
        <f t="shared" si="73"/>
        <v>2702</v>
      </c>
      <c r="F210" s="13">
        <f t="shared" si="73"/>
        <v>2703</v>
      </c>
      <c r="G210" s="13">
        <f t="shared" si="73"/>
        <v>2704</v>
      </c>
      <c r="H210" s="13">
        <f t="shared" si="73"/>
        <v>2705</v>
      </c>
      <c r="I210" s="13">
        <f t="shared" si="73"/>
        <v>2706</v>
      </c>
      <c r="J210" s="13">
        <f t="shared" si="73"/>
        <v>2707</v>
      </c>
      <c r="K210" s="13">
        <f t="shared" si="73"/>
        <v>2708</v>
      </c>
      <c r="L210" s="13">
        <f t="shared" si="73"/>
        <v>2709</v>
      </c>
      <c r="M210" s="13">
        <f t="shared" si="74"/>
        <v>2710</v>
      </c>
      <c r="N210" s="13">
        <f t="shared" si="74"/>
        <v>2711</v>
      </c>
      <c r="O210" s="13">
        <f t="shared" si="74"/>
        <v>2712</v>
      </c>
      <c r="P210" s="13">
        <f t="shared" si="74"/>
        <v>2713</v>
      </c>
      <c r="Q210" s="13">
        <f t="shared" si="74"/>
        <v>2714</v>
      </c>
      <c r="R210" s="13">
        <f t="shared" si="74"/>
        <v>2715</v>
      </c>
      <c r="S210" s="13">
        <f t="shared" si="74"/>
        <v>2716</v>
      </c>
      <c r="T210" s="13">
        <f t="shared" si="74"/>
        <v>2717</v>
      </c>
      <c r="U210" s="13">
        <f t="shared" si="74"/>
        <v>2718</v>
      </c>
      <c r="V210" s="13">
        <f t="shared" si="74"/>
        <v>2719</v>
      </c>
      <c r="W210" s="13">
        <f t="shared" si="75"/>
        <v>2720</v>
      </c>
      <c r="X210" s="13">
        <f t="shared" si="75"/>
        <v>2721</v>
      </c>
      <c r="Y210" s="13">
        <f t="shared" si="75"/>
        <v>2722</v>
      </c>
      <c r="Z210" s="13">
        <f t="shared" si="75"/>
        <v>2723</v>
      </c>
      <c r="AA210" s="13">
        <f t="shared" si="75"/>
        <v>2724</v>
      </c>
      <c r="AB210" s="13">
        <f t="shared" si="75"/>
        <v>2725</v>
      </c>
      <c r="AC210" s="13">
        <f t="shared" si="75"/>
        <v>2726</v>
      </c>
      <c r="AD210" s="13">
        <f t="shared" si="75"/>
        <v>2727</v>
      </c>
      <c r="AE210" s="13">
        <f t="shared" si="75"/>
        <v>2728</v>
      </c>
      <c r="AF210" s="13">
        <f t="shared" si="75"/>
        <v>2729</v>
      </c>
      <c r="AG210" s="13">
        <f t="shared" si="76"/>
        <v>2730</v>
      </c>
      <c r="AH210" s="13">
        <f t="shared" si="76"/>
        <v>2731</v>
      </c>
      <c r="AI210" s="13">
        <f t="shared" si="76"/>
        <v>2732</v>
      </c>
      <c r="AJ210" s="13">
        <f t="shared" si="76"/>
        <v>2733</v>
      </c>
      <c r="AK210" s="13">
        <f t="shared" si="76"/>
        <v>2734</v>
      </c>
      <c r="AL210" s="13">
        <f t="shared" si="76"/>
        <v>2735</v>
      </c>
      <c r="AM210" s="13">
        <f t="shared" si="76"/>
        <v>2736</v>
      </c>
      <c r="AN210" s="13">
        <f t="shared" si="76"/>
        <v>2737</v>
      </c>
      <c r="AO210" s="13">
        <f t="shared" si="76"/>
        <v>2738</v>
      </c>
      <c r="AP210" s="13">
        <f t="shared" si="76"/>
        <v>2739</v>
      </c>
      <c r="AQ210" s="13">
        <f t="shared" si="77"/>
        <v>2740</v>
      </c>
      <c r="AR210" s="13">
        <f t="shared" si="77"/>
        <v>2741</v>
      </c>
      <c r="AS210" s="13">
        <f t="shared" si="77"/>
        <v>2742</v>
      </c>
      <c r="AT210" s="13">
        <f t="shared" si="77"/>
        <v>2743</v>
      </c>
      <c r="AU210" s="13">
        <f t="shared" si="77"/>
        <v>2744</v>
      </c>
      <c r="AV210" s="13">
        <f t="shared" si="77"/>
        <v>2745</v>
      </c>
      <c r="AW210" s="13">
        <f t="shared" si="77"/>
        <v>2746</v>
      </c>
      <c r="AX210" s="13">
        <f t="shared" si="77"/>
        <v>2747</v>
      </c>
      <c r="AY210" s="13">
        <f t="shared" si="77"/>
        <v>2748</v>
      </c>
      <c r="AZ210" s="13">
        <f t="shared" si="77"/>
        <v>2749</v>
      </c>
      <c r="BA210" s="13">
        <f t="shared" si="78"/>
        <v>2750</v>
      </c>
      <c r="BB210" s="13">
        <f t="shared" si="78"/>
        <v>2751</v>
      </c>
      <c r="BC210" s="13">
        <f t="shared" si="78"/>
        <v>2752</v>
      </c>
      <c r="BD210" s="13">
        <f t="shared" si="78"/>
        <v>2753</v>
      </c>
      <c r="BE210" s="13">
        <f t="shared" si="78"/>
        <v>2754</v>
      </c>
      <c r="BF210" s="13">
        <f t="shared" si="78"/>
        <v>2755</v>
      </c>
      <c r="BG210" s="13">
        <f t="shared" si="78"/>
        <v>2756</v>
      </c>
      <c r="BH210" s="13">
        <f t="shared" si="78"/>
        <v>2757</v>
      </c>
      <c r="BI210" s="13">
        <f t="shared" si="78"/>
        <v>2758</v>
      </c>
      <c r="BJ210" s="13">
        <f t="shared" si="78"/>
        <v>2759</v>
      </c>
      <c r="BK210" s="13">
        <f t="shared" si="78"/>
        <v>2760</v>
      </c>
      <c r="BL210" s="13">
        <f t="shared" si="78"/>
        <v>2761</v>
      </c>
      <c r="BM210" s="13">
        <f t="shared" si="78"/>
        <v>2762</v>
      </c>
      <c r="BN210" s="13">
        <f t="shared" si="78"/>
        <v>2763</v>
      </c>
    </row>
    <row r="211" spans="1:66">
      <c r="A211">
        <f>VLOOKUP(B211,Teste!$A$137:$G$236,7,FALSE)</f>
        <v>0</v>
      </c>
      <c r="B211">
        <f t="shared" si="48"/>
        <v>55</v>
      </c>
      <c r="C211" s="13">
        <f t="shared" si="73"/>
        <v>2750</v>
      </c>
      <c r="D211" s="13">
        <f t="shared" si="73"/>
        <v>2751</v>
      </c>
      <c r="E211" s="13">
        <f t="shared" si="73"/>
        <v>2752</v>
      </c>
      <c r="F211" s="13">
        <f t="shared" si="73"/>
        <v>2753</v>
      </c>
      <c r="G211" s="13">
        <f t="shared" si="73"/>
        <v>2754</v>
      </c>
      <c r="H211" s="13">
        <f t="shared" si="73"/>
        <v>2755</v>
      </c>
      <c r="I211" s="13">
        <f t="shared" si="73"/>
        <v>2756</v>
      </c>
      <c r="J211" s="13">
        <f t="shared" si="73"/>
        <v>2757</v>
      </c>
      <c r="K211" s="13">
        <f t="shared" si="73"/>
        <v>2758</v>
      </c>
      <c r="L211" s="13">
        <f t="shared" si="73"/>
        <v>2759</v>
      </c>
      <c r="M211" s="13">
        <f t="shared" si="74"/>
        <v>2760</v>
      </c>
      <c r="N211" s="13">
        <f t="shared" si="74"/>
        <v>2761</v>
      </c>
      <c r="O211" s="13">
        <f t="shared" si="74"/>
        <v>2762</v>
      </c>
      <c r="P211" s="13">
        <f t="shared" si="74"/>
        <v>2763</v>
      </c>
      <c r="Q211" s="13">
        <f t="shared" si="74"/>
        <v>2764</v>
      </c>
      <c r="R211" s="13">
        <f t="shared" si="74"/>
        <v>2765</v>
      </c>
      <c r="S211" s="13">
        <f t="shared" si="74"/>
        <v>2766</v>
      </c>
      <c r="T211" s="13">
        <f t="shared" si="74"/>
        <v>2767</v>
      </c>
      <c r="U211" s="13">
        <f t="shared" si="74"/>
        <v>2768</v>
      </c>
      <c r="V211" s="13">
        <f t="shared" si="74"/>
        <v>2769</v>
      </c>
      <c r="W211" s="13">
        <f t="shared" si="75"/>
        <v>2770</v>
      </c>
      <c r="X211" s="13">
        <f t="shared" si="75"/>
        <v>2771</v>
      </c>
      <c r="Y211" s="13">
        <f t="shared" si="75"/>
        <v>2772</v>
      </c>
      <c r="Z211" s="13">
        <f t="shared" si="75"/>
        <v>2773</v>
      </c>
      <c r="AA211" s="13">
        <f t="shared" si="75"/>
        <v>2774</v>
      </c>
      <c r="AB211" s="13">
        <f t="shared" si="75"/>
        <v>2775</v>
      </c>
      <c r="AC211" s="13">
        <f t="shared" si="75"/>
        <v>2776</v>
      </c>
      <c r="AD211" s="13">
        <f t="shared" si="75"/>
        <v>2777</v>
      </c>
      <c r="AE211" s="13">
        <f t="shared" si="75"/>
        <v>2778</v>
      </c>
      <c r="AF211" s="13">
        <f t="shared" si="75"/>
        <v>2779</v>
      </c>
      <c r="AG211" s="13">
        <f t="shared" si="76"/>
        <v>2780</v>
      </c>
      <c r="AH211" s="13">
        <f t="shared" si="76"/>
        <v>2781</v>
      </c>
      <c r="AI211" s="13">
        <f t="shared" si="76"/>
        <v>2782</v>
      </c>
      <c r="AJ211" s="13">
        <f t="shared" si="76"/>
        <v>2783</v>
      </c>
      <c r="AK211" s="13">
        <f t="shared" si="76"/>
        <v>2784</v>
      </c>
      <c r="AL211" s="13">
        <f t="shared" si="76"/>
        <v>2785</v>
      </c>
      <c r="AM211" s="13">
        <f t="shared" si="76"/>
        <v>2786</v>
      </c>
      <c r="AN211" s="13">
        <f t="shared" si="76"/>
        <v>2787</v>
      </c>
      <c r="AO211" s="13">
        <f t="shared" si="76"/>
        <v>2788</v>
      </c>
      <c r="AP211" s="13">
        <f t="shared" si="76"/>
        <v>2789</v>
      </c>
      <c r="AQ211" s="13">
        <f t="shared" si="77"/>
        <v>2790</v>
      </c>
      <c r="AR211" s="13">
        <f t="shared" si="77"/>
        <v>2791</v>
      </c>
      <c r="AS211" s="13">
        <f t="shared" si="77"/>
        <v>2792</v>
      </c>
      <c r="AT211" s="13">
        <f t="shared" si="77"/>
        <v>2793</v>
      </c>
      <c r="AU211" s="13">
        <f t="shared" si="77"/>
        <v>2794</v>
      </c>
      <c r="AV211" s="13">
        <f t="shared" si="77"/>
        <v>2795</v>
      </c>
      <c r="AW211" s="13">
        <f t="shared" si="77"/>
        <v>2796</v>
      </c>
      <c r="AX211" s="13">
        <f t="shared" si="77"/>
        <v>2797</v>
      </c>
      <c r="AY211" s="13">
        <f t="shared" si="77"/>
        <v>2798</v>
      </c>
      <c r="AZ211" s="13">
        <f t="shared" si="77"/>
        <v>2799</v>
      </c>
      <c r="BA211" s="13">
        <f t="shared" si="78"/>
        <v>2800</v>
      </c>
      <c r="BB211" s="13">
        <f t="shared" si="78"/>
        <v>2801</v>
      </c>
      <c r="BC211" s="13">
        <f t="shared" si="78"/>
        <v>2802</v>
      </c>
      <c r="BD211" s="13">
        <f t="shared" si="78"/>
        <v>2803</v>
      </c>
      <c r="BE211" s="13">
        <f t="shared" si="78"/>
        <v>2804</v>
      </c>
      <c r="BF211" s="13">
        <f t="shared" si="78"/>
        <v>2805</v>
      </c>
      <c r="BG211" s="13">
        <f t="shared" si="78"/>
        <v>2806</v>
      </c>
      <c r="BH211" s="13">
        <f t="shared" si="78"/>
        <v>2807</v>
      </c>
      <c r="BI211" s="13">
        <f t="shared" si="78"/>
        <v>2808</v>
      </c>
      <c r="BJ211" s="13">
        <f t="shared" si="78"/>
        <v>2809</v>
      </c>
      <c r="BK211" s="13">
        <f t="shared" si="78"/>
        <v>2810</v>
      </c>
      <c r="BL211" s="13">
        <f t="shared" si="78"/>
        <v>2811</v>
      </c>
      <c r="BM211" s="13">
        <f t="shared" si="78"/>
        <v>2812</v>
      </c>
      <c r="BN211" s="13">
        <f t="shared" si="78"/>
        <v>2813</v>
      </c>
    </row>
    <row r="212" spans="1:66">
      <c r="A212">
        <f>VLOOKUP(B212,Teste!$A$137:$G$236,7,FALSE)</f>
        <v>0</v>
      </c>
      <c r="B212">
        <f t="shared" si="48"/>
        <v>56</v>
      </c>
      <c r="C212" s="13">
        <f t="shared" si="73"/>
        <v>2800</v>
      </c>
      <c r="D212" s="13">
        <f t="shared" si="73"/>
        <v>2801</v>
      </c>
      <c r="E212" s="13">
        <f t="shared" si="73"/>
        <v>2802</v>
      </c>
      <c r="F212" s="13">
        <f t="shared" si="73"/>
        <v>2803</v>
      </c>
      <c r="G212" s="13">
        <f t="shared" si="73"/>
        <v>2804</v>
      </c>
      <c r="H212" s="13">
        <f t="shared" si="73"/>
        <v>2805</v>
      </c>
      <c r="I212" s="13">
        <f t="shared" si="73"/>
        <v>2806</v>
      </c>
      <c r="J212" s="13">
        <f t="shared" si="73"/>
        <v>2807</v>
      </c>
      <c r="K212" s="13">
        <f t="shared" si="73"/>
        <v>2808</v>
      </c>
      <c r="L212" s="13">
        <f t="shared" si="73"/>
        <v>2809</v>
      </c>
      <c r="M212" s="13">
        <f t="shared" si="74"/>
        <v>2810</v>
      </c>
      <c r="N212" s="13">
        <f t="shared" si="74"/>
        <v>2811</v>
      </c>
      <c r="O212" s="13">
        <f t="shared" si="74"/>
        <v>2812</v>
      </c>
      <c r="P212" s="13">
        <f t="shared" si="74"/>
        <v>2813</v>
      </c>
      <c r="Q212" s="13">
        <f t="shared" si="74"/>
        <v>2814</v>
      </c>
      <c r="R212" s="13">
        <f t="shared" si="74"/>
        <v>2815</v>
      </c>
      <c r="S212" s="13">
        <f t="shared" si="74"/>
        <v>2816</v>
      </c>
      <c r="T212" s="13">
        <f t="shared" si="74"/>
        <v>2817</v>
      </c>
      <c r="U212" s="13">
        <f t="shared" si="74"/>
        <v>2818</v>
      </c>
      <c r="V212" s="13">
        <f t="shared" si="74"/>
        <v>2819</v>
      </c>
      <c r="W212" s="13">
        <f t="shared" si="75"/>
        <v>2820</v>
      </c>
      <c r="X212" s="13">
        <f t="shared" si="75"/>
        <v>2821</v>
      </c>
      <c r="Y212" s="13">
        <f t="shared" si="75"/>
        <v>2822</v>
      </c>
      <c r="Z212" s="13">
        <f t="shared" si="75"/>
        <v>2823</v>
      </c>
      <c r="AA212" s="13">
        <f t="shared" si="75"/>
        <v>2824</v>
      </c>
      <c r="AB212" s="13">
        <f t="shared" si="75"/>
        <v>2825</v>
      </c>
      <c r="AC212" s="13">
        <f t="shared" si="75"/>
        <v>2826</v>
      </c>
      <c r="AD212" s="13">
        <f t="shared" si="75"/>
        <v>2827</v>
      </c>
      <c r="AE212" s="13">
        <f t="shared" si="75"/>
        <v>2828</v>
      </c>
      <c r="AF212" s="13">
        <f t="shared" si="75"/>
        <v>2829</v>
      </c>
      <c r="AG212" s="13">
        <f t="shared" si="76"/>
        <v>2830</v>
      </c>
      <c r="AH212" s="13">
        <f t="shared" si="76"/>
        <v>2831</v>
      </c>
      <c r="AI212" s="13">
        <f t="shared" si="76"/>
        <v>2832</v>
      </c>
      <c r="AJ212" s="13">
        <f t="shared" si="76"/>
        <v>2833</v>
      </c>
      <c r="AK212" s="13">
        <f t="shared" si="76"/>
        <v>2834</v>
      </c>
      <c r="AL212" s="13">
        <f t="shared" si="76"/>
        <v>2835</v>
      </c>
      <c r="AM212" s="13">
        <f t="shared" si="76"/>
        <v>2836</v>
      </c>
      <c r="AN212" s="13">
        <f t="shared" si="76"/>
        <v>2837</v>
      </c>
      <c r="AO212" s="13">
        <f t="shared" si="76"/>
        <v>2838</v>
      </c>
      <c r="AP212" s="13">
        <f t="shared" si="76"/>
        <v>2839</v>
      </c>
      <c r="AQ212" s="13">
        <f t="shared" si="77"/>
        <v>2840</v>
      </c>
      <c r="AR212" s="13">
        <f t="shared" si="77"/>
        <v>2841</v>
      </c>
      <c r="AS212" s="13">
        <f t="shared" si="77"/>
        <v>2842</v>
      </c>
      <c r="AT212" s="13">
        <f t="shared" si="77"/>
        <v>2843</v>
      </c>
      <c r="AU212" s="13">
        <f t="shared" si="77"/>
        <v>2844</v>
      </c>
      <c r="AV212" s="13">
        <f t="shared" si="77"/>
        <v>2845</v>
      </c>
      <c r="AW212" s="13">
        <f t="shared" si="77"/>
        <v>2846</v>
      </c>
      <c r="AX212" s="13">
        <f t="shared" si="77"/>
        <v>2847</v>
      </c>
      <c r="AY212" s="13">
        <f t="shared" si="77"/>
        <v>2848</v>
      </c>
      <c r="AZ212" s="13">
        <f t="shared" si="77"/>
        <v>2849</v>
      </c>
      <c r="BA212" s="13">
        <f t="shared" si="78"/>
        <v>2850</v>
      </c>
      <c r="BB212" s="13">
        <f t="shared" si="78"/>
        <v>2851</v>
      </c>
      <c r="BC212" s="13">
        <f t="shared" si="78"/>
        <v>2852</v>
      </c>
      <c r="BD212" s="13">
        <f t="shared" si="78"/>
        <v>2853</v>
      </c>
      <c r="BE212" s="13">
        <f t="shared" si="78"/>
        <v>2854</v>
      </c>
      <c r="BF212" s="13">
        <f t="shared" si="78"/>
        <v>2855</v>
      </c>
      <c r="BG212" s="13">
        <f t="shared" si="78"/>
        <v>2856</v>
      </c>
      <c r="BH212" s="13">
        <f t="shared" si="78"/>
        <v>2857</v>
      </c>
      <c r="BI212" s="13">
        <f t="shared" si="78"/>
        <v>2858</v>
      </c>
      <c r="BJ212" s="13">
        <f t="shared" si="78"/>
        <v>2859</v>
      </c>
      <c r="BK212" s="13">
        <f t="shared" si="78"/>
        <v>2860</v>
      </c>
      <c r="BL212" s="13">
        <f t="shared" si="78"/>
        <v>2861</v>
      </c>
      <c r="BM212" s="13">
        <f t="shared" si="78"/>
        <v>2862</v>
      </c>
      <c r="BN212" s="13">
        <f t="shared" si="78"/>
        <v>2863</v>
      </c>
    </row>
    <row r="213" spans="1:66">
      <c r="A213">
        <f>VLOOKUP(B213,Teste!$A$137:$G$236,7,FALSE)</f>
        <v>0</v>
      </c>
      <c r="B213">
        <f t="shared" si="48"/>
        <v>57</v>
      </c>
      <c r="C213" s="13">
        <f t="shared" si="73"/>
        <v>2850</v>
      </c>
      <c r="D213" s="13">
        <f t="shared" si="73"/>
        <v>2851</v>
      </c>
      <c r="E213" s="13">
        <f t="shared" si="73"/>
        <v>2852</v>
      </c>
      <c r="F213" s="13">
        <f t="shared" si="73"/>
        <v>2853</v>
      </c>
      <c r="G213" s="13">
        <f t="shared" si="73"/>
        <v>2854</v>
      </c>
      <c r="H213" s="13">
        <f t="shared" si="73"/>
        <v>2855</v>
      </c>
      <c r="I213" s="13">
        <f t="shared" si="73"/>
        <v>2856</v>
      </c>
      <c r="J213" s="13">
        <f t="shared" si="73"/>
        <v>2857</v>
      </c>
      <c r="K213" s="13">
        <f t="shared" si="73"/>
        <v>2858</v>
      </c>
      <c r="L213" s="13">
        <f t="shared" si="73"/>
        <v>2859</v>
      </c>
      <c r="M213" s="13">
        <f t="shared" si="74"/>
        <v>2860</v>
      </c>
      <c r="N213" s="13">
        <f t="shared" si="74"/>
        <v>2861</v>
      </c>
      <c r="O213" s="13">
        <f t="shared" si="74"/>
        <v>2862</v>
      </c>
      <c r="P213" s="13">
        <f t="shared" si="74"/>
        <v>2863</v>
      </c>
      <c r="Q213" s="13">
        <f t="shared" si="74"/>
        <v>2864</v>
      </c>
      <c r="R213" s="13">
        <f t="shared" si="74"/>
        <v>2865</v>
      </c>
      <c r="S213" s="13">
        <f t="shared" si="74"/>
        <v>2866</v>
      </c>
      <c r="T213" s="13">
        <f t="shared" si="74"/>
        <v>2867</v>
      </c>
      <c r="U213" s="13">
        <f t="shared" si="74"/>
        <v>2868</v>
      </c>
      <c r="V213" s="13">
        <f t="shared" si="74"/>
        <v>2869</v>
      </c>
      <c r="W213" s="13">
        <f t="shared" si="75"/>
        <v>2870</v>
      </c>
      <c r="X213" s="13">
        <f t="shared" si="75"/>
        <v>2871</v>
      </c>
      <c r="Y213" s="13">
        <f t="shared" si="75"/>
        <v>2872</v>
      </c>
      <c r="Z213" s="13">
        <f t="shared" si="75"/>
        <v>2873</v>
      </c>
      <c r="AA213" s="13">
        <f t="shared" si="75"/>
        <v>2874</v>
      </c>
      <c r="AB213" s="13">
        <f t="shared" si="75"/>
        <v>2875</v>
      </c>
      <c r="AC213" s="13">
        <f t="shared" si="75"/>
        <v>2876</v>
      </c>
      <c r="AD213" s="13">
        <f t="shared" si="75"/>
        <v>2877</v>
      </c>
      <c r="AE213" s="13">
        <f t="shared" si="75"/>
        <v>2878</v>
      </c>
      <c r="AF213" s="13">
        <f t="shared" si="75"/>
        <v>2879</v>
      </c>
      <c r="AG213" s="13">
        <f t="shared" si="76"/>
        <v>2880</v>
      </c>
      <c r="AH213" s="13">
        <f t="shared" si="76"/>
        <v>2881</v>
      </c>
      <c r="AI213" s="13">
        <f t="shared" si="76"/>
        <v>2882</v>
      </c>
      <c r="AJ213" s="13">
        <f t="shared" si="76"/>
        <v>2883</v>
      </c>
      <c r="AK213" s="13">
        <f t="shared" si="76"/>
        <v>2884</v>
      </c>
      <c r="AL213" s="13">
        <f t="shared" si="76"/>
        <v>2885</v>
      </c>
      <c r="AM213" s="13">
        <f t="shared" si="76"/>
        <v>2886</v>
      </c>
      <c r="AN213" s="13">
        <f t="shared" si="76"/>
        <v>2887</v>
      </c>
      <c r="AO213" s="13">
        <f t="shared" si="76"/>
        <v>2888</v>
      </c>
      <c r="AP213" s="13">
        <f t="shared" si="76"/>
        <v>2889</v>
      </c>
      <c r="AQ213" s="13">
        <f t="shared" si="77"/>
        <v>2890</v>
      </c>
      <c r="AR213" s="13">
        <f t="shared" si="77"/>
        <v>2891</v>
      </c>
      <c r="AS213" s="13">
        <f t="shared" si="77"/>
        <v>2892</v>
      </c>
      <c r="AT213" s="13">
        <f t="shared" si="77"/>
        <v>2893</v>
      </c>
      <c r="AU213" s="13">
        <f t="shared" si="77"/>
        <v>2894</v>
      </c>
      <c r="AV213" s="13">
        <f t="shared" si="77"/>
        <v>2895</v>
      </c>
      <c r="AW213" s="13">
        <f t="shared" si="77"/>
        <v>2896</v>
      </c>
      <c r="AX213" s="13">
        <f t="shared" si="77"/>
        <v>2897</v>
      </c>
      <c r="AY213" s="13">
        <f t="shared" si="77"/>
        <v>2898</v>
      </c>
      <c r="AZ213" s="13">
        <f t="shared" si="77"/>
        <v>2899</v>
      </c>
      <c r="BA213" s="13">
        <f t="shared" si="78"/>
        <v>2900</v>
      </c>
      <c r="BB213" s="13">
        <f t="shared" si="78"/>
        <v>2901</v>
      </c>
      <c r="BC213" s="13">
        <f t="shared" si="78"/>
        <v>2902</v>
      </c>
      <c r="BD213" s="13">
        <f t="shared" si="78"/>
        <v>2903</v>
      </c>
      <c r="BE213" s="13">
        <f t="shared" si="78"/>
        <v>2904</v>
      </c>
      <c r="BF213" s="13">
        <f t="shared" si="78"/>
        <v>2905</v>
      </c>
      <c r="BG213" s="13">
        <f t="shared" si="78"/>
        <v>2906</v>
      </c>
      <c r="BH213" s="13">
        <f t="shared" si="78"/>
        <v>2907</v>
      </c>
      <c r="BI213" s="13">
        <f t="shared" si="78"/>
        <v>2908</v>
      </c>
      <c r="BJ213" s="13">
        <f t="shared" si="78"/>
        <v>2909</v>
      </c>
      <c r="BK213" s="13">
        <f t="shared" si="78"/>
        <v>2910</v>
      </c>
      <c r="BL213" s="13">
        <f t="shared" si="78"/>
        <v>2911</v>
      </c>
      <c r="BM213" s="13">
        <f t="shared" si="78"/>
        <v>2912</v>
      </c>
      <c r="BN213" s="13">
        <f t="shared" si="78"/>
        <v>2913</v>
      </c>
    </row>
    <row r="214" spans="1:66">
      <c r="A214">
        <f>VLOOKUP(B214,Teste!$A$137:$G$236,7,FALSE)</f>
        <v>0</v>
      </c>
      <c r="B214">
        <f t="shared" si="48"/>
        <v>58</v>
      </c>
      <c r="C214" s="13">
        <f t="shared" si="73"/>
        <v>2900</v>
      </c>
      <c r="D214" s="13">
        <f t="shared" si="73"/>
        <v>2901</v>
      </c>
      <c r="E214" s="13">
        <f t="shared" si="73"/>
        <v>2902</v>
      </c>
      <c r="F214" s="13">
        <f t="shared" si="73"/>
        <v>2903</v>
      </c>
      <c r="G214" s="13">
        <f t="shared" si="73"/>
        <v>2904</v>
      </c>
      <c r="H214" s="13">
        <f t="shared" si="73"/>
        <v>2905</v>
      </c>
      <c r="I214" s="13">
        <f t="shared" si="73"/>
        <v>2906</v>
      </c>
      <c r="J214" s="13">
        <f t="shared" si="73"/>
        <v>2907</v>
      </c>
      <c r="K214" s="13">
        <f t="shared" si="73"/>
        <v>2908</v>
      </c>
      <c r="L214" s="13">
        <f t="shared" si="73"/>
        <v>2909</v>
      </c>
      <c r="M214" s="13">
        <f t="shared" si="74"/>
        <v>2910</v>
      </c>
      <c r="N214" s="13">
        <f t="shared" si="74"/>
        <v>2911</v>
      </c>
      <c r="O214" s="13">
        <f t="shared" si="74"/>
        <v>2912</v>
      </c>
      <c r="P214" s="13">
        <f t="shared" si="74"/>
        <v>2913</v>
      </c>
      <c r="Q214" s="13">
        <f t="shared" si="74"/>
        <v>2914</v>
      </c>
      <c r="R214" s="13">
        <f t="shared" si="74"/>
        <v>2915</v>
      </c>
      <c r="S214" s="13">
        <f t="shared" si="74"/>
        <v>2916</v>
      </c>
      <c r="T214" s="13">
        <f t="shared" si="74"/>
        <v>2917</v>
      </c>
      <c r="U214" s="13">
        <f t="shared" si="74"/>
        <v>2918</v>
      </c>
      <c r="V214" s="13">
        <f t="shared" si="74"/>
        <v>2919</v>
      </c>
      <c r="W214" s="13">
        <f t="shared" si="75"/>
        <v>2920</v>
      </c>
      <c r="X214" s="13">
        <f t="shared" si="75"/>
        <v>2921</v>
      </c>
      <c r="Y214" s="13">
        <f t="shared" si="75"/>
        <v>2922</v>
      </c>
      <c r="Z214" s="13">
        <f t="shared" si="75"/>
        <v>2923</v>
      </c>
      <c r="AA214" s="13">
        <f t="shared" si="75"/>
        <v>2924</v>
      </c>
      <c r="AB214" s="13">
        <f t="shared" si="75"/>
        <v>2925</v>
      </c>
      <c r="AC214" s="13">
        <f t="shared" si="75"/>
        <v>2926</v>
      </c>
      <c r="AD214" s="13">
        <f t="shared" si="75"/>
        <v>2927</v>
      </c>
      <c r="AE214" s="13">
        <f t="shared" si="75"/>
        <v>2928</v>
      </c>
      <c r="AF214" s="13">
        <f t="shared" si="75"/>
        <v>2929</v>
      </c>
      <c r="AG214" s="13">
        <f t="shared" si="76"/>
        <v>2930</v>
      </c>
      <c r="AH214" s="13">
        <f t="shared" si="76"/>
        <v>2931</v>
      </c>
      <c r="AI214" s="13">
        <f t="shared" si="76"/>
        <v>2932</v>
      </c>
      <c r="AJ214" s="13">
        <f t="shared" si="76"/>
        <v>2933</v>
      </c>
      <c r="AK214" s="13">
        <f t="shared" si="76"/>
        <v>2934</v>
      </c>
      <c r="AL214" s="13">
        <f t="shared" si="76"/>
        <v>2935</v>
      </c>
      <c r="AM214" s="13">
        <f t="shared" si="76"/>
        <v>2936</v>
      </c>
      <c r="AN214" s="13">
        <f t="shared" si="76"/>
        <v>2937</v>
      </c>
      <c r="AO214" s="13">
        <f t="shared" si="76"/>
        <v>2938</v>
      </c>
      <c r="AP214" s="13">
        <f t="shared" si="76"/>
        <v>2939</v>
      </c>
      <c r="AQ214" s="13">
        <f t="shared" si="77"/>
        <v>2940</v>
      </c>
      <c r="AR214" s="13">
        <f t="shared" si="77"/>
        <v>2941</v>
      </c>
      <c r="AS214" s="13">
        <f t="shared" si="77"/>
        <v>2942</v>
      </c>
      <c r="AT214" s="13">
        <f t="shared" si="77"/>
        <v>2943</v>
      </c>
      <c r="AU214" s="13">
        <f t="shared" si="77"/>
        <v>2944</v>
      </c>
      <c r="AV214" s="13">
        <f t="shared" si="77"/>
        <v>2945</v>
      </c>
      <c r="AW214" s="13">
        <f t="shared" si="77"/>
        <v>2946</v>
      </c>
      <c r="AX214" s="13">
        <f t="shared" si="77"/>
        <v>2947</v>
      </c>
      <c r="AY214" s="13">
        <f t="shared" si="77"/>
        <v>2948</v>
      </c>
      <c r="AZ214" s="13">
        <f t="shared" si="77"/>
        <v>2949</v>
      </c>
      <c r="BA214" s="13">
        <f t="shared" si="78"/>
        <v>2950</v>
      </c>
      <c r="BB214" s="13">
        <f t="shared" si="78"/>
        <v>2951</v>
      </c>
      <c r="BC214" s="13">
        <f t="shared" si="78"/>
        <v>2952</v>
      </c>
      <c r="BD214" s="13">
        <f t="shared" si="78"/>
        <v>2953</v>
      </c>
      <c r="BE214" s="13">
        <f t="shared" si="78"/>
        <v>2954</v>
      </c>
      <c r="BF214" s="13">
        <f t="shared" si="78"/>
        <v>2955</v>
      </c>
      <c r="BG214" s="13">
        <f t="shared" si="78"/>
        <v>2956</v>
      </c>
      <c r="BH214" s="13">
        <f t="shared" si="78"/>
        <v>2957</v>
      </c>
      <c r="BI214" s="13">
        <f t="shared" si="78"/>
        <v>2958</v>
      </c>
      <c r="BJ214" s="13">
        <f t="shared" si="78"/>
        <v>2959</v>
      </c>
      <c r="BK214" s="13">
        <f t="shared" si="78"/>
        <v>2960</v>
      </c>
      <c r="BL214" s="13">
        <f t="shared" si="78"/>
        <v>2961</v>
      </c>
      <c r="BM214" s="13">
        <f t="shared" si="78"/>
        <v>2962</v>
      </c>
      <c r="BN214" s="13">
        <f t="shared" si="78"/>
        <v>2963</v>
      </c>
    </row>
    <row r="215" spans="1:66">
      <c r="A215">
        <f>VLOOKUP(B215,Teste!$A$137:$G$236,7,FALSE)</f>
        <v>0</v>
      </c>
      <c r="B215">
        <f t="shared" si="48"/>
        <v>59</v>
      </c>
      <c r="C215" s="13">
        <f t="shared" si="73"/>
        <v>2950</v>
      </c>
      <c r="D215" s="13">
        <f t="shared" si="73"/>
        <v>2951</v>
      </c>
      <c r="E215" s="13">
        <f t="shared" si="73"/>
        <v>2952</v>
      </c>
      <c r="F215" s="13">
        <f t="shared" si="73"/>
        <v>2953</v>
      </c>
      <c r="G215" s="13">
        <f t="shared" si="73"/>
        <v>2954</v>
      </c>
      <c r="H215" s="13">
        <f t="shared" si="73"/>
        <v>2955</v>
      </c>
      <c r="I215" s="13">
        <f t="shared" si="73"/>
        <v>2956</v>
      </c>
      <c r="J215" s="13">
        <f t="shared" si="73"/>
        <v>2957</v>
      </c>
      <c r="K215" s="13">
        <f t="shared" si="73"/>
        <v>2958</v>
      </c>
      <c r="L215" s="13">
        <f t="shared" si="73"/>
        <v>2959</v>
      </c>
      <c r="M215" s="13">
        <f t="shared" si="74"/>
        <v>2960</v>
      </c>
      <c r="N215" s="13">
        <f t="shared" si="74"/>
        <v>2961</v>
      </c>
      <c r="O215" s="13">
        <f t="shared" si="74"/>
        <v>2962</v>
      </c>
      <c r="P215" s="13">
        <f t="shared" si="74"/>
        <v>2963</v>
      </c>
      <c r="Q215" s="13">
        <f t="shared" si="74"/>
        <v>2964</v>
      </c>
      <c r="R215" s="13">
        <f t="shared" si="74"/>
        <v>2965</v>
      </c>
      <c r="S215" s="13">
        <f t="shared" si="74"/>
        <v>2966</v>
      </c>
      <c r="T215" s="13">
        <f t="shared" si="74"/>
        <v>2967</v>
      </c>
      <c r="U215" s="13">
        <f t="shared" si="74"/>
        <v>2968</v>
      </c>
      <c r="V215" s="13">
        <f t="shared" si="74"/>
        <v>2969</v>
      </c>
      <c r="W215" s="13">
        <f t="shared" si="75"/>
        <v>2970</v>
      </c>
      <c r="X215" s="13">
        <f t="shared" si="75"/>
        <v>2971</v>
      </c>
      <c r="Y215" s="13">
        <f t="shared" si="75"/>
        <v>2972</v>
      </c>
      <c r="Z215" s="13">
        <f t="shared" si="75"/>
        <v>2973</v>
      </c>
      <c r="AA215" s="13">
        <f t="shared" si="75"/>
        <v>2974</v>
      </c>
      <c r="AB215" s="13">
        <f t="shared" si="75"/>
        <v>2975</v>
      </c>
      <c r="AC215" s="13">
        <f t="shared" si="75"/>
        <v>2976</v>
      </c>
      <c r="AD215" s="13">
        <f t="shared" si="75"/>
        <v>2977</v>
      </c>
      <c r="AE215" s="13">
        <f t="shared" si="75"/>
        <v>2978</v>
      </c>
      <c r="AF215" s="13">
        <f t="shared" si="75"/>
        <v>2979</v>
      </c>
      <c r="AG215" s="13">
        <f t="shared" si="76"/>
        <v>2980</v>
      </c>
      <c r="AH215" s="13">
        <f t="shared" si="76"/>
        <v>2981</v>
      </c>
      <c r="AI215" s="13">
        <f t="shared" si="76"/>
        <v>2982</v>
      </c>
      <c r="AJ215" s="13">
        <f t="shared" si="76"/>
        <v>2983</v>
      </c>
      <c r="AK215" s="13">
        <f t="shared" si="76"/>
        <v>2984</v>
      </c>
      <c r="AL215" s="13">
        <f t="shared" si="76"/>
        <v>2985</v>
      </c>
      <c r="AM215" s="13">
        <f t="shared" si="76"/>
        <v>2986</v>
      </c>
      <c r="AN215" s="13">
        <f t="shared" si="76"/>
        <v>2987</v>
      </c>
      <c r="AO215" s="13">
        <f t="shared" si="76"/>
        <v>2988</v>
      </c>
      <c r="AP215" s="13">
        <f t="shared" si="76"/>
        <v>2989</v>
      </c>
      <c r="AQ215" s="13">
        <f t="shared" si="77"/>
        <v>2990</v>
      </c>
      <c r="AR215" s="13">
        <f t="shared" si="77"/>
        <v>2991</v>
      </c>
      <c r="AS215" s="13">
        <f t="shared" si="77"/>
        <v>2992</v>
      </c>
      <c r="AT215" s="13">
        <f t="shared" si="77"/>
        <v>2993</v>
      </c>
      <c r="AU215" s="13">
        <f t="shared" si="77"/>
        <v>2994</v>
      </c>
      <c r="AV215" s="13">
        <f t="shared" si="77"/>
        <v>2995</v>
      </c>
      <c r="AW215" s="13">
        <f t="shared" si="77"/>
        <v>2996</v>
      </c>
      <c r="AX215" s="13">
        <f t="shared" si="77"/>
        <v>2997</v>
      </c>
      <c r="AY215" s="13">
        <f t="shared" si="77"/>
        <v>2998</v>
      </c>
      <c r="AZ215" s="13">
        <f t="shared" si="77"/>
        <v>2999</v>
      </c>
      <c r="BA215" s="13">
        <f t="shared" si="78"/>
        <v>3000</v>
      </c>
      <c r="BB215" s="13">
        <f t="shared" si="78"/>
        <v>3001</v>
      </c>
      <c r="BC215" s="13">
        <f t="shared" si="78"/>
        <v>3002</v>
      </c>
      <c r="BD215" s="13">
        <f t="shared" si="78"/>
        <v>3003</v>
      </c>
      <c r="BE215" s="13">
        <f t="shared" si="78"/>
        <v>3004</v>
      </c>
      <c r="BF215" s="13">
        <f t="shared" si="78"/>
        <v>3005</v>
      </c>
      <c r="BG215" s="13">
        <f t="shared" si="78"/>
        <v>3006</v>
      </c>
      <c r="BH215" s="13">
        <f t="shared" si="78"/>
        <v>3007</v>
      </c>
      <c r="BI215" s="13">
        <f t="shared" si="78"/>
        <v>3008</v>
      </c>
      <c r="BJ215" s="13">
        <f t="shared" si="78"/>
        <v>3009</v>
      </c>
      <c r="BK215" s="13">
        <f t="shared" si="78"/>
        <v>3010</v>
      </c>
      <c r="BL215" s="13">
        <f t="shared" si="78"/>
        <v>3011</v>
      </c>
      <c r="BM215" s="13">
        <f t="shared" si="78"/>
        <v>3012</v>
      </c>
      <c r="BN215" s="13">
        <f t="shared" si="78"/>
        <v>3013</v>
      </c>
    </row>
    <row r="216" spans="1:66">
      <c r="A216">
        <f>VLOOKUP(B216,Teste!$A$137:$G$236,7,FALSE)</f>
        <v>0</v>
      </c>
      <c r="B216">
        <f t="shared" si="48"/>
        <v>60</v>
      </c>
      <c r="C216" s="13">
        <f t="shared" ref="C216:L225" si="79">C$155 + numGenes*$B216</f>
        <v>3000</v>
      </c>
      <c r="D216" s="13">
        <f t="shared" si="79"/>
        <v>3001</v>
      </c>
      <c r="E216" s="13">
        <f t="shared" si="79"/>
        <v>3002</v>
      </c>
      <c r="F216" s="13">
        <f t="shared" si="79"/>
        <v>3003</v>
      </c>
      <c r="G216" s="13">
        <f t="shared" si="79"/>
        <v>3004</v>
      </c>
      <c r="H216" s="13">
        <f t="shared" si="79"/>
        <v>3005</v>
      </c>
      <c r="I216" s="13">
        <f t="shared" si="79"/>
        <v>3006</v>
      </c>
      <c r="J216" s="13">
        <f t="shared" si="79"/>
        <v>3007</v>
      </c>
      <c r="K216" s="13">
        <f t="shared" si="79"/>
        <v>3008</v>
      </c>
      <c r="L216" s="13">
        <f t="shared" si="79"/>
        <v>3009</v>
      </c>
      <c r="M216" s="13">
        <f t="shared" ref="M216:V225" si="80">M$155 + numGenes*$B216</f>
        <v>3010</v>
      </c>
      <c r="N216" s="13">
        <f t="shared" si="80"/>
        <v>3011</v>
      </c>
      <c r="O216" s="13">
        <f t="shared" si="80"/>
        <v>3012</v>
      </c>
      <c r="P216" s="13">
        <f t="shared" si="80"/>
        <v>3013</v>
      </c>
      <c r="Q216" s="13">
        <f t="shared" si="80"/>
        <v>3014</v>
      </c>
      <c r="R216" s="13">
        <f t="shared" si="80"/>
        <v>3015</v>
      </c>
      <c r="S216" s="13">
        <f t="shared" si="80"/>
        <v>3016</v>
      </c>
      <c r="T216" s="13">
        <f t="shared" si="80"/>
        <v>3017</v>
      </c>
      <c r="U216" s="13">
        <f t="shared" si="80"/>
        <v>3018</v>
      </c>
      <c r="V216" s="13">
        <f t="shared" si="80"/>
        <v>3019</v>
      </c>
      <c r="W216" s="13">
        <f t="shared" ref="W216:AF225" si="81">W$155 + numGenes*$B216</f>
        <v>3020</v>
      </c>
      <c r="X216" s="13">
        <f t="shared" si="81"/>
        <v>3021</v>
      </c>
      <c r="Y216" s="13">
        <f t="shared" si="81"/>
        <v>3022</v>
      </c>
      <c r="Z216" s="13">
        <f t="shared" si="81"/>
        <v>3023</v>
      </c>
      <c r="AA216" s="13">
        <f t="shared" si="81"/>
        <v>3024</v>
      </c>
      <c r="AB216" s="13">
        <f t="shared" si="81"/>
        <v>3025</v>
      </c>
      <c r="AC216" s="13">
        <f t="shared" si="81"/>
        <v>3026</v>
      </c>
      <c r="AD216" s="13">
        <f t="shared" si="81"/>
        <v>3027</v>
      </c>
      <c r="AE216" s="13">
        <f t="shared" si="81"/>
        <v>3028</v>
      </c>
      <c r="AF216" s="13">
        <f t="shared" si="81"/>
        <v>3029</v>
      </c>
      <c r="AG216" s="13">
        <f t="shared" ref="AG216:AP225" si="82">AG$155 + numGenes*$B216</f>
        <v>3030</v>
      </c>
      <c r="AH216" s="13">
        <f t="shared" si="82"/>
        <v>3031</v>
      </c>
      <c r="AI216" s="13">
        <f t="shared" si="82"/>
        <v>3032</v>
      </c>
      <c r="AJ216" s="13">
        <f t="shared" si="82"/>
        <v>3033</v>
      </c>
      <c r="AK216" s="13">
        <f t="shared" si="82"/>
        <v>3034</v>
      </c>
      <c r="AL216" s="13">
        <f t="shared" si="82"/>
        <v>3035</v>
      </c>
      <c r="AM216" s="13">
        <f t="shared" si="82"/>
        <v>3036</v>
      </c>
      <c r="AN216" s="13">
        <f t="shared" si="82"/>
        <v>3037</v>
      </c>
      <c r="AO216" s="13">
        <f t="shared" si="82"/>
        <v>3038</v>
      </c>
      <c r="AP216" s="13">
        <f t="shared" si="82"/>
        <v>3039</v>
      </c>
      <c r="AQ216" s="13">
        <f t="shared" ref="AQ216:AZ225" si="83">AQ$155 + numGenes*$B216</f>
        <v>3040</v>
      </c>
      <c r="AR216" s="13">
        <f t="shared" si="83"/>
        <v>3041</v>
      </c>
      <c r="AS216" s="13">
        <f t="shared" si="83"/>
        <v>3042</v>
      </c>
      <c r="AT216" s="13">
        <f t="shared" si="83"/>
        <v>3043</v>
      </c>
      <c r="AU216" s="13">
        <f t="shared" si="83"/>
        <v>3044</v>
      </c>
      <c r="AV216" s="13">
        <f t="shared" si="83"/>
        <v>3045</v>
      </c>
      <c r="AW216" s="13">
        <f t="shared" si="83"/>
        <v>3046</v>
      </c>
      <c r="AX216" s="13">
        <f t="shared" si="83"/>
        <v>3047</v>
      </c>
      <c r="AY216" s="13">
        <f t="shared" si="83"/>
        <v>3048</v>
      </c>
      <c r="AZ216" s="13">
        <f t="shared" si="83"/>
        <v>3049</v>
      </c>
      <c r="BA216" s="13">
        <f t="shared" ref="BA216:BN225" si="84">BA$155 + numGenes*$B216</f>
        <v>3050</v>
      </c>
      <c r="BB216" s="13">
        <f t="shared" si="84"/>
        <v>3051</v>
      </c>
      <c r="BC216" s="13">
        <f t="shared" si="84"/>
        <v>3052</v>
      </c>
      <c r="BD216" s="13">
        <f t="shared" si="84"/>
        <v>3053</v>
      </c>
      <c r="BE216" s="13">
        <f t="shared" si="84"/>
        <v>3054</v>
      </c>
      <c r="BF216" s="13">
        <f t="shared" si="84"/>
        <v>3055</v>
      </c>
      <c r="BG216" s="13">
        <f t="shared" si="84"/>
        <v>3056</v>
      </c>
      <c r="BH216" s="13">
        <f t="shared" si="84"/>
        <v>3057</v>
      </c>
      <c r="BI216" s="13">
        <f t="shared" si="84"/>
        <v>3058</v>
      </c>
      <c r="BJ216" s="13">
        <f t="shared" si="84"/>
        <v>3059</v>
      </c>
      <c r="BK216" s="13">
        <f t="shared" si="84"/>
        <v>3060</v>
      </c>
      <c r="BL216" s="13">
        <f t="shared" si="84"/>
        <v>3061</v>
      </c>
      <c r="BM216" s="13">
        <f t="shared" si="84"/>
        <v>3062</v>
      </c>
      <c r="BN216" s="13">
        <f t="shared" si="84"/>
        <v>3063</v>
      </c>
    </row>
    <row r="217" spans="1:66">
      <c r="A217">
        <f>VLOOKUP(B217,Teste!$A$137:$G$236,7,FALSE)</f>
        <v>0</v>
      </c>
      <c r="B217">
        <f t="shared" si="48"/>
        <v>61</v>
      </c>
      <c r="C217" s="13">
        <f t="shared" si="79"/>
        <v>3050</v>
      </c>
      <c r="D217" s="13">
        <f t="shared" si="79"/>
        <v>3051</v>
      </c>
      <c r="E217" s="13">
        <f t="shared" si="79"/>
        <v>3052</v>
      </c>
      <c r="F217" s="13">
        <f t="shared" si="79"/>
        <v>3053</v>
      </c>
      <c r="G217" s="13">
        <f t="shared" si="79"/>
        <v>3054</v>
      </c>
      <c r="H217" s="13">
        <f t="shared" si="79"/>
        <v>3055</v>
      </c>
      <c r="I217" s="13">
        <f t="shared" si="79"/>
        <v>3056</v>
      </c>
      <c r="J217" s="13">
        <f t="shared" si="79"/>
        <v>3057</v>
      </c>
      <c r="K217" s="13">
        <f t="shared" si="79"/>
        <v>3058</v>
      </c>
      <c r="L217" s="13">
        <f t="shared" si="79"/>
        <v>3059</v>
      </c>
      <c r="M217" s="13">
        <f t="shared" si="80"/>
        <v>3060</v>
      </c>
      <c r="N217" s="13">
        <f t="shared" si="80"/>
        <v>3061</v>
      </c>
      <c r="O217" s="13">
        <f t="shared" si="80"/>
        <v>3062</v>
      </c>
      <c r="P217" s="13">
        <f t="shared" si="80"/>
        <v>3063</v>
      </c>
      <c r="Q217" s="13">
        <f t="shared" si="80"/>
        <v>3064</v>
      </c>
      <c r="R217" s="13">
        <f t="shared" si="80"/>
        <v>3065</v>
      </c>
      <c r="S217" s="13">
        <f t="shared" si="80"/>
        <v>3066</v>
      </c>
      <c r="T217" s="13">
        <f t="shared" si="80"/>
        <v>3067</v>
      </c>
      <c r="U217" s="13">
        <f t="shared" si="80"/>
        <v>3068</v>
      </c>
      <c r="V217" s="13">
        <f t="shared" si="80"/>
        <v>3069</v>
      </c>
      <c r="W217" s="13">
        <f t="shared" si="81"/>
        <v>3070</v>
      </c>
      <c r="X217" s="13">
        <f t="shared" si="81"/>
        <v>3071</v>
      </c>
      <c r="Y217" s="13">
        <f t="shared" si="81"/>
        <v>3072</v>
      </c>
      <c r="Z217" s="13">
        <f t="shared" si="81"/>
        <v>3073</v>
      </c>
      <c r="AA217" s="13">
        <f t="shared" si="81"/>
        <v>3074</v>
      </c>
      <c r="AB217" s="13">
        <f t="shared" si="81"/>
        <v>3075</v>
      </c>
      <c r="AC217" s="13">
        <f t="shared" si="81"/>
        <v>3076</v>
      </c>
      <c r="AD217" s="13">
        <f t="shared" si="81"/>
        <v>3077</v>
      </c>
      <c r="AE217" s="13">
        <f t="shared" si="81"/>
        <v>3078</v>
      </c>
      <c r="AF217" s="13">
        <f t="shared" si="81"/>
        <v>3079</v>
      </c>
      <c r="AG217" s="13">
        <f t="shared" si="82"/>
        <v>3080</v>
      </c>
      <c r="AH217" s="13">
        <f t="shared" si="82"/>
        <v>3081</v>
      </c>
      <c r="AI217" s="13">
        <f t="shared" si="82"/>
        <v>3082</v>
      </c>
      <c r="AJ217" s="13">
        <f t="shared" si="82"/>
        <v>3083</v>
      </c>
      <c r="AK217" s="13">
        <f t="shared" si="82"/>
        <v>3084</v>
      </c>
      <c r="AL217" s="13">
        <f t="shared" si="82"/>
        <v>3085</v>
      </c>
      <c r="AM217" s="13">
        <f t="shared" si="82"/>
        <v>3086</v>
      </c>
      <c r="AN217" s="13">
        <f t="shared" si="82"/>
        <v>3087</v>
      </c>
      <c r="AO217" s="13">
        <f t="shared" si="82"/>
        <v>3088</v>
      </c>
      <c r="AP217" s="13">
        <f t="shared" si="82"/>
        <v>3089</v>
      </c>
      <c r="AQ217" s="13">
        <f t="shared" si="83"/>
        <v>3090</v>
      </c>
      <c r="AR217" s="13">
        <f t="shared" si="83"/>
        <v>3091</v>
      </c>
      <c r="AS217" s="13">
        <f t="shared" si="83"/>
        <v>3092</v>
      </c>
      <c r="AT217" s="13">
        <f t="shared" si="83"/>
        <v>3093</v>
      </c>
      <c r="AU217" s="13">
        <f t="shared" si="83"/>
        <v>3094</v>
      </c>
      <c r="AV217" s="13">
        <f t="shared" si="83"/>
        <v>3095</v>
      </c>
      <c r="AW217" s="13">
        <f t="shared" si="83"/>
        <v>3096</v>
      </c>
      <c r="AX217" s="13">
        <f t="shared" si="83"/>
        <v>3097</v>
      </c>
      <c r="AY217" s="13">
        <f t="shared" si="83"/>
        <v>3098</v>
      </c>
      <c r="AZ217" s="13">
        <f t="shared" si="83"/>
        <v>3099</v>
      </c>
      <c r="BA217" s="13">
        <f t="shared" si="84"/>
        <v>3100</v>
      </c>
      <c r="BB217" s="13">
        <f t="shared" si="84"/>
        <v>3101</v>
      </c>
      <c r="BC217" s="13">
        <f t="shared" si="84"/>
        <v>3102</v>
      </c>
      <c r="BD217" s="13">
        <f t="shared" si="84"/>
        <v>3103</v>
      </c>
      <c r="BE217" s="13">
        <f t="shared" si="84"/>
        <v>3104</v>
      </c>
      <c r="BF217" s="13">
        <f t="shared" si="84"/>
        <v>3105</v>
      </c>
      <c r="BG217" s="13">
        <f t="shared" si="84"/>
        <v>3106</v>
      </c>
      <c r="BH217" s="13">
        <f t="shared" si="84"/>
        <v>3107</v>
      </c>
      <c r="BI217" s="13">
        <f t="shared" si="84"/>
        <v>3108</v>
      </c>
      <c r="BJ217" s="13">
        <f t="shared" si="84"/>
        <v>3109</v>
      </c>
      <c r="BK217" s="13">
        <f t="shared" si="84"/>
        <v>3110</v>
      </c>
      <c r="BL217" s="13">
        <f t="shared" si="84"/>
        <v>3111</v>
      </c>
      <c r="BM217" s="13">
        <f t="shared" si="84"/>
        <v>3112</v>
      </c>
      <c r="BN217" s="13">
        <f t="shared" si="84"/>
        <v>3113</v>
      </c>
    </row>
    <row r="218" spans="1:66">
      <c r="A218">
        <f>VLOOKUP(B218,Teste!$A$137:$G$236,7,FALSE)</f>
        <v>0</v>
      </c>
      <c r="B218">
        <f t="shared" si="48"/>
        <v>62</v>
      </c>
      <c r="C218" s="13">
        <f t="shared" si="79"/>
        <v>3100</v>
      </c>
      <c r="D218" s="13">
        <f t="shared" si="79"/>
        <v>3101</v>
      </c>
      <c r="E218" s="13">
        <f t="shared" si="79"/>
        <v>3102</v>
      </c>
      <c r="F218" s="13">
        <f t="shared" si="79"/>
        <v>3103</v>
      </c>
      <c r="G218" s="13">
        <f t="shared" si="79"/>
        <v>3104</v>
      </c>
      <c r="H218" s="13">
        <f t="shared" si="79"/>
        <v>3105</v>
      </c>
      <c r="I218" s="13">
        <f t="shared" si="79"/>
        <v>3106</v>
      </c>
      <c r="J218" s="13">
        <f t="shared" si="79"/>
        <v>3107</v>
      </c>
      <c r="K218" s="13">
        <f t="shared" si="79"/>
        <v>3108</v>
      </c>
      <c r="L218" s="13">
        <f t="shared" si="79"/>
        <v>3109</v>
      </c>
      <c r="M218" s="13">
        <f t="shared" si="80"/>
        <v>3110</v>
      </c>
      <c r="N218" s="13">
        <f t="shared" si="80"/>
        <v>3111</v>
      </c>
      <c r="O218" s="13">
        <f t="shared" si="80"/>
        <v>3112</v>
      </c>
      <c r="P218" s="13">
        <f t="shared" si="80"/>
        <v>3113</v>
      </c>
      <c r="Q218" s="13">
        <f t="shared" si="80"/>
        <v>3114</v>
      </c>
      <c r="R218" s="13">
        <f t="shared" si="80"/>
        <v>3115</v>
      </c>
      <c r="S218" s="13">
        <f t="shared" si="80"/>
        <v>3116</v>
      </c>
      <c r="T218" s="13">
        <f t="shared" si="80"/>
        <v>3117</v>
      </c>
      <c r="U218" s="13">
        <f t="shared" si="80"/>
        <v>3118</v>
      </c>
      <c r="V218" s="13">
        <f t="shared" si="80"/>
        <v>3119</v>
      </c>
      <c r="W218" s="13">
        <f t="shared" si="81"/>
        <v>3120</v>
      </c>
      <c r="X218" s="13">
        <f t="shared" si="81"/>
        <v>3121</v>
      </c>
      <c r="Y218" s="13">
        <f t="shared" si="81"/>
        <v>3122</v>
      </c>
      <c r="Z218" s="13">
        <f t="shared" si="81"/>
        <v>3123</v>
      </c>
      <c r="AA218" s="13">
        <f t="shared" si="81"/>
        <v>3124</v>
      </c>
      <c r="AB218" s="13">
        <f t="shared" si="81"/>
        <v>3125</v>
      </c>
      <c r="AC218" s="13">
        <f t="shared" si="81"/>
        <v>3126</v>
      </c>
      <c r="AD218" s="13">
        <f t="shared" si="81"/>
        <v>3127</v>
      </c>
      <c r="AE218" s="13">
        <f t="shared" si="81"/>
        <v>3128</v>
      </c>
      <c r="AF218" s="13">
        <f t="shared" si="81"/>
        <v>3129</v>
      </c>
      <c r="AG218" s="13">
        <f t="shared" si="82"/>
        <v>3130</v>
      </c>
      <c r="AH218" s="13">
        <f t="shared" si="82"/>
        <v>3131</v>
      </c>
      <c r="AI218" s="13">
        <f t="shared" si="82"/>
        <v>3132</v>
      </c>
      <c r="AJ218" s="13">
        <f t="shared" si="82"/>
        <v>3133</v>
      </c>
      <c r="AK218" s="13">
        <f t="shared" si="82"/>
        <v>3134</v>
      </c>
      <c r="AL218" s="13">
        <f t="shared" si="82"/>
        <v>3135</v>
      </c>
      <c r="AM218" s="13">
        <f t="shared" si="82"/>
        <v>3136</v>
      </c>
      <c r="AN218" s="13">
        <f t="shared" si="82"/>
        <v>3137</v>
      </c>
      <c r="AO218" s="13">
        <f t="shared" si="82"/>
        <v>3138</v>
      </c>
      <c r="AP218" s="13">
        <f t="shared" si="82"/>
        <v>3139</v>
      </c>
      <c r="AQ218" s="13">
        <f t="shared" si="83"/>
        <v>3140</v>
      </c>
      <c r="AR218" s="13">
        <f t="shared" si="83"/>
        <v>3141</v>
      </c>
      <c r="AS218" s="13">
        <f t="shared" si="83"/>
        <v>3142</v>
      </c>
      <c r="AT218" s="13">
        <f t="shared" si="83"/>
        <v>3143</v>
      </c>
      <c r="AU218" s="13">
        <f t="shared" si="83"/>
        <v>3144</v>
      </c>
      <c r="AV218" s="13">
        <f t="shared" si="83"/>
        <v>3145</v>
      </c>
      <c r="AW218" s="13">
        <f t="shared" si="83"/>
        <v>3146</v>
      </c>
      <c r="AX218" s="13">
        <f t="shared" si="83"/>
        <v>3147</v>
      </c>
      <c r="AY218" s="13">
        <f t="shared" si="83"/>
        <v>3148</v>
      </c>
      <c r="AZ218" s="13">
        <f t="shared" si="83"/>
        <v>3149</v>
      </c>
      <c r="BA218" s="13">
        <f t="shared" si="84"/>
        <v>3150</v>
      </c>
      <c r="BB218" s="13">
        <f t="shared" si="84"/>
        <v>3151</v>
      </c>
      <c r="BC218" s="13">
        <f t="shared" si="84"/>
        <v>3152</v>
      </c>
      <c r="BD218" s="13">
        <f t="shared" si="84"/>
        <v>3153</v>
      </c>
      <c r="BE218" s="13">
        <f t="shared" si="84"/>
        <v>3154</v>
      </c>
      <c r="BF218" s="13">
        <f t="shared" si="84"/>
        <v>3155</v>
      </c>
      <c r="BG218" s="13">
        <f t="shared" si="84"/>
        <v>3156</v>
      </c>
      <c r="BH218" s="13">
        <f t="shared" si="84"/>
        <v>3157</v>
      </c>
      <c r="BI218" s="13">
        <f t="shared" si="84"/>
        <v>3158</v>
      </c>
      <c r="BJ218" s="13">
        <f t="shared" si="84"/>
        <v>3159</v>
      </c>
      <c r="BK218" s="13">
        <f t="shared" si="84"/>
        <v>3160</v>
      </c>
      <c r="BL218" s="13">
        <f t="shared" si="84"/>
        <v>3161</v>
      </c>
      <c r="BM218" s="13">
        <f t="shared" si="84"/>
        <v>3162</v>
      </c>
      <c r="BN218" s="13">
        <f t="shared" si="84"/>
        <v>3163</v>
      </c>
    </row>
    <row r="219" spans="1:66">
      <c r="A219">
        <f>VLOOKUP(B219,Teste!$A$137:$G$236,7,FALSE)</f>
        <v>0</v>
      </c>
      <c r="B219">
        <f t="shared" si="48"/>
        <v>63</v>
      </c>
      <c r="C219" s="13">
        <f t="shared" si="79"/>
        <v>3150</v>
      </c>
      <c r="D219" s="13">
        <f t="shared" si="79"/>
        <v>3151</v>
      </c>
      <c r="E219" s="13">
        <f t="shared" si="79"/>
        <v>3152</v>
      </c>
      <c r="F219" s="13">
        <f t="shared" si="79"/>
        <v>3153</v>
      </c>
      <c r="G219" s="13">
        <f t="shared" si="79"/>
        <v>3154</v>
      </c>
      <c r="H219" s="13">
        <f t="shared" si="79"/>
        <v>3155</v>
      </c>
      <c r="I219" s="13">
        <f t="shared" si="79"/>
        <v>3156</v>
      </c>
      <c r="J219" s="13">
        <f t="shared" si="79"/>
        <v>3157</v>
      </c>
      <c r="K219" s="13">
        <f t="shared" si="79"/>
        <v>3158</v>
      </c>
      <c r="L219" s="13">
        <f t="shared" si="79"/>
        <v>3159</v>
      </c>
      <c r="M219" s="13">
        <f t="shared" si="80"/>
        <v>3160</v>
      </c>
      <c r="N219" s="13">
        <f t="shared" si="80"/>
        <v>3161</v>
      </c>
      <c r="O219" s="13">
        <f t="shared" si="80"/>
        <v>3162</v>
      </c>
      <c r="P219" s="13">
        <f t="shared" si="80"/>
        <v>3163</v>
      </c>
      <c r="Q219" s="13">
        <f t="shared" si="80"/>
        <v>3164</v>
      </c>
      <c r="R219" s="13">
        <f t="shared" si="80"/>
        <v>3165</v>
      </c>
      <c r="S219" s="13">
        <f t="shared" si="80"/>
        <v>3166</v>
      </c>
      <c r="T219" s="13">
        <f t="shared" si="80"/>
        <v>3167</v>
      </c>
      <c r="U219" s="13">
        <f t="shared" si="80"/>
        <v>3168</v>
      </c>
      <c r="V219" s="13">
        <f t="shared" si="80"/>
        <v>3169</v>
      </c>
      <c r="W219" s="13">
        <f t="shared" si="81"/>
        <v>3170</v>
      </c>
      <c r="X219" s="13">
        <f t="shared" si="81"/>
        <v>3171</v>
      </c>
      <c r="Y219" s="13">
        <f t="shared" si="81"/>
        <v>3172</v>
      </c>
      <c r="Z219" s="13">
        <f t="shared" si="81"/>
        <v>3173</v>
      </c>
      <c r="AA219" s="13">
        <f t="shared" si="81"/>
        <v>3174</v>
      </c>
      <c r="AB219" s="13">
        <f t="shared" si="81"/>
        <v>3175</v>
      </c>
      <c r="AC219" s="13">
        <f t="shared" si="81"/>
        <v>3176</v>
      </c>
      <c r="AD219" s="13">
        <f t="shared" si="81"/>
        <v>3177</v>
      </c>
      <c r="AE219" s="13">
        <f t="shared" si="81"/>
        <v>3178</v>
      </c>
      <c r="AF219" s="13">
        <f t="shared" si="81"/>
        <v>3179</v>
      </c>
      <c r="AG219" s="13">
        <f t="shared" si="82"/>
        <v>3180</v>
      </c>
      <c r="AH219" s="13">
        <f t="shared" si="82"/>
        <v>3181</v>
      </c>
      <c r="AI219" s="13">
        <f t="shared" si="82"/>
        <v>3182</v>
      </c>
      <c r="AJ219" s="13">
        <f t="shared" si="82"/>
        <v>3183</v>
      </c>
      <c r="AK219" s="13">
        <f t="shared" si="82"/>
        <v>3184</v>
      </c>
      <c r="AL219" s="13">
        <f t="shared" si="82"/>
        <v>3185</v>
      </c>
      <c r="AM219" s="13">
        <f t="shared" si="82"/>
        <v>3186</v>
      </c>
      <c r="AN219" s="13">
        <f t="shared" si="82"/>
        <v>3187</v>
      </c>
      <c r="AO219" s="13">
        <f t="shared" si="82"/>
        <v>3188</v>
      </c>
      <c r="AP219" s="13">
        <f t="shared" si="82"/>
        <v>3189</v>
      </c>
      <c r="AQ219" s="13">
        <f t="shared" si="83"/>
        <v>3190</v>
      </c>
      <c r="AR219" s="13">
        <f t="shared" si="83"/>
        <v>3191</v>
      </c>
      <c r="AS219" s="13">
        <f t="shared" si="83"/>
        <v>3192</v>
      </c>
      <c r="AT219" s="13">
        <f t="shared" si="83"/>
        <v>3193</v>
      </c>
      <c r="AU219" s="13">
        <f t="shared" si="83"/>
        <v>3194</v>
      </c>
      <c r="AV219" s="13">
        <f t="shared" si="83"/>
        <v>3195</v>
      </c>
      <c r="AW219" s="13">
        <f t="shared" si="83"/>
        <v>3196</v>
      </c>
      <c r="AX219" s="13">
        <f t="shared" si="83"/>
        <v>3197</v>
      </c>
      <c r="AY219" s="13">
        <f t="shared" si="83"/>
        <v>3198</v>
      </c>
      <c r="AZ219" s="13">
        <f t="shared" si="83"/>
        <v>3199</v>
      </c>
      <c r="BA219" s="13">
        <f t="shared" si="84"/>
        <v>3200</v>
      </c>
      <c r="BB219" s="13">
        <f t="shared" si="84"/>
        <v>3201</v>
      </c>
      <c r="BC219" s="13">
        <f t="shared" si="84"/>
        <v>3202</v>
      </c>
      <c r="BD219" s="13">
        <f t="shared" si="84"/>
        <v>3203</v>
      </c>
      <c r="BE219" s="13">
        <f t="shared" si="84"/>
        <v>3204</v>
      </c>
      <c r="BF219" s="13">
        <f t="shared" si="84"/>
        <v>3205</v>
      </c>
      <c r="BG219" s="13">
        <f t="shared" si="84"/>
        <v>3206</v>
      </c>
      <c r="BH219" s="13">
        <f t="shared" si="84"/>
        <v>3207</v>
      </c>
      <c r="BI219" s="13">
        <f t="shared" si="84"/>
        <v>3208</v>
      </c>
      <c r="BJ219" s="13">
        <f t="shared" si="84"/>
        <v>3209</v>
      </c>
      <c r="BK219" s="13">
        <f t="shared" si="84"/>
        <v>3210</v>
      </c>
      <c r="BL219" s="13">
        <f t="shared" si="84"/>
        <v>3211</v>
      </c>
      <c r="BM219" s="13">
        <f t="shared" si="84"/>
        <v>3212</v>
      </c>
      <c r="BN219" s="13">
        <f t="shared" si="84"/>
        <v>3213</v>
      </c>
    </row>
    <row r="220" spans="1:66">
      <c r="A220">
        <f>VLOOKUP(B220,Teste!$A$137:$G$236,7,FALSE)</f>
        <v>0</v>
      </c>
      <c r="B220">
        <f t="shared" si="48"/>
        <v>64</v>
      </c>
      <c r="C220" s="13">
        <f t="shared" si="79"/>
        <v>3200</v>
      </c>
      <c r="D220" s="13">
        <f t="shared" si="79"/>
        <v>3201</v>
      </c>
      <c r="E220" s="13">
        <f t="shared" si="79"/>
        <v>3202</v>
      </c>
      <c r="F220" s="13">
        <f t="shared" si="79"/>
        <v>3203</v>
      </c>
      <c r="G220" s="13">
        <f t="shared" si="79"/>
        <v>3204</v>
      </c>
      <c r="H220" s="13">
        <f t="shared" si="79"/>
        <v>3205</v>
      </c>
      <c r="I220" s="13">
        <f t="shared" si="79"/>
        <v>3206</v>
      </c>
      <c r="J220" s="13">
        <f t="shared" si="79"/>
        <v>3207</v>
      </c>
      <c r="K220" s="13">
        <f t="shared" si="79"/>
        <v>3208</v>
      </c>
      <c r="L220" s="13">
        <f t="shared" si="79"/>
        <v>3209</v>
      </c>
      <c r="M220" s="13">
        <f t="shared" si="80"/>
        <v>3210</v>
      </c>
      <c r="N220" s="13">
        <f t="shared" si="80"/>
        <v>3211</v>
      </c>
      <c r="O220" s="13">
        <f t="shared" si="80"/>
        <v>3212</v>
      </c>
      <c r="P220" s="13">
        <f t="shared" si="80"/>
        <v>3213</v>
      </c>
      <c r="Q220" s="13">
        <f t="shared" si="80"/>
        <v>3214</v>
      </c>
      <c r="R220" s="13">
        <f t="shared" si="80"/>
        <v>3215</v>
      </c>
      <c r="S220" s="13">
        <f t="shared" si="80"/>
        <v>3216</v>
      </c>
      <c r="T220" s="13">
        <f t="shared" si="80"/>
        <v>3217</v>
      </c>
      <c r="U220" s="13">
        <f t="shared" si="80"/>
        <v>3218</v>
      </c>
      <c r="V220" s="13">
        <f t="shared" si="80"/>
        <v>3219</v>
      </c>
      <c r="W220" s="13">
        <f t="shared" si="81"/>
        <v>3220</v>
      </c>
      <c r="X220" s="13">
        <f t="shared" si="81"/>
        <v>3221</v>
      </c>
      <c r="Y220" s="13">
        <f t="shared" si="81"/>
        <v>3222</v>
      </c>
      <c r="Z220" s="13">
        <f t="shared" si="81"/>
        <v>3223</v>
      </c>
      <c r="AA220" s="13">
        <f t="shared" si="81"/>
        <v>3224</v>
      </c>
      <c r="AB220" s="13">
        <f t="shared" si="81"/>
        <v>3225</v>
      </c>
      <c r="AC220" s="13">
        <f t="shared" si="81"/>
        <v>3226</v>
      </c>
      <c r="AD220" s="13">
        <f t="shared" si="81"/>
        <v>3227</v>
      </c>
      <c r="AE220" s="13">
        <f t="shared" si="81"/>
        <v>3228</v>
      </c>
      <c r="AF220" s="13">
        <f t="shared" si="81"/>
        <v>3229</v>
      </c>
      <c r="AG220" s="13">
        <f t="shared" si="82"/>
        <v>3230</v>
      </c>
      <c r="AH220" s="13">
        <f t="shared" si="82"/>
        <v>3231</v>
      </c>
      <c r="AI220" s="13">
        <f t="shared" si="82"/>
        <v>3232</v>
      </c>
      <c r="AJ220" s="13">
        <f t="shared" si="82"/>
        <v>3233</v>
      </c>
      <c r="AK220" s="13">
        <f t="shared" si="82"/>
        <v>3234</v>
      </c>
      <c r="AL220" s="13">
        <f t="shared" si="82"/>
        <v>3235</v>
      </c>
      <c r="AM220" s="13">
        <f t="shared" si="82"/>
        <v>3236</v>
      </c>
      <c r="AN220" s="13">
        <f t="shared" si="82"/>
        <v>3237</v>
      </c>
      <c r="AO220" s="13">
        <f t="shared" si="82"/>
        <v>3238</v>
      </c>
      <c r="AP220" s="13">
        <f t="shared" si="82"/>
        <v>3239</v>
      </c>
      <c r="AQ220" s="13">
        <f t="shared" si="83"/>
        <v>3240</v>
      </c>
      <c r="AR220" s="13">
        <f t="shared" si="83"/>
        <v>3241</v>
      </c>
      <c r="AS220" s="13">
        <f t="shared" si="83"/>
        <v>3242</v>
      </c>
      <c r="AT220" s="13">
        <f t="shared" si="83"/>
        <v>3243</v>
      </c>
      <c r="AU220" s="13">
        <f t="shared" si="83"/>
        <v>3244</v>
      </c>
      <c r="AV220" s="13">
        <f t="shared" si="83"/>
        <v>3245</v>
      </c>
      <c r="AW220" s="13">
        <f t="shared" si="83"/>
        <v>3246</v>
      </c>
      <c r="AX220" s="13">
        <f t="shared" si="83"/>
        <v>3247</v>
      </c>
      <c r="AY220" s="13">
        <f t="shared" si="83"/>
        <v>3248</v>
      </c>
      <c r="AZ220" s="13">
        <f t="shared" si="83"/>
        <v>3249</v>
      </c>
      <c r="BA220" s="13">
        <f t="shared" si="84"/>
        <v>3250</v>
      </c>
      <c r="BB220" s="13">
        <f t="shared" si="84"/>
        <v>3251</v>
      </c>
      <c r="BC220" s="13">
        <f t="shared" si="84"/>
        <v>3252</v>
      </c>
      <c r="BD220" s="13">
        <f t="shared" si="84"/>
        <v>3253</v>
      </c>
      <c r="BE220" s="13">
        <f t="shared" si="84"/>
        <v>3254</v>
      </c>
      <c r="BF220" s="13">
        <f t="shared" si="84"/>
        <v>3255</v>
      </c>
      <c r="BG220" s="13">
        <f t="shared" si="84"/>
        <v>3256</v>
      </c>
      <c r="BH220" s="13">
        <f t="shared" si="84"/>
        <v>3257</v>
      </c>
      <c r="BI220" s="13">
        <f t="shared" si="84"/>
        <v>3258</v>
      </c>
      <c r="BJ220" s="13">
        <f t="shared" si="84"/>
        <v>3259</v>
      </c>
      <c r="BK220" s="13">
        <f t="shared" si="84"/>
        <v>3260</v>
      </c>
      <c r="BL220" s="13">
        <f t="shared" si="84"/>
        <v>3261</v>
      </c>
      <c r="BM220" s="13">
        <f t="shared" si="84"/>
        <v>3262</v>
      </c>
      <c r="BN220" s="13">
        <f t="shared" si="84"/>
        <v>3263</v>
      </c>
    </row>
    <row r="221" spans="1:66">
      <c r="A221">
        <f>VLOOKUP(B221,Teste!$A$137:$G$236,7,FALSE)</f>
        <v>0</v>
      </c>
      <c r="B221">
        <f t="shared" si="48"/>
        <v>65</v>
      </c>
      <c r="C221" s="13">
        <f t="shared" si="79"/>
        <v>3250</v>
      </c>
      <c r="D221" s="13">
        <f t="shared" si="79"/>
        <v>3251</v>
      </c>
      <c r="E221" s="13">
        <f t="shared" si="79"/>
        <v>3252</v>
      </c>
      <c r="F221" s="13">
        <f t="shared" si="79"/>
        <v>3253</v>
      </c>
      <c r="G221" s="13">
        <f t="shared" si="79"/>
        <v>3254</v>
      </c>
      <c r="H221" s="13">
        <f t="shared" si="79"/>
        <v>3255</v>
      </c>
      <c r="I221" s="13">
        <f t="shared" si="79"/>
        <v>3256</v>
      </c>
      <c r="J221" s="13">
        <f t="shared" si="79"/>
        <v>3257</v>
      </c>
      <c r="K221" s="13">
        <f t="shared" si="79"/>
        <v>3258</v>
      </c>
      <c r="L221" s="13">
        <f t="shared" si="79"/>
        <v>3259</v>
      </c>
      <c r="M221" s="13">
        <f t="shared" si="80"/>
        <v>3260</v>
      </c>
      <c r="N221" s="13">
        <f t="shared" si="80"/>
        <v>3261</v>
      </c>
      <c r="O221" s="13">
        <f t="shared" si="80"/>
        <v>3262</v>
      </c>
      <c r="P221" s="13">
        <f t="shared" si="80"/>
        <v>3263</v>
      </c>
      <c r="Q221" s="13">
        <f t="shared" si="80"/>
        <v>3264</v>
      </c>
      <c r="R221" s="13">
        <f t="shared" si="80"/>
        <v>3265</v>
      </c>
      <c r="S221" s="13">
        <f t="shared" si="80"/>
        <v>3266</v>
      </c>
      <c r="T221" s="13">
        <f t="shared" si="80"/>
        <v>3267</v>
      </c>
      <c r="U221" s="13">
        <f t="shared" si="80"/>
        <v>3268</v>
      </c>
      <c r="V221" s="13">
        <f t="shared" si="80"/>
        <v>3269</v>
      </c>
      <c r="W221" s="13">
        <f t="shared" si="81"/>
        <v>3270</v>
      </c>
      <c r="X221" s="13">
        <f t="shared" si="81"/>
        <v>3271</v>
      </c>
      <c r="Y221" s="13">
        <f t="shared" si="81"/>
        <v>3272</v>
      </c>
      <c r="Z221" s="13">
        <f t="shared" si="81"/>
        <v>3273</v>
      </c>
      <c r="AA221" s="13">
        <f t="shared" si="81"/>
        <v>3274</v>
      </c>
      <c r="AB221" s="13">
        <f t="shared" si="81"/>
        <v>3275</v>
      </c>
      <c r="AC221" s="13">
        <f t="shared" si="81"/>
        <v>3276</v>
      </c>
      <c r="AD221" s="13">
        <f t="shared" si="81"/>
        <v>3277</v>
      </c>
      <c r="AE221" s="13">
        <f t="shared" si="81"/>
        <v>3278</v>
      </c>
      <c r="AF221" s="13">
        <f t="shared" si="81"/>
        <v>3279</v>
      </c>
      <c r="AG221" s="13">
        <f t="shared" si="82"/>
        <v>3280</v>
      </c>
      <c r="AH221" s="13">
        <f t="shared" si="82"/>
        <v>3281</v>
      </c>
      <c r="AI221" s="13">
        <f t="shared" si="82"/>
        <v>3282</v>
      </c>
      <c r="AJ221" s="13">
        <f t="shared" si="82"/>
        <v>3283</v>
      </c>
      <c r="AK221" s="13">
        <f t="shared" si="82"/>
        <v>3284</v>
      </c>
      <c r="AL221" s="13">
        <f t="shared" si="82"/>
        <v>3285</v>
      </c>
      <c r="AM221" s="13">
        <f t="shared" si="82"/>
        <v>3286</v>
      </c>
      <c r="AN221" s="13">
        <f t="shared" si="82"/>
        <v>3287</v>
      </c>
      <c r="AO221" s="13">
        <f t="shared" si="82"/>
        <v>3288</v>
      </c>
      <c r="AP221" s="13">
        <f t="shared" si="82"/>
        <v>3289</v>
      </c>
      <c r="AQ221" s="13">
        <f t="shared" si="83"/>
        <v>3290</v>
      </c>
      <c r="AR221" s="13">
        <f t="shared" si="83"/>
        <v>3291</v>
      </c>
      <c r="AS221" s="13">
        <f t="shared" si="83"/>
        <v>3292</v>
      </c>
      <c r="AT221" s="13">
        <f t="shared" si="83"/>
        <v>3293</v>
      </c>
      <c r="AU221" s="13">
        <f t="shared" si="83"/>
        <v>3294</v>
      </c>
      <c r="AV221" s="13">
        <f t="shared" si="83"/>
        <v>3295</v>
      </c>
      <c r="AW221" s="13">
        <f t="shared" si="83"/>
        <v>3296</v>
      </c>
      <c r="AX221" s="13">
        <f t="shared" si="83"/>
        <v>3297</v>
      </c>
      <c r="AY221" s="13">
        <f t="shared" si="83"/>
        <v>3298</v>
      </c>
      <c r="AZ221" s="13">
        <f t="shared" si="83"/>
        <v>3299</v>
      </c>
      <c r="BA221" s="13">
        <f t="shared" si="84"/>
        <v>3300</v>
      </c>
      <c r="BB221" s="13">
        <f t="shared" si="84"/>
        <v>3301</v>
      </c>
      <c r="BC221" s="13">
        <f t="shared" si="84"/>
        <v>3302</v>
      </c>
      <c r="BD221" s="13">
        <f t="shared" si="84"/>
        <v>3303</v>
      </c>
      <c r="BE221" s="13">
        <f t="shared" si="84"/>
        <v>3304</v>
      </c>
      <c r="BF221" s="13">
        <f t="shared" si="84"/>
        <v>3305</v>
      </c>
      <c r="BG221" s="13">
        <f t="shared" si="84"/>
        <v>3306</v>
      </c>
      <c r="BH221" s="13">
        <f t="shared" si="84"/>
        <v>3307</v>
      </c>
      <c r="BI221" s="13">
        <f t="shared" si="84"/>
        <v>3308</v>
      </c>
      <c r="BJ221" s="13">
        <f t="shared" si="84"/>
        <v>3309</v>
      </c>
      <c r="BK221" s="13">
        <f t="shared" si="84"/>
        <v>3310</v>
      </c>
      <c r="BL221" s="13">
        <f t="shared" si="84"/>
        <v>3311</v>
      </c>
      <c r="BM221" s="13">
        <f t="shared" si="84"/>
        <v>3312</v>
      </c>
      <c r="BN221" s="13">
        <f t="shared" si="84"/>
        <v>3313</v>
      </c>
    </row>
    <row r="222" spans="1:66">
      <c r="A222">
        <f>VLOOKUP(B222,Teste!$A$137:$G$236,7,FALSE)</f>
        <v>0</v>
      </c>
      <c r="B222">
        <f t="shared" ref="B222:B267" si="85">(IF(B221+1&lt;$B$16,B221+1,""))</f>
        <v>66</v>
      </c>
      <c r="C222" s="13">
        <f t="shared" si="79"/>
        <v>3300</v>
      </c>
      <c r="D222" s="13">
        <f t="shared" si="79"/>
        <v>3301</v>
      </c>
      <c r="E222" s="13">
        <f t="shared" si="79"/>
        <v>3302</v>
      </c>
      <c r="F222" s="13">
        <f t="shared" si="79"/>
        <v>3303</v>
      </c>
      <c r="G222" s="13">
        <f t="shared" si="79"/>
        <v>3304</v>
      </c>
      <c r="H222" s="13">
        <f t="shared" si="79"/>
        <v>3305</v>
      </c>
      <c r="I222" s="13">
        <f t="shared" si="79"/>
        <v>3306</v>
      </c>
      <c r="J222" s="13">
        <f t="shared" si="79"/>
        <v>3307</v>
      </c>
      <c r="K222" s="13">
        <f t="shared" si="79"/>
        <v>3308</v>
      </c>
      <c r="L222" s="13">
        <f t="shared" si="79"/>
        <v>3309</v>
      </c>
      <c r="M222" s="13">
        <f t="shared" si="80"/>
        <v>3310</v>
      </c>
      <c r="N222" s="13">
        <f t="shared" si="80"/>
        <v>3311</v>
      </c>
      <c r="O222" s="13">
        <f t="shared" si="80"/>
        <v>3312</v>
      </c>
      <c r="P222" s="13">
        <f t="shared" si="80"/>
        <v>3313</v>
      </c>
      <c r="Q222" s="13">
        <f t="shared" si="80"/>
        <v>3314</v>
      </c>
      <c r="R222" s="13">
        <f t="shared" si="80"/>
        <v>3315</v>
      </c>
      <c r="S222" s="13">
        <f t="shared" si="80"/>
        <v>3316</v>
      </c>
      <c r="T222" s="13">
        <f t="shared" si="80"/>
        <v>3317</v>
      </c>
      <c r="U222" s="13">
        <f t="shared" si="80"/>
        <v>3318</v>
      </c>
      <c r="V222" s="13">
        <f t="shared" si="80"/>
        <v>3319</v>
      </c>
      <c r="W222" s="13">
        <f t="shared" si="81"/>
        <v>3320</v>
      </c>
      <c r="X222" s="13">
        <f t="shared" si="81"/>
        <v>3321</v>
      </c>
      <c r="Y222" s="13">
        <f t="shared" si="81"/>
        <v>3322</v>
      </c>
      <c r="Z222" s="13">
        <f t="shared" si="81"/>
        <v>3323</v>
      </c>
      <c r="AA222" s="13">
        <f t="shared" si="81"/>
        <v>3324</v>
      </c>
      <c r="AB222" s="13">
        <f t="shared" si="81"/>
        <v>3325</v>
      </c>
      <c r="AC222" s="13">
        <f t="shared" si="81"/>
        <v>3326</v>
      </c>
      <c r="AD222" s="13">
        <f t="shared" si="81"/>
        <v>3327</v>
      </c>
      <c r="AE222" s="13">
        <f t="shared" si="81"/>
        <v>3328</v>
      </c>
      <c r="AF222" s="13">
        <f t="shared" si="81"/>
        <v>3329</v>
      </c>
      <c r="AG222" s="13">
        <f t="shared" si="82"/>
        <v>3330</v>
      </c>
      <c r="AH222" s="13">
        <f t="shared" si="82"/>
        <v>3331</v>
      </c>
      <c r="AI222" s="13">
        <f t="shared" si="82"/>
        <v>3332</v>
      </c>
      <c r="AJ222" s="13">
        <f t="shared" si="82"/>
        <v>3333</v>
      </c>
      <c r="AK222" s="13">
        <f t="shared" si="82"/>
        <v>3334</v>
      </c>
      <c r="AL222" s="13">
        <f t="shared" si="82"/>
        <v>3335</v>
      </c>
      <c r="AM222" s="13">
        <f t="shared" si="82"/>
        <v>3336</v>
      </c>
      <c r="AN222" s="13">
        <f t="shared" si="82"/>
        <v>3337</v>
      </c>
      <c r="AO222" s="13">
        <f t="shared" si="82"/>
        <v>3338</v>
      </c>
      <c r="AP222" s="13">
        <f t="shared" si="82"/>
        <v>3339</v>
      </c>
      <c r="AQ222" s="13">
        <f t="shared" si="83"/>
        <v>3340</v>
      </c>
      <c r="AR222" s="13">
        <f t="shared" si="83"/>
        <v>3341</v>
      </c>
      <c r="AS222" s="13">
        <f t="shared" si="83"/>
        <v>3342</v>
      </c>
      <c r="AT222" s="13">
        <f t="shared" si="83"/>
        <v>3343</v>
      </c>
      <c r="AU222" s="13">
        <f t="shared" si="83"/>
        <v>3344</v>
      </c>
      <c r="AV222" s="13">
        <f t="shared" si="83"/>
        <v>3345</v>
      </c>
      <c r="AW222" s="13">
        <f t="shared" si="83"/>
        <v>3346</v>
      </c>
      <c r="AX222" s="13">
        <f t="shared" si="83"/>
        <v>3347</v>
      </c>
      <c r="AY222" s="13">
        <f t="shared" si="83"/>
        <v>3348</v>
      </c>
      <c r="AZ222" s="13">
        <f t="shared" si="83"/>
        <v>3349</v>
      </c>
      <c r="BA222" s="13">
        <f t="shared" si="84"/>
        <v>3350</v>
      </c>
      <c r="BB222" s="13">
        <f t="shared" si="84"/>
        <v>3351</v>
      </c>
      <c r="BC222" s="13">
        <f t="shared" si="84"/>
        <v>3352</v>
      </c>
      <c r="BD222" s="13">
        <f t="shared" si="84"/>
        <v>3353</v>
      </c>
      <c r="BE222" s="13">
        <f t="shared" si="84"/>
        <v>3354</v>
      </c>
      <c r="BF222" s="13">
        <f t="shared" si="84"/>
        <v>3355</v>
      </c>
      <c r="BG222" s="13">
        <f t="shared" si="84"/>
        <v>3356</v>
      </c>
      <c r="BH222" s="13">
        <f t="shared" si="84"/>
        <v>3357</v>
      </c>
      <c r="BI222" s="13">
        <f t="shared" si="84"/>
        <v>3358</v>
      </c>
      <c r="BJ222" s="13">
        <f t="shared" si="84"/>
        <v>3359</v>
      </c>
      <c r="BK222" s="13">
        <f t="shared" si="84"/>
        <v>3360</v>
      </c>
      <c r="BL222" s="13">
        <f t="shared" si="84"/>
        <v>3361</v>
      </c>
      <c r="BM222" s="13">
        <f t="shared" si="84"/>
        <v>3362</v>
      </c>
      <c r="BN222" s="13">
        <f t="shared" si="84"/>
        <v>3363</v>
      </c>
    </row>
    <row r="223" spans="1:66">
      <c r="A223">
        <f>VLOOKUP(B223,Teste!$A$137:$G$236,7,FALSE)</f>
        <v>0</v>
      </c>
      <c r="B223">
        <f t="shared" si="85"/>
        <v>67</v>
      </c>
      <c r="C223" s="13">
        <f t="shared" si="79"/>
        <v>3350</v>
      </c>
      <c r="D223" s="13">
        <f t="shared" si="79"/>
        <v>3351</v>
      </c>
      <c r="E223" s="13">
        <f t="shared" si="79"/>
        <v>3352</v>
      </c>
      <c r="F223" s="13">
        <f t="shared" si="79"/>
        <v>3353</v>
      </c>
      <c r="G223" s="13">
        <f t="shared" si="79"/>
        <v>3354</v>
      </c>
      <c r="H223" s="13">
        <f t="shared" si="79"/>
        <v>3355</v>
      </c>
      <c r="I223" s="13">
        <f t="shared" si="79"/>
        <v>3356</v>
      </c>
      <c r="J223" s="13">
        <f t="shared" si="79"/>
        <v>3357</v>
      </c>
      <c r="K223" s="13">
        <f t="shared" si="79"/>
        <v>3358</v>
      </c>
      <c r="L223" s="13">
        <f t="shared" si="79"/>
        <v>3359</v>
      </c>
      <c r="M223" s="13">
        <f t="shared" si="80"/>
        <v>3360</v>
      </c>
      <c r="N223" s="13">
        <f t="shared" si="80"/>
        <v>3361</v>
      </c>
      <c r="O223" s="13">
        <f t="shared" si="80"/>
        <v>3362</v>
      </c>
      <c r="P223" s="13">
        <f t="shared" si="80"/>
        <v>3363</v>
      </c>
      <c r="Q223" s="13">
        <f t="shared" si="80"/>
        <v>3364</v>
      </c>
      <c r="R223" s="13">
        <f t="shared" si="80"/>
        <v>3365</v>
      </c>
      <c r="S223" s="13">
        <f t="shared" si="80"/>
        <v>3366</v>
      </c>
      <c r="T223" s="13">
        <f t="shared" si="80"/>
        <v>3367</v>
      </c>
      <c r="U223" s="13">
        <f t="shared" si="80"/>
        <v>3368</v>
      </c>
      <c r="V223" s="13">
        <f t="shared" si="80"/>
        <v>3369</v>
      </c>
      <c r="W223" s="13">
        <f t="shared" si="81"/>
        <v>3370</v>
      </c>
      <c r="X223" s="13">
        <f t="shared" si="81"/>
        <v>3371</v>
      </c>
      <c r="Y223" s="13">
        <f t="shared" si="81"/>
        <v>3372</v>
      </c>
      <c r="Z223" s="13">
        <f t="shared" si="81"/>
        <v>3373</v>
      </c>
      <c r="AA223" s="13">
        <f t="shared" si="81"/>
        <v>3374</v>
      </c>
      <c r="AB223" s="13">
        <f t="shared" si="81"/>
        <v>3375</v>
      </c>
      <c r="AC223" s="13">
        <f t="shared" si="81"/>
        <v>3376</v>
      </c>
      <c r="AD223" s="13">
        <f t="shared" si="81"/>
        <v>3377</v>
      </c>
      <c r="AE223" s="13">
        <f t="shared" si="81"/>
        <v>3378</v>
      </c>
      <c r="AF223" s="13">
        <f t="shared" si="81"/>
        <v>3379</v>
      </c>
      <c r="AG223" s="13">
        <f t="shared" si="82"/>
        <v>3380</v>
      </c>
      <c r="AH223" s="13">
        <f t="shared" si="82"/>
        <v>3381</v>
      </c>
      <c r="AI223" s="13">
        <f t="shared" si="82"/>
        <v>3382</v>
      </c>
      <c r="AJ223" s="13">
        <f t="shared" si="82"/>
        <v>3383</v>
      </c>
      <c r="AK223" s="13">
        <f t="shared" si="82"/>
        <v>3384</v>
      </c>
      <c r="AL223" s="13">
        <f t="shared" si="82"/>
        <v>3385</v>
      </c>
      <c r="AM223" s="13">
        <f t="shared" si="82"/>
        <v>3386</v>
      </c>
      <c r="AN223" s="13">
        <f t="shared" si="82"/>
        <v>3387</v>
      </c>
      <c r="AO223" s="13">
        <f t="shared" si="82"/>
        <v>3388</v>
      </c>
      <c r="AP223" s="13">
        <f t="shared" si="82"/>
        <v>3389</v>
      </c>
      <c r="AQ223" s="13">
        <f t="shared" si="83"/>
        <v>3390</v>
      </c>
      <c r="AR223" s="13">
        <f t="shared" si="83"/>
        <v>3391</v>
      </c>
      <c r="AS223" s="13">
        <f t="shared" si="83"/>
        <v>3392</v>
      </c>
      <c r="AT223" s="13">
        <f t="shared" si="83"/>
        <v>3393</v>
      </c>
      <c r="AU223" s="13">
        <f t="shared" si="83"/>
        <v>3394</v>
      </c>
      <c r="AV223" s="13">
        <f t="shared" si="83"/>
        <v>3395</v>
      </c>
      <c r="AW223" s="13">
        <f t="shared" si="83"/>
        <v>3396</v>
      </c>
      <c r="AX223" s="13">
        <f t="shared" si="83"/>
        <v>3397</v>
      </c>
      <c r="AY223" s="13">
        <f t="shared" si="83"/>
        <v>3398</v>
      </c>
      <c r="AZ223" s="13">
        <f t="shared" si="83"/>
        <v>3399</v>
      </c>
      <c r="BA223" s="13">
        <f t="shared" si="84"/>
        <v>3400</v>
      </c>
      <c r="BB223" s="13">
        <f t="shared" si="84"/>
        <v>3401</v>
      </c>
      <c r="BC223" s="13">
        <f t="shared" si="84"/>
        <v>3402</v>
      </c>
      <c r="BD223" s="13">
        <f t="shared" si="84"/>
        <v>3403</v>
      </c>
      <c r="BE223" s="13">
        <f t="shared" si="84"/>
        <v>3404</v>
      </c>
      <c r="BF223" s="13">
        <f t="shared" si="84"/>
        <v>3405</v>
      </c>
      <c r="BG223" s="13">
        <f t="shared" si="84"/>
        <v>3406</v>
      </c>
      <c r="BH223" s="13">
        <f t="shared" si="84"/>
        <v>3407</v>
      </c>
      <c r="BI223" s="13">
        <f t="shared" si="84"/>
        <v>3408</v>
      </c>
      <c r="BJ223" s="13">
        <f t="shared" si="84"/>
        <v>3409</v>
      </c>
      <c r="BK223" s="13">
        <f t="shared" si="84"/>
        <v>3410</v>
      </c>
      <c r="BL223" s="13">
        <f t="shared" si="84"/>
        <v>3411</v>
      </c>
      <c r="BM223" s="13">
        <f t="shared" si="84"/>
        <v>3412</v>
      </c>
      <c r="BN223" s="13">
        <f t="shared" si="84"/>
        <v>3413</v>
      </c>
    </row>
    <row r="224" spans="1:66">
      <c r="A224">
        <f>VLOOKUP(B224,Teste!$A$137:$G$236,7,FALSE)</f>
        <v>0</v>
      </c>
      <c r="B224">
        <f t="shared" si="85"/>
        <v>68</v>
      </c>
      <c r="C224" s="13">
        <f t="shared" si="79"/>
        <v>3400</v>
      </c>
      <c r="D224" s="13">
        <f t="shared" si="79"/>
        <v>3401</v>
      </c>
      <c r="E224" s="13">
        <f t="shared" si="79"/>
        <v>3402</v>
      </c>
      <c r="F224" s="13">
        <f t="shared" si="79"/>
        <v>3403</v>
      </c>
      <c r="G224" s="13">
        <f t="shared" si="79"/>
        <v>3404</v>
      </c>
      <c r="H224" s="13">
        <f t="shared" si="79"/>
        <v>3405</v>
      </c>
      <c r="I224" s="13">
        <f t="shared" si="79"/>
        <v>3406</v>
      </c>
      <c r="J224" s="13">
        <f t="shared" si="79"/>
        <v>3407</v>
      </c>
      <c r="K224" s="13">
        <f t="shared" si="79"/>
        <v>3408</v>
      </c>
      <c r="L224" s="13">
        <f t="shared" si="79"/>
        <v>3409</v>
      </c>
      <c r="M224" s="13">
        <f t="shared" si="80"/>
        <v>3410</v>
      </c>
      <c r="N224" s="13">
        <f t="shared" si="80"/>
        <v>3411</v>
      </c>
      <c r="O224" s="13">
        <f t="shared" si="80"/>
        <v>3412</v>
      </c>
      <c r="P224" s="13">
        <f t="shared" si="80"/>
        <v>3413</v>
      </c>
      <c r="Q224" s="13">
        <f t="shared" si="80"/>
        <v>3414</v>
      </c>
      <c r="R224" s="13">
        <f t="shared" si="80"/>
        <v>3415</v>
      </c>
      <c r="S224" s="13">
        <f t="shared" si="80"/>
        <v>3416</v>
      </c>
      <c r="T224" s="13">
        <f t="shared" si="80"/>
        <v>3417</v>
      </c>
      <c r="U224" s="13">
        <f t="shared" si="80"/>
        <v>3418</v>
      </c>
      <c r="V224" s="13">
        <f t="shared" si="80"/>
        <v>3419</v>
      </c>
      <c r="W224" s="13">
        <f t="shared" si="81"/>
        <v>3420</v>
      </c>
      <c r="X224" s="13">
        <f t="shared" si="81"/>
        <v>3421</v>
      </c>
      <c r="Y224" s="13">
        <f t="shared" si="81"/>
        <v>3422</v>
      </c>
      <c r="Z224" s="13">
        <f t="shared" si="81"/>
        <v>3423</v>
      </c>
      <c r="AA224" s="13">
        <f t="shared" si="81"/>
        <v>3424</v>
      </c>
      <c r="AB224" s="13">
        <f t="shared" si="81"/>
        <v>3425</v>
      </c>
      <c r="AC224" s="13">
        <f t="shared" si="81"/>
        <v>3426</v>
      </c>
      <c r="AD224" s="13">
        <f t="shared" si="81"/>
        <v>3427</v>
      </c>
      <c r="AE224" s="13">
        <f t="shared" si="81"/>
        <v>3428</v>
      </c>
      <c r="AF224" s="13">
        <f t="shared" si="81"/>
        <v>3429</v>
      </c>
      <c r="AG224" s="13">
        <f t="shared" si="82"/>
        <v>3430</v>
      </c>
      <c r="AH224" s="13">
        <f t="shared" si="82"/>
        <v>3431</v>
      </c>
      <c r="AI224" s="13">
        <f t="shared" si="82"/>
        <v>3432</v>
      </c>
      <c r="AJ224" s="13">
        <f t="shared" si="82"/>
        <v>3433</v>
      </c>
      <c r="AK224" s="13">
        <f t="shared" si="82"/>
        <v>3434</v>
      </c>
      <c r="AL224" s="13">
        <f t="shared" si="82"/>
        <v>3435</v>
      </c>
      <c r="AM224" s="13">
        <f t="shared" si="82"/>
        <v>3436</v>
      </c>
      <c r="AN224" s="13">
        <f t="shared" si="82"/>
        <v>3437</v>
      </c>
      <c r="AO224" s="13">
        <f t="shared" si="82"/>
        <v>3438</v>
      </c>
      <c r="AP224" s="13">
        <f t="shared" si="82"/>
        <v>3439</v>
      </c>
      <c r="AQ224" s="13">
        <f t="shared" si="83"/>
        <v>3440</v>
      </c>
      <c r="AR224" s="13">
        <f t="shared" si="83"/>
        <v>3441</v>
      </c>
      <c r="AS224" s="13">
        <f t="shared" si="83"/>
        <v>3442</v>
      </c>
      <c r="AT224" s="13">
        <f t="shared" si="83"/>
        <v>3443</v>
      </c>
      <c r="AU224" s="13">
        <f t="shared" si="83"/>
        <v>3444</v>
      </c>
      <c r="AV224" s="13">
        <f t="shared" si="83"/>
        <v>3445</v>
      </c>
      <c r="AW224" s="13">
        <f t="shared" si="83"/>
        <v>3446</v>
      </c>
      <c r="AX224" s="13">
        <f t="shared" si="83"/>
        <v>3447</v>
      </c>
      <c r="AY224" s="13">
        <f t="shared" si="83"/>
        <v>3448</v>
      </c>
      <c r="AZ224" s="13">
        <f t="shared" si="83"/>
        <v>3449</v>
      </c>
      <c r="BA224" s="13">
        <f t="shared" si="84"/>
        <v>3450</v>
      </c>
      <c r="BB224" s="13">
        <f t="shared" si="84"/>
        <v>3451</v>
      </c>
      <c r="BC224" s="13">
        <f t="shared" si="84"/>
        <v>3452</v>
      </c>
      <c r="BD224" s="13">
        <f t="shared" si="84"/>
        <v>3453</v>
      </c>
      <c r="BE224" s="13">
        <f t="shared" si="84"/>
        <v>3454</v>
      </c>
      <c r="BF224" s="13">
        <f t="shared" si="84"/>
        <v>3455</v>
      </c>
      <c r="BG224" s="13">
        <f t="shared" si="84"/>
        <v>3456</v>
      </c>
      <c r="BH224" s="13">
        <f t="shared" si="84"/>
        <v>3457</v>
      </c>
      <c r="BI224" s="13">
        <f t="shared" si="84"/>
        <v>3458</v>
      </c>
      <c r="BJ224" s="13">
        <f t="shared" si="84"/>
        <v>3459</v>
      </c>
      <c r="BK224" s="13">
        <f t="shared" si="84"/>
        <v>3460</v>
      </c>
      <c r="BL224" s="13">
        <f t="shared" si="84"/>
        <v>3461</v>
      </c>
      <c r="BM224" s="13">
        <f t="shared" si="84"/>
        <v>3462</v>
      </c>
      <c r="BN224" s="13">
        <f t="shared" si="84"/>
        <v>3463</v>
      </c>
    </row>
    <row r="225" spans="1:66">
      <c r="A225">
        <f>VLOOKUP(B225,Teste!$A$137:$G$236,7,FALSE)</f>
        <v>0</v>
      </c>
      <c r="B225">
        <f t="shared" si="85"/>
        <v>69</v>
      </c>
      <c r="C225" s="13">
        <f t="shared" si="79"/>
        <v>3450</v>
      </c>
      <c r="D225" s="13">
        <f t="shared" si="79"/>
        <v>3451</v>
      </c>
      <c r="E225" s="13">
        <f t="shared" si="79"/>
        <v>3452</v>
      </c>
      <c r="F225" s="13">
        <f t="shared" si="79"/>
        <v>3453</v>
      </c>
      <c r="G225" s="13">
        <f t="shared" si="79"/>
        <v>3454</v>
      </c>
      <c r="H225" s="13">
        <f t="shared" si="79"/>
        <v>3455</v>
      </c>
      <c r="I225" s="13">
        <f t="shared" si="79"/>
        <v>3456</v>
      </c>
      <c r="J225" s="13">
        <f t="shared" si="79"/>
        <v>3457</v>
      </c>
      <c r="K225" s="13">
        <f t="shared" si="79"/>
        <v>3458</v>
      </c>
      <c r="L225" s="13">
        <f t="shared" si="79"/>
        <v>3459</v>
      </c>
      <c r="M225" s="13">
        <f t="shared" si="80"/>
        <v>3460</v>
      </c>
      <c r="N225" s="13">
        <f t="shared" si="80"/>
        <v>3461</v>
      </c>
      <c r="O225" s="13">
        <f t="shared" si="80"/>
        <v>3462</v>
      </c>
      <c r="P225" s="13">
        <f t="shared" si="80"/>
        <v>3463</v>
      </c>
      <c r="Q225" s="13">
        <f t="shared" si="80"/>
        <v>3464</v>
      </c>
      <c r="R225" s="13">
        <f t="shared" si="80"/>
        <v>3465</v>
      </c>
      <c r="S225" s="13">
        <f t="shared" si="80"/>
        <v>3466</v>
      </c>
      <c r="T225" s="13">
        <f t="shared" si="80"/>
        <v>3467</v>
      </c>
      <c r="U225" s="13">
        <f t="shared" si="80"/>
        <v>3468</v>
      </c>
      <c r="V225" s="13">
        <f t="shared" si="80"/>
        <v>3469</v>
      </c>
      <c r="W225" s="13">
        <f t="shared" si="81"/>
        <v>3470</v>
      </c>
      <c r="X225" s="13">
        <f t="shared" si="81"/>
        <v>3471</v>
      </c>
      <c r="Y225" s="13">
        <f t="shared" si="81"/>
        <v>3472</v>
      </c>
      <c r="Z225" s="13">
        <f t="shared" si="81"/>
        <v>3473</v>
      </c>
      <c r="AA225" s="13">
        <f t="shared" si="81"/>
        <v>3474</v>
      </c>
      <c r="AB225" s="13">
        <f t="shared" si="81"/>
        <v>3475</v>
      </c>
      <c r="AC225" s="13">
        <f t="shared" si="81"/>
        <v>3476</v>
      </c>
      <c r="AD225" s="13">
        <f t="shared" si="81"/>
        <v>3477</v>
      </c>
      <c r="AE225" s="13">
        <f t="shared" si="81"/>
        <v>3478</v>
      </c>
      <c r="AF225" s="13">
        <f t="shared" si="81"/>
        <v>3479</v>
      </c>
      <c r="AG225" s="13">
        <f t="shared" si="82"/>
        <v>3480</v>
      </c>
      <c r="AH225" s="13">
        <f t="shared" si="82"/>
        <v>3481</v>
      </c>
      <c r="AI225" s="13">
        <f t="shared" si="82"/>
        <v>3482</v>
      </c>
      <c r="AJ225" s="13">
        <f t="shared" si="82"/>
        <v>3483</v>
      </c>
      <c r="AK225" s="13">
        <f t="shared" si="82"/>
        <v>3484</v>
      </c>
      <c r="AL225" s="13">
        <f t="shared" si="82"/>
        <v>3485</v>
      </c>
      <c r="AM225" s="13">
        <f t="shared" si="82"/>
        <v>3486</v>
      </c>
      <c r="AN225" s="13">
        <f t="shared" si="82"/>
        <v>3487</v>
      </c>
      <c r="AO225" s="13">
        <f t="shared" si="82"/>
        <v>3488</v>
      </c>
      <c r="AP225" s="13">
        <f t="shared" si="82"/>
        <v>3489</v>
      </c>
      <c r="AQ225" s="13">
        <f t="shared" si="83"/>
        <v>3490</v>
      </c>
      <c r="AR225" s="13">
        <f t="shared" si="83"/>
        <v>3491</v>
      </c>
      <c r="AS225" s="13">
        <f t="shared" si="83"/>
        <v>3492</v>
      </c>
      <c r="AT225" s="13">
        <f t="shared" si="83"/>
        <v>3493</v>
      </c>
      <c r="AU225" s="13">
        <f t="shared" si="83"/>
        <v>3494</v>
      </c>
      <c r="AV225" s="13">
        <f t="shared" si="83"/>
        <v>3495</v>
      </c>
      <c r="AW225" s="13">
        <f t="shared" si="83"/>
        <v>3496</v>
      </c>
      <c r="AX225" s="13">
        <f t="shared" si="83"/>
        <v>3497</v>
      </c>
      <c r="AY225" s="13">
        <f t="shared" si="83"/>
        <v>3498</v>
      </c>
      <c r="AZ225" s="13">
        <f t="shared" si="83"/>
        <v>3499</v>
      </c>
      <c r="BA225" s="13">
        <f t="shared" si="84"/>
        <v>3500</v>
      </c>
      <c r="BB225" s="13">
        <f t="shared" si="84"/>
        <v>3501</v>
      </c>
      <c r="BC225" s="13">
        <f t="shared" si="84"/>
        <v>3502</v>
      </c>
      <c r="BD225" s="13">
        <f t="shared" si="84"/>
        <v>3503</v>
      </c>
      <c r="BE225" s="13">
        <f t="shared" si="84"/>
        <v>3504</v>
      </c>
      <c r="BF225" s="13">
        <f t="shared" si="84"/>
        <v>3505</v>
      </c>
      <c r="BG225" s="13">
        <f t="shared" si="84"/>
        <v>3506</v>
      </c>
      <c r="BH225" s="13">
        <f t="shared" si="84"/>
        <v>3507</v>
      </c>
      <c r="BI225" s="13">
        <f t="shared" si="84"/>
        <v>3508</v>
      </c>
      <c r="BJ225" s="13">
        <f t="shared" si="84"/>
        <v>3509</v>
      </c>
      <c r="BK225" s="13">
        <f t="shared" si="84"/>
        <v>3510</v>
      </c>
      <c r="BL225" s="13">
        <f t="shared" si="84"/>
        <v>3511</v>
      </c>
      <c r="BM225" s="13">
        <f t="shared" si="84"/>
        <v>3512</v>
      </c>
      <c r="BN225" s="13">
        <f t="shared" si="84"/>
        <v>3513</v>
      </c>
    </row>
    <row r="226" spans="1:66">
      <c r="A226">
        <f>VLOOKUP(B226,Teste!$A$137:$G$236,7,FALSE)</f>
        <v>0</v>
      </c>
      <c r="B226">
        <f t="shared" si="85"/>
        <v>70</v>
      </c>
      <c r="C226" s="13">
        <f t="shared" ref="C226:L235" si="86">C$155 + numGenes*$B226</f>
        <v>3500</v>
      </c>
      <c r="D226" s="13">
        <f t="shared" si="86"/>
        <v>3501</v>
      </c>
      <c r="E226" s="13">
        <f t="shared" si="86"/>
        <v>3502</v>
      </c>
      <c r="F226" s="13">
        <f t="shared" si="86"/>
        <v>3503</v>
      </c>
      <c r="G226" s="13">
        <f t="shared" si="86"/>
        <v>3504</v>
      </c>
      <c r="H226" s="13">
        <f t="shared" si="86"/>
        <v>3505</v>
      </c>
      <c r="I226" s="13">
        <f t="shared" si="86"/>
        <v>3506</v>
      </c>
      <c r="J226" s="13">
        <f t="shared" si="86"/>
        <v>3507</v>
      </c>
      <c r="K226" s="13">
        <f t="shared" si="86"/>
        <v>3508</v>
      </c>
      <c r="L226" s="13">
        <f t="shared" si="86"/>
        <v>3509</v>
      </c>
      <c r="M226" s="13">
        <f t="shared" ref="M226:V235" si="87">M$155 + numGenes*$B226</f>
        <v>3510</v>
      </c>
      <c r="N226" s="13">
        <f t="shared" si="87"/>
        <v>3511</v>
      </c>
      <c r="O226" s="13">
        <f t="shared" si="87"/>
        <v>3512</v>
      </c>
      <c r="P226" s="13">
        <f t="shared" si="87"/>
        <v>3513</v>
      </c>
      <c r="Q226" s="13">
        <f t="shared" si="87"/>
        <v>3514</v>
      </c>
      <c r="R226" s="13">
        <f t="shared" si="87"/>
        <v>3515</v>
      </c>
      <c r="S226" s="13">
        <f t="shared" si="87"/>
        <v>3516</v>
      </c>
      <c r="T226" s="13">
        <f t="shared" si="87"/>
        <v>3517</v>
      </c>
      <c r="U226" s="13">
        <f t="shared" si="87"/>
        <v>3518</v>
      </c>
      <c r="V226" s="13">
        <f t="shared" si="87"/>
        <v>3519</v>
      </c>
      <c r="W226" s="13">
        <f t="shared" ref="W226:AF235" si="88">W$155 + numGenes*$B226</f>
        <v>3520</v>
      </c>
      <c r="X226" s="13">
        <f t="shared" si="88"/>
        <v>3521</v>
      </c>
      <c r="Y226" s="13">
        <f t="shared" si="88"/>
        <v>3522</v>
      </c>
      <c r="Z226" s="13">
        <f t="shared" si="88"/>
        <v>3523</v>
      </c>
      <c r="AA226" s="13">
        <f t="shared" si="88"/>
        <v>3524</v>
      </c>
      <c r="AB226" s="13">
        <f t="shared" si="88"/>
        <v>3525</v>
      </c>
      <c r="AC226" s="13">
        <f t="shared" si="88"/>
        <v>3526</v>
      </c>
      <c r="AD226" s="13">
        <f t="shared" si="88"/>
        <v>3527</v>
      </c>
      <c r="AE226" s="13">
        <f t="shared" si="88"/>
        <v>3528</v>
      </c>
      <c r="AF226" s="13">
        <f t="shared" si="88"/>
        <v>3529</v>
      </c>
      <c r="AG226" s="13">
        <f t="shared" ref="AG226:AP235" si="89">AG$155 + numGenes*$B226</f>
        <v>3530</v>
      </c>
      <c r="AH226" s="13">
        <f t="shared" si="89"/>
        <v>3531</v>
      </c>
      <c r="AI226" s="13">
        <f t="shared" si="89"/>
        <v>3532</v>
      </c>
      <c r="AJ226" s="13">
        <f t="shared" si="89"/>
        <v>3533</v>
      </c>
      <c r="AK226" s="13">
        <f t="shared" si="89"/>
        <v>3534</v>
      </c>
      <c r="AL226" s="13">
        <f t="shared" si="89"/>
        <v>3535</v>
      </c>
      <c r="AM226" s="13">
        <f t="shared" si="89"/>
        <v>3536</v>
      </c>
      <c r="AN226" s="13">
        <f t="shared" si="89"/>
        <v>3537</v>
      </c>
      <c r="AO226" s="13">
        <f t="shared" si="89"/>
        <v>3538</v>
      </c>
      <c r="AP226" s="13">
        <f t="shared" si="89"/>
        <v>3539</v>
      </c>
      <c r="AQ226" s="13">
        <f t="shared" ref="AQ226:AZ235" si="90">AQ$155 + numGenes*$B226</f>
        <v>3540</v>
      </c>
      <c r="AR226" s="13">
        <f t="shared" si="90"/>
        <v>3541</v>
      </c>
      <c r="AS226" s="13">
        <f t="shared" si="90"/>
        <v>3542</v>
      </c>
      <c r="AT226" s="13">
        <f t="shared" si="90"/>
        <v>3543</v>
      </c>
      <c r="AU226" s="13">
        <f t="shared" si="90"/>
        <v>3544</v>
      </c>
      <c r="AV226" s="13">
        <f t="shared" si="90"/>
        <v>3545</v>
      </c>
      <c r="AW226" s="13">
        <f t="shared" si="90"/>
        <v>3546</v>
      </c>
      <c r="AX226" s="13">
        <f t="shared" si="90"/>
        <v>3547</v>
      </c>
      <c r="AY226" s="13">
        <f t="shared" si="90"/>
        <v>3548</v>
      </c>
      <c r="AZ226" s="13">
        <f t="shared" si="90"/>
        <v>3549</v>
      </c>
      <c r="BA226" s="13">
        <f t="shared" ref="BA226:BN235" si="91">BA$155 + numGenes*$B226</f>
        <v>3550</v>
      </c>
      <c r="BB226" s="13">
        <f t="shared" si="91"/>
        <v>3551</v>
      </c>
      <c r="BC226" s="13">
        <f t="shared" si="91"/>
        <v>3552</v>
      </c>
      <c r="BD226" s="13">
        <f t="shared" si="91"/>
        <v>3553</v>
      </c>
      <c r="BE226" s="13">
        <f t="shared" si="91"/>
        <v>3554</v>
      </c>
      <c r="BF226" s="13">
        <f t="shared" si="91"/>
        <v>3555</v>
      </c>
      <c r="BG226" s="13">
        <f t="shared" si="91"/>
        <v>3556</v>
      </c>
      <c r="BH226" s="13">
        <f t="shared" si="91"/>
        <v>3557</v>
      </c>
      <c r="BI226" s="13">
        <f t="shared" si="91"/>
        <v>3558</v>
      </c>
      <c r="BJ226" s="13">
        <f t="shared" si="91"/>
        <v>3559</v>
      </c>
      <c r="BK226" s="13">
        <f t="shared" si="91"/>
        <v>3560</v>
      </c>
      <c r="BL226" s="13">
        <f t="shared" si="91"/>
        <v>3561</v>
      </c>
      <c r="BM226" s="13">
        <f t="shared" si="91"/>
        <v>3562</v>
      </c>
      <c r="BN226" s="13">
        <f t="shared" si="91"/>
        <v>3563</v>
      </c>
    </row>
    <row r="227" spans="1:66">
      <c r="A227">
        <f>VLOOKUP(B227,Teste!$A$137:$G$236,7,FALSE)</f>
        <v>0</v>
      </c>
      <c r="B227">
        <f t="shared" si="85"/>
        <v>71</v>
      </c>
      <c r="C227" s="13">
        <f t="shared" si="86"/>
        <v>3550</v>
      </c>
      <c r="D227" s="13">
        <f t="shared" si="86"/>
        <v>3551</v>
      </c>
      <c r="E227" s="13">
        <f t="shared" si="86"/>
        <v>3552</v>
      </c>
      <c r="F227" s="13">
        <f t="shared" si="86"/>
        <v>3553</v>
      </c>
      <c r="G227" s="13">
        <f t="shared" si="86"/>
        <v>3554</v>
      </c>
      <c r="H227" s="13">
        <f t="shared" si="86"/>
        <v>3555</v>
      </c>
      <c r="I227" s="13">
        <f t="shared" si="86"/>
        <v>3556</v>
      </c>
      <c r="J227" s="13">
        <f t="shared" si="86"/>
        <v>3557</v>
      </c>
      <c r="K227" s="13">
        <f t="shared" si="86"/>
        <v>3558</v>
      </c>
      <c r="L227" s="13">
        <f t="shared" si="86"/>
        <v>3559</v>
      </c>
      <c r="M227" s="13">
        <f t="shared" si="87"/>
        <v>3560</v>
      </c>
      <c r="N227" s="13">
        <f t="shared" si="87"/>
        <v>3561</v>
      </c>
      <c r="O227" s="13">
        <f t="shared" si="87"/>
        <v>3562</v>
      </c>
      <c r="P227" s="13">
        <f t="shared" si="87"/>
        <v>3563</v>
      </c>
      <c r="Q227" s="13">
        <f t="shared" si="87"/>
        <v>3564</v>
      </c>
      <c r="R227" s="13">
        <f t="shared" si="87"/>
        <v>3565</v>
      </c>
      <c r="S227" s="13">
        <f t="shared" si="87"/>
        <v>3566</v>
      </c>
      <c r="T227" s="13">
        <f t="shared" si="87"/>
        <v>3567</v>
      </c>
      <c r="U227" s="13">
        <f t="shared" si="87"/>
        <v>3568</v>
      </c>
      <c r="V227" s="13">
        <f t="shared" si="87"/>
        <v>3569</v>
      </c>
      <c r="W227" s="13">
        <f t="shared" si="88"/>
        <v>3570</v>
      </c>
      <c r="X227" s="13">
        <f t="shared" si="88"/>
        <v>3571</v>
      </c>
      <c r="Y227" s="13">
        <f t="shared" si="88"/>
        <v>3572</v>
      </c>
      <c r="Z227" s="13">
        <f t="shared" si="88"/>
        <v>3573</v>
      </c>
      <c r="AA227" s="13">
        <f t="shared" si="88"/>
        <v>3574</v>
      </c>
      <c r="AB227" s="13">
        <f t="shared" si="88"/>
        <v>3575</v>
      </c>
      <c r="AC227" s="13">
        <f t="shared" si="88"/>
        <v>3576</v>
      </c>
      <c r="AD227" s="13">
        <f t="shared" si="88"/>
        <v>3577</v>
      </c>
      <c r="AE227" s="13">
        <f t="shared" si="88"/>
        <v>3578</v>
      </c>
      <c r="AF227" s="13">
        <f t="shared" si="88"/>
        <v>3579</v>
      </c>
      <c r="AG227" s="13">
        <f t="shared" si="89"/>
        <v>3580</v>
      </c>
      <c r="AH227" s="13">
        <f t="shared" si="89"/>
        <v>3581</v>
      </c>
      <c r="AI227" s="13">
        <f t="shared" si="89"/>
        <v>3582</v>
      </c>
      <c r="AJ227" s="13">
        <f t="shared" si="89"/>
        <v>3583</v>
      </c>
      <c r="AK227" s="13">
        <f t="shared" si="89"/>
        <v>3584</v>
      </c>
      <c r="AL227" s="13">
        <f t="shared" si="89"/>
        <v>3585</v>
      </c>
      <c r="AM227" s="13">
        <f t="shared" si="89"/>
        <v>3586</v>
      </c>
      <c r="AN227" s="13">
        <f t="shared" si="89"/>
        <v>3587</v>
      </c>
      <c r="AO227" s="13">
        <f t="shared" si="89"/>
        <v>3588</v>
      </c>
      <c r="AP227" s="13">
        <f t="shared" si="89"/>
        <v>3589</v>
      </c>
      <c r="AQ227" s="13">
        <f t="shared" si="90"/>
        <v>3590</v>
      </c>
      <c r="AR227" s="13">
        <f t="shared" si="90"/>
        <v>3591</v>
      </c>
      <c r="AS227" s="13">
        <f t="shared" si="90"/>
        <v>3592</v>
      </c>
      <c r="AT227" s="13">
        <f t="shared" si="90"/>
        <v>3593</v>
      </c>
      <c r="AU227" s="13">
        <f t="shared" si="90"/>
        <v>3594</v>
      </c>
      <c r="AV227" s="13">
        <f t="shared" si="90"/>
        <v>3595</v>
      </c>
      <c r="AW227" s="13">
        <f t="shared" si="90"/>
        <v>3596</v>
      </c>
      <c r="AX227" s="13">
        <f t="shared" si="90"/>
        <v>3597</v>
      </c>
      <c r="AY227" s="13">
        <f t="shared" si="90"/>
        <v>3598</v>
      </c>
      <c r="AZ227" s="13">
        <f t="shared" si="90"/>
        <v>3599</v>
      </c>
      <c r="BA227" s="13">
        <f t="shared" si="91"/>
        <v>3600</v>
      </c>
      <c r="BB227" s="13">
        <f t="shared" si="91"/>
        <v>3601</v>
      </c>
      <c r="BC227" s="13">
        <f t="shared" si="91"/>
        <v>3602</v>
      </c>
      <c r="BD227" s="13">
        <f t="shared" si="91"/>
        <v>3603</v>
      </c>
      <c r="BE227" s="13">
        <f t="shared" si="91"/>
        <v>3604</v>
      </c>
      <c r="BF227" s="13">
        <f t="shared" si="91"/>
        <v>3605</v>
      </c>
      <c r="BG227" s="13">
        <f t="shared" si="91"/>
        <v>3606</v>
      </c>
      <c r="BH227" s="13">
        <f t="shared" si="91"/>
        <v>3607</v>
      </c>
      <c r="BI227" s="13">
        <f t="shared" si="91"/>
        <v>3608</v>
      </c>
      <c r="BJ227" s="13">
        <f t="shared" si="91"/>
        <v>3609</v>
      </c>
      <c r="BK227" s="13">
        <f t="shared" si="91"/>
        <v>3610</v>
      </c>
      <c r="BL227" s="13">
        <f t="shared" si="91"/>
        <v>3611</v>
      </c>
      <c r="BM227" s="13">
        <f t="shared" si="91"/>
        <v>3612</v>
      </c>
      <c r="BN227" s="13">
        <f t="shared" si="91"/>
        <v>3613</v>
      </c>
    </row>
    <row r="228" spans="1:66">
      <c r="A228">
        <f>VLOOKUP(B228,Teste!$A$137:$G$236,7,FALSE)</f>
        <v>0</v>
      </c>
      <c r="B228">
        <f t="shared" si="85"/>
        <v>72</v>
      </c>
      <c r="C228" s="13">
        <f t="shared" si="86"/>
        <v>3600</v>
      </c>
      <c r="D228" s="13">
        <f t="shared" si="86"/>
        <v>3601</v>
      </c>
      <c r="E228" s="13">
        <f t="shared" si="86"/>
        <v>3602</v>
      </c>
      <c r="F228" s="13">
        <f t="shared" si="86"/>
        <v>3603</v>
      </c>
      <c r="G228" s="13">
        <f t="shared" si="86"/>
        <v>3604</v>
      </c>
      <c r="H228" s="13">
        <f t="shared" si="86"/>
        <v>3605</v>
      </c>
      <c r="I228" s="13">
        <f t="shared" si="86"/>
        <v>3606</v>
      </c>
      <c r="J228" s="13">
        <f t="shared" si="86"/>
        <v>3607</v>
      </c>
      <c r="K228" s="13">
        <f t="shared" si="86"/>
        <v>3608</v>
      </c>
      <c r="L228" s="13">
        <f t="shared" si="86"/>
        <v>3609</v>
      </c>
      <c r="M228" s="13">
        <f t="shared" si="87"/>
        <v>3610</v>
      </c>
      <c r="N228" s="13">
        <f t="shared" si="87"/>
        <v>3611</v>
      </c>
      <c r="O228" s="13">
        <f t="shared" si="87"/>
        <v>3612</v>
      </c>
      <c r="P228" s="13">
        <f t="shared" si="87"/>
        <v>3613</v>
      </c>
      <c r="Q228" s="13">
        <f t="shared" si="87"/>
        <v>3614</v>
      </c>
      <c r="R228" s="13">
        <f t="shared" si="87"/>
        <v>3615</v>
      </c>
      <c r="S228" s="13">
        <f t="shared" si="87"/>
        <v>3616</v>
      </c>
      <c r="T228" s="13">
        <f t="shared" si="87"/>
        <v>3617</v>
      </c>
      <c r="U228" s="13">
        <f t="shared" si="87"/>
        <v>3618</v>
      </c>
      <c r="V228" s="13">
        <f t="shared" si="87"/>
        <v>3619</v>
      </c>
      <c r="W228" s="13">
        <f t="shared" si="88"/>
        <v>3620</v>
      </c>
      <c r="X228" s="13">
        <f t="shared" si="88"/>
        <v>3621</v>
      </c>
      <c r="Y228" s="13">
        <f t="shared" si="88"/>
        <v>3622</v>
      </c>
      <c r="Z228" s="13">
        <f t="shared" si="88"/>
        <v>3623</v>
      </c>
      <c r="AA228" s="13">
        <f t="shared" si="88"/>
        <v>3624</v>
      </c>
      <c r="AB228" s="13">
        <f t="shared" si="88"/>
        <v>3625</v>
      </c>
      <c r="AC228" s="13">
        <f t="shared" si="88"/>
        <v>3626</v>
      </c>
      <c r="AD228" s="13">
        <f t="shared" si="88"/>
        <v>3627</v>
      </c>
      <c r="AE228" s="13">
        <f t="shared" si="88"/>
        <v>3628</v>
      </c>
      <c r="AF228" s="13">
        <f t="shared" si="88"/>
        <v>3629</v>
      </c>
      <c r="AG228" s="13">
        <f t="shared" si="89"/>
        <v>3630</v>
      </c>
      <c r="AH228" s="13">
        <f t="shared" si="89"/>
        <v>3631</v>
      </c>
      <c r="AI228" s="13">
        <f t="shared" si="89"/>
        <v>3632</v>
      </c>
      <c r="AJ228" s="13">
        <f t="shared" si="89"/>
        <v>3633</v>
      </c>
      <c r="AK228" s="13">
        <f t="shared" si="89"/>
        <v>3634</v>
      </c>
      <c r="AL228" s="13">
        <f t="shared" si="89"/>
        <v>3635</v>
      </c>
      <c r="AM228" s="13">
        <f t="shared" si="89"/>
        <v>3636</v>
      </c>
      <c r="AN228" s="13">
        <f t="shared" si="89"/>
        <v>3637</v>
      </c>
      <c r="AO228" s="13">
        <f t="shared" si="89"/>
        <v>3638</v>
      </c>
      <c r="AP228" s="13">
        <f t="shared" si="89"/>
        <v>3639</v>
      </c>
      <c r="AQ228" s="13">
        <f t="shared" si="90"/>
        <v>3640</v>
      </c>
      <c r="AR228" s="13">
        <f t="shared" si="90"/>
        <v>3641</v>
      </c>
      <c r="AS228" s="13">
        <f t="shared" si="90"/>
        <v>3642</v>
      </c>
      <c r="AT228" s="13">
        <f t="shared" si="90"/>
        <v>3643</v>
      </c>
      <c r="AU228" s="13">
        <f t="shared" si="90"/>
        <v>3644</v>
      </c>
      <c r="AV228" s="13">
        <f t="shared" si="90"/>
        <v>3645</v>
      </c>
      <c r="AW228" s="13">
        <f t="shared" si="90"/>
        <v>3646</v>
      </c>
      <c r="AX228" s="13">
        <f t="shared" si="90"/>
        <v>3647</v>
      </c>
      <c r="AY228" s="13">
        <f t="shared" si="90"/>
        <v>3648</v>
      </c>
      <c r="AZ228" s="13">
        <f t="shared" si="90"/>
        <v>3649</v>
      </c>
      <c r="BA228" s="13">
        <f t="shared" si="91"/>
        <v>3650</v>
      </c>
      <c r="BB228" s="13">
        <f t="shared" si="91"/>
        <v>3651</v>
      </c>
      <c r="BC228" s="13">
        <f t="shared" si="91"/>
        <v>3652</v>
      </c>
      <c r="BD228" s="13">
        <f t="shared" si="91"/>
        <v>3653</v>
      </c>
      <c r="BE228" s="13">
        <f t="shared" si="91"/>
        <v>3654</v>
      </c>
      <c r="BF228" s="13">
        <f t="shared" si="91"/>
        <v>3655</v>
      </c>
      <c r="BG228" s="13">
        <f t="shared" si="91"/>
        <v>3656</v>
      </c>
      <c r="BH228" s="13">
        <f t="shared" si="91"/>
        <v>3657</v>
      </c>
      <c r="BI228" s="13">
        <f t="shared" si="91"/>
        <v>3658</v>
      </c>
      <c r="BJ228" s="13">
        <f t="shared" si="91"/>
        <v>3659</v>
      </c>
      <c r="BK228" s="13">
        <f t="shared" si="91"/>
        <v>3660</v>
      </c>
      <c r="BL228" s="13">
        <f t="shared" si="91"/>
        <v>3661</v>
      </c>
      <c r="BM228" s="13">
        <f t="shared" si="91"/>
        <v>3662</v>
      </c>
      <c r="BN228" s="13">
        <f t="shared" si="91"/>
        <v>3663</v>
      </c>
    </row>
    <row r="229" spans="1:66">
      <c r="A229">
        <f>VLOOKUP(B229,Teste!$A$137:$G$236,7,FALSE)</f>
        <v>0</v>
      </c>
      <c r="B229">
        <f t="shared" si="85"/>
        <v>73</v>
      </c>
      <c r="C229" s="13">
        <f t="shared" si="86"/>
        <v>3650</v>
      </c>
      <c r="D229" s="13">
        <f t="shared" si="86"/>
        <v>3651</v>
      </c>
      <c r="E229" s="13">
        <f t="shared" si="86"/>
        <v>3652</v>
      </c>
      <c r="F229" s="13">
        <f t="shared" si="86"/>
        <v>3653</v>
      </c>
      <c r="G229" s="13">
        <f t="shared" si="86"/>
        <v>3654</v>
      </c>
      <c r="H229" s="13">
        <f t="shared" si="86"/>
        <v>3655</v>
      </c>
      <c r="I229" s="13">
        <f t="shared" si="86"/>
        <v>3656</v>
      </c>
      <c r="J229" s="13">
        <f t="shared" si="86"/>
        <v>3657</v>
      </c>
      <c r="K229" s="13">
        <f t="shared" si="86"/>
        <v>3658</v>
      </c>
      <c r="L229" s="13">
        <f t="shared" si="86"/>
        <v>3659</v>
      </c>
      <c r="M229" s="13">
        <f t="shared" si="87"/>
        <v>3660</v>
      </c>
      <c r="N229" s="13">
        <f t="shared" si="87"/>
        <v>3661</v>
      </c>
      <c r="O229" s="13">
        <f t="shared" si="87"/>
        <v>3662</v>
      </c>
      <c r="P229" s="13">
        <f t="shared" si="87"/>
        <v>3663</v>
      </c>
      <c r="Q229" s="13">
        <f t="shared" si="87"/>
        <v>3664</v>
      </c>
      <c r="R229" s="13">
        <f t="shared" si="87"/>
        <v>3665</v>
      </c>
      <c r="S229" s="13">
        <f t="shared" si="87"/>
        <v>3666</v>
      </c>
      <c r="T229" s="13">
        <f t="shared" si="87"/>
        <v>3667</v>
      </c>
      <c r="U229" s="13">
        <f t="shared" si="87"/>
        <v>3668</v>
      </c>
      <c r="V229" s="13">
        <f t="shared" si="87"/>
        <v>3669</v>
      </c>
      <c r="W229" s="13">
        <f t="shared" si="88"/>
        <v>3670</v>
      </c>
      <c r="X229" s="13">
        <f t="shared" si="88"/>
        <v>3671</v>
      </c>
      <c r="Y229" s="13">
        <f t="shared" si="88"/>
        <v>3672</v>
      </c>
      <c r="Z229" s="13">
        <f t="shared" si="88"/>
        <v>3673</v>
      </c>
      <c r="AA229" s="13">
        <f t="shared" si="88"/>
        <v>3674</v>
      </c>
      <c r="AB229" s="13">
        <f t="shared" si="88"/>
        <v>3675</v>
      </c>
      <c r="AC229" s="13">
        <f t="shared" si="88"/>
        <v>3676</v>
      </c>
      <c r="AD229" s="13">
        <f t="shared" si="88"/>
        <v>3677</v>
      </c>
      <c r="AE229" s="13">
        <f t="shared" si="88"/>
        <v>3678</v>
      </c>
      <c r="AF229" s="13">
        <f t="shared" si="88"/>
        <v>3679</v>
      </c>
      <c r="AG229" s="13">
        <f t="shared" si="89"/>
        <v>3680</v>
      </c>
      <c r="AH229" s="13">
        <f t="shared" si="89"/>
        <v>3681</v>
      </c>
      <c r="AI229" s="13">
        <f t="shared" si="89"/>
        <v>3682</v>
      </c>
      <c r="AJ229" s="13">
        <f t="shared" si="89"/>
        <v>3683</v>
      </c>
      <c r="AK229" s="13">
        <f t="shared" si="89"/>
        <v>3684</v>
      </c>
      <c r="AL229" s="13">
        <f t="shared" si="89"/>
        <v>3685</v>
      </c>
      <c r="AM229" s="13">
        <f t="shared" si="89"/>
        <v>3686</v>
      </c>
      <c r="AN229" s="13">
        <f t="shared" si="89"/>
        <v>3687</v>
      </c>
      <c r="AO229" s="13">
        <f t="shared" si="89"/>
        <v>3688</v>
      </c>
      <c r="AP229" s="13">
        <f t="shared" si="89"/>
        <v>3689</v>
      </c>
      <c r="AQ229" s="13">
        <f t="shared" si="90"/>
        <v>3690</v>
      </c>
      <c r="AR229" s="13">
        <f t="shared" si="90"/>
        <v>3691</v>
      </c>
      <c r="AS229" s="13">
        <f t="shared" si="90"/>
        <v>3692</v>
      </c>
      <c r="AT229" s="13">
        <f t="shared" si="90"/>
        <v>3693</v>
      </c>
      <c r="AU229" s="13">
        <f t="shared" si="90"/>
        <v>3694</v>
      </c>
      <c r="AV229" s="13">
        <f t="shared" si="90"/>
        <v>3695</v>
      </c>
      <c r="AW229" s="13">
        <f t="shared" si="90"/>
        <v>3696</v>
      </c>
      <c r="AX229" s="13">
        <f t="shared" si="90"/>
        <v>3697</v>
      </c>
      <c r="AY229" s="13">
        <f t="shared" si="90"/>
        <v>3698</v>
      </c>
      <c r="AZ229" s="13">
        <f t="shared" si="90"/>
        <v>3699</v>
      </c>
      <c r="BA229" s="13">
        <f t="shared" si="91"/>
        <v>3700</v>
      </c>
      <c r="BB229" s="13">
        <f t="shared" si="91"/>
        <v>3701</v>
      </c>
      <c r="BC229" s="13">
        <f t="shared" si="91"/>
        <v>3702</v>
      </c>
      <c r="BD229" s="13">
        <f t="shared" si="91"/>
        <v>3703</v>
      </c>
      <c r="BE229" s="13">
        <f t="shared" si="91"/>
        <v>3704</v>
      </c>
      <c r="BF229" s="13">
        <f t="shared" si="91"/>
        <v>3705</v>
      </c>
      <c r="BG229" s="13">
        <f t="shared" si="91"/>
        <v>3706</v>
      </c>
      <c r="BH229" s="13">
        <f t="shared" si="91"/>
        <v>3707</v>
      </c>
      <c r="BI229" s="13">
        <f t="shared" si="91"/>
        <v>3708</v>
      </c>
      <c r="BJ229" s="13">
        <f t="shared" si="91"/>
        <v>3709</v>
      </c>
      <c r="BK229" s="13">
        <f t="shared" si="91"/>
        <v>3710</v>
      </c>
      <c r="BL229" s="13">
        <f t="shared" si="91"/>
        <v>3711</v>
      </c>
      <c r="BM229" s="13">
        <f t="shared" si="91"/>
        <v>3712</v>
      </c>
      <c r="BN229" s="13">
        <f t="shared" si="91"/>
        <v>3713</v>
      </c>
    </row>
    <row r="230" spans="1:66">
      <c r="A230">
        <f>VLOOKUP(B230,Teste!$A$137:$G$236,7,FALSE)</f>
        <v>0</v>
      </c>
      <c r="B230">
        <f t="shared" si="85"/>
        <v>74</v>
      </c>
      <c r="C230" s="13">
        <f t="shared" si="86"/>
        <v>3700</v>
      </c>
      <c r="D230" s="13">
        <f t="shared" si="86"/>
        <v>3701</v>
      </c>
      <c r="E230" s="13">
        <f t="shared" si="86"/>
        <v>3702</v>
      </c>
      <c r="F230" s="13">
        <f t="shared" si="86"/>
        <v>3703</v>
      </c>
      <c r="G230" s="13">
        <f t="shared" si="86"/>
        <v>3704</v>
      </c>
      <c r="H230" s="13">
        <f t="shared" si="86"/>
        <v>3705</v>
      </c>
      <c r="I230" s="13">
        <f t="shared" si="86"/>
        <v>3706</v>
      </c>
      <c r="J230" s="13">
        <f t="shared" si="86"/>
        <v>3707</v>
      </c>
      <c r="K230" s="13">
        <f t="shared" si="86"/>
        <v>3708</v>
      </c>
      <c r="L230" s="13">
        <f t="shared" si="86"/>
        <v>3709</v>
      </c>
      <c r="M230" s="13">
        <f t="shared" si="87"/>
        <v>3710</v>
      </c>
      <c r="N230" s="13">
        <f t="shared" si="87"/>
        <v>3711</v>
      </c>
      <c r="O230" s="13">
        <f t="shared" si="87"/>
        <v>3712</v>
      </c>
      <c r="P230" s="13">
        <f t="shared" si="87"/>
        <v>3713</v>
      </c>
      <c r="Q230" s="13">
        <f t="shared" si="87"/>
        <v>3714</v>
      </c>
      <c r="R230" s="13">
        <f t="shared" si="87"/>
        <v>3715</v>
      </c>
      <c r="S230" s="13">
        <f t="shared" si="87"/>
        <v>3716</v>
      </c>
      <c r="T230" s="13">
        <f t="shared" si="87"/>
        <v>3717</v>
      </c>
      <c r="U230" s="13">
        <f t="shared" si="87"/>
        <v>3718</v>
      </c>
      <c r="V230" s="13">
        <f t="shared" si="87"/>
        <v>3719</v>
      </c>
      <c r="W230" s="13">
        <f t="shared" si="88"/>
        <v>3720</v>
      </c>
      <c r="X230" s="13">
        <f t="shared" si="88"/>
        <v>3721</v>
      </c>
      <c r="Y230" s="13">
        <f t="shared" si="88"/>
        <v>3722</v>
      </c>
      <c r="Z230" s="13">
        <f t="shared" si="88"/>
        <v>3723</v>
      </c>
      <c r="AA230" s="13">
        <f t="shared" si="88"/>
        <v>3724</v>
      </c>
      <c r="AB230" s="13">
        <f t="shared" si="88"/>
        <v>3725</v>
      </c>
      <c r="AC230" s="13">
        <f t="shared" si="88"/>
        <v>3726</v>
      </c>
      <c r="AD230" s="13">
        <f t="shared" si="88"/>
        <v>3727</v>
      </c>
      <c r="AE230" s="13">
        <f t="shared" si="88"/>
        <v>3728</v>
      </c>
      <c r="AF230" s="13">
        <f t="shared" si="88"/>
        <v>3729</v>
      </c>
      <c r="AG230" s="13">
        <f t="shared" si="89"/>
        <v>3730</v>
      </c>
      <c r="AH230" s="13">
        <f t="shared" si="89"/>
        <v>3731</v>
      </c>
      <c r="AI230" s="13">
        <f t="shared" si="89"/>
        <v>3732</v>
      </c>
      <c r="AJ230" s="13">
        <f t="shared" si="89"/>
        <v>3733</v>
      </c>
      <c r="AK230" s="13">
        <f t="shared" si="89"/>
        <v>3734</v>
      </c>
      <c r="AL230" s="13">
        <f t="shared" si="89"/>
        <v>3735</v>
      </c>
      <c r="AM230" s="13">
        <f t="shared" si="89"/>
        <v>3736</v>
      </c>
      <c r="AN230" s="13">
        <f t="shared" si="89"/>
        <v>3737</v>
      </c>
      <c r="AO230" s="13">
        <f t="shared" si="89"/>
        <v>3738</v>
      </c>
      <c r="AP230" s="13">
        <f t="shared" si="89"/>
        <v>3739</v>
      </c>
      <c r="AQ230" s="13">
        <f t="shared" si="90"/>
        <v>3740</v>
      </c>
      <c r="AR230" s="13">
        <f t="shared" si="90"/>
        <v>3741</v>
      </c>
      <c r="AS230" s="13">
        <f t="shared" si="90"/>
        <v>3742</v>
      </c>
      <c r="AT230" s="13">
        <f t="shared" si="90"/>
        <v>3743</v>
      </c>
      <c r="AU230" s="13">
        <f t="shared" si="90"/>
        <v>3744</v>
      </c>
      <c r="AV230" s="13">
        <f t="shared" si="90"/>
        <v>3745</v>
      </c>
      <c r="AW230" s="13">
        <f t="shared" si="90"/>
        <v>3746</v>
      </c>
      <c r="AX230" s="13">
        <f t="shared" si="90"/>
        <v>3747</v>
      </c>
      <c r="AY230" s="13">
        <f t="shared" si="90"/>
        <v>3748</v>
      </c>
      <c r="AZ230" s="13">
        <f t="shared" si="90"/>
        <v>3749</v>
      </c>
      <c r="BA230" s="13">
        <f t="shared" si="91"/>
        <v>3750</v>
      </c>
      <c r="BB230" s="13">
        <f t="shared" si="91"/>
        <v>3751</v>
      </c>
      <c r="BC230" s="13">
        <f t="shared" si="91"/>
        <v>3752</v>
      </c>
      <c r="BD230" s="13">
        <f t="shared" si="91"/>
        <v>3753</v>
      </c>
      <c r="BE230" s="13">
        <f t="shared" si="91"/>
        <v>3754</v>
      </c>
      <c r="BF230" s="13">
        <f t="shared" si="91"/>
        <v>3755</v>
      </c>
      <c r="BG230" s="13">
        <f t="shared" si="91"/>
        <v>3756</v>
      </c>
      <c r="BH230" s="13">
        <f t="shared" si="91"/>
        <v>3757</v>
      </c>
      <c r="BI230" s="13">
        <f t="shared" si="91"/>
        <v>3758</v>
      </c>
      <c r="BJ230" s="13">
        <f t="shared" si="91"/>
        <v>3759</v>
      </c>
      <c r="BK230" s="13">
        <f t="shared" si="91"/>
        <v>3760</v>
      </c>
      <c r="BL230" s="13">
        <f t="shared" si="91"/>
        <v>3761</v>
      </c>
      <c r="BM230" s="13">
        <f t="shared" si="91"/>
        <v>3762</v>
      </c>
      <c r="BN230" s="13">
        <f t="shared" si="91"/>
        <v>3763</v>
      </c>
    </row>
    <row r="231" spans="1:66">
      <c r="A231">
        <f>VLOOKUP(B231,Teste!$A$137:$G$236,7,FALSE)</f>
        <v>0</v>
      </c>
      <c r="B231">
        <f t="shared" si="85"/>
        <v>75</v>
      </c>
      <c r="C231" s="13">
        <f t="shared" si="86"/>
        <v>3750</v>
      </c>
      <c r="D231" s="13">
        <f t="shared" si="86"/>
        <v>3751</v>
      </c>
      <c r="E231" s="13">
        <f t="shared" si="86"/>
        <v>3752</v>
      </c>
      <c r="F231" s="13">
        <f t="shared" si="86"/>
        <v>3753</v>
      </c>
      <c r="G231" s="13">
        <f t="shared" si="86"/>
        <v>3754</v>
      </c>
      <c r="H231" s="13">
        <f t="shared" si="86"/>
        <v>3755</v>
      </c>
      <c r="I231" s="13">
        <f t="shared" si="86"/>
        <v>3756</v>
      </c>
      <c r="J231" s="13">
        <f t="shared" si="86"/>
        <v>3757</v>
      </c>
      <c r="K231" s="13">
        <f t="shared" si="86"/>
        <v>3758</v>
      </c>
      <c r="L231" s="13">
        <f t="shared" si="86"/>
        <v>3759</v>
      </c>
      <c r="M231" s="13">
        <f t="shared" si="87"/>
        <v>3760</v>
      </c>
      <c r="N231" s="13">
        <f t="shared" si="87"/>
        <v>3761</v>
      </c>
      <c r="O231" s="13">
        <f t="shared" si="87"/>
        <v>3762</v>
      </c>
      <c r="P231" s="13">
        <f t="shared" si="87"/>
        <v>3763</v>
      </c>
      <c r="Q231" s="13">
        <f t="shared" si="87"/>
        <v>3764</v>
      </c>
      <c r="R231" s="13">
        <f t="shared" si="87"/>
        <v>3765</v>
      </c>
      <c r="S231" s="13">
        <f t="shared" si="87"/>
        <v>3766</v>
      </c>
      <c r="T231" s="13">
        <f t="shared" si="87"/>
        <v>3767</v>
      </c>
      <c r="U231" s="13">
        <f t="shared" si="87"/>
        <v>3768</v>
      </c>
      <c r="V231" s="13">
        <f t="shared" si="87"/>
        <v>3769</v>
      </c>
      <c r="W231" s="13">
        <f t="shared" si="88"/>
        <v>3770</v>
      </c>
      <c r="X231" s="13">
        <f t="shared" si="88"/>
        <v>3771</v>
      </c>
      <c r="Y231" s="13">
        <f t="shared" si="88"/>
        <v>3772</v>
      </c>
      <c r="Z231" s="13">
        <f t="shared" si="88"/>
        <v>3773</v>
      </c>
      <c r="AA231" s="13">
        <f t="shared" si="88"/>
        <v>3774</v>
      </c>
      <c r="AB231" s="13">
        <f t="shared" si="88"/>
        <v>3775</v>
      </c>
      <c r="AC231" s="13">
        <f t="shared" si="88"/>
        <v>3776</v>
      </c>
      <c r="AD231" s="13">
        <f t="shared" si="88"/>
        <v>3777</v>
      </c>
      <c r="AE231" s="13">
        <f t="shared" si="88"/>
        <v>3778</v>
      </c>
      <c r="AF231" s="13">
        <f t="shared" si="88"/>
        <v>3779</v>
      </c>
      <c r="AG231" s="13">
        <f t="shared" si="89"/>
        <v>3780</v>
      </c>
      <c r="AH231" s="13">
        <f t="shared" si="89"/>
        <v>3781</v>
      </c>
      <c r="AI231" s="13">
        <f t="shared" si="89"/>
        <v>3782</v>
      </c>
      <c r="AJ231" s="13">
        <f t="shared" si="89"/>
        <v>3783</v>
      </c>
      <c r="AK231" s="13">
        <f t="shared" si="89"/>
        <v>3784</v>
      </c>
      <c r="AL231" s="13">
        <f t="shared" si="89"/>
        <v>3785</v>
      </c>
      <c r="AM231" s="13">
        <f t="shared" si="89"/>
        <v>3786</v>
      </c>
      <c r="AN231" s="13">
        <f t="shared" si="89"/>
        <v>3787</v>
      </c>
      <c r="AO231" s="13">
        <f t="shared" si="89"/>
        <v>3788</v>
      </c>
      <c r="AP231" s="13">
        <f t="shared" si="89"/>
        <v>3789</v>
      </c>
      <c r="AQ231" s="13">
        <f t="shared" si="90"/>
        <v>3790</v>
      </c>
      <c r="AR231" s="13">
        <f t="shared" si="90"/>
        <v>3791</v>
      </c>
      <c r="AS231" s="13">
        <f t="shared" si="90"/>
        <v>3792</v>
      </c>
      <c r="AT231" s="13">
        <f t="shared" si="90"/>
        <v>3793</v>
      </c>
      <c r="AU231" s="13">
        <f t="shared" si="90"/>
        <v>3794</v>
      </c>
      <c r="AV231" s="13">
        <f t="shared" si="90"/>
        <v>3795</v>
      </c>
      <c r="AW231" s="13">
        <f t="shared" si="90"/>
        <v>3796</v>
      </c>
      <c r="AX231" s="13">
        <f t="shared" si="90"/>
        <v>3797</v>
      </c>
      <c r="AY231" s="13">
        <f t="shared" si="90"/>
        <v>3798</v>
      </c>
      <c r="AZ231" s="13">
        <f t="shared" si="90"/>
        <v>3799</v>
      </c>
      <c r="BA231" s="13">
        <f t="shared" si="91"/>
        <v>3800</v>
      </c>
      <c r="BB231" s="13">
        <f t="shared" si="91"/>
        <v>3801</v>
      </c>
      <c r="BC231" s="13">
        <f t="shared" si="91"/>
        <v>3802</v>
      </c>
      <c r="BD231" s="13">
        <f t="shared" si="91"/>
        <v>3803</v>
      </c>
      <c r="BE231" s="13">
        <f t="shared" si="91"/>
        <v>3804</v>
      </c>
      <c r="BF231" s="13">
        <f t="shared" si="91"/>
        <v>3805</v>
      </c>
      <c r="BG231" s="13">
        <f t="shared" si="91"/>
        <v>3806</v>
      </c>
      <c r="BH231" s="13">
        <f t="shared" si="91"/>
        <v>3807</v>
      </c>
      <c r="BI231" s="13">
        <f t="shared" si="91"/>
        <v>3808</v>
      </c>
      <c r="BJ231" s="13">
        <f t="shared" si="91"/>
        <v>3809</v>
      </c>
      <c r="BK231" s="13">
        <f t="shared" si="91"/>
        <v>3810</v>
      </c>
      <c r="BL231" s="13">
        <f t="shared" si="91"/>
        <v>3811</v>
      </c>
      <c r="BM231" s="13">
        <f t="shared" si="91"/>
        <v>3812</v>
      </c>
      <c r="BN231" s="13">
        <f t="shared" si="91"/>
        <v>3813</v>
      </c>
    </row>
    <row r="232" spans="1:66">
      <c r="A232">
        <f>VLOOKUP(B232,Teste!$A$137:$G$236,7,FALSE)</f>
        <v>0</v>
      </c>
      <c r="B232">
        <f t="shared" si="85"/>
        <v>76</v>
      </c>
      <c r="C232" s="13">
        <f t="shared" si="86"/>
        <v>3800</v>
      </c>
      <c r="D232" s="13">
        <f t="shared" si="86"/>
        <v>3801</v>
      </c>
      <c r="E232" s="13">
        <f t="shared" si="86"/>
        <v>3802</v>
      </c>
      <c r="F232" s="13">
        <f t="shared" si="86"/>
        <v>3803</v>
      </c>
      <c r="G232" s="13">
        <f t="shared" si="86"/>
        <v>3804</v>
      </c>
      <c r="H232" s="13">
        <f t="shared" si="86"/>
        <v>3805</v>
      </c>
      <c r="I232" s="13">
        <f t="shared" si="86"/>
        <v>3806</v>
      </c>
      <c r="J232" s="13">
        <f t="shared" si="86"/>
        <v>3807</v>
      </c>
      <c r="K232" s="13">
        <f t="shared" si="86"/>
        <v>3808</v>
      </c>
      <c r="L232" s="13">
        <f t="shared" si="86"/>
        <v>3809</v>
      </c>
      <c r="M232" s="13">
        <f t="shared" si="87"/>
        <v>3810</v>
      </c>
      <c r="N232" s="13">
        <f t="shared" si="87"/>
        <v>3811</v>
      </c>
      <c r="O232" s="13">
        <f t="shared" si="87"/>
        <v>3812</v>
      </c>
      <c r="P232" s="13">
        <f t="shared" si="87"/>
        <v>3813</v>
      </c>
      <c r="Q232" s="13">
        <f t="shared" si="87"/>
        <v>3814</v>
      </c>
      <c r="R232" s="13">
        <f t="shared" si="87"/>
        <v>3815</v>
      </c>
      <c r="S232" s="13">
        <f t="shared" si="87"/>
        <v>3816</v>
      </c>
      <c r="T232" s="13">
        <f t="shared" si="87"/>
        <v>3817</v>
      </c>
      <c r="U232" s="13">
        <f t="shared" si="87"/>
        <v>3818</v>
      </c>
      <c r="V232" s="13">
        <f t="shared" si="87"/>
        <v>3819</v>
      </c>
      <c r="W232" s="13">
        <f t="shared" si="88"/>
        <v>3820</v>
      </c>
      <c r="X232" s="13">
        <f t="shared" si="88"/>
        <v>3821</v>
      </c>
      <c r="Y232" s="13">
        <f t="shared" si="88"/>
        <v>3822</v>
      </c>
      <c r="Z232" s="13">
        <f t="shared" si="88"/>
        <v>3823</v>
      </c>
      <c r="AA232" s="13">
        <f t="shared" si="88"/>
        <v>3824</v>
      </c>
      <c r="AB232" s="13">
        <f t="shared" si="88"/>
        <v>3825</v>
      </c>
      <c r="AC232" s="13">
        <f t="shared" si="88"/>
        <v>3826</v>
      </c>
      <c r="AD232" s="13">
        <f t="shared" si="88"/>
        <v>3827</v>
      </c>
      <c r="AE232" s="13">
        <f t="shared" si="88"/>
        <v>3828</v>
      </c>
      <c r="AF232" s="13">
        <f t="shared" si="88"/>
        <v>3829</v>
      </c>
      <c r="AG232" s="13">
        <f t="shared" si="89"/>
        <v>3830</v>
      </c>
      <c r="AH232" s="13">
        <f t="shared" si="89"/>
        <v>3831</v>
      </c>
      <c r="AI232" s="13">
        <f t="shared" si="89"/>
        <v>3832</v>
      </c>
      <c r="AJ232" s="13">
        <f t="shared" si="89"/>
        <v>3833</v>
      </c>
      <c r="AK232" s="13">
        <f t="shared" si="89"/>
        <v>3834</v>
      </c>
      <c r="AL232" s="13">
        <f t="shared" si="89"/>
        <v>3835</v>
      </c>
      <c r="AM232" s="13">
        <f t="shared" si="89"/>
        <v>3836</v>
      </c>
      <c r="AN232" s="13">
        <f t="shared" si="89"/>
        <v>3837</v>
      </c>
      <c r="AO232" s="13">
        <f t="shared" si="89"/>
        <v>3838</v>
      </c>
      <c r="AP232" s="13">
        <f t="shared" si="89"/>
        <v>3839</v>
      </c>
      <c r="AQ232" s="13">
        <f t="shared" si="90"/>
        <v>3840</v>
      </c>
      <c r="AR232" s="13">
        <f t="shared" si="90"/>
        <v>3841</v>
      </c>
      <c r="AS232" s="13">
        <f t="shared" si="90"/>
        <v>3842</v>
      </c>
      <c r="AT232" s="13">
        <f t="shared" si="90"/>
        <v>3843</v>
      </c>
      <c r="AU232" s="13">
        <f t="shared" si="90"/>
        <v>3844</v>
      </c>
      <c r="AV232" s="13">
        <f t="shared" si="90"/>
        <v>3845</v>
      </c>
      <c r="AW232" s="13">
        <f t="shared" si="90"/>
        <v>3846</v>
      </c>
      <c r="AX232" s="13">
        <f t="shared" si="90"/>
        <v>3847</v>
      </c>
      <c r="AY232" s="13">
        <f t="shared" si="90"/>
        <v>3848</v>
      </c>
      <c r="AZ232" s="13">
        <f t="shared" si="90"/>
        <v>3849</v>
      </c>
      <c r="BA232" s="13">
        <f t="shared" si="91"/>
        <v>3850</v>
      </c>
      <c r="BB232" s="13">
        <f t="shared" si="91"/>
        <v>3851</v>
      </c>
      <c r="BC232" s="13">
        <f t="shared" si="91"/>
        <v>3852</v>
      </c>
      <c r="BD232" s="13">
        <f t="shared" si="91"/>
        <v>3853</v>
      </c>
      <c r="BE232" s="13">
        <f t="shared" si="91"/>
        <v>3854</v>
      </c>
      <c r="BF232" s="13">
        <f t="shared" si="91"/>
        <v>3855</v>
      </c>
      <c r="BG232" s="13">
        <f t="shared" si="91"/>
        <v>3856</v>
      </c>
      <c r="BH232" s="13">
        <f t="shared" si="91"/>
        <v>3857</v>
      </c>
      <c r="BI232" s="13">
        <f t="shared" si="91"/>
        <v>3858</v>
      </c>
      <c r="BJ232" s="13">
        <f t="shared" si="91"/>
        <v>3859</v>
      </c>
      <c r="BK232" s="13">
        <f t="shared" si="91"/>
        <v>3860</v>
      </c>
      <c r="BL232" s="13">
        <f t="shared" si="91"/>
        <v>3861</v>
      </c>
      <c r="BM232" s="13">
        <f t="shared" si="91"/>
        <v>3862</v>
      </c>
      <c r="BN232" s="13">
        <f t="shared" si="91"/>
        <v>3863</v>
      </c>
    </row>
    <row r="233" spans="1:66">
      <c r="A233">
        <f>VLOOKUP(B233,Teste!$A$137:$G$236,7,FALSE)</f>
        <v>0</v>
      </c>
      <c r="B233">
        <f t="shared" si="85"/>
        <v>77</v>
      </c>
      <c r="C233" s="13">
        <f t="shared" si="86"/>
        <v>3850</v>
      </c>
      <c r="D233" s="13">
        <f t="shared" si="86"/>
        <v>3851</v>
      </c>
      <c r="E233" s="13">
        <f t="shared" si="86"/>
        <v>3852</v>
      </c>
      <c r="F233" s="13">
        <f t="shared" si="86"/>
        <v>3853</v>
      </c>
      <c r="G233" s="13">
        <f t="shared" si="86"/>
        <v>3854</v>
      </c>
      <c r="H233" s="13">
        <f t="shared" si="86"/>
        <v>3855</v>
      </c>
      <c r="I233" s="13">
        <f t="shared" si="86"/>
        <v>3856</v>
      </c>
      <c r="J233" s="13">
        <f t="shared" si="86"/>
        <v>3857</v>
      </c>
      <c r="K233" s="13">
        <f t="shared" si="86"/>
        <v>3858</v>
      </c>
      <c r="L233" s="13">
        <f t="shared" si="86"/>
        <v>3859</v>
      </c>
      <c r="M233" s="13">
        <f t="shared" si="87"/>
        <v>3860</v>
      </c>
      <c r="N233" s="13">
        <f t="shared" si="87"/>
        <v>3861</v>
      </c>
      <c r="O233" s="13">
        <f t="shared" si="87"/>
        <v>3862</v>
      </c>
      <c r="P233" s="13">
        <f t="shared" si="87"/>
        <v>3863</v>
      </c>
      <c r="Q233" s="13">
        <f t="shared" si="87"/>
        <v>3864</v>
      </c>
      <c r="R233" s="13">
        <f t="shared" si="87"/>
        <v>3865</v>
      </c>
      <c r="S233" s="13">
        <f t="shared" si="87"/>
        <v>3866</v>
      </c>
      <c r="T233" s="13">
        <f t="shared" si="87"/>
        <v>3867</v>
      </c>
      <c r="U233" s="13">
        <f t="shared" si="87"/>
        <v>3868</v>
      </c>
      <c r="V233" s="13">
        <f t="shared" si="87"/>
        <v>3869</v>
      </c>
      <c r="W233" s="13">
        <f t="shared" si="88"/>
        <v>3870</v>
      </c>
      <c r="X233" s="13">
        <f t="shared" si="88"/>
        <v>3871</v>
      </c>
      <c r="Y233" s="13">
        <f t="shared" si="88"/>
        <v>3872</v>
      </c>
      <c r="Z233" s="13">
        <f t="shared" si="88"/>
        <v>3873</v>
      </c>
      <c r="AA233" s="13">
        <f t="shared" si="88"/>
        <v>3874</v>
      </c>
      <c r="AB233" s="13">
        <f t="shared" si="88"/>
        <v>3875</v>
      </c>
      <c r="AC233" s="13">
        <f t="shared" si="88"/>
        <v>3876</v>
      </c>
      <c r="AD233" s="13">
        <f t="shared" si="88"/>
        <v>3877</v>
      </c>
      <c r="AE233" s="13">
        <f t="shared" si="88"/>
        <v>3878</v>
      </c>
      <c r="AF233" s="13">
        <f t="shared" si="88"/>
        <v>3879</v>
      </c>
      <c r="AG233" s="13">
        <f t="shared" si="89"/>
        <v>3880</v>
      </c>
      <c r="AH233" s="13">
        <f t="shared" si="89"/>
        <v>3881</v>
      </c>
      <c r="AI233" s="13">
        <f t="shared" si="89"/>
        <v>3882</v>
      </c>
      <c r="AJ233" s="13">
        <f t="shared" si="89"/>
        <v>3883</v>
      </c>
      <c r="AK233" s="13">
        <f t="shared" si="89"/>
        <v>3884</v>
      </c>
      <c r="AL233" s="13">
        <f t="shared" si="89"/>
        <v>3885</v>
      </c>
      <c r="AM233" s="13">
        <f t="shared" si="89"/>
        <v>3886</v>
      </c>
      <c r="AN233" s="13">
        <f t="shared" si="89"/>
        <v>3887</v>
      </c>
      <c r="AO233" s="13">
        <f t="shared" si="89"/>
        <v>3888</v>
      </c>
      <c r="AP233" s="13">
        <f t="shared" si="89"/>
        <v>3889</v>
      </c>
      <c r="AQ233" s="13">
        <f t="shared" si="90"/>
        <v>3890</v>
      </c>
      <c r="AR233" s="13">
        <f t="shared" si="90"/>
        <v>3891</v>
      </c>
      <c r="AS233" s="13">
        <f t="shared" si="90"/>
        <v>3892</v>
      </c>
      <c r="AT233" s="13">
        <f t="shared" si="90"/>
        <v>3893</v>
      </c>
      <c r="AU233" s="13">
        <f t="shared" si="90"/>
        <v>3894</v>
      </c>
      <c r="AV233" s="13">
        <f t="shared" si="90"/>
        <v>3895</v>
      </c>
      <c r="AW233" s="13">
        <f t="shared" si="90"/>
        <v>3896</v>
      </c>
      <c r="AX233" s="13">
        <f t="shared" si="90"/>
        <v>3897</v>
      </c>
      <c r="AY233" s="13">
        <f t="shared" si="90"/>
        <v>3898</v>
      </c>
      <c r="AZ233" s="13">
        <f t="shared" si="90"/>
        <v>3899</v>
      </c>
      <c r="BA233" s="13">
        <f t="shared" si="91"/>
        <v>3900</v>
      </c>
      <c r="BB233" s="13">
        <f t="shared" si="91"/>
        <v>3901</v>
      </c>
      <c r="BC233" s="13">
        <f t="shared" si="91"/>
        <v>3902</v>
      </c>
      <c r="BD233" s="13">
        <f t="shared" si="91"/>
        <v>3903</v>
      </c>
      <c r="BE233" s="13">
        <f t="shared" si="91"/>
        <v>3904</v>
      </c>
      <c r="BF233" s="13">
        <f t="shared" si="91"/>
        <v>3905</v>
      </c>
      <c r="BG233" s="13">
        <f t="shared" si="91"/>
        <v>3906</v>
      </c>
      <c r="BH233" s="13">
        <f t="shared" si="91"/>
        <v>3907</v>
      </c>
      <c r="BI233" s="13">
        <f t="shared" si="91"/>
        <v>3908</v>
      </c>
      <c r="BJ233" s="13">
        <f t="shared" si="91"/>
        <v>3909</v>
      </c>
      <c r="BK233" s="13">
        <f t="shared" si="91"/>
        <v>3910</v>
      </c>
      <c r="BL233" s="13">
        <f t="shared" si="91"/>
        <v>3911</v>
      </c>
      <c r="BM233" s="13">
        <f t="shared" si="91"/>
        <v>3912</v>
      </c>
      <c r="BN233" s="13">
        <f t="shared" si="91"/>
        <v>3913</v>
      </c>
    </row>
    <row r="234" spans="1:66">
      <c r="A234">
        <f>VLOOKUP(B234,Teste!$A$137:$G$236,7,FALSE)</f>
        <v>0</v>
      </c>
      <c r="B234">
        <f t="shared" si="85"/>
        <v>78</v>
      </c>
      <c r="C234" s="13">
        <f t="shared" si="86"/>
        <v>3900</v>
      </c>
      <c r="D234" s="13">
        <f t="shared" si="86"/>
        <v>3901</v>
      </c>
      <c r="E234" s="13">
        <f t="shared" si="86"/>
        <v>3902</v>
      </c>
      <c r="F234" s="13">
        <f t="shared" si="86"/>
        <v>3903</v>
      </c>
      <c r="G234" s="13">
        <f t="shared" si="86"/>
        <v>3904</v>
      </c>
      <c r="H234" s="13">
        <f t="shared" si="86"/>
        <v>3905</v>
      </c>
      <c r="I234" s="13">
        <f t="shared" si="86"/>
        <v>3906</v>
      </c>
      <c r="J234" s="13">
        <f t="shared" si="86"/>
        <v>3907</v>
      </c>
      <c r="K234" s="13">
        <f t="shared" si="86"/>
        <v>3908</v>
      </c>
      <c r="L234" s="13">
        <f t="shared" si="86"/>
        <v>3909</v>
      </c>
      <c r="M234" s="13">
        <f t="shared" si="87"/>
        <v>3910</v>
      </c>
      <c r="N234" s="13">
        <f t="shared" si="87"/>
        <v>3911</v>
      </c>
      <c r="O234" s="13">
        <f t="shared" si="87"/>
        <v>3912</v>
      </c>
      <c r="P234" s="13">
        <f t="shared" si="87"/>
        <v>3913</v>
      </c>
      <c r="Q234" s="13">
        <f t="shared" si="87"/>
        <v>3914</v>
      </c>
      <c r="R234" s="13">
        <f t="shared" si="87"/>
        <v>3915</v>
      </c>
      <c r="S234" s="13">
        <f t="shared" si="87"/>
        <v>3916</v>
      </c>
      <c r="T234" s="13">
        <f t="shared" si="87"/>
        <v>3917</v>
      </c>
      <c r="U234" s="13">
        <f t="shared" si="87"/>
        <v>3918</v>
      </c>
      <c r="V234" s="13">
        <f t="shared" si="87"/>
        <v>3919</v>
      </c>
      <c r="W234" s="13">
        <f t="shared" si="88"/>
        <v>3920</v>
      </c>
      <c r="X234" s="13">
        <f t="shared" si="88"/>
        <v>3921</v>
      </c>
      <c r="Y234" s="13">
        <f t="shared" si="88"/>
        <v>3922</v>
      </c>
      <c r="Z234" s="13">
        <f t="shared" si="88"/>
        <v>3923</v>
      </c>
      <c r="AA234" s="13">
        <f t="shared" si="88"/>
        <v>3924</v>
      </c>
      <c r="AB234" s="13">
        <f t="shared" si="88"/>
        <v>3925</v>
      </c>
      <c r="AC234" s="13">
        <f t="shared" si="88"/>
        <v>3926</v>
      </c>
      <c r="AD234" s="13">
        <f t="shared" si="88"/>
        <v>3927</v>
      </c>
      <c r="AE234" s="13">
        <f t="shared" si="88"/>
        <v>3928</v>
      </c>
      <c r="AF234" s="13">
        <f t="shared" si="88"/>
        <v>3929</v>
      </c>
      <c r="AG234" s="13">
        <f t="shared" si="89"/>
        <v>3930</v>
      </c>
      <c r="AH234" s="13">
        <f t="shared" si="89"/>
        <v>3931</v>
      </c>
      <c r="AI234" s="13">
        <f t="shared" si="89"/>
        <v>3932</v>
      </c>
      <c r="AJ234" s="13">
        <f t="shared" si="89"/>
        <v>3933</v>
      </c>
      <c r="AK234" s="13">
        <f t="shared" si="89"/>
        <v>3934</v>
      </c>
      <c r="AL234" s="13">
        <f t="shared" si="89"/>
        <v>3935</v>
      </c>
      <c r="AM234" s="13">
        <f t="shared" si="89"/>
        <v>3936</v>
      </c>
      <c r="AN234" s="13">
        <f t="shared" si="89"/>
        <v>3937</v>
      </c>
      <c r="AO234" s="13">
        <f t="shared" si="89"/>
        <v>3938</v>
      </c>
      <c r="AP234" s="13">
        <f t="shared" si="89"/>
        <v>3939</v>
      </c>
      <c r="AQ234" s="13">
        <f t="shared" si="90"/>
        <v>3940</v>
      </c>
      <c r="AR234" s="13">
        <f t="shared" si="90"/>
        <v>3941</v>
      </c>
      <c r="AS234" s="13">
        <f t="shared" si="90"/>
        <v>3942</v>
      </c>
      <c r="AT234" s="13">
        <f t="shared" si="90"/>
        <v>3943</v>
      </c>
      <c r="AU234" s="13">
        <f t="shared" si="90"/>
        <v>3944</v>
      </c>
      <c r="AV234" s="13">
        <f t="shared" si="90"/>
        <v>3945</v>
      </c>
      <c r="AW234" s="13">
        <f t="shared" si="90"/>
        <v>3946</v>
      </c>
      <c r="AX234" s="13">
        <f t="shared" si="90"/>
        <v>3947</v>
      </c>
      <c r="AY234" s="13">
        <f t="shared" si="90"/>
        <v>3948</v>
      </c>
      <c r="AZ234" s="13">
        <f t="shared" si="90"/>
        <v>3949</v>
      </c>
      <c r="BA234" s="13">
        <f t="shared" si="91"/>
        <v>3950</v>
      </c>
      <c r="BB234" s="13">
        <f t="shared" si="91"/>
        <v>3951</v>
      </c>
      <c r="BC234" s="13">
        <f t="shared" si="91"/>
        <v>3952</v>
      </c>
      <c r="BD234" s="13">
        <f t="shared" si="91"/>
        <v>3953</v>
      </c>
      <c r="BE234" s="13">
        <f t="shared" si="91"/>
        <v>3954</v>
      </c>
      <c r="BF234" s="13">
        <f t="shared" si="91"/>
        <v>3955</v>
      </c>
      <c r="BG234" s="13">
        <f t="shared" si="91"/>
        <v>3956</v>
      </c>
      <c r="BH234" s="13">
        <f t="shared" si="91"/>
        <v>3957</v>
      </c>
      <c r="BI234" s="13">
        <f t="shared" si="91"/>
        <v>3958</v>
      </c>
      <c r="BJ234" s="13">
        <f t="shared" si="91"/>
        <v>3959</v>
      </c>
      <c r="BK234" s="13">
        <f t="shared" si="91"/>
        <v>3960</v>
      </c>
      <c r="BL234" s="13">
        <f t="shared" si="91"/>
        <v>3961</v>
      </c>
      <c r="BM234" s="13">
        <f t="shared" si="91"/>
        <v>3962</v>
      </c>
      <c r="BN234" s="13">
        <f t="shared" si="91"/>
        <v>3963</v>
      </c>
    </row>
    <row r="235" spans="1:66">
      <c r="A235">
        <f>VLOOKUP(B235,Teste!$A$137:$G$236,7,FALSE)</f>
        <v>0</v>
      </c>
      <c r="B235">
        <f t="shared" si="85"/>
        <v>79</v>
      </c>
      <c r="C235" s="13">
        <f t="shared" si="86"/>
        <v>3950</v>
      </c>
      <c r="D235" s="13">
        <f t="shared" si="86"/>
        <v>3951</v>
      </c>
      <c r="E235" s="13">
        <f t="shared" si="86"/>
        <v>3952</v>
      </c>
      <c r="F235" s="13">
        <f t="shared" si="86"/>
        <v>3953</v>
      </c>
      <c r="G235" s="13">
        <f t="shared" si="86"/>
        <v>3954</v>
      </c>
      <c r="H235" s="13">
        <f t="shared" si="86"/>
        <v>3955</v>
      </c>
      <c r="I235" s="13">
        <f t="shared" si="86"/>
        <v>3956</v>
      </c>
      <c r="J235" s="13">
        <f t="shared" si="86"/>
        <v>3957</v>
      </c>
      <c r="K235" s="13">
        <f t="shared" si="86"/>
        <v>3958</v>
      </c>
      <c r="L235" s="13">
        <f t="shared" si="86"/>
        <v>3959</v>
      </c>
      <c r="M235" s="13">
        <f t="shared" si="87"/>
        <v>3960</v>
      </c>
      <c r="N235" s="13">
        <f t="shared" si="87"/>
        <v>3961</v>
      </c>
      <c r="O235" s="13">
        <f t="shared" si="87"/>
        <v>3962</v>
      </c>
      <c r="P235" s="13">
        <f t="shared" si="87"/>
        <v>3963</v>
      </c>
      <c r="Q235" s="13">
        <f t="shared" si="87"/>
        <v>3964</v>
      </c>
      <c r="R235" s="13">
        <f t="shared" si="87"/>
        <v>3965</v>
      </c>
      <c r="S235" s="13">
        <f t="shared" si="87"/>
        <v>3966</v>
      </c>
      <c r="T235" s="13">
        <f t="shared" si="87"/>
        <v>3967</v>
      </c>
      <c r="U235" s="13">
        <f t="shared" si="87"/>
        <v>3968</v>
      </c>
      <c r="V235" s="13">
        <f t="shared" si="87"/>
        <v>3969</v>
      </c>
      <c r="W235" s="13">
        <f t="shared" si="88"/>
        <v>3970</v>
      </c>
      <c r="X235" s="13">
        <f t="shared" si="88"/>
        <v>3971</v>
      </c>
      <c r="Y235" s="13">
        <f t="shared" si="88"/>
        <v>3972</v>
      </c>
      <c r="Z235" s="13">
        <f t="shared" si="88"/>
        <v>3973</v>
      </c>
      <c r="AA235" s="13">
        <f t="shared" si="88"/>
        <v>3974</v>
      </c>
      <c r="AB235" s="13">
        <f t="shared" si="88"/>
        <v>3975</v>
      </c>
      <c r="AC235" s="13">
        <f t="shared" si="88"/>
        <v>3976</v>
      </c>
      <c r="AD235" s="13">
        <f t="shared" si="88"/>
        <v>3977</v>
      </c>
      <c r="AE235" s="13">
        <f t="shared" si="88"/>
        <v>3978</v>
      </c>
      <c r="AF235" s="13">
        <f t="shared" si="88"/>
        <v>3979</v>
      </c>
      <c r="AG235" s="13">
        <f t="shared" si="89"/>
        <v>3980</v>
      </c>
      <c r="AH235" s="13">
        <f t="shared" si="89"/>
        <v>3981</v>
      </c>
      <c r="AI235" s="13">
        <f t="shared" si="89"/>
        <v>3982</v>
      </c>
      <c r="AJ235" s="13">
        <f t="shared" si="89"/>
        <v>3983</v>
      </c>
      <c r="AK235" s="13">
        <f t="shared" si="89"/>
        <v>3984</v>
      </c>
      <c r="AL235" s="13">
        <f t="shared" si="89"/>
        <v>3985</v>
      </c>
      <c r="AM235" s="13">
        <f t="shared" si="89"/>
        <v>3986</v>
      </c>
      <c r="AN235" s="13">
        <f t="shared" si="89"/>
        <v>3987</v>
      </c>
      <c r="AO235" s="13">
        <f t="shared" si="89"/>
        <v>3988</v>
      </c>
      <c r="AP235" s="13">
        <f t="shared" si="89"/>
        <v>3989</v>
      </c>
      <c r="AQ235" s="13">
        <f t="shared" si="90"/>
        <v>3990</v>
      </c>
      <c r="AR235" s="13">
        <f t="shared" si="90"/>
        <v>3991</v>
      </c>
      <c r="AS235" s="13">
        <f t="shared" si="90"/>
        <v>3992</v>
      </c>
      <c r="AT235" s="13">
        <f t="shared" si="90"/>
        <v>3993</v>
      </c>
      <c r="AU235" s="13">
        <f t="shared" si="90"/>
        <v>3994</v>
      </c>
      <c r="AV235" s="13">
        <f t="shared" si="90"/>
        <v>3995</v>
      </c>
      <c r="AW235" s="13">
        <f t="shared" si="90"/>
        <v>3996</v>
      </c>
      <c r="AX235" s="13">
        <f t="shared" si="90"/>
        <v>3997</v>
      </c>
      <c r="AY235" s="13">
        <f t="shared" si="90"/>
        <v>3998</v>
      </c>
      <c r="AZ235" s="13">
        <f t="shared" si="90"/>
        <v>3999</v>
      </c>
      <c r="BA235" s="13">
        <f t="shared" si="91"/>
        <v>4000</v>
      </c>
      <c r="BB235" s="13">
        <f t="shared" si="91"/>
        <v>4001</v>
      </c>
      <c r="BC235" s="13">
        <f t="shared" si="91"/>
        <v>4002</v>
      </c>
      <c r="BD235" s="13">
        <f t="shared" si="91"/>
        <v>4003</v>
      </c>
      <c r="BE235" s="13">
        <f t="shared" si="91"/>
        <v>4004</v>
      </c>
      <c r="BF235" s="13">
        <f t="shared" si="91"/>
        <v>4005</v>
      </c>
      <c r="BG235" s="13">
        <f t="shared" si="91"/>
        <v>4006</v>
      </c>
      <c r="BH235" s="13">
        <f t="shared" si="91"/>
        <v>4007</v>
      </c>
      <c r="BI235" s="13">
        <f t="shared" si="91"/>
        <v>4008</v>
      </c>
      <c r="BJ235" s="13">
        <f t="shared" si="91"/>
        <v>4009</v>
      </c>
      <c r="BK235" s="13">
        <f t="shared" si="91"/>
        <v>4010</v>
      </c>
      <c r="BL235" s="13">
        <f t="shared" si="91"/>
        <v>4011</v>
      </c>
      <c r="BM235" s="13">
        <f t="shared" si="91"/>
        <v>4012</v>
      </c>
      <c r="BN235" s="13">
        <f t="shared" si="91"/>
        <v>4013</v>
      </c>
    </row>
    <row r="236" spans="1:66">
      <c r="A236">
        <f>VLOOKUP(B236,Teste!$A$137:$G$236,7,FALSE)</f>
        <v>0</v>
      </c>
      <c r="B236">
        <f t="shared" si="85"/>
        <v>80</v>
      </c>
      <c r="C236" s="13">
        <f t="shared" ref="C236:L245" si="92">C$155 + numGenes*$B236</f>
        <v>4000</v>
      </c>
      <c r="D236" s="13">
        <f t="shared" si="92"/>
        <v>4001</v>
      </c>
      <c r="E236" s="13">
        <f t="shared" si="92"/>
        <v>4002</v>
      </c>
      <c r="F236" s="13">
        <f t="shared" si="92"/>
        <v>4003</v>
      </c>
      <c r="G236" s="13">
        <f t="shared" si="92"/>
        <v>4004</v>
      </c>
      <c r="H236" s="13">
        <f t="shared" si="92"/>
        <v>4005</v>
      </c>
      <c r="I236" s="13">
        <f t="shared" si="92"/>
        <v>4006</v>
      </c>
      <c r="J236" s="13">
        <f t="shared" si="92"/>
        <v>4007</v>
      </c>
      <c r="K236" s="13">
        <f t="shared" si="92"/>
        <v>4008</v>
      </c>
      <c r="L236" s="13">
        <f t="shared" si="92"/>
        <v>4009</v>
      </c>
      <c r="M236" s="13">
        <f t="shared" ref="M236:V245" si="93">M$155 + numGenes*$B236</f>
        <v>4010</v>
      </c>
      <c r="N236" s="13">
        <f t="shared" si="93"/>
        <v>4011</v>
      </c>
      <c r="O236" s="13">
        <f t="shared" si="93"/>
        <v>4012</v>
      </c>
      <c r="P236" s="13">
        <f t="shared" si="93"/>
        <v>4013</v>
      </c>
      <c r="Q236" s="13">
        <f t="shared" si="93"/>
        <v>4014</v>
      </c>
      <c r="R236" s="13">
        <f t="shared" si="93"/>
        <v>4015</v>
      </c>
      <c r="S236" s="13">
        <f t="shared" si="93"/>
        <v>4016</v>
      </c>
      <c r="T236" s="13">
        <f t="shared" si="93"/>
        <v>4017</v>
      </c>
      <c r="U236" s="13">
        <f t="shared" si="93"/>
        <v>4018</v>
      </c>
      <c r="V236" s="13">
        <f t="shared" si="93"/>
        <v>4019</v>
      </c>
      <c r="W236" s="13">
        <f t="shared" ref="W236:AF245" si="94">W$155 + numGenes*$B236</f>
        <v>4020</v>
      </c>
      <c r="X236" s="13">
        <f t="shared" si="94"/>
        <v>4021</v>
      </c>
      <c r="Y236" s="13">
        <f t="shared" si="94"/>
        <v>4022</v>
      </c>
      <c r="Z236" s="13">
        <f t="shared" si="94"/>
        <v>4023</v>
      </c>
      <c r="AA236" s="13">
        <f t="shared" si="94"/>
        <v>4024</v>
      </c>
      <c r="AB236" s="13">
        <f t="shared" si="94"/>
        <v>4025</v>
      </c>
      <c r="AC236" s="13">
        <f t="shared" si="94"/>
        <v>4026</v>
      </c>
      <c r="AD236" s="13">
        <f t="shared" si="94"/>
        <v>4027</v>
      </c>
      <c r="AE236" s="13">
        <f t="shared" si="94"/>
        <v>4028</v>
      </c>
      <c r="AF236" s="13">
        <f t="shared" si="94"/>
        <v>4029</v>
      </c>
      <c r="AG236" s="13">
        <f t="shared" ref="AG236:AP245" si="95">AG$155 + numGenes*$B236</f>
        <v>4030</v>
      </c>
      <c r="AH236" s="13">
        <f t="shared" si="95"/>
        <v>4031</v>
      </c>
      <c r="AI236" s="13">
        <f t="shared" si="95"/>
        <v>4032</v>
      </c>
      <c r="AJ236" s="13">
        <f t="shared" si="95"/>
        <v>4033</v>
      </c>
      <c r="AK236" s="13">
        <f t="shared" si="95"/>
        <v>4034</v>
      </c>
      <c r="AL236" s="13">
        <f t="shared" si="95"/>
        <v>4035</v>
      </c>
      <c r="AM236" s="13">
        <f t="shared" si="95"/>
        <v>4036</v>
      </c>
      <c r="AN236" s="13">
        <f t="shared" si="95"/>
        <v>4037</v>
      </c>
      <c r="AO236" s="13">
        <f t="shared" si="95"/>
        <v>4038</v>
      </c>
      <c r="AP236" s="13">
        <f t="shared" si="95"/>
        <v>4039</v>
      </c>
      <c r="AQ236" s="13">
        <f t="shared" ref="AQ236:AZ245" si="96">AQ$155 + numGenes*$B236</f>
        <v>4040</v>
      </c>
      <c r="AR236" s="13">
        <f t="shared" si="96"/>
        <v>4041</v>
      </c>
      <c r="AS236" s="13">
        <f t="shared" si="96"/>
        <v>4042</v>
      </c>
      <c r="AT236" s="13">
        <f t="shared" si="96"/>
        <v>4043</v>
      </c>
      <c r="AU236" s="13">
        <f t="shared" si="96"/>
        <v>4044</v>
      </c>
      <c r="AV236" s="13">
        <f t="shared" si="96"/>
        <v>4045</v>
      </c>
      <c r="AW236" s="13">
        <f t="shared" si="96"/>
        <v>4046</v>
      </c>
      <c r="AX236" s="13">
        <f t="shared" si="96"/>
        <v>4047</v>
      </c>
      <c r="AY236" s="13">
        <f t="shared" si="96"/>
        <v>4048</v>
      </c>
      <c r="AZ236" s="13">
        <f t="shared" si="96"/>
        <v>4049</v>
      </c>
      <c r="BA236" s="13">
        <f t="shared" ref="BA236:BN245" si="97">BA$155 + numGenes*$B236</f>
        <v>4050</v>
      </c>
      <c r="BB236" s="13">
        <f t="shared" si="97"/>
        <v>4051</v>
      </c>
      <c r="BC236" s="13">
        <f t="shared" si="97"/>
        <v>4052</v>
      </c>
      <c r="BD236" s="13">
        <f t="shared" si="97"/>
        <v>4053</v>
      </c>
      <c r="BE236" s="13">
        <f t="shared" si="97"/>
        <v>4054</v>
      </c>
      <c r="BF236" s="13">
        <f t="shared" si="97"/>
        <v>4055</v>
      </c>
      <c r="BG236" s="13">
        <f t="shared" si="97"/>
        <v>4056</v>
      </c>
      <c r="BH236" s="13">
        <f t="shared" si="97"/>
        <v>4057</v>
      </c>
      <c r="BI236" s="13">
        <f t="shared" si="97"/>
        <v>4058</v>
      </c>
      <c r="BJ236" s="13">
        <f t="shared" si="97"/>
        <v>4059</v>
      </c>
      <c r="BK236" s="13">
        <f t="shared" si="97"/>
        <v>4060</v>
      </c>
      <c r="BL236" s="13">
        <f t="shared" si="97"/>
        <v>4061</v>
      </c>
      <c r="BM236" s="13">
        <f t="shared" si="97"/>
        <v>4062</v>
      </c>
      <c r="BN236" s="13">
        <f t="shared" si="97"/>
        <v>4063</v>
      </c>
    </row>
    <row r="237" spans="1:66">
      <c r="A237">
        <f>VLOOKUP(B237,Teste!$A$137:$G$236,7,FALSE)</f>
        <v>0</v>
      </c>
      <c r="B237">
        <f t="shared" si="85"/>
        <v>81</v>
      </c>
      <c r="C237" s="13">
        <f t="shared" si="92"/>
        <v>4050</v>
      </c>
      <c r="D237" s="13">
        <f t="shared" si="92"/>
        <v>4051</v>
      </c>
      <c r="E237" s="13">
        <f t="shared" si="92"/>
        <v>4052</v>
      </c>
      <c r="F237" s="13">
        <f t="shared" si="92"/>
        <v>4053</v>
      </c>
      <c r="G237" s="13">
        <f t="shared" si="92"/>
        <v>4054</v>
      </c>
      <c r="H237" s="13">
        <f t="shared" si="92"/>
        <v>4055</v>
      </c>
      <c r="I237" s="13">
        <f t="shared" si="92"/>
        <v>4056</v>
      </c>
      <c r="J237" s="13">
        <f t="shared" si="92"/>
        <v>4057</v>
      </c>
      <c r="K237" s="13">
        <f t="shared" si="92"/>
        <v>4058</v>
      </c>
      <c r="L237" s="13">
        <f t="shared" si="92"/>
        <v>4059</v>
      </c>
      <c r="M237" s="13">
        <f t="shared" si="93"/>
        <v>4060</v>
      </c>
      <c r="N237" s="13">
        <f t="shared" si="93"/>
        <v>4061</v>
      </c>
      <c r="O237" s="13">
        <f t="shared" si="93"/>
        <v>4062</v>
      </c>
      <c r="P237" s="13">
        <f t="shared" si="93"/>
        <v>4063</v>
      </c>
      <c r="Q237" s="13">
        <f t="shared" si="93"/>
        <v>4064</v>
      </c>
      <c r="R237" s="13">
        <f t="shared" si="93"/>
        <v>4065</v>
      </c>
      <c r="S237" s="13">
        <f t="shared" si="93"/>
        <v>4066</v>
      </c>
      <c r="T237" s="13">
        <f t="shared" si="93"/>
        <v>4067</v>
      </c>
      <c r="U237" s="13">
        <f t="shared" si="93"/>
        <v>4068</v>
      </c>
      <c r="V237" s="13">
        <f t="shared" si="93"/>
        <v>4069</v>
      </c>
      <c r="W237" s="13">
        <f t="shared" si="94"/>
        <v>4070</v>
      </c>
      <c r="X237" s="13">
        <f t="shared" si="94"/>
        <v>4071</v>
      </c>
      <c r="Y237" s="13">
        <f t="shared" si="94"/>
        <v>4072</v>
      </c>
      <c r="Z237" s="13">
        <f t="shared" si="94"/>
        <v>4073</v>
      </c>
      <c r="AA237" s="13">
        <f t="shared" si="94"/>
        <v>4074</v>
      </c>
      <c r="AB237" s="13">
        <f t="shared" si="94"/>
        <v>4075</v>
      </c>
      <c r="AC237" s="13">
        <f t="shared" si="94"/>
        <v>4076</v>
      </c>
      <c r="AD237" s="13">
        <f t="shared" si="94"/>
        <v>4077</v>
      </c>
      <c r="AE237" s="13">
        <f t="shared" si="94"/>
        <v>4078</v>
      </c>
      <c r="AF237" s="13">
        <f t="shared" si="94"/>
        <v>4079</v>
      </c>
      <c r="AG237" s="13">
        <f t="shared" si="95"/>
        <v>4080</v>
      </c>
      <c r="AH237" s="13">
        <f t="shared" si="95"/>
        <v>4081</v>
      </c>
      <c r="AI237" s="13">
        <f t="shared" si="95"/>
        <v>4082</v>
      </c>
      <c r="AJ237" s="13">
        <f t="shared" si="95"/>
        <v>4083</v>
      </c>
      <c r="AK237" s="13">
        <f t="shared" si="95"/>
        <v>4084</v>
      </c>
      <c r="AL237" s="13">
        <f t="shared" si="95"/>
        <v>4085</v>
      </c>
      <c r="AM237" s="13">
        <f t="shared" si="95"/>
        <v>4086</v>
      </c>
      <c r="AN237" s="13">
        <f t="shared" si="95"/>
        <v>4087</v>
      </c>
      <c r="AO237" s="13">
        <f t="shared" si="95"/>
        <v>4088</v>
      </c>
      <c r="AP237" s="13">
        <f t="shared" si="95"/>
        <v>4089</v>
      </c>
      <c r="AQ237" s="13">
        <f t="shared" si="96"/>
        <v>4090</v>
      </c>
      <c r="AR237" s="13">
        <f t="shared" si="96"/>
        <v>4091</v>
      </c>
      <c r="AS237" s="13">
        <f t="shared" si="96"/>
        <v>4092</v>
      </c>
      <c r="AT237" s="13">
        <f t="shared" si="96"/>
        <v>4093</v>
      </c>
      <c r="AU237" s="13">
        <f t="shared" si="96"/>
        <v>4094</v>
      </c>
      <c r="AV237" s="13">
        <f t="shared" si="96"/>
        <v>4095</v>
      </c>
      <c r="AW237" s="13">
        <f t="shared" si="96"/>
        <v>4096</v>
      </c>
      <c r="AX237" s="13">
        <f t="shared" si="96"/>
        <v>4097</v>
      </c>
      <c r="AY237" s="13">
        <f t="shared" si="96"/>
        <v>4098</v>
      </c>
      <c r="AZ237" s="13">
        <f t="shared" si="96"/>
        <v>4099</v>
      </c>
      <c r="BA237" s="13">
        <f t="shared" si="97"/>
        <v>4100</v>
      </c>
      <c r="BB237" s="13">
        <f t="shared" si="97"/>
        <v>4101</v>
      </c>
      <c r="BC237" s="13">
        <f t="shared" si="97"/>
        <v>4102</v>
      </c>
      <c r="BD237" s="13">
        <f t="shared" si="97"/>
        <v>4103</v>
      </c>
      <c r="BE237" s="13">
        <f t="shared" si="97"/>
        <v>4104</v>
      </c>
      <c r="BF237" s="13">
        <f t="shared" si="97"/>
        <v>4105</v>
      </c>
      <c r="BG237" s="13">
        <f t="shared" si="97"/>
        <v>4106</v>
      </c>
      <c r="BH237" s="13">
        <f t="shared" si="97"/>
        <v>4107</v>
      </c>
      <c r="BI237" s="13">
        <f t="shared" si="97"/>
        <v>4108</v>
      </c>
      <c r="BJ237" s="13">
        <f t="shared" si="97"/>
        <v>4109</v>
      </c>
      <c r="BK237" s="13">
        <f t="shared" si="97"/>
        <v>4110</v>
      </c>
      <c r="BL237" s="13">
        <f t="shared" si="97"/>
        <v>4111</v>
      </c>
      <c r="BM237" s="13">
        <f t="shared" si="97"/>
        <v>4112</v>
      </c>
      <c r="BN237" s="13">
        <f t="shared" si="97"/>
        <v>4113</v>
      </c>
    </row>
    <row r="238" spans="1:66">
      <c r="A238">
        <f>VLOOKUP(B238,Teste!$A$137:$G$236,7,FALSE)</f>
        <v>0</v>
      </c>
      <c r="B238">
        <f t="shared" si="85"/>
        <v>82</v>
      </c>
      <c r="C238" s="13">
        <f t="shared" si="92"/>
        <v>4100</v>
      </c>
      <c r="D238" s="13">
        <f t="shared" si="92"/>
        <v>4101</v>
      </c>
      <c r="E238" s="13">
        <f t="shared" si="92"/>
        <v>4102</v>
      </c>
      <c r="F238" s="13">
        <f t="shared" si="92"/>
        <v>4103</v>
      </c>
      <c r="G238" s="13">
        <f t="shared" si="92"/>
        <v>4104</v>
      </c>
      <c r="H238" s="13">
        <f t="shared" si="92"/>
        <v>4105</v>
      </c>
      <c r="I238" s="13">
        <f t="shared" si="92"/>
        <v>4106</v>
      </c>
      <c r="J238" s="13">
        <f t="shared" si="92"/>
        <v>4107</v>
      </c>
      <c r="K238" s="13">
        <f t="shared" si="92"/>
        <v>4108</v>
      </c>
      <c r="L238" s="13">
        <f t="shared" si="92"/>
        <v>4109</v>
      </c>
      <c r="M238" s="13">
        <f t="shared" si="93"/>
        <v>4110</v>
      </c>
      <c r="N238" s="13">
        <f t="shared" si="93"/>
        <v>4111</v>
      </c>
      <c r="O238" s="13">
        <f t="shared" si="93"/>
        <v>4112</v>
      </c>
      <c r="P238" s="13">
        <f t="shared" si="93"/>
        <v>4113</v>
      </c>
      <c r="Q238" s="13">
        <f t="shared" si="93"/>
        <v>4114</v>
      </c>
      <c r="R238" s="13">
        <f t="shared" si="93"/>
        <v>4115</v>
      </c>
      <c r="S238" s="13">
        <f t="shared" si="93"/>
        <v>4116</v>
      </c>
      <c r="T238" s="13">
        <f t="shared" si="93"/>
        <v>4117</v>
      </c>
      <c r="U238" s="13">
        <f t="shared" si="93"/>
        <v>4118</v>
      </c>
      <c r="V238" s="13">
        <f t="shared" si="93"/>
        <v>4119</v>
      </c>
      <c r="W238" s="13">
        <f t="shared" si="94"/>
        <v>4120</v>
      </c>
      <c r="X238" s="13">
        <f t="shared" si="94"/>
        <v>4121</v>
      </c>
      <c r="Y238" s="13">
        <f t="shared" si="94"/>
        <v>4122</v>
      </c>
      <c r="Z238" s="13">
        <f t="shared" si="94"/>
        <v>4123</v>
      </c>
      <c r="AA238" s="13">
        <f t="shared" si="94"/>
        <v>4124</v>
      </c>
      <c r="AB238" s="13">
        <f t="shared" si="94"/>
        <v>4125</v>
      </c>
      <c r="AC238" s="13">
        <f t="shared" si="94"/>
        <v>4126</v>
      </c>
      <c r="AD238" s="13">
        <f t="shared" si="94"/>
        <v>4127</v>
      </c>
      <c r="AE238" s="13">
        <f t="shared" si="94"/>
        <v>4128</v>
      </c>
      <c r="AF238" s="13">
        <f t="shared" si="94"/>
        <v>4129</v>
      </c>
      <c r="AG238" s="13">
        <f t="shared" si="95"/>
        <v>4130</v>
      </c>
      <c r="AH238" s="13">
        <f t="shared" si="95"/>
        <v>4131</v>
      </c>
      <c r="AI238" s="13">
        <f t="shared" si="95"/>
        <v>4132</v>
      </c>
      <c r="AJ238" s="13">
        <f t="shared" si="95"/>
        <v>4133</v>
      </c>
      <c r="AK238" s="13">
        <f t="shared" si="95"/>
        <v>4134</v>
      </c>
      <c r="AL238" s="13">
        <f t="shared" si="95"/>
        <v>4135</v>
      </c>
      <c r="AM238" s="13">
        <f t="shared" si="95"/>
        <v>4136</v>
      </c>
      <c r="AN238" s="13">
        <f t="shared" si="95"/>
        <v>4137</v>
      </c>
      <c r="AO238" s="13">
        <f t="shared" si="95"/>
        <v>4138</v>
      </c>
      <c r="AP238" s="13">
        <f t="shared" si="95"/>
        <v>4139</v>
      </c>
      <c r="AQ238" s="13">
        <f t="shared" si="96"/>
        <v>4140</v>
      </c>
      <c r="AR238" s="13">
        <f t="shared" si="96"/>
        <v>4141</v>
      </c>
      <c r="AS238" s="13">
        <f t="shared" si="96"/>
        <v>4142</v>
      </c>
      <c r="AT238" s="13">
        <f t="shared" si="96"/>
        <v>4143</v>
      </c>
      <c r="AU238" s="13">
        <f t="shared" si="96"/>
        <v>4144</v>
      </c>
      <c r="AV238" s="13">
        <f t="shared" si="96"/>
        <v>4145</v>
      </c>
      <c r="AW238" s="13">
        <f t="shared" si="96"/>
        <v>4146</v>
      </c>
      <c r="AX238" s="13">
        <f t="shared" si="96"/>
        <v>4147</v>
      </c>
      <c r="AY238" s="13">
        <f t="shared" si="96"/>
        <v>4148</v>
      </c>
      <c r="AZ238" s="13">
        <f t="shared" si="96"/>
        <v>4149</v>
      </c>
      <c r="BA238" s="13">
        <f t="shared" si="97"/>
        <v>4150</v>
      </c>
      <c r="BB238" s="13">
        <f t="shared" si="97"/>
        <v>4151</v>
      </c>
      <c r="BC238" s="13">
        <f t="shared" si="97"/>
        <v>4152</v>
      </c>
      <c r="BD238" s="13">
        <f t="shared" si="97"/>
        <v>4153</v>
      </c>
      <c r="BE238" s="13">
        <f t="shared" si="97"/>
        <v>4154</v>
      </c>
      <c r="BF238" s="13">
        <f t="shared" si="97"/>
        <v>4155</v>
      </c>
      <c r="BG238" s="13">
        <f t="shared" si="97"/>
        <v>4156</v>
      </c>
      <c r="BH238" s="13">
        <f t="shared" si="97"/>
        <v>4157</v>
      </c>
      <c r="BI238" s="13">
        <f t="shared" si="97"/>
        <v>4158</v>
      </c>
      <c r="BJ238" s="13">
        <f t="shared" si="97"/>
        <v>4159</v>
      </c>
      <c r="BK238" s="13">
        <f t="shared" si="97"/>
        <v>4160</v>
      </c>
      <c r="BL238" s="13">
        <f t="shared" si="97"/>
        <v>4161</v>
      </c>
      <c r="BM238" s="13">
        <f t="shared" si="97"/>
        <v>4162</v>
      </c>
      <c r="BN238" s="13">
        <f t="shared" si="97"/>
        <v>4163</v>
      </c>
    </row>
    <row r="239" spans="1:66">
      <c r="A239">
        <f>VLOOKUP(B239,Teste!$A$137:$G$236,7,FALSE)</f>
        <v>0</v>
      </c>
      <c r="B239">
        <f t="shared" si="85"/>
        <v>83</v>
      </c>
      <c r="C239" s="13">
        <f t="shared" si="92"/>
        <v>4150</v>
      </c>
      <c r="D239" s="13">
        <f t="shared" si="92"/>
        <v>4151</v>
      </c>
      <c r="E239" s="13">
        <f t="shared" si="92"/>
        <v>4152</v>
      </c>
      <c r="F239" s="13">
        <f t="shared" si="92"/>
        <v>4153</v>
      </c>
      <c r="G239" s="13">
        <f t="shared" si="92"/>
        <v>4154</v>
      </c>
      <c r="H239" s="13">
        <f t="shared" si="92"/>
        <v>4155</v>
      </c>
      <c r="I239" s="13">
        <f t="shared" si="92"/>
        <v>4156</v>
      </c>
      <c r="J239" s="13">
        <f t="shared" si="92"/>
        <v>4157</v>
      </c>
      <c r="K239" s="13">
        <f t="shared" si="92"/>
        <v>4158</v>
      </c>
      <c r="L239" s="13">
        <f t="shared" si="92"/>
        <v>4159</v>
      </c>
      <c r="M239" s="13">
        <f t="shared" si="93"/>
        <v>4160</v>
      </c>
      <c r="N239" s="13">
        <f t="shared" si="93"/>
        <v>4161</v>
      </c>
      <c r="O239" s="13">
        <f t="shared" si="93"/>
        <v>4162</v>
      </c>
      <c r="P239" s="13">
        <f t="shared" si="93"/>
        <v>4163</v>
      </c>
      <c r="Q239" s="13">
        <f t="shared" si="93"/>
        <v>4164</v>
      </c>
      <c r="R239" s="13">
        <f t="shared" si="93"/>
        <v>4165</v>
      </c>
      <c r="S239" s="13">
        <f t="shared" si="93"/>
        <v>4166</v>
      </c>
      <c r="T239" s="13">
        <f t="shared" si="93"/>
        <v>4167</v>
      </c>
      <c r="U239" s="13">
        <f t="shared" si="93"/>
        <v>4168</v>
      </c>
      <c r="V239" s="13">
        <f t="shared" si="93"/>
        <v>4169</v>
      </c>
      <c r="W239" s="13">
        <f t="shared" si="94"/>
        <v>4170</v>
      </c>
      <c r="X239" s="13">
        <f t="shared" si="94"/>
        <v>4171</v>
      </c>
      <c r="Y239" s="13">
        <f t="shared" si="94"/>
        <v>4172</v>
      </c>
      <c r="Z239" s="13">
        <f t="shared" si="94"/>
        <v>4173</v>
      </c>
      <c r="AA239" s="13">
        <f t="shared" si="94"/>
        <v>4174</v>
      </c>
      <c r="AB239" s="13">
        <f t="shared" si="94"/>
        <v>4175</v>
      </c>
      <c r="AC239" s="13">
        <f t="shared" si="94"/>
        <v>4176</v>
      </c>
      <c r="AD239" s="13">
        <f t="shared" si="94"/>
        <v>4177</v>
      </c>
      <c r="AE239" s="13">
        <f t="shared" si="94"/>
        <v>4178</v>
      </c>
      <c r="AF239" s="13">
        <f t="shared" si="94"/>
        <v>4179</v>
      </c>
      <c r="AG239" s="13">
        <f t="shared" si="95"/>
        <v>4180</v>
      </c>
      <c r="AH239" s="13">
        <f t="shared" si="95"/>
        <v>4181</v>
      </c>
      <c r="AI239" s="13">
        <f t="shared" si="95"/>
        <v>4182</v>
      </c>
      <c r="AJ239" s="13">
        <f t="shared" si="95"/>
        <v>4183</v>
      </c>
      <c r="AK239" s="13">
        <f t="shared" si="95"/>
        <v>4184</v>
      </c>
      <c r="AL239" s="13">
        <f t="shared" si="95"/>
        <v>4185</v>
      </c>
      <c r="AM239" s="13">
        <f t="shared" si="95"/>
        <v>4186</v>
      </c>
      <c r="AN239" s="13">
        <f t="shared" si="95"/>
        <v>4187</v>
      </c>
      <c r="AO239" s="13">
        <f t="shared" si="95"/>
        <v>4188</v>
      </c>
      <c r="AP239" s="13">
        <f t="shared" si="95"/>
        <v>4189</v>
      </c>
      <c r="AQ239" s="13">
        <f t="shared" si="96"/>
        <v>4190</v>
      </c>
      <c r="AR239" s="13">
        <f t="shared" si="96"/>
        <v>4191</v>
      </c>
      <c r="AS239" s="13">
        <f t="shared" si="96"/>
        <v>4192</v>
      </c>
      <c r="AT239" s="13">
        <f t="shared" si="96"/>
        <v>4193</v>
      </c>
      <c r="AU239" s="13">
        <f t="shared" si="96"/>
        <v>4194</v>
      </c>
      <c r="AV239" s="13">
        <f t="shared" si="96"/>
        <v>4195</v>
      </c>
      <c r="AW239" s="13">
        <f t="shared" si="96"/>
        <v>4196</v>
      </c>
      <c r="AX239" s="13">
        <f t="shared" si="96"/>
        <v>4197</v>
      </c>
      <c r="AY239" s="13">
        <f t="shared" si="96"/>
        <v>4198</v>
      </c>
      <c r="AZ239" s="13">
        <f t="shared" si="96"/>
        <v>4199</v>
      </c>
      <c r="BA239" s="13">
        <f t="shared" si="97"/>
        <v>4200</v>
      </c>
      <c r="BB239" s="13">
        <f t="shared" si="97"/>
        <v>4201</v>
      </c>
      <c r="BC239" s="13">
        <f t="shared" si="97"/>
        <v>4202</v>
      </c>
      <c r="BD239" s="13">
        <f t="shared" si="97"/>
        <v>4203</v>
      </c>
      <c r="BE239" s="13">
        <f t="shared" si="97"/>
        <v>4204</v>
      </c>
      <c r="BF239" s="13">
        <f t="shared" si="97"/>
        <v>4205</v>
      </c>
      <c r="BG239" s="13">
        <f t="shared" si="97"/>
        <v>4206</v>
      </c>
      <c r="BH239" s="13">
        <f t="shared" si="97"/>
        <v>4207</v>
      </c>
      <c r="BI239" s="13">
        <f t="shared" si="97"/>
        <v>4208</v>
      </c>
      <c r="BJ239" s="13">
        <f t="shared" si="97"/>
        <v>4209</v>
      </c>
      <c r="BK239" s="13">
        <f t="shared" si="97"/>
        <v>4210</v>
      </c>
      <c r="BL239" s="13">
        <f t="shared" si="97"/>
        <v>4211</v>
      </c>
      <c r="BM239" s="13">
        <f t="shared" si="97"/>
        <v>4212</v>
      </c>
      <c r="BN239" s="13">
        <f t="shared" si="97"/>
        <v>4213</v>
      </c>
    </row>
    <row r="240" spans="1:66">
      <c r="A240">
        <f>VLOOKUP(B240,Teste!$A$137:$G$236,7,FALSE)</f>
        <v>0</v>
      </c>
      <c r="B240">
        <f t="shared" si="85"/>
        <v>84</v>
      </c>
      <c r="C240" s="13">
        <f t="shared" si="92"/>
        <v>4200</v>
      </c>
      <c r="D240" s="13">
        <f t="shared" si="92"/>
        <v>4201</v>
      </c>
      <c r="E240" s="13">
        <f t="shared" si="92"/>
        <v>4202</v>
      </c>
      <c r="F240" s="13">
        <f t="shared" si="92"/>
        <v>4203</v>
      </c>
      <c r="G240" s="13">
        <f t="shared" si="92"/>
        <v>4204</v>
      </c>
      <c r="H240" s="13">
        <f t="shared" si="92"/>
        <v>4205</v>
      </c>
      <c r="I240" s="13">
        <f t="shared" si="92"/>
        <v>4206</v>
      </c>
      <c r="J240" s="13">
        <f t="shared" si="92"/>
        <v>4207</v>
      </c>
      <c r="K240" s="13">
        <f t="shared" si="92"/>
        <v>4208</v>
      </c>
      <c r="L240" s="13">
        <f t="shared" si="92"/>
        <v>4209</v>
      </c>
      <c r="M240" s="13">
        <f t="shared" si="93"/>
        <v>4210</v>
      </c>
      <c r="N240" s="13">
        <f t="shared" si="93"/>
        <v>4211</v>
      </c>
      <c r="O240" s="13">
        <f t="shared" si="93"/>
        <v>4212</v>
      </c>
      <c r="P240" s="13">
        <f t="shared" si="93"/>
        <v>4213</v>
      </c>
      <c r="Q240" s="13">
        <f t="shared" si="93"/>
        <v>4214</v>
      </c>
      <c r="R240" s="13">
        <f t="shared" si="93"/>
        <v>4215</v>
      </c>
      <c r="S240" s="13">
        <f t="shared" si="93"/>
        <v>4216</v>
      </c>
      <c r="T240" s="13">
        <f t="shared" si="93"/>
        <v>4217</v>
      </c>
      <c r="U240" s="13">
        <f t="shared" si="93"/>
        <v>4218</v>
      </c>
      <c r="V240" s="13">
        <f t="shared" si="93"/>
        <v>4219</v>
      </c>
      <c r="W240" s="13">
        <f t="shared" si="94"/>
        <v>4220</v>
      </c>
      <c r="X240" s="13">
        <f t="shared" si="94"/>
        <v>4221</v>
      </c>
      <c r="Y240" s="13">
        <f t="shared" si="94"/>
        <v>4222</v>
      </c>
      <c r="Z240" s="13">
        <f t="shared" si="94"/>
        <v>4223</v>
      </c>
      <c r="AA240" s="13">
        <f t="shared" si="94"/>
        <v>4224</v>
      </c>
      <c r="AB240" s="13">
        <f t="shared" si="94"/>
        <v>4225</v>
      </c>
      <c r="AC240" s="13">
        <f t="shared" si="94"/>
        <v>4226</v>
      </c>
      <c r="AD240" s="13">
        <f t="shared" si="94"/>
        <v>4227</v>
      </c>
      <c r="AE240" s="13">
        <f t="shared" si="94"/>
        <v>4228</v>
      </c>
      <c r="AF240" s="13">
        <f t="shared" si="94"/>
        <v>4229</v>
      </c>
      <c r="AG240" s="13">
        <f t="shared" si="95"/>
        <v>4230</v>
      </c>
      <c r="AH240" s="13">
        <f t="shared" si="95"/>
        <v>4231</v>
      </c>
      <c r="AI240" s="13">
        <f t="shared" si="95"/>
        <v>4232</v>
      </c>
      <c r="AJ240" s="13">
        <f t="shared" si="95"/>
        <v>4233</v>
      </c>
      <c r="AK240" s="13">
        <f t="shared" si="95"/>
        <v>4234</v>
      </c>
      <c r="AL240" s="13">
        <f t="shared" si="95"/>
        <v>4235</v>
      </c>
      <c r="AM240" s="13">
        <f t="shared" si="95"/>
        <v>4236</v>
      </c>
      <c r="AN240" s="13">
        <f t="shared" si="95"/>
        <v>4237</v>
      </c>
      <c r="AO240" s="13">
        <f t="shared" si="95"/>
        <v>4238</v>
      </c>
      <c r="AP240" s="13">
        <f t="shared" si="95"/>
        <v>4239</v>
      </c>
      <c r="AQ240" s="13">
        <f t="shared" si="96"/>
        <v>4240</v>
      </c>
      <c r="AR240" s="13">
        <f t="shared" si="96"/>
        <v>4241</v>
      </c>
      <c r="AS240" s="13">
        <f t="shared" si="96"/>
        <v>4242</v>
      </c>
      <c r="AT240" s="13">
        <f t="shared" si="96"/>
        <v>4243</v>
      </c>
      <c r="AU240" s="13">
        <f t="shared" si="96"/>
        <v>4244</v>
      </c>
      <c r="AV240" s="13">
        <f t="shared" si="96"/>
        <v>4245</v>
      </c>
      <c r="AW240" s="13">
        <f t="shared" si="96"/>
        <v>4246</v>
      </c>
      <c r="AX240" s="13">
        <f t="shared" si="96"/>
        <v>4247</v>
      </c>
      <c r="AY240" s="13">
        <f t="shared" si="96"/>
        <v>4248</v>
      </c>
      <c r="AZ240" s="13">
        <f t="shared" si="96"/>
        <v>4249</v>
      </c>
      <c r="BA240" s="13">
        <f t="shared" si="97"/>
        <v>4250</v>
      </c>
      <c r="BB240" s="13">
        <f t="shared" si="97"/>
        <v>4251</v>
      </c>
      <c r="BC240" s="13">
        <f t="shared" si="97"/>
        <v>4252</v>
      </c>
      <c r="BD240" s="13">
        <f t="shared" si="97"/>
        <v>4253</v>
      </c>
      <c r="BE240" s="13">
        <f t="shared" si="97"/>
        <v>4254</v>
      </c>
      <c r="BF240" s="13">
        <f t="shared" si="97"/>
        <v>4255</v>
      </c>
      <c r="BG240" s="13">
        <f t="shared" si="97"/>
        <v>4256</v>
      </c>
      <c r="BH240" s="13">
        <f t="shared" si="97"/>
        <v>4257</v>
      </c>
      <c r="BI240" s="13">
        <f t="shared" si="97"/>
        <v>4258</v>
      </c>
      <c r="BJ240" s="13">
        <f t="shared" si="97"/>
        <v>4259</v>
      </c>
      <c r="BK240" s="13">
        <f t="shared" si="97"/>
        <v>4260</v>
      </c>
      <c r="BL240" s="13">
        <f t="shared" si="97"/>
        <v>4261</v>
      </c>
      <c r="BM240" s="13">
        <f t="shared" si="97"/>
        <v>4262</v>
      </c>
      <c r="BN240" s="13">
        <f t="shared" si="97"/>
        <v>4263</v>
      </c>
    </row>
    <row r="241" spans="1:66">
      <c r="A241">
        <f>VLOOKUP(B241,Teste!$A$137:$G$236,7,FALSE)</f>
        <v>0</v>
      </c>
      <c r="B241">
        <f t="shared" si="85"/>
        <v>85</v>
      </c>
      <c r="C241" s="13">
        <f t="shared" si="92"/>
        <v>4250</v>
      </c>
      <c r="D241" s="13">
        <f t="shared" si="92"/>
        <v>4251</v>
      </c>
      <c r="E241" s="13">
        <f t="shared" si="92"/>
        <v>4252</v>
      </c>
      <c r="F241" s="13">
        <f t="shared" si="92"/>
        <v>4253</v>
      </c>
      <c r="G241" s="13">
        <f t="shared" si="92"/>
        <v>4254</v>
      </c>
      <c r="H241" s="13">
        <f t="shared" si="92"/>
        <v>4255</v>
      </c>
      <c r="I241" s="13">
        <f t="shared" si="92"/>
        <v>4256</v>
      </c>
      <c r="J241" s="13">
        <f t="shared" si="92"/>
        <v>4257</v>
      </c>
      <c r="K241" s="13">
        <f t="shared" si="92"/>
        <v>4258</v>
      </c>
      <c r="L241" s="13">
        <f t="shared" si="92"/>
        <v>4259</v>
      </c>
      <c r="M241" s="13">
        <f t="shared" si="93"/>
        <v>4260</v>
      </c>
      <c r="N241" s="13">
        <f t="shared" si="93"/>
        <v>4261</v>
      </c>
      <c r="O241" s="13">
        <f t="shared" si="93"/>
        <v>4262</v>
      </c>
      <c r="P241" s="13">
        <f t="shared" si="93"/>
        <v>4263</v>
      </c>
      <c r="Q241" s="13">
        <f t="shared" si="93"/>
        <v>4264</v>
      </c>
      <c r="R241" s="13">
        <f t="shared" si="93"/>
        <v>4265</v>
      </c>
      <c r="S241" s="13">
        <f t="shared" si="93"/>
        <v>4266</v>
      </c>
      <c r="T241" s="13">
        <f t="shared" si="93"/>
        <v>4267</v>
      </c>
      <c r="U241" s="13">
        <f t="shared" si="93"/>
        <v>4268</v>
      </c>
      <c r="V241" s="13">
        <f t="shared" si="93"/>
        <v>4269</v>
      </c>
      <c r="W241" s="13">
        <f t="shared" si="94"/>
        <v>4270</v>
      </c>
      <c r="X241" s="13">
        <f t="shared" si="94"/>
        <v>4271</v>
      </c>
      <c r="Y241" s="13">
        <f t="shared" si="94"/>
        <v>4272</v>
      </c>
      <c r="Z241" s="13">
        <f t="shared" si="94"/>
        <v>4273</v>
      </c>
      <c r="AA241" s="13">
        <f t="shared" si="94"/>
        <v>4274</v>
      </c>
      <c r="AB241" s="13">
        <f t="shared" si="94"/>
        <v>4275</v>
      </c>
      <c r="AC241" s="13">
        <f t="shared" si="94"/>
        <v>4276</v>
      </c>
      <c r="AD241" s="13">
        <f t="shared" si="94"/>
        <v>4277</v>
      </c>
      <c r="AE241" s="13">
        <f t="shared" si="94"/>
        <v>4278</v>
      </c>
      <c r="AF241" s="13">
        <f t="shared" si="94"/>
        <v>4279</v>
      </c>
      <c r="AG241" s="13">
        <f t="shared" si="95"/>
        <v>4280</v>
      </c>
      <c r="AH241" s="13">
        <f t="shared" si="95"/>
        <v>4281</v>
      </c>
      <c r="AI241" s="13">
        <f t="shared" si="95"/>
        <v>4282</v>
      </c>
      <c r="AJ241" s="13">
        <f t="shared" si="95"/>
        <v>4283</v>
      </c>
      <c r="AK241" s="13">
        <f t="shared" si="95"/>
        <v>4284</v>
      </c>
      <c r="AL241" s="13">
        <f t="shared" si="95"/>
        <v>4285</v>
      </c>
      <c r="AM241" s="13">
        <f t="shared" si="95"/>
        <v>4286</v>
      </c>
      <c r="AN241" s="13">
        <f t="shared" si="95"/>
        <v>4287</v>
      </c>
      <c r="AO241" s="13">
        <f t="shared" si="95"/>
        <v>4288</v>
      </c>
      <c r="AP241" s="13">
        <f t="shared" si="95"/>
        <v>4289</v>
      </c>
      <c r="AQ241" s="13">
        <f t="shared" si="96"/>
        <v>4290</v>
      </c>
      <c r="AR241" s="13">
        <f t="shared" si="96"/>
        <v>4291</v>
      </c>
      <c r="AS241" s="13">
        <f t="shared" si="96"/>
        <v>4292</v>
      </c>
      <c r="AT241" s="13">
        <f t="shared" si="96"/>
        <v>4293</v>
      </c>
      <c r="AU241" s="13">
        <f t="shared" si="96"/>
        <v>4294</v>
      </c>
      <c r="AV241" s="13">
        <f t="shared" si="96"/>
        <v>4295</v>
      </c>
      <c r="AW241" s="13">
        <f t="shared" si="96"/>
        <v>4296</v>
      </c>
      <c r="AX241" s="13">
        <f t="shared" si="96"/>
        <v>4297</v>
      </c>
      <c r="AY241" s="13">
        <f t="shared" si="96"/>
        <v>4298</v>
      </c>
      <c r="AZ241" s="13">
        <f t="shared" si="96"/>
        <v>4299</v>
      </c>
      <c r="BA241" s="13">
        <f t="shared" si="97"/>
        <v>4300</v>
      </c>
      <c r="BB241" s="13">
        <f t="shared" si="97"/>
        <v>4301</v>
      </c>
      <c r="BC241" s="13">
        <f t="shared" si="97"/>
        <v>4302</v>
      </c>
      <c r="BD241" s="13">
        <f t="shared" si="97"/>
        <v>4303</v>
      </c>
      <c r="BE241" s="13">
        <f t="shared" si="97"/>
        <v>4304</v>
      </c>
      <c r="BF241" s="13">
        <f t="shared" si="97"/>
        <v>4305</v>
      </c>
      <c r="BG241" s="13">
        <f t="shared" si="97"/>
        <v>4306</v>
      </c>
      <c r="BH241" s="13">
        <f t="shared" si="97"/>
        <v>4307</v>
      </c>
      <c r="BI241" s="13">
        <f t="shared" si="97"/>
        <v>4308</v>
      </c>
      <c r="BJ241" s="13">
        <f t="shared" si="97"/>
        <v>4309</v>
      </c>
      <c r="BK241" s="13">
        <f t="shared" si="97"/>
        <v>4310</v>
      </c>
      <c r="BL241" s="13">
        <f t="shared" si="97"/>
        <v>4311</v>
      </c>
      <c r="BM241" s="13">
        <f t="shared" si="97"/>
        <v>4312</v>
      </c>
      <c r="BN241" s="13">
        <f t="shared" si="97"/>
        <v>4313</v>
      </c>
    </row>
    <row r="242" spans="1:66">
      <c r="A242">
        <f>VLOOKUP(B242,Teste!$A$137:$G$236,7,FALSE)</f>
        <v>0</v>
      </c>
      <c r="B242">
        <f t="shared" si="85"/>
        <v>86</v>
      </c>
      <c r="C242" s="13">
        <f t="shared" si="92"/>
        <v>4300</v>
      </c>
      <c r="D242" s="13">
        <f t="shared" si="92"/>
        <v>4301</v>
      </c>
      <c r="E242" s="13">
        <f t="shared" si="92"/>
        <v>4302</v>
      </c>
      <c r="F242" s="13">
        <f t="shared" si="92"/>
        <v>4303</v>
      </c>
      <c r="G242" s="13">
        <f t="shared" si="92"/>
        <v>4304</v>
      </c>
      <c r="H242" s="13">
        <f t="shared" si="92"/>
        <v>4305</v>
      </c>
      <c r="I242" s="13">
        <f t="shared" si="92"/>
        <v>4306</v>
      </c>
      <c r="J242" s="13">
        <f t="shared" si="92"/>
        <v>4307</v>
      </c>
      <c r="K242" s="13">
        <f t="shared" si="92"/>
        <v>4308</v>
      </c>
      <c r="L242" s="13">
        <f t="shared" si="92"/>
        <v>4309</v>
      </c>
      <c r="M242" s="13">
        <f t="shared" si="93"/>
        <v>4310</v>
      </c>
      <c r="N242" s="13">
        <f t="shared" si="93"/>
        <v>4311</v>
      </c>
      <c r="O242" s="13">
        <f t="shared" si="93"/>
        <v>4312</v>
      </c>
      <c r="P242" s="13">
        <f t="shared" si="93"/>
        <v>4313</v>
      </c>
      <c r="Q242" s="13">
        <f t="shared" si="93"/>
        <v>4314</v>
      </c>
      <c r="R242" s="13">
        <f t="shared" si="93"/>
        <v>4315</v>
      </c>
      <c r="S242" s="13">
        <f t="shared" si="93"/>
        <v>4316</v>
      </c>
      <c r="T242" s="13">
        <f t="shared" si="93"/>
        <v>4317</v>
      </c>
      <c r="U242" s="13">
        <f t="shared" si="93"/>
        <v>4318</v>
      </c>
      <c r="V242" s="13">
        <f t="shared" si="93"/>
        <v>4319</v>
      </c>
      <c r="W242" s="13">
        <f t="shared" si="94"/>
        <v>4320</v>
      </c>
      <c r="X242" s="13">
        <f t="shared" si="94"/>
        <v>4321</v>
      </c>
      <c r="Y242" s="13">
        <f t="shared" si="94"/>
        <v>4322</v>
      </c>
      <c r="Z242" s="13">
        <f t="shared" si="94"/>
        <v>4323</v>
      </c>
      <c r="AA242" s="13">
        <f t="shared" si="94"/>
        <v>4324</v>
      </c>
      <c r="AB242" s="13">
        <f t="shared" si="94"/>
        <v>4325</v>
      </c>
      <c r="AC242" s="13">
        <f t="shared" si="94"/>
        <v>4326</v>
      </c>
      <c r="AD242" s="13">
        <f t="shared" si="94"/>
        <v>4327</v>
      </c>
      <c r="AE242" s="13">
        <f t="shared" si="94"/>
        <v>4328</v>
      </c>
      <c r="AF242" s="13">
        <f t="shared" si="94"/>
        <v>4329</v>
      </c>
      <c r="AG242" s="13">
        <f t="shared" si="95"/>
        <v>4330</v>
      </c>
      <c r="AH242" s="13">
        <f t="shared" si="95"/>
        <v>4331</v>
      </c>
      <c r="AI242" s="13">
        <f t="shared" si="95"/>
        <v>4332</v>
      </c>
      <c r="AJ242" s="13">
        <f t="shared" si="95"/>
        <v>4333</v>
      </c>
      <c r="AK242" s="13">
        <f t="shared" si="95"/>
        <v>4334</v>
      </c>
      <c r="AL242" s="13">
        <f t="shared" si="95"/>
        <v>4335</v>
      </c>
      <c r="AM242" s="13">
        <f t="shared" si="95"/>
        <v>4336</v>
      </c>
      <c r="AN242" s="13">
        <f t="shared" si="95"/>
        <v>4337</v>
      </c>
      <c r="AO242" s="13">
        <f t="shared" si="95"/>
        <v>4338</v>
      </c>
      <c r="AP242" s="13">
        <f t="shared" si="95"/>
        <v>4339</v>
      </c>
      <c r="AQ242" s="13">
        <f t="shared" si="96"/>
        <v>4340</v>
      </c>
      <c r="AR242" s="13">
        <f t="shared" si="96"/>
        <v>4341</v>
      </c>
      <c r="AS242" s="13">
        <f t="shared" si="96"/>
        <v>4342</v>
      </c>
      <c r="AT242" s="13">
        <f t="shared" si="96"/>
        <v>4343</v>
      </c>
      <c r="AU242" s="13">
        <f t="shared" si="96"/>
        <v>4344</v>
      </c>
      <c r="AV242" s="13">
        <f t="shared" si="96"/>
        <v>4345</v>
      </c>
      <c r="AW242" s="13">
        <f t="shared" si="96"/>
        <v>4346</v>
      </c>
      <c r="AX242" s="13">
        <f t="shared" si="96"/>
        <v>4347</v>
      </c>
      <c r="AY242" s="13">
        <f t="shared" si="96"/>
        <v>4348</v>
      </c>
      <c r="AZ242" s="13">
        <f t="shared" si="96"/>
        <v>4349</v>
      </c>
      <c r="BA242" s="13">
        <f t="shared" si="97"/>
        <v>4350</v>
      </c>
      <c r="BB242" s="13">
        <f t="shared" si="97"/>
        <v>4351</v>
      </c>
      <c r="BC242" s="13">
        <f t="shared" si="97"/>
        <v>4352</v>
      </c>
      <c r="BD242" s="13">
        <f t="shared" si="97"/>
        <v>4353</v>
      </c>
      <c r="BE242" s="13">
        <f t="shared" si="97"/>
        <v>4354</v>
      </c>
      <c r="BF242" s="13">
        <f t="shared" si="97"/>
        <v>4355</v>
      </c>
      <c r="BG242" s="13">
        <f t="shared" si="97"/>
        <v>4356</v>
      </c>
      <c r="BH242" s="13">
        <f t="shared" si="97"/>
        <v>4357</v>
      </c>
      <c r="BI242" s="13">
        <f t="shared" si="97"/>
        <v>4358</v>
      </c>
      <c r="BJ242" s="13">
        <f t="shared" si="97"/>
        <v>4359</v>
      </c>
      <c r="BK242" s="13">
        <f t="shared" si="97"/>
        <v>4360</v>
      </c>
      <c r="BL242" s="13">
        <f t="shared" si="97"/>
        <v>4361</v>
      </c>
      <c r="BM242" s="13">
        <f t="shared" si="97"/>
        <v>4362</v>
      </c>
      <c r="BN242" s="13">
        <f t="shared" si="97"/>
        <v>4363</v>
      </c>
    </row>
    <row r="243" spans="1:66">
      <c r="A243">
        <f>VLOOKUP(B243,Teste!$A$137:$G$236,7,FALSE)</f>
        <v>0</v>
      </c>
      <c r="B243">
        <f t="shared" si="85"/>
        <v>87</v>
      </c>
      <c r="C243" s="13">
        <f t="shared" si="92"/>
        <v>4350</v>
      </c>
      <c r="D243" s="13">
        <f t="shared" si="92"/>
        <v>4351</v>
      </c>
      <c r="E243" s="13">
        <f t="shared" si="92"/>
        <v>4352</v>
      </c>
      <c r="F243" s="13">
        <f t="shared" si="92"/>
        <v>4353</v>
      </c>
      <c r="G243" s="13">
        <f t="shared" si="92"/>
        <v>4354</v>
      </c>
      <c r="H243" s="13">
        <f t="shared" si="92"/>
        <v>4355</v>
      </c>
      <c r="I243" s="13">
        <f t="shared" si="92"/>
        <v>4356</v>
      </c>
      <c r="J243" s="13">
        <f t="shared" si="92"/>
        <v>4357</v>
      </c>
      <c r="K243" s="13">
        <f t="shared" si="92"/>
        <v>4358</v>
      </c>
      <c r="L243" s="13">
        <f t="shared" si="92"/>
        <v>4359</v>
      </c>
      <c r="M243" s="13">
        <f t="shared" si="93"/>
        <v>4360</v>
      </c>
      <c r="N243" s="13">
        <f t="shared" si="93"/>
        <v>4361</v>
      </c>
      <c r="O243" s="13">
        <f t="shared" si="93"/>
        <v>4362</v>
      </c>
      <c r="P243" s="13">
        <f t="shared" si="93"/>
        <v>4363</v>
      </c>
      <c r="Q243" s="13">
        <f t="shared" si="93"/>
        <v>4364</v>
      </c>
      <c r="R243" s="13">
        <f t="shared" si="93"/>
        <v>4365</v>
      </c>
      <c r="S243" s="13">
        <f t="shared" si="93"/>
        <v>4366</v>
      </c>
      <c r="T243" s="13">
        <f t="shared" si="93"/>
        <v>4367</v>
      </c>
      <c r="U243" s="13">
        <f t="shared" si="93"/>
        <v>4368</v>
      </c>
      <c r="V243" s="13">
        <f t="shared" si="93"/>
        <v>4369</v>
      </c>
      <c r="W243" s="13">
        <f t="shared" si="94"/>
        <v>4370</v>
      </c>
      <c r="X243" s="13">
        <f t="shared" si="94"/>
        <v>4371</v>
      </c>
      <c r="Y243" s="13">
        <f t="shared" si="94"/>
        <v>4372</v>
      </c>
      <c r="Z243" s="13">
        <f t="shared" si="94"/>
        <v>4373</v>
      </c>
      <c r="AA243" s="13">
        <f t="shared" si="94"/>
        <v>4374</v>
      </c>
      <c r="AB243" s="13">
        <f t="shared" si="94"/>
        <v>4375</v>
      </c>
      <c r="AC243" s="13">
        <f t="shared" si="94"/>
        <v>4376</v>
      </c>
      <c r="AD243" s="13">
        <f t="shared" si="94"/>
        <v>4377</v>
      </c>
      <c r="AE243" s="13">
        <f t="shared" si="94"/>
        <v>4378</v>
      </c>
      <c r="AF243" s="13">
        <f t="shared" si="94"/>
        <v>4379</v>
      </c>
      <c r="AG243" s="13">
        <f t="shared" si="95"/>
        <v>4380</v>
      </c>
      <c r="AH243" s="13">
        <f t="shared" si="95"/>
        <v>4381</v>
      </c>
      <c r="AI243" s="13">
        <f t="shared" si="95"/>
        <v>4382</v>
      </c>
      <c r="AJ243" s="13">
        <f t="shared" si="95"/>
        <v>4383</v>
      </c>
      <c r="AK243" s="13">
        <f t="shared" si="95"/>
        <v>4384</v>
      </c>
      <c r="AL243" s="13">
        <f t="shared" si="95"/>
        <v>4385</v>
      </c>
      <c r="AM243" s="13">
        <f t="shared" si="95"/>
        <v>4386</v>
      </c>
      <c r="AN243" s="13">
        <f t="shared" si="95"/>
        <v>4387</v>
      </c>
      <c r="AO243" s="13">
        <f t="shared" si="95"/>
        <v>4388</v>
      </c>
      <c r="AP243" s="13">
        <f t="shared" si="95"/>
        <v>4389</v>
      </c>
      <c r="AQ243" s="13">
        <f t="shared" si="96"/>
        <v>4390</v>
      </c>
      <c r="AR243" s="13">
        <f t="shared" si="96"/>
        <v>4391</v>
      </c>
      <c r="AS243" s="13">
        <f t="shared" si="96"/>
        <v>4392</v>
      </c>
      <c r="AT243" s="13">
        <f t="shared" si="96"/>
        <v>4393</v>
      </c>
      <c r="AU243" s="13">
        <f t="shared" si="96"/>
        <v>4394</v>
      </c>
      <c r="AV243" s="13">
        <f t="shared" si="96"/>
        <v>4395</v>
      </c>
      <c r="AW243" s="13">
        <f t="shared" si="96"/>
        <v>4396</v>
      </c>
      <c r="AX243" s="13">
        <f t="shared" si="96"/>
        <v>4397</v>
      </c>
      <c r="AY243" s="13">
        <f t="shared" si="96"/>
        <v>4398</v>
      </c>
      <c r="AZ243" s="13">
        <f t="shared" si="96"/>
        <v>4399</v>
      </c>
      <c r="BA243" s="13">
        <f t="shared" si="97"/>
        <v>4400</v>
      </c>
      <c r="BB243" s="13">
        <f t="shared" si="97"/>
        <v>4401</v>
      </c>
      <c r="BC243" s="13">
        <f t="shared" si="97"/>
        <v>4402</v>
      </c>
      <c r="BD243" s="13">
        <f t="shared" si="97"/>
        <v>4403</v>
      </c>
      <c r="BE243" s="13">
        <f t="shared" si="97"/>
        <v>4404</v>
      </c>
      <c r="BF243" s="13">
        <f t="shared" si="97"/>
        <v>4405</v>
      </c>
      <c r="BG243" s="13">
        <f t="shared" si="97"/>
        <v>4406</v>
      </c>
      <c r="BH243" s="13">
        <f t="shared" si="97"/>
        <v>4407</v>
      </c>
      <c r="BI243" s="13">
        <f t="shared" si="97"/>
        <v>4408</v>
      </c>
      <c r="BJ243" s="13">
        <f t="shared" si="97"/>
        <v>4409</v>
      </c>
      <c r="BK243" s="13">
        <f t="shared" si="97"/>
        <v>4410</v>
      </c>
      <c r="BL243" s="13">
        <f t="shared" si="97"/>
        <v>4411</v>
      </c>
      <c r="BM243" s="13">
        <f t="shared" si="97"/>
        <v>4412</v>
      </c>
      <c r="BN243" s="13">
        <f t="shared" si="97"/>
        <v>4413</v>
      </c>
    </row>
    <row r="244" spans="1:66">
      <c r="A244">
        <f>VLOOKUP(B244,Teste!$A$137:$G$236,7,FALSE)</f>
        <v>0</v>
      </c>
      <c r="B244">
        <f t="shared" si="85"/>
        <v>88</v>
      </c>
      <c r="C244" s="13">
        <f t="shared" si="92"/>
        <v>4400</v>
      </c>
      <c r="D244" s="13">
        <f t="shared" si="92"/>
        <v>4401</v>
      </c>
      <c r="E244" s="13">
        <f t="shared" si="92"/>
        <v>4402</v>
      </c>
      <c r="F244" s="13">
        <f t="shared" si="92"/>
        <v>4403</v>
      </c>
      <c r="G244" s="13">
        <f t="shared" si="92"/>
        <v>4404</v>
      </c>
      <c r="H244" s="13">
        <f t="shared" si="92"/>
        <v>4405</v>
      </c>
      <c r="I244" s="13">
        <f t="shared" si="92"/>
        <v>4406</v>
      </c>
      <c r="J244" s="13">
        <f t="shared" si="92"/>
        <v>4407</v>
      </c>
      <c r="K244" s="13">
        <f t="shared" si="92"/>
        <v>4408</v>
      </c>
      <c r="L244" s="13">
        <f t="shared" si="92"/>
        <v>4409</v>
      </c>
      <c r="M244" s="13">
        <f t="shared" si="93"/>
        <v>4410</v>
      </c>
      <c r="N244" s="13">
        <f t="shared" si="93"/>
        <v>4411</v>
      </c>
      <c r="O244" s="13">
        <f t="shared" si="93"/>
        <v>4412</v>
      </c>
      <c r="P244" s="13">
        <f t="shared" si="93"/>
        <v>4413</v>
      </c>
      <c r="Q244" s="13">
        <f t="shared" si="93"/>
        <v>4414</v>
      </c>
      <c r="R244" s="13">
        <f t="shared" si="93"/>
        <v>4415</v>
      </c>
      <c r="S244" s="13">
        <f t="shared" si="93"/>
        <v>4416</v>
      </c>
      <c r="T244" s="13">
        <f t="shared" si="93"/>
        <v>4417</v>
      </c>
      <c r="U244" s="13">
        <f t="shared" si="93"/>
        <v>4418</v>
      </c>
      <c r="V244" s="13">
        <f t="shared" si="93"/>
        <v>4419</v>
      </c>
      <c r="W244" s="13">
        <f t="shared" si="94"/>
        <v>4420</v>
      </c>
      <c r="X244" s="13">
        <f t="shared" si="94"/>
        <v>4421</v>
      </c>
      <c r="Y244" s="13">
        <f t="shared" si="94"/>
        <v>4422</v>
      </c>
      <c r="Z244" s="13">
        <f t="shared" si="94"/>
        <v>4423</v>
      </c>
      <c r="AA244" s="13">
        <f t="shared" si="94"/>
        <v>4424</v>
      </c>
      <c r="AB244" s="13">
        <f t="shared" si="94"/>
        <v>4425</v>
      </c>
      <c r="AC244" s="13">
        <f t="shared" si="94"/>
        <v>4426</v>
      </c>
      <c r="AD244" s="13">
        <f t="shared" si="94"/>
        <v>4427</v>
      </c>
      <c r="AE244" s="13">
        <f t="shared" si="94"/>
        <v>4428</v>
      </c>
      <c r="AF244" s="13">
        <f t="shared" si="94"/>
        <v>4429</v>
      </c>
      <c r="AG244" s="13">
        <f t="shared" si="95"/>
        <v>4430</v>
      </c>
      <c r="AH244" s="13">
        <f t="shared" si="95"/>
        <v>4431</v>
      </c>
      <c r="AI244" s="13">
        <f t="shared" si="95"/>
        <v>4432</v>
      </c>
      <c r="AJ244" s="13">
        <f t="shared" si="95"/>
        <v>4433</v>
      </c>
      <c r="AK244" s="13">
        <f t="shared" si="95"/>
        <v>4434</v>
      </c>
      <c r="AL244" s="13">
        <f t="shared" si="95"/>
        <v>4435</v>
      </c>
      <c r="AM244" s="13">
        <f t="shared" si="95"/>
        <v>4436</v>
      </c>
      <c r="AN244" s="13">
        <f t="shared" si="95"/>
        <v>4437</v>
      </c>
      <c r="AO244" s="13">
        <f t="shared" si="95"/>
        <v>4438</v>
      </c>
      <c r="AP244" s="13">
        <f t="shared" si="95"/>
        <v>4439</v>
      </c>
      <c r="AQ244" s="13">
        <f t="shared" si="96"/>
        <v>4440</v>
      </c>
      <c r="AR244" s="13">
        <f t="shared" si="96"/>
        <v>4441</v>
      </c>
      <c r="AS244" s="13">
        <f t="shared" si="96"/>
        <v>4442</v>
      </c>
      <c r="AT244" s="13">
        <f t="shared" si="96"/>
        <v>4443</v>
      </c>
      <c r="AU244" s="13">
        <f t="shared" si="96"/>
        <v>4444</v>
      </c>
      <c r="AV244" s="13">
        <f t="shared" si="96"/>
        <v>4445</v>
      </c>
      <c r="AW244" s="13">
        <f t="shared" si="96"/>
        <v>4446</v>
      </c>
      <c r="AX244" s="13">
        <f t="shared" si="96"/>
        <v>4447</v>
      </c>
      <c r="AY244" s="13">
        <f t="shared" si="96"/>
        <v>4448</v>
      </c>
      <c r="AZ244" s="13">
        <f t="shared" si="96"/>
        <v>4449</v>
      </c>
      <c r="BA244" s="13">
        <f t="shared" si="97"/>
        <v>4450</v>
      </c>
      <c r="BB244" s="13">
        <f t="shared" si="97"/>
        <v>4451</v>
      </c>
      <c r="BC244" s="13">
        <f t="shared" si="97"/>
        <v>4452</v>
      </c>
      <c r="BD244" s="13">
        <f t="shared" si="97"/>
        <v>4453</v>
      </c>
      <c r="BE244" s="13">
        <f t="shared" si="97"/>
        <v>4454</v>
      </c>
      <c r="BF244" s="13">
        <f t="shared" si="97"/>
        <v>4455</v>
      </c>
      <c r="BG244" s="13">
        <f t="shared" si="97"/>
        <v>4456</v>
      </c>
      <c r="BH244" s="13">
        <f t="shared" si="97"/>
        <v>4457</v>
      </c>
      <c r="BI244" s="13">
        <f t="shared" si="97"/>
        <v>4458</v>
      </c>
      <c r="BJ244" s="13">
        <f t="shared" si="97"/>
        <v>4459</v>
      </c>
      <c r="BK244" s="13">
        <f t="shared" si="97"/>
        <v>4460</v>
      </c>
      <c r="BL244" s="13">
        <f t="shared" si="97"/>
        <v>4461</v>
      </c>
      <c r="BM244" s="13">
        <f t="shared" si="97"/>
        <v>4462</v>
      </c>
      <c r="BN244" s="13">
        <f t="shared" si="97"/>
        <v>4463</v>
      </c>
    </row>
    <row r="245" spans="1:66">
      <c r="A245">
        <f>VLOOKUP(B245,Teste!$A$137:$G$236,7,FALSE)</f>
        <v>0</v>
      </c>
      <c r="B245">
        <f t="shared" si="85"/>
        <v>89</v>
      </c>
      <c r="C245" s="13">
        <f t="shared" si="92"/>
        <v>4450</v>
      </c>
      <c r="D245" s="13">
        <f t="shared" si="92"/>
        <v>4451</v>
      </c>
      <c r="E245" s="13">
        <f t="shared" si="92"/>
        <v>4452</v>
      </c>
      <c r="F245" s="13">
        <f t="shared" si="92"/>
        <v>4453</v>
      </c>
      <c r="G245" s="13">
        <f t="shared" si="92"/>
        <v>4454</v>
      </c>
      <c r="H245" s="13">
        <f t="shared" si="92"/>
        <v>4455</v>
      </c>
      <c r="I245" s="13">
        <f t="shared" si="92"/>
        <v>4456</v>
      </c>
      <c r="J245" s="13">
        <f t="shared" si="92"/>
        <v>4457</v>
      </c>
      <c r="K245" s="13">
        <f t="shared" si="92"/>
        <v>4458</v>
      </c>
      <c r="L245" s="13">
        <f t="shared" si="92"/>
        <v>4459</v>
      </c>
      <c r="M245" s="13">
        <f t="shared" si="93"/>
        <v>4460</v>
      </c>
      <c r="N245" s="13">
        <f t="shared" si="93"/>
        <v>4461</v>
      </c>
      <c r="O245" s="13">
        <f t="shared" si="93"/>
        <v>4462</v>
      </c>
      <c r="P245" s="13">
        <f t="shared" si="93"/>
        <v>4463</v>
      </c>
      <c r="Q245" s="13">
        <f t="shared" si="93"/>
        <v>4464</v>
      </c>
      <c r="R245" s="13">
        <f t="shared" si="93"/>
        <v>4465</v>
      </c>
      <c r="S245" s="13">
        <f t="shared" si="93"/>
        <v>4466</v>
      </c>
      <c r="T245" s="13">
        <f t="shared" si="93"/>
        <v>4467</v>
      </c>
      <c r="U245" s="13">
        <f t="shared" si="93"/>
        <v>4468</v>
      </c>
      <c r="V245" s="13">
        <f t="shared" si="93"/>
        <v>4469</v>
      </c>
      <c r="W245" s="13">
        <f t="shared" si="94"/>
        <v>4470</v>
      </c>
      <c r="X245" s="13">
        <f t="shared" si="94"/>
        <v>4471</v>
      </c>
      <c r="Y245" s="13">
        <f t="shared" si="94"/>
        <v>4472</v>
      </c>
      <c r="Z245" s="13">
        <f t="shared" si="94"/>
        <v>4473</v>
      </c>
      <c r="AA245" s="13">
        <f t="shared" si="94"/>
        <v>4474</v>
      </c>
      <c r="AB245" s="13">
        <f t="shared" si="94"/>
        <v>4475</v>
      </c>
      <c r="AC245" s="13">
        <f t="shared" si="94"/>
        <v>4476</v>
      </c>
      <c r="AD245" s="13">
        <f t="shared" si="94"/>
        <v>4477</v>
      </c>
      <c r="AE245" s="13">
        <f t="shared" si="94"/>
        <v>4478</v>
      </c>
      <c r="AF245" s="13">
        <f t="shared" si="94"/>
        <v>4479</v>
      </c>
      <c r="AG245" s="13">
        <f t="shared" si="95"/>
        <v>4480</v>
      </c>
      <c r="AH245" s="13">
        <f t="shared" si="95"/>
        <v>4481</v>
      </c>
      <c r="AI245" s="13">
        <f t="shared" si="95"/>
        <v>4482</v>
      </c>
      <c r="AJ245" s="13">
        <f t="shared" si="95"/>
        <v>4483</v>
      </c>
      <c r="AK245" s="13">
        <f t="shared" si="95"/>
        <v>4484</v>
      </c>
      <c r="AL245" s="13">
        <f t="shared" si="95"/>
        <v>4485</v>
      </c>
      <c r="AM245" s="13">
        <f t="shared" si="95"/>
        <v>4486</v>
      </c>
      <c r="AN245" s="13">
        <f t="shared" si="95"/>
        <v>4487</v>
      </c>
      <c r="AO245" s="13">
        <f t="shared" si="95"/>
        <v>4488</v>
      </c>
      <c r="AP245" s="13">
        <f t="shared" si="95"/>
        <v>4489</v>
      </c>
      <c r="AQ245" s="13">
        <f t="shared" si="96"/>
        <v>4490</v>
      </c>
      <c r="AR245" s="13">
        <f t="shared" si="96"/>
        <v>4491</v>
      </c>
      <c r="AS245" s="13">
        <f t="shared" si="96"/>
        <v>4492</v>
      </c>
      <c r="AT245" s="13">
        <f t="shared" si="96"/>
        <v>4493</v>
      </c>
      <c r="AU245" s="13">
        <f t="shared" si="96"/>
        <v>4494</v>
      </c>
      <c r="AV245" s="13">
        <f t="shared" si="96"/>
        <v>4495</v>
      </c>
      <c r="AW245" s="13">
        <f t="shared" si="96"/>
        <v>4496</v>
      </c>
      <c r="AX245" s="13">
        <f t="shared" si="96"/>
        <v>4497</v>
      </c>
      <c r="AY245" s="13">
        <f t="shared" si="96"/>
        <v>4498</v>
      </c>
      <c r="AZ245" s="13">
        <f t="shared" si="96"/>
        <v>4499</v>
      </c>
      <c r="BA245" s="13">
        <f t="shared" si="97"/>
        <v>4500</v>
      </c>
      <c r="BB245" s="13">
        <f t="shared" si="97"/>
        <v>4501</v>
      </c>
      <c r="BC245" s="13">
        <f t="shared" si="97"/>
        <v>4502</v>
      </c>
      <c r="BD245" s="13">
        <f t="shared" si="97"/>
        <v>4503</v>
      </c>
      <c r="BE245" s="13">
        <f t="shared" si="97"/>
        <v>4504</v>
      </c>
      <c r="BF245" s="13">
        <f t="shared" si="97"/>
        <v>4505</v>
      </c>
      <c r="BG245" s="13">
        <f t="shared" si="97"/>
        <v>4506</v>
      </c>
      <c r="BH245" s="13">
        <f t="shared" si="97"/>
        <v>4507</v>
      </c>
      <c r="BI245" s="13">
        <f t="shared" si="97"/>
        <v>4508</v>
      </c>
      <c r="BJ245" s="13">
        <f t="shared" si="97"/>
        <v>4509</v>
      </c>
      <c r="BK245" s="13">
        <f t="shared" si="97"/>
        <v>4510</v>
      </c>
      <c r="BL245" s="13">
        <f t="shared" si="97"/>
        <v>4511</v>
      </c>
      <c r="BM245" s="13">
        <f t="shared" si="97"/>
        <v>4512</v>
      </c>
      <c r="BN245" s="13">
        <f t="shared" si="97"/>
        <v>4513</v>
      </c>
    </row>
    <row r="246" spans="1:66">
      <c r="A246">
        <f>VLOOKUP(B246,Teste!$A$137:$G$236,7,FALSE)</f>
        <v>0</v>
      </c>
      <c r="B246">
        <f t="shared" si="85"/>
        <v>90</v>
      </c>
      <c r="C246" s="13">
        <f t="shared" ref="C246:L255" si="98">C$155 + numGenes*$B246</f>
        <v>4500</v>
      </c>
      <c r="D246" s="13">
        <f t="shared" si="98"/>
        <v>4501</v>
      </c>
      <c r="E246" s="13">
        <f t="shared" si="98"/>
        <v>4502</v>
      </c>
      <c r="F246" s="13">
        <f t="shared" si="98"/>
        <v>4503</v>
      </c>
      <c r="G246" s="13">
        <f t="shared" si="98"/>
        <v>4504</v>
      </c>
      <c r="H246" s="13">
        <f t="shared" si="98"/>
        <v>4505</v>
      </c>
      <c r="I246" s="13">
        <f t="shared" si="98"/>
        <v>4506</v>
      </c>
      <c r="J246" s="13">
        <f t="shared" si="98"/>
        <v>4507</v>
      </c>
      <c r="K246" s="13">
        <f t="shared" si="98"/>
        <v>4508</v>
      </c>
      <c r="L246" s="13">
        <f t="shared" si="98"/>
        <v>4509</v>
      </c>
      <c r="M246" s="13">
        <f t="shared" ref="M246:V255" si="99">M$155 + numGenes*$B246</f>
        <v>4510</v>
      </c>
      <c r="N246" s="13">
        <f t="shared" si="99"/>
        <v>4511</v>
      </c>
      <c r="O246" s="13">
        <f t="shared" si="99"/>
        <v>4512</v>
      </c>
      <c r="P246" s="13">
        <f t="shared" si="99"/>
        <v>4513</v>
      </c>
      <c r="Q246" s="13">
        <f t="shared" si="99"/>
        <v>4514</v>
      </c>
      <c r="R246" s="13">
        <f t="shared" si="99"/>
        <v>4515</v>
      </c>
      <c r="S246" s="13">
        <f t="shared" si="99"/>
        <v>4516</v>
      </c>
      <c r="T246" s="13">
        <f t="shared" si="99"/>
        <v>4517</v>
      </c>
      <c r="U246" s="13">
        <f t="shared" si="99"/>
        <v>4518</v>
      </c>
      <c r="V246" s="13">
        <f t="shared" si="99"/>
        <v>4519</v>
      </c>
      <c r="W246" s="13">
        <f t="shared" ref="W246:AF255" si="100">W$155 + numGenes*$B246</f>
        <v>4520</v>
      </c>
      <c r="X246" s="13">
        <f t="shared" si="100"/>
        <v>4521</v>
      </c>
      <c r="Y246" s="13">
        <f t="shared" si="100"/>
        <v>4522</v>
      </c>
      <c r="Z246" s="13">
        <f t="shared" si="100"/>
        <v>4523</v>
      </c>
      <c r="AA246" s="13">
        <f t="shared" si="100"/>
        <v>4524</v>
      </c>
      <c r="AB246" s="13">
        <f t="shared" si="100"/>
        <v>4525</v>
      </c>
      <c r="AC246" s="13">
        <f t="shared" si="100"/>
        <v>4526</v>
      </c>
      <c r="AD246" s="13">
        <f t="shared" si="100"/>
        <v>4527</v>
      </c>
      <c r="AE246" s="13">
        <f t="shared" si="100"/>
        <v>4528</v>
      </c>
      <c r="AF246" s="13">
        <f t="shared" si="100"/>
        <v>4529</v>
      </c>
      <c r="AG246" s="13">
        <f t="shared" ref="AG246:AP255" si="101">AG$155 + numGenes*$B246</f>
        <v>4530</v>
      </c>
      <c r="AH246" s="13">
        <f t="shared" si="101"/>
        <v>4531</v>
      </c>
      <c r="AI246" s="13">
        <f t="shared" si="101"/>
        <v>4532</v>
      </c>
      <c r="AJ246" s="13">
        <f t="shared" si="101"/>
        <v>4533</v>
      </c>
      <c r="AK246" s="13">
        <f t="shared" si="101"/>
        <v>4534</v>
      </c>
      <c r="AL246" s="13">
        <f t="shared" si="101"/>
        <v>4535</v>
      </c>
      <c r="AM246" s="13">
        <f t="shared" si="101"/>
        <v>4536</v>
      </c>
      <c r="AN246" s="13">
        <f t="shared" si="101"/>
        <v>4537</v>
      </c>
      <c r="AO246" s="13">
        <f t="shared" si="101"/>
        <v>4538</v>
      </c>
      <c r="AP246" s="13">
        <f t="shared" si="101"/>
        <v>4539</v>
      </c>
      <c r="AQ246" s="13">
        <f t="shared" ref="AQ246:AZ255" si="102">AQ$155 + numGenes*$B246</f>
        <v>4540</v>
      </c>
      <c r="AR246" s="13">
        <f t="shared" si="102"/>
        <v>4541</v>
      </c>
      <c r="AS246" s="13">
        <f t="shared" si="102"/>
        <v>4542</v>
      </c>
      <c r="AT246" s="13">
        <f t="shared" si="102"/>
        <v>4543</v>
      </c>
      <c r="AU246" s="13">
        <f t="shared" si="102"/>
        <v>4544</v>
      </c>
      <c r="AV246" s="13">
        <f t="shared" si="102"/>
        <v>4545</v>
      </c>
      <c r="AW246" s="13">
        <f t="shared" si="102"/>
        <v>4546</v>
      </c>
      <c r="AX246" s="13">
        <f t="shared" si="102"/>
        <v>4547</v>
      </c>
      <c r="AY246" s="13">
        <f t="shared" si="102"/>
        <v>4548</v>
      </c>
      <c r="AZ246" s="13">
        <f t="shared" si="102"/>
        <v>4549</v>
      </c>
      <c r="BA246" s="13">
        <f t="shared" ref="BA246:BN255" si="103">BA$155 + numGenes*$B246</f>
        <v>4550</v>
      </c>
      <c r="BB246" s="13">
        <f t="shared" si="103"/>
        <v>4551</v>
      </c>
      <c r="BC246" s="13">
        <f t="shared" si="103"/>
        <v>4552</v>
      </c>
      <c r="BD246" s="13">
        <f t="shared" si="103"/>
        <v>4553</v>
      </c>
      <c r="BE246" s="13">
        <f t="shared" si="103"/>
        <v>4554</v>
      </c>
      <c r="BF246" s="13">
        <f t="shared" si="103"/>
        <v>4555</v>
      </c>
      <c r="BG246" s="13">
        <f t="shared" si="103"/>
        <v>4556</v>
      </c>
      <c r="BH246" s="13">
        <f t="shared" si="103"/>
        <v>4557</v>
      </c>
      <c r="BI246" s="13">
        <f t="shared" si="103"/>
        <v>4558</v>
      </c>
      <c r="BJ246" s="13">
        <f t="shared" si="103"/>
        <v>4559</v>
      </c>
      <c r="BK246" s="13">
        <f t="shared" si="103"/>
        <v>4560</v>
      </c>
      <c r="BL246" s="13">
        <f t="shared" si="103"/>
        <v>4561</v>
      </c>
      <c r="BM246" s="13">
        <f t="shared" si="103"/>
        <v>4562</v>
      </c>
      <c r="BN246" s="13">
        <f t="shared" si="103"/>
        <v>4563</v>
      </c>
    </row>
    <row r="247" spans="1:66">
      <c r="A247">
        <f>VLOOKUP(B247,Teste!$A$137:$G$236,7,FALSE)</f>
        <v>0</v>
      </c>
      <c r="B247">
        <f t="shared" si="85"/>
        <v>91</v>
      </c>
      <c r="C247" s="13">
        <f t="shared" si="98"/>
        <v>4550</v>
      </c>
      <c r="D247" s="13">
        <f t="shared" si="98"/>
        <v>4551</v>
      </c>
      <c r="E247" s="13">
        <f t="shared" si="98"/>
        <v>4552</v>
      </c>
      <c r="F247" s="13">
        <f t="shared" si="98"/>
        <v>4553</v>
      </c>
      <c r="G247" s="13">
        <f t="shared" si="98"/>
        <v>4554</v>
      </c>
      <c r="H247" s="13">
        <f t="shared" si="98"/>
        <v>4555</v>
      </c>
      <c r="I247" s="13">
        <f t="shared" si="98"/>
        <v>4556</v>
      </c>
      <c r="J247" s="13">
        <f t="shared" si="98"/>
        <v>4557</v>
      </c>
      <c r="K247" s="13">
        <f t="shared" si="98"/>
        <v>4558</v>
      </c>
      <c r="L247" s="13">
        <f t="shared" si="98"/>
        <v>4559</v>
      </c>
      <c r="M247" s="13">
        <f t="shared" si="99"/>
        <v>4560</v>
      </c>
      <c r="N247" s="13">
        <f t="shared" si="99"/>
        <v>4561</v>
      </c>
      <c r="O247" s="13">
        <f t="shared" si="99"/>
        <v>4562</v>
      </c>
      <c r="P247" s="13">
        <f t="shared" si="99"/>
        <v>4563</v>
      </c>
      <c r="Q247" s="13">
        <f t="shared" si="99"/>
        <v>4564</v>
      </c>
      <c r="R247" s="13">
        <f t="shared" si="99"/>
        <v>4565</v>
      </c>
      <c r="S247" s="13">
        <f t="shared" si="99"/>
        <v>4566</v>
      </c>
      <c r="T247" s="13">
        <f t="shared" si="99"/>
        <v>4567</v>
      </c>
      <c r="U247" s="13">
        <f t="shared" si="99"/>
        <v>4568</v>
      </c>
      <c r="V247" s="13">
        <f t="shared" si="99"/>
        <v>4569</v>
      </c>
      <c r="W247" s="13">
        <f t="shared" si="100"/>
        <v>4570</v>
      </c>
      <c r="X247" s="13">
        <f t="shared" si="100"/>
        <v>4571</v>
      </c>
      <c r="Y247" s="13">
        <f t="shared" si="100"/>
        <v>4572</v>
      </c>
      <c r="Z247" s="13">
        <f t="shared" si="100"/>
        <v>4573</v>
      </c>
      <c r="AA247" s="13">
        <f t="shared" si="100"/>
        <v>4574</v>
      </c>
      <c r="AB247" s="13">
        <f t="shared" si="100"/>
        <v>4575</v>
      </c>
      <c r="AC247" s="13">
        <f t="shared" si="100"/>
        <v>4576</v>
      </c>
      <c r="AD247" s="13">
        <f t="shared" si="100"/>
        <v>4577</v>
      </c>
      <c r="AE247" s="13">
        <f t="shared" si="100"/>
        <v>4578</v>
      </c>
      <c r="AF247" s="13">
        <f t="shared" si="100"/>
        <v>4579</v>
      </c>
      <c r="AG247" s="13">
        <f t="shared" si="101"/>
        <v>4580</v>
      </c>
      <c r="AH247" s="13">
        <f t="shared" si="101"/>
        <v>4581</v>
      </c>
      <c r="AI247" s="13">
        <f t="shared" si="101"/>
        <v>4582</v>
      </c>
      <c r="AJ247" s="13">
        <f t="shared" si="101"/>
        <v>4583</v>
      </c>
      <c r="AK247" s="13">
        <f t="shared" si="101"/>
        <v>4584</v>
      </c>
      <c r="AL247" s="13">
        <f t="shared" si="101"/>
        <v>4585</v>
      </c>
      <c r="AM247" s="13">
        <f t="shared" si="101"/>
        <v>4586</v>
      </c>
      <c r="AN247" s="13">
        <f t="shared" si="101"/>
        <v>4587</v>
      </c>
      <c r="AO247" s="13">
        <f t="shared" si="101"/>
        <v>4588</v>
      </c>
      <c r="AP247" s="13">
        <f t="shared" si="101"/>
        <v>4589</v>
      </c>
      <c r="AQ247" s="13">
        <f t="shared" si="102"/>
        <v>4590</v>
      </c>
      <c r="AR247" s="13">
        <f t="shared" si="102"/>
        <v>4591</v>
      </c>
      <c r="AS247" s="13">
        <f t="shared" si="102"/>
        <v>4592</v>
      </c>
      <c r="AT247" s="13">
        <f t="shared" si="102"/>
        <v>4593</v>
      </c>
      <c r="AU247" s="13">
        <f t="shared" si="102"/>
        <v>4594</v>
      </c>
      <c r="AV247" s="13">
        <f t="shared" si="102"/>
        <v>4595</v>
      </c>
      <c r="AW247" s="13">
        <f t="shared" si="102"/>
        <v>4596</v>
      </c>
      <c r="AX247" s="13">
        <f t="shared" si="102"/>
        <v>4597</v>
      </c>
      <c r="AY247" s="13">
        <f t="shared" si="102"/>
        <v>4598</v>
      </c>
      <c r="AZ247" s="13">
        <f t="shared" si="102"/>
        <v>4599</v>
      </c>
      <c r="BA247" s="13">
        <f t="shared" si="103"/>
        <v>4600</v>
      </c>
      <c r="BB247" s="13">
        <f t="shared" si="103"/>
        <v>4601</v>
      </c>
      <c r="BC247" s="13">
        <f t="shared" si="103"/>
        <v>4602</v>
      </c>
      <c r="BD247" s="13">
        <f t="shared" si="103"/>
        <v>4603</v>
      </c>
      <c r="BE247" s="13">
        <f t="shared" si="103"/>
        <v>4604</v>
      </c>
      <c r="BF247" s="13">
        <f t="shared" si="103"/>
        <v>4605</v>
      </c>
      <c r="BG247" s="13">
        <f t="shared" si="103"/>
        <v>4606</v>
      </c>
      <c r="BH247" s="13">
        <f t="shared" si="103"/>
        <v>4607</v>
      </c>
      <c r="BI247" s="13">
        <f t="shared" si="103"/>
        <v>4608</v>
      </c>
      <c r="BJ247" s="13">
        <f t="shared" si="103"/>
        <v>4609</v>
      </c>
      <c r="BK247" s="13">
        <f t="shared" si="103"/>
        <v>4610</v>
      </c>
      <c r="BL247" s="13">
        <f t="shared" si="103"/>
        <v>4611</v>
      </c>
      <c r="BM247" s="13">
        <f t="shared" si="103"/>
        <v>4612</v>
      </c>
      <c r="BN247" s="13">
        <f t="shared" si="103"/>
        <v>4613</v>
      </c>
    </row>
    <row r="248" spans="1:66">
      <c r="A248">
        <f>VLOOKUP(B248,Teste!$A$137:$G$236,7,FALSE)</f>
        <v>0</v>
      </c>
      <c r="B248">
        <f t="shared" si="85"/>
        <v>92</v>
      </c>
      <c r="C248" s="13">
        <f t="shared" si="98"/>
        <v>4600</v>
      </c>
      <c r="D248" s="13">
        <f t="shared" si="98"/>
        <v>4601</v>
      </c>
      <c r="E248" s="13">
        <f t="shared" si="98"/>
        <v>4602</v>
      </c>
      <c r="F248" s="13">
        <f t="shared" si="98"/>
        <v>4603</v>
      </c>
      <c r="G248" s="13">
        <f t="shared" si="98"/>
        <v>4604</v>
      </c>
      <c r="H248" s="13">
        <f t="shared" si="98"/>
        <v>4605</v>
      </c>
      <c r="I248" s="13">
        <f t="shared" si="98"/>
        <v>4606</v>
      </c>
      <c r="J248" s="13">
        <f t="shared" si="98"/>
        <v>4607</v>
      </c>
      <c r="K248" s="13">
        <f t="shared" si="98"/>
        <v>4608</v>
      </c>
      <c r="L248" s="13">
        <f t="shared" si="98"/>
        <v>4609</v>
      </c>
      <c r="M248" s="13">
        <f t="shared" si="99"/>
        <v>4610</v>
      </c>
      <c r="N248" s="13">
        <f t="shared" si="99"/>
        <v>4611</v>
      </c>
      <c r="O248" s="13">
        <f t="shared" si="99"/>
        <v>4612</v>
      </c>
      <c r="P248" s="13">
        <f t="shared" si="99"/>
        <v>4613</v>
      </c>
      <c r="Q248" s="13">
        <f t="shared" si="99"/>
        <v>4614</v>
      </c>
      <c r="R248" s="13">
        <f t="shared" si="99"/>
        <v>4615</v>
      </c>
      <c r="S248" s="13">
        <f t="shared" si="99"/>
        <v>4616</v>
      </c>
      <c r="T248" s="13">
        <f t="shared" si="99"/>
        <v>4617</v>
      </c>
      <c r="U248" s="13">
        <f t="shared" si="99"/>
        <v>4618</v>
      </c>
      <c r="V248" s="13">
        <f t="shared" si="99"/>
        <v>4619</v>
      </c>
      <c r="W248" s="13">
        <f t="shared" si="100"/>
        <v>4620</v>
      </c>
      <c r="X248" s="13">
        <f t="shared" si="100"/>
        <v>4621</v>
      </c>
      <c r="Y248" s="13">
        <f t="shared" si="100"/>
        <v>4622</v>
      </c>
      <c r="Z248" s="13">
        <f t="shared" si="100"/>
        <v>4623</v>
      </c>
      <c r="AA248" s="13">
        <f t="shared" si="100"/>
        <v>4624</v>
      </c>
      <c r="AB248" s="13">
        <f t="shared" si="100"/>
        <v>4625</v>
      </c>
      <c r="AC248" s="13">
        <f t="shared" si="100"/>
        <v>4626</v>
      </c>
      <c r="AD248" s="13">
        <f t="shared" si="100"/>
        <v>4627</v>
      </c>
      <c r="AE248" s="13">
        <f t="shared" si="100"/>
        <v>4628</v>
      </c>
      <c r="AF248" s="13">
        <f t="shared" si="100"/>
        <v>4629</v>
      </c>
      <c r="AG248" s="13">
        <f t="shared" si="101"/>
        <v>4630</v>
      </c>
      <c r="AH248" s="13">
        <f t="shared" si="101"/>
        <v>4631</v>
      </c>
      <c r="AI248" s="13">
        <f t="shared" si="101"/>
        <v>4632</v>
      </c>
      <c r="AJ248" s="13">
        <f t="shared" si="101"/>
        <v>4633</v>
      </c>
      <c r="AK248" s="13">
        <f t="shared" si="101"/>
        <v>4634</v>
      </c>
      <c r="AL248" s="13">
        <f t="shared" si="101"/>
        <v>4635</v>
      </c>
      <c r="AM248" s="13">
        <f t="shared" si="101"/>
        <v>4636</v>
      </c>
      <c r="AN248" s="13">
        <f t="shared" si="101"/>
        <v>4637</v>
      </c>
      <c r="AO248" s="13">
        <f t="shared" si="101"/>
        <v>4638</v>
      </c>
      <c r="AP248" s="13">
        <f t="shared" si="101"/>
        <v>4639</v>
      </c>
      <c r="AQ248" s="13">
        <f t="shared" si="102"/>
        <v>4640</v>
      </c>
      <c r="AR248" s="13">
        <f t="shared" si="102"/>
        <v>4641</v>
      </c>
      <c r="AS248" s="13">
        <f t="shared" si="102"/>
        <v>4642</v>
      </c>
      <c r="AT248" s="13">
        <f t="shared" si="102"/>
        <v>4643</v>
      </c>
      <c r="AU248" s="13">
        <f t="shared" si="102"/>
        <v>4644</v>
      </c>
      <c r="AV248" s="13">
        <f t="shared" si="102"/>
        <v>4645</v>
      </c>
      <c r="AW248" s="13">
        <f t="shared" si="102"/>
        <v>4646</v>
      </c>
      <c r="AX248" s="13">
        <f t="shared" si="102"/>
        <v>4647</v>
      </c>
      <c r="AY248" s="13">
        <f t="shared" si="102"/>
        <v>4648</v>
      </c>
      <c r="AZ248" s="13">
        <f t="shared" si="102"/>
        <v>4649</v>
      </c>
      <c r="BA248" s="13">
        <f t="shared" si="103"/>
        <v>4650</v>
      </c>
      <c r="BB248" s="13">
        <f t="shared" si="103"/>
        <v>4651</v>
      </c>
      <c r="BC248" s="13">
        <f t="shared" si="103"/>
        <v>4652</v>
      </c>
      <c r="BD248" s="13">
        <f t="shared" si="103"/>
        <v>4653</v>
      </c>
      <c r="BE248" s="13">
        <f t="shared" si="103"/>
        <v>4654</v>
      </c>
      <c r="BF248" s="13">
        <f t="shared" si="103"/>
        <v>4655</v>
      </c>
      <c r="BG248" s="13">
        <f t="shared" si="103"/>
        <v>4656</v>
      </c>
      <c r="BH248" s="13">
        <f t="shared" si="103"/>
        <v>4657</v>
      </c>
      <c r="BI248" s="13">
        <f t="shared" si="103"/>
        <v>4658</v>
      </c>
      <c r="BJ248" s="13">
        <f t="shared" si="103"/>
        <v>4659</v>
      </c>
      <c r="BK248" s="13">
        <f t="shared" si="103"/>
        <v>4660</v>
      </c>
      <c r="BL248" s="13">
        <f t="shared" si="103"/>
        <v>4661</v>
      </c>
      <c r="BM248" s="13">
        <f t="shared" si="103"/>
        <v>4662</v>
      </c>
      <c r="BN248" s="13">
        <f t="shared" si="103"/>
        <v>4663</v>
      </c>
    </row>
    <row r="249" spans="1:66">
      <c r="A249">
        <f>VLOOKUP(B249,Teste!$A$137:$G$236,7,FALSE)</f>
        <v>0</v>
      </c>
      <c r="B249">
        <f t="shared" si="85"/>
        <v>93</v>
      </c>
      <c r="C249" s="13">
        <f t="shared" si="98"/>
        <v>4650</v>
      </c>
      <c r="D249" s="13">
        <f t="shared" si="98"/>
        <v>4651</v>
      </c>
      <c r="E249" s="13">
        <f t="shared" si="98"/>
        <v>4652</v>
      </c>
      <c r="F249" s="13">
        <f t="shared" si="98"/>
        <v>4653</v>
      </c>
      <c r="G249" s="13">
        <f t="shared" si="98"/>
        <v>4654</v>
      </c>
      <c r="H249" s="13">
        <f t="shared" si="98"/>
        <v>4655</v>
      </c>
      <c r="I249" s="13">
        <f t="shared" si="98"/>
        <v>4656</v>
      </c>
      <c r="J249" s="13">
        <f t="shared" si="98"/>
        <v>4657</v>
      </c>
      <c r="K249" s="13">
        <f t="shared" si="98"/>
        <v>4658</v>
      </c>
      <c r="L249" s="13">
        <f t="shared" si="98"/>
        <v>4659</v>
      </c>
      <c r="M249" s="13">
        <f t="shared" si="99"/>
        <v>4660</v>
      </c>
      <c r="N249" s="13">
        <f t="shared" si="99"/>
        <v>4661</v>
      </c>
      <c r="O249" s="13">
        <f t="shared" si="99"/>
        <v>4662</v>
      </c>
      <c r="P249" s="13">
        <f t="shared" si="99"/>
        <v>4663</v>
      </c>
      <c r="Q249" s="13">
        <f t="shared" si="99"/>
        <v>4664</v>
      </c>
      <c r="R249" s="13">
        <f t="shared" si="99"/>
        <v>4665</v>
      </c>
      <c r="S249" s="13">
        <f t="shared" si="99"/>
        <v>4666</v>
      </c>
      <c r="T249" s="13">
        <f t="shared" si="99"/>
        <v>4667</v>
      </c>
      <c r="U249" s="13">
        <f t="shared" si="99"/>
        <v>4668</v>
      </c>
      <c r="V249" s="13">
        <f t="shared" si="99"/>
        <v>4669</v>
      </c>
      <c r="W249" s="13">
        <f t="shared" si="100"/>
        <v>4670</v>
      </c>
      <c r="X249" s="13">
        <f t="shared" si="100"/>
        <v>4671</v>
      </c>
      <c r="Y249" s="13">
        <f t="shared" si="100"/>
        <v>4672</v>
      </c>
      <c r="Z249" s="13">
        <f t="shared" si="100"/>
        <v>4673</v>
      </c>
      <c r="AA249" s="13">
        <f t="shared" si="100"/>
        <v>4674</v>
      </c>
      <c r="AB249" s="13">
        <f t="shared" si="100"/>
        <v>4675</v>
      </c>
      <c r="AC249" s="13">
        <f t="shared" si="100"/>
        <v>4676</v>
      </c>
      <c r="AD249" s="13">
        <f t="shared" si="100"/>
        <v>4677</v>
      </c>
      <c r="AE249" s="13">
        <f t="shared" si="100"/>
        <v>4678</v>
      </c>
      <c r="AF249" s="13">
        <f t="shared" si="100"/>
        <v>4679</v>
      </c>
      <c r="AG249" s="13">
        <f t="shared" si="101"/>
        <v>4680</v>
      </c>
      <c r="AH249" s="13">
        <f t="shared" si="101"/>
        <v>4681</v>
      </c>
      <c r="AI249" s="13">
        <f t="shared" si="101"/>
        <v>4682</v>
      </c>
      <c r="AJ249" s="13">
        <f t="shared" si="101"/>
        <v>4683</v>
      </c>
      <c r="AK249" s="13">
        <f t="shared" si="101"/>
        <v>4684</v>
      </c>
      <c r="AL249" s="13">
        <f t="shared" si="101"/>
        <v>4685</v>
      </c>
      <c r="AM249" s="13">
        <f t="shared" si="101"/>
        <v>4686</v>
      </c>
      <c r="AN249" s="13">
        <f t="shared" si="101"/>
        <v>4687</v>
      </c>
      <c r="AO249" s="13">
        <f t="shared" si="101"/>
        <v>4688</v>
      </c>
      <c r="AP249" s="13">
        <f t="shared" si="101"/>
        <v>4689</v>
      </c>
      <c r="AQ249" s="13">
        <f t="shared" si="102"/>
        <v>4690</v>
      </c>
      <c r="AR249" s="13">
        <f t="shared" si="102"/>
        <v>4691</v>
      </c>
      <c r="AS249" s="13">
        <f t="shared" si="102"/>
        <v>4692</v>
      </c>
      <c r="AT249" s="13">
        <f t="shared" si="102"/>
        <v>4693</v>
      </c>
      <c r="AU249" s="13">
        <f t="shared" si="102"/>
        <v>4694</v>
      </c>
      <c r="AV249" s="13">
        <f t="shared" si="102"/>
        <v>4695</v>
      </c>
      <c r="AW249" s="13">
        <f t="shared" si="102"/>
        <v>4696</v>
      </c>
      <c r="AX249" s="13">
        <f t="shared" si="102"/>
        <v>4697</v>
      </c>
      <c r="AY249" s="13">
        <f t="shared" si="102"/>
        <v>4698</v>
      </c>
      <c r="AZ249" s="13">
        <f t="shared" si="102"/>
        <v>4699</v>
      </c>
      <c r="BA249" s="13">
        <f t="shared" si="103"/>
        <v>4700</v>
      </c>
      <c r="BB249" s="13">
        <f t="shared" si="103"/>
        <v>4701</v>
      </c>
      <c r="BC249" s="13">
        <f t="shared" si="103"/>
        <v>4702</v>
      </c>
      <c r="BD249" s="13">
        <f t="shared" si="103"/>
        <v>4703</v>
      </c>
      <c r="BE249" s="13">
        <f t="shared" si="103"/>
        <v>4704</v>
      </c>
      <c r="BF249" s="13">
        <f t="shared" si="103"/>
        <v>4705</v>
      </c>
      <c r="BG249" s="13">
        <f t="shared" si="103"/>
        <v>4706</v>
      </c>
      <c r="BH249" s="13">
        <f t="shared" si="103"/>
        <v>4707</v>
      </c>
      <c r="BI249" s="13">
        <f t="shared" si="103"/>
        <v>4708</v>
      </c>
      <c r="BJ249" s="13">
        <f t="shared" si="103"/>
        <v>4709</v>
      </c>
      <c r="BK249" s="13">
        <f t="shared" si="103"/>
        <v>4710</v>
      </c>
      <c r="BL249" s="13">
        <f t="shared" si="103"/>
        <v>4711</v>
      </c>
      <c r="BM249" s="13">
        <f t="shared" si="103"/>
        <v>4712</v>
      </c>
      <c r="BN249" s="13">
        <f t="shared" si="103"/>
        <v>4713</v>
      </c>
    </row>
    <row r="250" spans="1:66">
      <c r="A250">
        <f>VLOOKUP(B250,Teste!$A$137:$G$236,7,FALSE)</f>
        <v>0</v>
      </c>
      <c r="B250">
        <f t="shared" si="85"/>
        <v>94</v>
      </c>
      <c r="C250" s="13">
        <f t="shared" si="98"/>
        <v>4700</v>
      </c>
      <c r="D250" s="13">
        <f t="shared" si="98"/>
        <v>4701</v>
      </c>
      <c r="E250" s="13">
        <f t="shared" si="98"/>
        <v>4702</v>
      </c>
      <c r="F250" s="13">
        <f t="shared" si="98"/>
        <v>4703</v>
      </c>
      <c r="G250" s="13">
        <f t="shared" si="98"/>
        <v>4704</v>
      </c>
      <c r="H250" s="13">
        <f t="shared" si="98"/>
        <v>4705</v>
      </c>
      <c r="I250" s="13">
        <f t="shared" si="98"/>
        <v>4706</v>
      </c>
      <c r="J250" s="13">
        <f t="shared" si="98"/>
        <v>4707</v>
      </c>
      <c r="K250" s="13">
        <f t="shared" si="98"/>
        <v>4708</v>
      </c>
      <c r="L250" s="13">
        <f t="shared" si="98"/>
        <v>4709</v>
      </c>
      <c r="M250" s="13">
        <f t="shared" si="99"/>
        <v>4710</v>
      </c>
      <c r="N250" s="13">
        <f t="shared" si="99"/>
        <v>4711</v>
      </c>
      <c r="O250" s="13">
        <f t="shared" si="99"/>
        <v>4712</v>
      </c>
      <c r="P250" s="13">
        <f t="shared" si="99"/>
        <v>4713</v>
      </c>
      <c r="Q250" s="13">
        <f t="shared" si="99"/>
        <v>4714</v>
      </c>
      <c r="R250" s="13">
        <f t="shared" si="99"/>
        <v>4715</v>
      </c>
      <c r="S250" s="13">
        <f t="shared" si="99"/>
        <v>4716</v>
      </c>
      <c r="T250" s="13">
        <f t="shared" si="99"/>
        <v>4717</v>
      </c>
      <c r="U250" s="13">
        <f t="shared" si="99"/>
        <v>4718</v>
      </c>
      <c r="V250" s="13">
        <f t="shared" si="99"/>
        <v>4719</v>
      </c>
      <c r="W250" s="13">
        <f t="shared" si="100"/>
        <v>4720</v>
      </c>
      <c r="X250" s="13">
        <f t="shared" si="100"/>
        <v>4721</v>
      </c>
      <c r="Y250" s="13">
        <f t="shared" si="100"/>
        <v>4722</v>
      </c>
      <c r="Z250" s="13">
        <f t="shared" si="100"/>
        <v>4723</v>
      </c>
      <c r="AA250" s="13">
        <f t="shared" si="100"/>
        <v>4724</v>
      </c>
      <c r="AB250" s="13">
        <f t="shared" si="100"/>
        <v>4725</v>
      </c>
      <c r="AC250" s="13">
        <f t="shared" si="100"/>
        <v>4726</v>
      </c>
      <c r="AD250" s="13">
        <f t="shared" si="100"/>
        <v>4727</v>
      </c>
      <c r="AE250" s="13">
        <f t="shared" si="100"/>
        <v>4728</v>
      </c>
      <c r="AF250" s="13">
        <f t="shared" si="100"/>
        <v>4729</v>
      </c>
      <c r="AG250" s="13">
        <f t="shared" si="101"/>
        <v>4730</v>
      </c>
      <c r="AH250" s="13">
        <f t="shared" si="101"/>
        <v>4731</v>
      </c>
      <c r="AI250" s="13">
        <f t="shared" si="101"/>
        <v>4732</v>
      </c>
      <c r="AJ250" s="13">
        <f t="shared" si="101"/>
        <v>4733</v>
      </c>
      <c r="AK250" s="13">
        <f t="shared" si="101"/>
        <v>4734</v>
      </c>
      <c r="AL250" s="13">
        <f t="shared" si="101"/>
        <v>4735</v>
      </c>
      <c r="AM250" s="13">
        <f t="shared" si="101"/>
        <v>4736</v>
      </c>
      <c r="AN250" s="13">
        <f t="shared" si="101"/>
        <v>4737</v>
      </c>
      <c r="AO250" s="13">
        <f t="shared" si="101"/>
        <v>4738</v>
      </c>
      <c r="AP250" s="13">
        <f t="shared" si="101"/>
        <v>4739</v>
      </c>
      <c r="AQ250" s="13">
        <f t="shared" si="102"/>
        <v>4740</v>
      </c>
      <c r="AR250" s="13">
        <f t="shared" si="102"/>
        <v>4741</v>
      </c>
      <c r="AS250" s="13">
        <f t="shared" si="102"/>
        <v>4742</v>
      </c>
      <c r="AT250" s="13">
        <f t="shared" si="102"/>
        <v>4743</v>
      </c>
      <c r="AU250" s="13">
        <f t="shared" si="102"/>
        <v>4744</v>
      </c>
      <c r="AV250" s="13">
        <f t="shared" si="102"/>
        <v>4745</v>
      </c>
      <c r="AW250" s="13">
        <f t="shared" si="102"/>
        <v>4746</v>
      </c>
      <c r="AX250" s="13">
        <f t="shared" si="102"/>
        <v>4747</v>
      </c>
      <c r="AY250" s="13">
        <f t="shared" si="102"/>
        <v>4748</v>
      </c>
      <c r="AZ250" s="13">
        <f t="shared" si="102"/>
        <v>4749</v>
      </c>
      <c r="BA250" s="13">
        <f t="shared" si="103"/>
        <v>4750</v>
      </c>
      <c r="BB250" s="13">
        <f t="shared" si="103"/>
        <v>4751</v>
      </c>
      <c r="BC250" s="13">
        <f t="shared" si="103"/>
        <v>4752</v>
      </c>
      <c r="BD250" s="13">
        <f t="shared" si="103"/>
        <v>4753</v>
      </c>
      <c r="BE250" s="13">
        <f t="shared" si="103"/>
        <v>4754</v>
      </c>
      <c r="BF250" s="13">
        <f t="shared" si="103"/>
        <v>4755</v>
      </c>
      <c r="BG250" s="13">
        <f t="shared" si="103"/>
        <v>4756</v>
      </c>
      <c r="BH250" s="13">
        <f t="shared" si="103"/>
        <v>4757</v>
      </c>
      <c r="BI250" s="13">
        <f t="shared" si="103"/>
        <v>4758</v>
      </c>
      <c r="BJ250" s="13">
        <f t="shared" si="103"/>
        <v>4759</v>
      </c>
      <c r="BK250" s="13">
        <f t="shared" si="103"/>
        <v>4760</v>
      </c>
      <c r="BL250" s="13">
        <f t="shared" si="103"/>
        <v>4761</v>
      </c>
      <c r="BM250" s="13">
        <f t="shared" si="103"/>
        <v>4762</v>
      </c>
      <c r="BN250" s="13">
        <f t="shared" si="103"/>
        <v>4763</v>
      </c>
    </row>
    <row r="251" spans="1:66">
      <c r="A251">
        <f>VLOOKUP(B251,Teste!$A$137:$G$236,7,FALSE)</f>
        <v>0</v>
      </c>
      <c r="B251">
        <f t="shared" si="85"/>
        <v>95</v>
      </c>
      <c r="C251" s="13">
        <f t="shared" si="98"/>
        <v>4750</v>
      </c>
      <c r="D251" s="13">
        <f t="shared" si="98"/>
        <v>4751</v>
      </c>
      <c r="E251" s="13">
        <f t="shared" si="98"/>
        <v>4752</v>
      </c>
      <c r="F251" s="13">
        <f t="shared" si="98"/>
        <v>4753</v>
      </c>
      <c r="G251" s="13">
        <f t="shared" si="98"/>
        <v>4754</v>
      </c>
      <c r="H251" s="13">
        <f t="shared" si="98"/>
        <v>4755</v>
      </c>
      <c r="I251" s="13">
        <f t="shared" si="98"/>
        <v>4756</v>
      </c>
      <c r="J251" s="13">
        <f t="shared" si="98"/>
        <v>4757</v>
      </c>
      <c r="K251" s="13">
        <f t="shared" si="98"/>
        <v>4758</v>
      </c>
      <c r="L251" s="13">
        <f t="shared" si="98"/>
        <v>4759</v>
      </c>
      <c r="M251" s="13">
        <f t="shared" si="99"/>
        <v>4760</v>
      </c>
      <c r="N251" s="13">
        <f t="shared" si="99"/>
        <v>4761</v>
      </c>
      <c r="O251" s="13">
        <f t="shared" si="99"/>
        <v>4762</v>
      </c>
      <c r="P251" s="13">
        <f t="shared" si="99"/>
        <v>4763</v>
      </c>
      <c r="Q251" s="13">
        <f t="shared" si="99"/>
        <v>4764</v>
      </c>
      <c r="R251" s="13">
        <f t="shared" si="99"/>
        <v>4765</v>
      </c>
      <c r="S251" s="13">
        <f t="shared" si="99"/>
        <v>4766</v>
      </c>
      <c r="T251" s="13">
        <f t="shared" si="99"/>
        <v>4767</v>
      </c>
      <c r="U251" s="13">
        <f t="shared" si="99"/>
        <v>4768</v>
      </c>
      <c r="V251" s="13">
        <f t="shared" si="99"/>
        <v>4769</v>
      </c>
      <c r="W251" s="13">
        <f t="shared" si="100"/>
        <v>4770</v>
      </c>
      <c r="X251" s="13">
        <f t="shared" si="100"/>
        <v>4771</v>
      </c>
      <c r="Y251" s="13">
        <f t="shared" si="100"/>
        <v>4772</v>
      </c>
      <c r="Z251" s="13">
        <f t="shared" si="100"/>
        <v>4773</v>
      </c>
      <c r="AA251" s="13">
        <f t="shared" si="100"/>
        <v>4774</v>
      </c>
      <c r="AB251" s="13">
        <f t="shared" si="100"/>
        <v>4775</v>
      </c>
      <c r="AC251" s="13">
        <f t="shared" si="100"/>
        <v>4776</v>
      </c>
      <c r="AD251" s="13">
        <f t="shared" si="100"/>
        <v>4777</v>
      </c>
      <c r="AE251" s="13">
        <f t="shared" si="100"/>
        <v>4778</v>
      </c>
      <c r="AF251" s="13">
        <f t="shared" si="100"/>
        <v>4779</v>
      </c>
      <c r="AG251" s="13">
        <f t="shared" si="101"/>
        <v>4780</v>
      </c>
      <c r="AH251" s="13">
        <f t="shared" si="101"/>
        <v>4781</v>
      </c>
      <c r="AI251" s="13">
        <f t="shared" si="101"/>
        <v>4782</v>
      </c>
      <c r="AJ251" s="13">
        <f t="shared" si="101"/>
        <v>4783</v>
      </c>
      <c r="AK251" s="13">
        <f t="shared" si="101"/>
        <v>4784</v>
      </c>
      <c r="AL251" s="13">
        <f t="shared" si="101"/>
        <v>4785</v>
      </c>
      <c r="AM251" s="13">
        <f t="shared" si="101"/>
        <v>4786</v>
      </c>
      <c r="AN251" s="13">
        <f t="shared" si="101"/>
        <v>4787</v>
      </c>
      <c r="AO251" s="13">
        <f t="shared" si="101"/>
        <v>4788</v>
      </c>
      <c r="AP251" s="13">
        <f t="shared" si="101"/>
        <v>4789</v>
      </c>
      <c r="AQ251" s="13">
        <f t="shared" si="102"/>
        <v>4790</v>
      </c>
      <c r="AR251" s="13">
        <f t="shared" si="102"/>
        <v>4791</v>
      </c>
      <c r="AS251" s="13">
        <f t="shared" si="102"/>
        <v>4792</v>
      </c>
      <c r="AT251" s="13">
        <f t="shared" si="102"/>
        <v>4793</v>
      </c>
      <c r="AU251" s="13">
        <f t="shared" si="102"/>
        <v>4794</v>
      </c>
      <c r="AV251" s="13">
        <f t="shared" si="102"/>
        <v>4795</v>
      </c>
      <c r="AW251" s="13">
        <f t="shared" si="102"/>
        <v>4796</v>
      </c>
      <c r="AX251" s="13">
        <f t="shared" si="102"/>
        <v>4797</v>
      </c>
      <c r="AY251" s="13">
        <f t="shared" si="102"/>
        <v>4798</v>
      </c>
      <c r="AZ251" s="13">
        <f t="shared" si="102"/>
        <v>4799</v>
      </c>
      <c r="BA251" s="13">
        <f t="shared" si="103"/>
        <v>4800</v>
      </c>
      <c r="BB251" s="13">
        <f t="shared" si="103"/>
        <v>4801</v>
      </c>
      <c r="BC251" s="13">
        <f t="shared" si="103"/>
        <v>4802</v>
      </c>
      <c r="BD251" s="13">
        <f t="shared" si="103"/>
        <v>4803</v>
      </c>
      <c r="BE251" s="13">
        <f t="shared" si="103"/>
        <v>4804</v>
      </c>
      <c r="BF251" s="13">
        <f t="shared" si="103"/>
        <v>4805</v>
      </c>
      <c r="BG251" s="13">
        <f t="shared" si="103"/>
        <v>4806</v>
      </c>
      <c r="BH251" s="13">
        <f t="shared" si="103"/>
        <v>4807</v>
      </c>
      <c r="BI251" s="13">
        <f t="shared" si="103"/>
        <v>4808</v>
      </c>
      <c r="BJ251" s="13">
        <f t="shared" si="103"/>
        <v>4809</v>
      </c>
      <c r="BK251" s="13">
        <f t="shared" si="103"/>
        <v>4810</v>
      </c>
      <c r="BL251" s="13">
        <f t="shared" si="103"/>
        <v>4811</v>
      </c>
      <c r="BM251" s="13">
        <f t="shared" si="103"/>
        <v>4812</v>
      </c>
      <c r="BN251" s="13">
        <f t="shared" si="103"/>
        <v>4813</v>
      </c>
    </row>
    <row r="252" spans="1:66">
      <c r="A252">
        <f>VLOOKUP(B252,Teste!$A$137:$G$236,7,FALSE)</f>
        <v>0</v>
      </c>
      <c r="B252">
        <f t="shared" si="85"/>
        <v>96</v>
      </c>
      <c r="C252" s="13">
        <f t="shared" si="98"/>
        <v>4800</v>
      </c>
      <c r="D252" s="13">
        <f t="shared" si="98"/>
        <v>4801</v>
      </c>
      <c r="E252" s="13">
        <f t="shared" si="98"/>
        <v>4802</v>
      </c>
      <c r="F252" s="13">
        <f t="shared" si="98"/>
        <v>4803</v>
      </c>
      <c r="G252" s="13">
        <f t="shared" si="98"/>
        <v>4804</v>
      </c>
      <c r="H252" s="13">
        <f t="shared" si="98"/>
        <v>4805</v>
      </c>
      <c r="I252" s="13">
        <f t="shared" si="98"/>
        <v>4806</v>
      </c>
      <c r="J252" s="13">
        <f t="shared" si="98"/>
        <v>4807</v>
      </c>
      <c r="K252" s="13">
        <f t="shared" si="98"/>
        <v>4808</v>
      </c>
      <c r="L252" s="13">
        <f t="shared" si="98"/>
        <v>4809</v>
      </c>
      <c r="M252" s="13">
        <f t="shared" si="99"/>
        <v>4810</v>
      </c>
      <c r="N252" s="13">
        <f t="shared" si="99"/>
        <v>4811</v>
      </c>
      <c r="O252" s="13">
        <f t="shared" si="99"/>
        <v>4812</v>
      </c>
      <c r="P252" s="13">
        <f t="shared" si="99"/>
        <v>4813</v>
      </c>
      <c r="Q252" s="13">
        <f t="shared" si="99"/>
        <v>4814</v>
      </c>
      <c r="R252" s="13">
        <f t="shared" si="99"/>
        <v>4815</v>
      </c>
      <c r="S252" s="13">
        <f t="shared" si="99"/>
        <v>4816</v>
      </c>
      <c r="T252" s="13">
        <f t="shared" si="99"/>
        <v>4817</v>
      </c>
      <c r="U252" s="13">
        <f t="shared" si="99"/>
        <v>4818</v>
      </c>
      <c r="V252" s="13">
        <f t="shared" si="99"/>
        <v>4819</v>
      </c>
      <c r="W252" s="13">
        <f t="shared" si="100"/>
        <v>4820</v>
      </c>
      <c r="X252" s="13">
        <f t="shared" si="100"/>
        <v>4821</v>
      </c>
      <c r="Y252" s="13">
        <f t="shared" si="100"/>
        <v>4822</v>
      </c>
      <c r="Z252" s="13">
        <f t="shared" si="100"/>
        <v>4823</v>
      </c>
      <c r="AA252" s="13">
        <f t="shared" si="100"/>
        <v>4824</v>
      </c>
      <c r="AB252" s="13">
        <f t="shared" si="100"/>
        <v>4825</v>
      </c>
      <c r="AC252" s="13">
        <f t="shared" si="100"/>
        <v>4826</v>
      </c>
      <c r="AD252" s="13">
        <f t="shared" si="100"/>
        <v>4827</v>
      </c>
      <c r="AE252" s="13">
        <f t="shared" si="100"/>
        <v>4828</v>
      </c>
      <c r="AF252" s="13">
        <f t="shared" si="100"/>
        <v>4829</v>
      </c>
      <c r="AG252" s="13">
        <f t="shared" si="101"/>
        <v>4830</v>
      </c>
      <c r="AH252" s="13">
        <f t="shared" si="101"/>
        <v>4831</v>
      </c>
      <c r="AI252" s="13">
        <f t="shared" si="101"/>
        <v>4832</v>
      </c>
      <c r="AJ252" s="13">
        <f t="shared" si="101"/>
        <v>4833</v>
      </c>
      <c r="AK252" s="13">
        <f t="shared" si="101"/>
        <v>4834</v>
      </c>
      <c r="AL252" s="13">
        <f t="shared" si="101"/>
        <v>4835</v>
      </c>
      <c r="AM252" s="13">
        <f t="shared" si="101"/>
        <v>4836</v>
      </c>
      <c r="AN252" s="13">
        <f t="shared" si="101"/>
        <v>4837</v>
      </c>
      <c r="AO252" s="13">
        <f t="shared" si="101"/>
        <v>4838</v>
      </c>
      <c r="AP252" s="13">
        <f t="shared" si="101"/>
        <v>4839</v>
      </c>
      <c r="AQ252" s="13">
        <f t="shared" si="102"/>
        <v>4840</v>
      </c>
      <c r="AR252" s="13">
        <f t="shared" si="102"/>
        <v>4841</v>
      </c>
      <c r="AS252" s="13">
        <f t="shared" si="102"/>
        <v>4842</v>
      </c>
      <c r="AT252" s="13">
        <f t="shared" si="102"/>
        <v>4843</v>
      </c>
      <c r="AU252" s="13">
        <f t="shared" si="102"/>
        <v>4844</v>
      </c>
      <c r="AV252" s="13">
        <f t="shared" si="102"/>
        <v>4845</v>
      </c>
      <c r="AW252" s="13">
        <f t="shared" si="102"/>
        <v>4846</v>
      </c>
      <c r="AX252" s="13">
        <f t="shared" si="102"/>
        <v>4847</v>
      </c>
      <c r="AY252" s="13">
        <f t="shared" si="102"/>
        <v>4848</v>
      </c>
      <c r="AZ252" s="13">
        <f t="shared" si="102"/>
        <v>4849</v>
      </c>
      <c r="BA252" s="13">
        <f t="shared" si="103"/>
        <v>4850</v>
      </c>
      <c r="BB252" s="13">
        <f t="shared" si="103"/>
        <v>4851</v>
      </c>
      <c r="BC252" s="13">
        <f t="shared" si="103"/>
        <v>4852</v>
      </c>
      <c r="BD252" s="13">
        <f t="shared" si="103"/>
        <v>4853</v>
      </c>
      <c r="BE252" s="13">
        <f t="shared" si="103"/>
        <v>4854</v>
      </c>
      <c r="BF252" s="13">
        <f t="shared" si="103"/>
        <v>4855</v>
      </c>
      <c r="BG252" s="13">
        <f t="shared" si="103"/>
        <v>4856</v>
      </c>
      <c r="BH252" s="13">
        <f t="shared" si="103"/>
        <v>4857</v>
      </c>
      <c r="BI252" s="13">
        <f t="shared" si="103"/>
        <v>4858</v>
      </c>
      <c r="BJ252" s="13">
        <f t="shared" si="103"/>
        <v>4859</v>
      </c>
      <c r="BK252" s="13">
        <f t="shared" si="103"/>
        <v>4860</v>
      </c>
      <c r="BL252" s="13">
        <f t="shared" si="103"/>
        <v>4861</v>
      </c>
      <c r="BM252" s="13">
        <f t="shared" si="103"/>
        <v>4862</v>
      </c>
      <c r="BN252" s="13">
        <f t="shared" si="103"/>
        <v>4863</v>
      </c>
    </row>
    <row r="253" spans="1:66">
      <c r="A253">
        <f>VLOOKUP(B253,Teste!$A$137:$G$236,7,FALSE)</f>
        <v>0</v>
      </c>
      <c r="B253">
        <f t="shared" si="85"/>
        <v>97</v>
      </c>
      <c r="C253" s="13">
        <f t="shared" si="98"/>
        <v>4850</v>
      </c>
      <c r="D253" s="13">
        <f t="shared" si="98"/>
        <v>4851</v>
      </c>
      <c r="E253" s="13">
        <f t="shared" si="98"/>
        <v>4852</v>
      </c>
      <c r="F253" s="13">
        <f t="shared" si="98"/>
        <v>4853</v>
      </c>
      <c r="G253" s="13">
        <f t="shared" si="98"/>
        <v>4854</v>
      </c>
      <c r="H253" s="13">
        <f t="shared" si="98"/>
        <v>4855</v>
      </c>
      <c r="I253" s="13">
        <f t="shared" si="98"/>
        <v>4856</v>
      </c>
      <c r="J253" s="13">
        <f t="shared" si="98"/>
        <v>4857</v>
      </c>
      <c r="K253" s="13">
        <f t="shared" si="98"/>
        <v>4858</v>
      </c>
      <c r="L253" s="13">
        <f t="shared" si="98"/>
        <v>4859</v>
      </c>
      <c r="M253" s="13">
        <f t="shared" si="99"/>
        <v>4860</v>
      </c>
      <c r="N253" s="13">
        <f t="shared" si="99"/>
        <v>4861</v>
      </c>
      <c r="O253" s="13">
        <f t="shared" si="99"/>
        <v>4862</v>
      </c>
      <c r="P253" s="13">
        <f t="shared" si="99"/>
        <v>4863</v>
      </c>
      <c r="Q253" s="13">
        <f t="shared" si="99"/>
        <v>4864</v>
      </c>
      <c r="R253" s="13">
        <f t="shared" si="99"/>
        <v>4865</v>
      </c>
      <c r="S253" s="13">
        <f t="shared" si="99"/>
        <v>4866</v>
      </c>
      <c r="T253" s="13">
        <f t="shared" si="99"/>
        <v>4867</v>
      </c>
      <c r="U253" s="13">
        <f t="shared" si="99"/>
        <v>4868</v>
      </c>
      <c r="V253" s="13">
        <f t="shared" si="99"/>
        <v>4869</v>
      </c>
      <c r="W253" s="13">
        <f t="shared" si="100"/>
        <v>4870</v>
      </c>
      <c r="X253" s="13">
        <f t="shared" si="100"/>
        <v>4871</v>
      </c>
      <c r="Y253" s="13">
        <f t="shared" si="100"/>
        <v>4872</v>
      </c>
      <c r="Z253" s="13">
        <f t="shared" si="100"/>
        <v>4873</v>
      </c>
      <c r="AA253" s="13">
        <f t="shared" si="100"/>
        <v>4874</v>
      </c>
      <c r="AB253" s="13">
        <f t="shared" si="100"/>
        <v>4875</v>
      </c>
      <c r="AC253" s="13">
        <f t="shared" si="100"/>
        <v>4876</v>
      </c>
      <c r="AD253" s="13">
        <f t="shared" si="100"/>
        <v>4877</v>
      </c>
      <c r="AE253" s="13">
        <f t="shared" si="100"/>
        <v>4878</v>
      </c>
      <c r="AF253" s="13">
        <f t="shared" si="100"/>
        <v>4879</v>
      </c>
      <c r="AG253" s="13">
        <f t="shared" si="101"/>
        <v>4880</v>
      </c>
      <c r="AH253" s="13">
        <f t="shared" si="101"/>
        <v>4881</v>
      </c>
      <c r="AI253" s="13">
        <f t="shared" si="101"/>
        <v>4882</v>
      </c>
      <c r="AJ253" s="13">
        <f t="shared" si="101"/>
        <v>4883</v>
      </c>
      <c r="AK253" s="13">
        <f t="shared" si="101"/>
        <v>4884</v>
      </c>
      <c r="AL253" s="13">
        <f t="shared" si="101"/>
        <v>4885</v>
      </c>
      <c r="AM253" s="13">
        <f t="shared" si="101"/>
        <v>4886</v>
      </c>
      <c r="AN253" s="13">
        <f t="shared" si="101"/>
        <v>4887</v>
      </c>
      <c r="AO253" s="13">
        <f t="shared" si="101"/>
        <v>4888</v>
      </c>
      <c r="AP253" s="13">
        <f t="shared" si="101"/>
        <v>4889</v>
      </c>
      <c r="AQ253" s="13">
        <f t="shared" si="102"/>
        <v>4890</v>
      </c>
      <c r="AR253" s="13">
        <f t="shared" si="102"/>
        <v>4891</v>
      </c>
      <c r="AS253" s="13">
        <f t="shared" si="102"/>
        <v>4892</v>
      </c>
      <c r="AT253" s="13">
        <f t="shared" si="102"/>
        <v>4893</v>
      </c>
      <c r="AU253" s="13">
        <f t="shared" si="102"/>
        <v>4894</v>
      </c>
      <c r="AV253" s="13">
        <f t="shared" si="102"/>
        <v>4895</v>
      </c>
      <c r="AW253" s="13">
        <f t="shared" si="102"/>
        <v>4896</v>
      </c>
      <c r="AX253" s="13">
        <f t="shared" si="102"/>
        <v>4897</v>
      </c>
      <c r="AY253" s="13">
        <f t="shared" si="102"/>
        <v>4898</v>
      </c>
      <c r="AZ253" s="13">
        <f t="shared" si="102"/>
        <v>4899</v>
      </c>
      <c r="BA253" s="13">
        <f t="shared" si="103"/>
        <v>4900</v>
      </c>
      <c r="BB253" s="13">
        <f t="shared" si="103"/>
        <v>4901</v>
      </c>
      <c r="BC253" s="13">
        <f t="shared" si="103"/>
        <v>4902</v>
      </c>
      <c r="BD253" s="13">
        <f t="shared" si="103"/>
        <v>4903</v>
      </c>
      <c r="BE253" s="13">
        <f t="shared" si="103"/>
        <v>4904</v>
      </c>
      <c r="BF253" s="13">
        <f t="shared" si="103"/>
        <v>4905</v>
      </c>
      <c r="BG253" s="13">
        <f t="shared" si="103"/>
        <v>4906</v>
      </c>
      <c r="BH253" s="13">
        <f t="shared" si="103"/>
        <v>4907</v>
      </c>
      <c r="BI253" s="13">
        <f t="shared" si="103"/>
        <v>4908</v>
      </c>
      <c r="BJ253" s="13">
        <f t="shared" si="103"/>
        <v>4909</v>
      </c>
      <c r="BK253" s="13">
        <f t="shared" si="103"/>
        <v>4910</v>
      </c>
      <c r="BL253" s="13">
        <f t="shared" si="103"/>
        <v>4911</v>
      </c>
      <c r="BM253" s="13">
        <f t="shared" si="103"/>
        <v>4912</v>
      </c>
      <c r="BN253" s="13">
        <f t="shared" si="103"/>
        <v>4913</v>
      </c>
    </row>
    <row r="254" spans="1:66">
      <c r="A254">
        <f>VLOOKUP(B254,Teste!$A$137:$G$236,7,FALSE)</f>
        <v>0</v>
      </c>
      <c r="B254">
        <f t="shared" si="85"/>
        <v>98</v>
      </c>
      <c r="C254" s="13">
        <f t="shared" si="98"/>
        <v>4900</v>
      </c>
      <c r="D254" s="13">
        <f t="shared" si="98"/>
        <v>4901</v>
      </c>
      <c r="E254" s="13">
        <f t="shared" si="98"/>
        <v>4902</v>
      </c>
      <c r="F254" s="13">
        <f t="shared" si="98"/>
        <v>4903</v>
      </c>
      <c r="G254" s="13">
        <f t="shared" si="98"/>
        <v>4904</v>
      </c>
      <c r="H254" s="13">
        <f t="shared" si="98"/>
        <v>4905</v>
      </c>
      <c r="I254" s="13">
        <f t="shared" si="98"/>
        <v>4906</v>
      </c>
      <c r="J254" s="13">
        <f t="shared" si="98"/>
        <v>4907</v>
      </c>
      <c r="K254" s="13">
        <f t="shared" si="98"/>
        <v>4908</v>
      </c>
      <c r="L254" s="13">
        <f t="shared" si="98"/>
        <v>4909</v>
      </c>
      <c r="M254" s="13">
        <f t="shared" si="99"/>
        <v>4910</v>
      </c>
      <c r="N254" s="13">
        <f t="shared" si="99"/>
        <v>4911</v>
      </c>
      <c r="O254" s="13">
        <f t="shared" si="99"/>
        <v>4912</v>
      </c>
      <c r="P254" s="13">
        <f t="shared" si="99"/>
        <v>4913</v>
      </c>
      <c r="Q254" s="13">
        <f t="shared" si="99"/>
        <v>4914</v>
      </c>
      <c r="R254" s="13">
        <f t="shared" si="99"/>
        <v>4915</v>
      </c>
      <c r="S254" s="13">
        <f t="shared" si="99"/>
        <v>4916</v>
      </c>
      <c r="T254" s="13">
        <f t="shared" si="99"/>
        <v>4917</v>
      </c>
      <c r="U254" s="13">
        <f t="shared" si="99"/>
        <v>4918</v>
      </c>
      <c r="V254" s="13">
        <f t="shared" si="99"/>
        <v>4919</v>
      </c>
      <c r="W254" s="13">
        <f t="shared" si="100"/>
        <v>4920</v>
      </c>
      <c r="X254" s="13">
        <f t="shared" si="100"/>
        <v>4921</v>
      </c>
      <c r="Y254" s="13">
        <f t="shared" si="100"/>
        <v>4922</v>
      </c>
      <c r="Z254" s="13">
        <f t="shared" si="100"/>
        <v>4923</v>
      </c>
      <c r="AA254" s="13">
        <f t="shared" si="100"/>
        <v>4924</v>
      </c>
      <c r="AB254" s="13">
        <f t="shared" si="100"/>
        <v>4925</v>
      </c>
      <c r="AC254" s="13">
        <f t="shared" si="100"/>
        <v>4926</v>
      </c>
      <c r="AD254" s="13">
        <f t="shared" si="100"/>
        <v>4927</v>
      </c>
      <c r="AE254" s="13">
        <f t="shared" si="100"/>
        <v>4928</v>
      </c>
      <c r="AF254" s="13">
        <f t="shared" si="100"/>
        <v>4929</v>
      </c>
      <c r="AG254" s="13">
        <f t="shared" si="101"/>
        <v>4930</v>
      </c>
      <c r="AH254" s="13">
        <f t="shared" si="101"/>
        <v>4931</v>
      </c>
      <c r="AI254" s="13">
        <f t="shared" si="101"/>
        <v>4932</v>
      </c>
      <c r="AJ254" s="13">
        <f t="shared" si="101"/>
        <v>4933</v>
      </c>
      <c r="AK254" s="13">
        <f t="shared" si="101"/>
        <v>4934</v>
      </c>
      <c r="AL254" s="13">
        <f t="shared" si="101"/>
        <v>4935</v>
      </c>
      <c r="AM254" s="13">
        <f t="shared" si="101"/>
        <v>4936</v>
      </c>
      <c r="AN254" s="13">
        <f t="shared" si="101"/>
        <v>4937</v>
      </c>
      <c r="AO254" s="13">
        <f t="shared" si="101"/>
        <v>4938</v>
      </c>
      <c r="AP254" s="13">
        <f t="shared" si="101"/>
        <v>4939</v>
      </c>
      <c r="AQ254" s="13">
        <f t="shared" si="102"/>
        <v>4940</v>
      </c>
      <c r="AR254" s="13">
        <f t="shared" si="102"/>
        <v>4941</v>
      </c>
      <c r="AS254" s="13">
        <f t="shared" si="102"/>
        <v>4942</v>
      </c>
      <c r="AT254" s="13">
        <f t="shared" si="102"/>
        <v>4943</v>
      </c>
      <c r="AU254" s="13">
        <f t="shared" si="102"/>
        <v>4944</v>
      </c>
      <c r="AV254" s="13">
        <f t="shared" si="102"/>
        <v>4945</v>
      </c>
      <c r="AW254" s="13">
        <f t="shared" si="102"/>
        <v>4946</v>
      </c>
      <c r="AX254" s="13">
        <f t="shared" si="102"/>
        <v>4947</v>
      </c>
      <c r="AY254" s="13">
        <f t="shared" si="102"/>
        <v>4948</v>
      </c>
      <c r="AZ254" s="13">
        <f t="shared" si="102"/>
        <v>4949</v>
      </c>
      <c r="BA254" s="13">
        <f t="shared" si="103"/>
        <v>4950</v>
      </c>
      <c r="BB254" s="13">
        <f t="shared" si="103"/>
        <v>4951</v>
      </c>
      <c r="BC254" s="13">
        <f t="shared" si="103"/>
        <v>4952</v>
      </c>
      <c r="BD254" s="13">
        <f t="shared" si="103"/>
        <v>4953</v>
      </c>
      <c r="BE254" s="13">
        <f t="shared" si="103"/>
        <v>4954</v>
      </c>
      <c r="BF254" s="13">
        <f t="shared" si="103"/>
        <v>4955</v>
      </c>
      <c r="BG254" s="13">
        <f t="shared" si="103"/>
        <v>4956</v>
      </c>
      <c r="BH254" s="13">
        <f t="shared" si="103"/>
        <v>4957</v>
      </c>
      <c r="BI254" s="13">
        <f t="shared" si="103"/>
        <v>4958</v>
      </c>
      <c r="BJ254" s="13">
        <f t="shared" si="103"/>
        <v>4959</v>
      </c>
      <c r="BK254" s="13">
        <f t="shared" si="103"/>
        <v>4960</v>
      </c>
      <c r="BL254" s="13">
        <f t="shared" si="103"/>
        <v>4961</v>
      </c>
      <c r="BM254" s="13">
        <f t="shared" si="103"/>
        <v>4962</v>
      </c>
      <c r="BN254" s="13">
        <f t="shared" si="103"/>
        <v>4963</v>
      </c>
    </row>
    <row r="255" spans="1:66">
      <c r="A255">
        <f>VLOOKUP(B255,Teste!$A$137:$G$236,7,FALSE)</f>
        <v>0</v>
      </c>
      <c r="B255">
        <f t="shared" si="85"/>
        <v>99</v>
      </c>
      <c r="C255" s="13">
        <f t="shared" si="98"/>
        <v>4950</v>
      </c>
      <c r="D255" s="13">
        <f t="shared" si="98"/>
        <v>4951</v>
      </c>
      <c r="E255" s="13">
        <f t="shared" si="98"/>
        <v>4952</v>
      </c>
      <c r="F255" s="13">
        <f t="shared" si="98"/>
        <v>4953</v>
      </c>
      <c r="G255" s="13">
        <f t="shared" si="98"/>
        <v>4954</v>
      </c>
      <c r="H255" s="13">
        <f t="shared" si="98"/>
        <v>4955</v>
      </c>
      <c r="I255" s="13">
        <f t="shared" si="98"/>
        <v>4956</v>
      </c>
      <c r="J255" s="13">
        <f t="shared" si="98"/>
        <v>4957</v>
      </c>
      <c r="K255" s="13">
        <f t="shared" si="98"/>
        <v>4958</v>
      </c>
      <c r="L255" s="13">
        <f t="shared" si="98"/>
        <v>4959</v>
      </c>
      <c r="M255" s="13">
        <f t="shared" si="99"/>
        <v>4960</v>
      </c>
      <c r="N255" s="13">
        <f t="shared" si="99"/>
        <v>4961</v>
      </c>
      <c r="O255" s="13">
        <f t="shared" si="99"/>
        <v>4962</v>
      </c>
      <c r="P255" s="13">
        <f t="shared" si="99"/>
        <v>4963</v>
      </c>
      <c r="Q255" s="13">
        <f t="shared" si="99"/>
        <v>4964</v>
      </c>
      <c r="R255" s="13">
        <f t="shared" si="99"/>
        <v>4965</v>
      </c>
      <c r="S255" s="13">
        <f t="shared" si="99"/>
        <v>4966</v>
      </c>
      <c r="T255" s="13">
        <f t="shared" si="99"/>
        <v>4967</v>
      </c>
      <c r="U255" s="13">
        <f t="shared" si="99"/>
        <v>4968</v>
      </c>
      <c r="V255" s="13">
        <f t="shared" si="99"/>
        <v>4969</v>
      </c>
      <c r="W255" s="13">
        <f t="shared" si="100"/>
        <v>4970</v>
      </c>
      <c r="X255" s="13">
        <f t="shared" si="100"/>
        <v>4971</v>
      </c>
      <c r="Y255" s="13">
        <f t="shared" si="100"/>
        <v>4972</v>
      </c>
      <c r="Z255" s="13">
        <f t="shared" si="100"/>
        <v>4973</v>
      </c>
      <c r="AA255" s="13">
        <f t="shared" si="100"/>
        <v>4974</v>
      </c>
      <c r="AB255" s="13">
        <f t="shared" si="100"/>
        <v>4975</v>
      </c>
      <c r="AC255" s="13">
        <f t="shared" si="100"/>
        <v>4976</v>
      </c>
      <c r="AD255" s="13">
        <f t="shared" si="100"/>
        <v>4977</v>
      </c>
      <c r="AE255" s="13">
        <f t="shared" si="100"/>
        <v>4978</v>
      </c>
      <c r="AF255" s="13">
        <f t="shared" si="100"/>
        <v>4979</v>
      </c>
      <c r="AG255" s="13">
        <f t="shared" si="101"/>
        <v>4980</v>
      </c>
      <c r="AH255" s="13">
        <f t="shared" si="101"/>
        <v>4981</v>
      </c>
      <c r="AI255" s="13">
        <f t="shared" si="101"/>
        <v>4982</v>
      </c>
      <c r="AJ255" s="13">
        <f t="shared" si="101"/>
        <v>4983</v>
      </c>
      <c r="AK255" s="13">
        <f t="shared" si="101"/>
        <v>4984</v>
      </c>
      <c r="AL255" s="13">
        <f t="shared" si="101"/>
        <v>4985</v>
      </c>
      <c r="AM255" s="13">
        <f t="shared" si="101"/>
        <v>4986</v>
      </c>
      <c r="AN255" s="13">
        <f t="shared" si="101"/>
        <v>4987</v>
      </c>
      <c r="AO255" s="13">
        <f t="shared" si="101"/>
        <v>4988</v>
      </c>
      <c r="AP255" s="13">
        <f t="shared" si="101"/>
        <v>4989</v>
      </c>
      <c r="AQ255" s="13">
        <f t="shared" si="102"/>
        <v>4990</v>
      </c>
      <c r="AR255" s="13">
        <f t="shared" si="102"/>
        <v>4991</v>
      </c>
      <c r="AS255" s="13">
        <f t="shared" si="102"/>
        <v>4992</v>
      </c>
      <c r="AT255" s="13">
        <f t="shared" si="102"/>
        <v>4993</v>
      </c>
      <c r="AU255" s="13">
        <f t="shared" si="102"/>
        <v>4994</v>
      </c>
      <c r="AV255" s="13">
        <f t="shared" si="102"/>
        <v>4995</v>
      </c>
      <c r="AW255" s="13">
        <f t="shared" si="102"/>
        <v>4996</v>
      </c>
      <c r="AX255" s="13">
        <f t="shared" si="102"/>
        <v>4997</v>
      </c>
      <c r="AY255" s="13">
        <f t="shared" si="102"/>
        <v>4998</v>
      </c>
      <c r="AZ255" s="13">
        <f t="shared" si="102"/>
        <v>4999</v>
      </c>
      <c r="BA255" s="13">
        <f t="shared" si="103"/>
        <v>5000</v>
      </c>
      <c r="BB255" s="13">
        <f t="shared" si="103"/>
        <v>5001</v>
      </c>
      <c r="BC255" s="13">
        <f t="shared" si="103"/>
        <v>5002</v>
      </c>
      <c r="BD255" s="13">
        <f t="shared" si="103"/>
        <v>5003</v>
      </c>
      <c r="BE255" s="13">
        <f t="shared" si="103"/>
        <v>5004</v>
      </c>
      <c r="BF255" s="13">
        <f t="shared" si="103"/>
        <v>5005</v>
      </c>
      <c r="BG255" s="13">
        <f t="shared" si="103"/>
        <v>5006</v>
      </c>
      <c r="BH255" s="13">
        <f t="shared" si="103"/>
        <v>5007</v>
      </c>
      <c r="BI255" s="13">
        <f t="shared" si="103"/>
        <v>5008</v>
      </c>
      <c r="BJ255" s="13">
        <f t="shared" si="103"/>
        <v>5009</v>
      </c>
      <c r="BK255" s="13">
        <f t="shared" si="103"/>
        <v>5010</v>
      </c>
      <c r="BL255" s="13">
        <f t="shared" si="103"/>
        <v>5011</v>
      </c>
      <c r="BM255" s="13">
        <f t="shared" si="103"/>
        <v>5012</v>
      </c>
      <c r="BN255" s="13">
        <f t="shared" si="103"/>
        <v>5013</v>
      </c>
    </row>
    <row r="256" spans="1:66">
      <c r="B256">
        <f t="shared" si="85"/>
        <v>100</v>
      </c>
      <c r="C256" s="13">
        <f t="shared" ref="C256:L267" si="104">C$155 + numGenes*$B256</f>
        <v>5000</v>
      </c>
      <c r="D256" s="13">
        <f t="shared" si="104"/>
        <v>5001</v>
      </c>
      <c r="E256" s="13">
        <f t="shared" si="104"/>
        <v>5002</v>
      </c>
      <c r="F256" s="13">
        <f t="shared" si="104"/>
        <v>5003</v>
      </c>
      <c r="G256" s="13">
        <f t="shared" si="104"/>
        <v>5004</v>
      </c>
      <c r="H256" s="13">
        <f t="shared" si="104"/>
        <v>5005</v>
      </c>
      <c r="I256" s="13">
        <f t="shared" si="104"/>
        <v>5006</v>
      </c>
      <c r="J256" s="13">
        <f t="shared" si="104"/>
        <v>5007</v>
      </c>
      <c r="K256" s="13">
        <f t="shared" si="104"/>
        <v>5008</v>
      </c>
      <c r="L256" s="13">
        <f t="shared" si="104"/>
        <v>5009</v>
      </c>
      <c r="M256" s="13">
        <f t="shared" ref="M256:V267" si="105">M$155 + numGenes*$B256</f>
        <v>5010</v>
      </c>
      <c r="N256" s="13">
        <f t="shared" si="105"/>
        <v>5011</v>
      </c>
      <c r="O256" s="13">
        <f t="shared" si="105"/>
        <v>5012</v>
      </c>
      <c r="P256" s="13">
        <f t="shared" si="105"/>
        <v>5013</v>
      </c>
      <c r="Q256" s="13">
        <f t="shared" si="105"/>
        <v>5014</v>
      </c>
      <c r="R256" s="13">
        <f t="shared" si="105"/>
        <v>5015</v>
      </c>
      <c r="S256" s="13">
        <f t="shared" si="105"/>
        <v>5016</v>
      </c>
      <c r="T256" s="13">
        <f t="shared" si="105"/>
        <v>5017</v>
      </c>
      <c r="U256" s="13">
        <f t="shared" si="105"/>
        <v>5018</v>
      </c>
      <c r="V256" s="13">
        <f t="shared" si="105"/>
        <v>5019</v>
      </c>
      <c r="W256" s="13">
        <f t="shared" ref="W256:AF267" si="106">W$155 + numGenes*$B256</f>
        <v>5020</v>
      </c>
      <c r="X256" s="13">
        <f t="shared" si="106"/>
        <v>5021</v>
      </c>
      <c r="Y256" s="13">
        <f t="shared" si="106"/>
        <v>5022</v>
      </c>
      <c r="Z256" s="13">
        <f t="shared" si="106"/>
        <v>5023</v>
      </c>
      <c r="AA256" s="13">
        <f t="shared" si="106"/>
        <v>5024</v>
      </c>
      <c r="AB256" s="13">
        <f t="shared" si="106"/>
        <v>5025</v>
      </c>
      <c r="AC256" s="13">
        <f t="shared" si="106"/>
        <v>5026</v>
      </c>
      <c r="AD256" s="13">
        <f t="shared" si="106"/>
        <v>5027</v>
      </c>
      <c r="AE256" s="13">
        <f t="shared" si="106"/>
        <v>5028</v>
      </c>
      <c r="AF256" s="13">
        <f t="shared" si="106"/>
        <v>5029</v>
      </c>
      <c r="AG256" s="13">
        <f t="shared" ref="AG256:AP267" si="107">AG$155 + numGenes*$B256</f>
        <v>5030</v>
      </c>
      <c r="AH256" s="13">
        <f t="shared" si="107"/>
        <v>5031</v>
      </c>
      <c r="AI256" s="13">
        <f t="shared" si="107"/>
        <v>5032</v>
      </c>
      <c r="AJ256" s="13">
        <f t="shared" si="107"/>
        <v>5033</v>
      </c>
      <c r="AK256" s="13">
        <f t="shared" si="107"/>
        <v>5034</v>
      </c>
      <c r="AL256" s="13">
        <f t="shared" si="107"/>
        <v>5035</v>
      </c>
      <c r="AM256" s="13">
        <f t="shared" si="107"/>
        <v>5036</v>
      </c>
      <c r="AN256" s="13">
        <f t="shared" si="107"/>
        <v>5037</v>
      </c>
      <c r="AO256" s="13">
        <f t="shared" si="107"/>
        <v>5038</v>
      </c>
      <c r="AP256" s="13">
        <f t="shared" si="107"/>
        <v>5039</v>
      </c>
      <c r="AQ256" s="13">
        <f t="shared" ref="AQ256:AZ267" si="108">AQ$155 + numGenes*$B256</f>
        <v>5040</v>
      </c>
      <c r="AR256" s="13">
        <f t="shared" si="108"/>
        <v>5041</v>
      </c>
      <c r="AS256" s="13">
        <f t="shared" si="108"/>
        <v>5042</v>
      </c>
      <c r="AT256" s="13">
        <f t="shared" si="108"/>
        <v>5043</v>
      </c>
      <c r="AU256" s="13">
        <f t="shared" si="108"/>
        <v>5044</v>
      </c>
      <c r="AV256" s="13">
        <f t="shared" si="108"/>
        <v>5045</v>
      </c>
      <c r="AW256" s="13">
        <f t="shared" si="108"/>
        <v>5046</v>
      </c>
      <c r="AX256" s="13">
        <f t="shared" si="108"/>
        <v>5047</v>
      </c>
      <c r="AY256" s="13">
        <f t="shared" si="108"/>
        <v>5048</v>
      </c>
      <c r="AZ256" s="13">
        <f t="shared" si="108"/>
        <v>5049</v>
      </c>
      <c r="BA256" s="13">
        <f t="shared" ref="BA256:BN267" si="109">BA$155 + numGenes*$B256</f>
        <v>5050</v>
      </c>
      <c r="BB256" s="13">
        <f t="shared" si="109"/>
        <v>5051</v>
      </c>
      <c r="BC256" s="13">
        <f t="shared" si="109"/>
        <v>5052</v>
      </c>
      <c r="BD256" s="13">
        <f t="shared" si="109"/>
        <v>5053</v>
      </c>
      <c r="BE256" s="13">
        <f t="shared" si="109"/>
        <v>5054</v>
      </c>
      <c r="BF256" s="13">
        <f t="shared" si="109"/>
        <v>5055</v>
      </c>
      <c r="BG256" s="13">
        <f t="shared" si="109"/>
        <v>5056</v>
      </c>
      <c r="BH256" s="13">
        <f t="shared" si="109"/>
        <v>5057</v>
      </c>
      <c r="BI256" s="13">
        <f t="shared" si="109"/>
        <v>5058</v>
      </c>
      <c r="BJ256" s="13">
        <f t="shared" si="109"/>
        <v>5059</v>
      </c>
      <c r="BK256" s="13">
        <f t="shared" si="109"/>
        <v>5060</v>
      </c>
      <c r="BL256" s="13">
        <f t="shared" si="109"/>
        <v>5061</v>
      </c>
      <c r="BM256" s="13">
        <f t="shared" si="109"/>
        <v>5062</v>
      </c>
      <c r="BN256" s="13">
        <f t="shared" si="109"/>
        <v>5063</v>
      </c>
    </row>
    <row r="257" spans="2:66">
      <c r="B257">
        <f t="shared" si="85"/>
        <v>101</v>
      </c>
      <c r="C257" s="13">
        <f t="shared" si="104"/>
        <v>5050</v>
      </c>
      <c r="D257" s="13">
        <f t="shared" si="104"/>
        <v>5051</v>
      </c>
      <c r="E257" s="13">
        <f t="shared" si="104"/>
        <v>5052</v>
      </c>
      <c r="F257" s="13">
        <f t="shared" si="104"/>
        <v>5053</v>
      </c>
      <c r="G257" s="13">
        <f t="shared" si="104"/>
        <v>5054</v>
      </c>
      <c r="H257" s="13">
        <f t="shared" si="104"/>
        <v>5055</v>
      </c>
      <c r="I257" s="13">
        <f t="shared" si="104"/>
        <v>5056</v>
      </c>
      <c r="J257" s="13">
        <f t="shared" si="104"/>
        <v>5057</v>
      </c>
      <c r="K257" s="13">
        <f t="shared" si="104"/>
        <v>5058</v>
      </c>
      <c r="L257" s="13">
        <f t="shared" si="104"/>
        <v>5059</v>
      </c>
      <c r="M257" s="13">
        <f t="shared" si="105"/>
        <v>5060</v>
      </c>
      <c r="N257" s="13">
        <f t="shared" si="105"/>
        <v>5061</v>
      </c>
      <c r="O257" s="13">
        <f t="shared" si="105"/>
        <v>5062</v>
      </c>
      <c r="P257" s="13">
        <f t="shared" si="105"/>
        <v>5063</v>
      </c>
      <c r="Q257" s="13">
        <f t="shared" si="105"/>
        <v>5064</v>
      </c>
      <c r="R257" s="13">
        <f t="shared" si="105"/>
        <v>5065</v>
      </c>
      <c r="S257" s="13">
        <f t="shared" si="105"/>
        <v>5066</v>
      </c>
      <c r="T257" s="13">
        <f t="shared" si="105"/>
        <v>5067</v>
      </c>
      <c r="U257" s="13">
        <f t="shared" si="105"/>
        <v>5068</v>
      </c>
      <c r="V257" s="13">
        <f t="shared" si="105"/>
        <v>5069</v>
      </c>
      <c r="W257" s="13">
        <f t="shared" si="106"/>
        <v>5070</v>
      </c>
      <c r="X257" s="13">
        <f t="shared" si="106"/>
        <v>5071</v>
      </c>
      <c r="Y257" s="13">
        <f t="shared" si="106"/>
        <v>5072</v>
      </c>
      <c r="Z257" s="13">
        <f t="shared" si="106"/>
        <v>5073</v>
      </c>
      <c r="AA257" s="13">
        <f t="shared" si="106"/>
        <v>5074</v>
      </c>
      <c r="AB257" s="13">
        <f t="shared" si="106"/>
        <v>5075</v>
      </c>
      <c r="AC257" s="13">
        <f t="shared" si="106"/>
        <v>5076</v>
      </c>
      <c r="AD257" s="13">
        <f t="shared" si="106"/>
        <v>5077</v>
      </c>
      <c r="AE257" s="13">
        <f t="shared" si="106"/>
        <v>5078</v>
      </c>
      <c r="AF257" s="13">
        <f t="shared" si="106"/>
        <v>5079</v>
      </c>
      <c r="AG257" s="13">
        <f t="shared" si="107"/>
        <v>5080</v>
      </c>
      <c r="AH257" s="13">
        <f t="shared" si="107"/>
        <v>5081</v>
      </c>
      <c r="AI257" s="13">
        <f t="shared" si="107"/>
        <v>5082</v>
      </c>
      <c r="AJ257" s="13">
        <f t="shared" si="107"/>
        <v>5083</v>
      </c>
      <c r="AK257" s="13">
        <f t="shared" si="107"/>
        <v>5084</v>
      </c>
      <c r="AL257" s="13">
        <f t="shared" si="107"/>
        <v>5085</v>
      </c>
      <c r="AM257" s="13">
        <f t="shared" si="107"/>
        <v>5086</v>
      </c>
      <c r="AN257" s="13">
        <f t="shared" si="107"/>
        <v>5087</v>
      </c>
      <c r="AO257" s="13">
        <f t="shared" si="107"/>
        <v>5088</v>
      </c>
      <c r="AP257" s="13">
        <f t="shared" si="107"/>
        <v>5089</v>
      </c>
      <c r="AQ257" s="13">
        <f t="shared" si="108"/>
        <v>5090</v>
      </c>
      <c r="AR257" s="13">
        <f t="shared" si="108"/>
        <v>5091</v>
      </c>
      <c r="AS257" s="13">
        <f t="shared" si="108"/>
        <v>5092</v>
      </c>
      <c r="AT257" s="13">
        <f t="shared" si="108"/>
        <v>5093</v>
      </c>
      <c r="AU257" s="13">
        <f t="shared" si="108"/>
        <v>5094</v>
      </c>
      <c r="AV257" s="13">
        <f t="shared" si="108"/>
        <v>5095</v>
      </c>
      <c r="AW257" s="13">
        <f t="shared" si="108"/>
        <v>5096</v>
      </c>
      <c r="AX257" s="13">
        <f t="shared" si="108"/>
        <v>5097</v>
      </c>
      <c r="AY257" s="13">
        <f t="shared" si="108"/>
        <v>5098</v>
      </c>
      <c r="AZ257" s="13">
        <f t="shared" si="108"/>
        <v>5099</v>
      </c>
      <c r="BA257" s="13">
        <f t="shared" si="109"/>
        <v>5100</v>
      </c>
      <c r="BB257" s="13">
        <f t="shared" si="109"/>
        <v>5101</v>
      </c>
      <c r="BC257" s="13">
        <f t="shared" si="109"/>
        <v>5102</v>
      </c>
      <c r="BD257" s="13">
        <f t="shared" si="109"/>
        <v>5103</v>
      </c>
      <c r="BE257" s="13">
        <f t="shared" si="109"/>
        <v>5104</v>
      </c>
      <c r="BF257" s="13">
        <f t="shared" si="109"/>
        <v>5105</v>
      </c>
      <c r="BG257" s="13">
        <f t="shared" si="109"/>
        <v>5106</v>
      </c>
      <c r="BH257" s="13">
        <f t="shared" si="109"/>
        <v>5107</v>
      </c>
      <c r="BI257" s="13">
        <f t="shared" si="109"/>
        <v>5108</v>
      </c>
      <c r="BJ257" s="13">
        <f t="shared" si="109"/>
        <v>5109</v>
      </c>
      <c r="BK257" s="13">
        <f t="shared" si="109"/>
        <v>5110</v>
      </c>
      <c r="BL257" s="13">
        <f t="shared" si="109"/>
        <v>5111</v>
      </c>
      <c r="BM257" s="13">
        <f t="shared" si="109"/>
        <v>5112</v>
      </c>
      <c r="BN257" s="13">
        <f t="shared" si="109"/>
        <v>5113</v>
      </c>
    </row>
    <row r="258" spans="2:66">
      <c r="B258">
        <f t="shared" si="85"/>
        <v>102</v>
      </c>
      <c r="C258" s="13">
        <f t="shared" si="104"/>
        <v>5100</v>
      </c>
      <c r="D258" s="13">
        <f t="shared" si="104"/>
        <v>5101</v>
      </c>
      <c r="E258" s="13">
        <f t="shared" si="104"/>
        <v>5102</v>
      </c>
      <c r="F258" s="13">
        <f t="shared" si="104"/>
        <v>5103</v>
      </c>
      <c r="G258" s="13">
        <f t="shared" si="104"/>
        <v>5104</v>
      </c>
      <c r="H258" s="13">
        <f t="shared" si="104"/>
        <v>5105</v>
      </c>
      <c r="I258" s="13">
        <f t="shared" si="104"/>
        <v>5106</v>
      </c>
      <c r="J258" s="13">
        <f t="shared" si="104"/>
        <v>5107</v>
      </c>
      <c r="K258" s="13">
        <f t="shared" si="104"/>
        <v>5108</v>
      </c>
      <c r="L258" s="13">
        <f t="shared" si="104"/>
        <v>5109</v>
      </c>
      <c r="M258" s="13">
        <f t="shared" si="105"/>
        <v>5110</v>
      </c>
      <c r="N258" s="13">
        <f t="shared" si="105"/>
        <v>5111</v>
      </c>
      <c r="O258" s="13">
        <f t="shared" si="105"/>
        <v>5112</v>
      </c>
      <c r="P258" s="13">
        <f t="shared" si="105"/>
        <v>5113</v>
      </c>
      <c r="Q258" s="13">
        <f t="shared" si="105"/>
        <v>5114</v>
      </c>
      <c r="R258" s="13">
        <f t="shared" si="105"/>
        <v>5115</v>
      </c>
      <c r="S258" s="13">
        <f t="shared" si="105"/>
        <v>5116</v>
      </c>
      <c r="T258" s="13">
        <f t="shared" si="105"/>
        <v>5117</v>
      </c>
      <c r="U258" s="13">
        <f t="shared" si="105"/>
        <v>5118</v>
      </c>
      <c r="V258" s="13">
        <f t="shared" si="105"/>
        <v>5119</v>
      </c>
      <c r="W258" s="13">
        <f t="shared" si="106"/>
        <v>5120</v>
      </c>
      <c r="X258" s="13">
        <f t="shared" si="106"/>
        <v>5121</v>
      </c>
      <c r="Y258" s="13">
        <f t="shared" si="106"/>
        <v>5122</v>
      </c>
      <c r="Z258" s="13">
        <f t="shared" si="106"/>
        <v>5123</v>
      </c>
      <c r="AA258" s="13">
        <f t="shared" si="106"/>
        <v>5124</v>
      </c>
      <c r="AB258" s="13">
        <f t="shared" si="106"/>
        <v>5125</v>
      </c>
      <c r="AC258" s="13">
        <f t="shared" si="106"/>
        <v>5126</v>
      </c>
      <c r="AD258" s="13">
        <f t="shared" si="106"/>
        <v>5127</v>
      </c>
      <c r="AE258" s="13">
        <f t="shared" si="106"/>
        <v>5128</v>
      </c>
      <c r="AF258" s="13">
        <f t="shared" si="106"/>
        <v>5129</v>
      </c>
      <c r="AG258" s="13">
        <f t="shared" si="107"/>
        <v>5130</v>
      </c>
      <c r="AH258" s="13">
        <f t="shared" si="107"/>
        <v>5131</v>
      </c>
      <c r="AI258" s="13">
        <f t="shared" si="107"/>
        <v>5132</v>
      </c>
      <c r="AJ258" s="13">
        <f t="shared" si="107"/>
        <v>5133</v>
      </c>
      <c r="AK258" s="13">
        <f t="shared" si="107"/>
        <v>5134</v>
      </c>
      <c r="AL258" s="13">
        <f t="shared" si="107"/>
        <v>5135</v>
      </c>
      <c r="AM258" s="13">
        <f t="shared" si="107"/>
        <v>5136</v>
      </c>
      <c r="AN258" s="13">
        <f t="shared" si="107"/>
        <v>5137</v>
      </c>
      <c r="AO258" s="13">
        <f t="shared" si="107"/>
        <v>5138</v>
      </c>
      <c r="AP258" s="13">
        <f t="shared" si="107"/>
        <v>5139</v>
      </c>
      <c r="AQ258" s="13">
        <f t="shared" si="108"/>
        <v>5140</v>
      </c>
      <c r="AR258" s="13">
        <f t="shared" si="108"/>
        <v>5141</v>
      </c>
      <c r="AS258" s="13">
        <f t="shared" si="108"/>
        <v>5142</v>
      </c>
      <c r="AT258" s="13">
        <f t="shared" si="108"/>
        <v>5143</v>
      </c>
      <c r="AU258" s="13">
        <f t="shared" si="108"/>
        <v>5144</v>
      </c>
      <c r="AV258" s="13">
        <f t="shared" si="108"/>
        <v>5145</v>
      </c>
      <c r="AW258" s="13">
        <f t="shared" si="108"/>
        <v>5146</v>
      </c>
      <c r="AX258" s="13">
        <f t="shared" si="108"/>
        <v>5147</v>
      </c>
      <c r="AY258" s="13">
        <f t="shared" si="108"/>
        <v>5148</v>
      </c>
      <c r="AZ258" s="13">
        <f t="shared" si="108"/>
        <v>5149</v>
      </c>
      <c r="BA258" s="13">
        <f t="shared" si="109"/>
        <v>5150</v>
      </c>
      <c r="BB258" s="13">
        <f t="shared" si="109"/>
        <v>5151</v>
      </c>
      <c r="BC258" s="13">
        <f t="shared" si="109"/>
        <v>5152</v>
      </c>
      <c r="BD258" s="13">
        <f t="shared" si="109"/>
        <v>5153</v>
      </c>
      <c r="BE258" s="13">
        <f t="shared" si="109"/>
        <v>5154</v>
      </c>
      <c r="BF258" s="13">
        <f t="shared" si="109"/>
        <v>5155</v>
      </c>
      <c r="BG258" s="13">
        <f t="shared" si="109"/>
        <v>5156</v>
      </c>
      <c r="BH258" s="13">
        <f t="shared" si="109"/>
        <v>5157</v>
      </c>
      <c r="BI258" s="13">
        <f t="shared" si="109"/>
        <v>5158</v>
      </c>
      <c r="BJ258" s="13">
        <f t="shared" si="109"/>
        <v>5159</v>
      </c>
      <c r="BK258" s="13">
        <f t="shared" si="109"/>
        <v>5160</v>
      </c>
      <c r="BL258" s="13">
        <f t="shared" si="109"/>
        <v>5161</v>
      </c>
      <c r="BM258" s="13">
        <f t="shared" si="109"/>
        <v>5162</v>
      </c>
      <c r="BN258" s="13">
        <f t="shared" si="109"/>
        <v>5163</v>
      </c>
    </row>
    <row r="259" spans="2:66">
      <c r="B259">
        <f t="shared" si="85"/>
        <v>103</v>
      </c>
      <c r="C259" s="13">
        <f t="shared" si="104"/>
        <v>5150</v>
      </c>
      <c r="D259" s="13">
        <f t="shared" si="104"/>
        <v>5151</v>
      </c>
      <c r="E259" s="13">
        <f t="shared" si="104"/>
        <v>5152</v>
      </c>
      <c r="F259" s="13">
        <f t="shared" si="104"/>
        <v>5153</v>
      </c>
      <c r="G259" s="13">
        <f t="shared" si="104"/>
        <v>5154</v>
      </c>
      <c r="H259" s="13">
        <f t="shared" si="104"/>
        <v>5155</v>
      </c>
      <c r="I259" s="13">
        <f t="shared" si="104"/>
        <v>5156</v>
      </c>
      <c r="J259" s="13">
        <f t="shared" si="104"/>
        <v>5157</v>
      </c>
      <c r="K259" s="13">
        <f t="shared" si="104"/>
        <v>5158</v>
      </c>
      <c r="L259" s="13">
        <f t="shared" si="104"/>
        <v>5159</v>
      </c>
      <c r="M259" s="13">
        <f t="shared" si="105"/>
        <v>5160</v>
      </c>
      <c r="N259" s="13">
        <f t="shared" si="105"/>
        <v>5161</v>
      </c>
      <c r="O259" s="13">
        <f t="shared" si="105"/>
        <v>5162</v>
      </c>
      <c r="P259" s="13">
        <f t="shared" si="105"/>
        <v>5163</v>
      </c>
      <c r="Q259" s="13">
        <f t="shared" si="105"/>
        <v>5164</v>
      </c>
      <c r="R259" s="13">
        <f t="shared" si="105"/>
        <v>5165</v>
      </c>
      <c r="S259" s="13">
        <f t="shared" si="105"/>
        <v>5166</v>
      </c>
      <c r="T259" s="13">
        <f t="shared" si="105"/>
        <v>5167</v>
      </c>
      <c r="U259" s="13">
        <f t="shared" si="105"/>
        <v>5168</v>
      </c>
      <c r="V259" s="13">
        <f t="shared" si="105"/>
        <v>5169</v>
      </c>
      <c r="W259" s="13">
        <f t="shared" si="106"/>
        <v>5170</v>
      </c>
      <c r="X259" s="13">
        <f t="shared" si="106"/>
        <v>5171</v>
      </c>
      <c r="Y259" s="13">
        <f t="shared" si="106"/>
        <v>5172</v>
      </c>
      <c r="Z259" s="13">
        <f t="shared" si="106"/>
        <v>5173</v>
      </c>
      <c r="AA259" s="13">
        <f t="shared" si="106"/>
        <v>5174</v>
      </c>
      <c r="AB259" s="13">
        <f t="shared" si="106"/>
        <v>5175</v>
      </c>
      <c r="AC259" s="13">
        <f t="shared" si="106"/>
        <v>5176</v>
      </c>
      <c r="AD259" s="13">
        <f t="shared" si="106"/>
        <v>5177</v>
      </c>
      <c r="AE259" s="13">
        <f t="shared" si="106"/>
        <v>5178</v>
      </c>
      <c r="AF259" s="13">
        <f t="shared" si="106"/>
        <v>5179</v>
      </c>
      <c r="AG259" s="13">
        <f t="shared" si="107"/>
        <v>5180</v>
      </c>
      <c r="AH259" s="13">
        <f t="shared" si="107"/>
        <v>5181</v>
      </c>
      <c r="AI259" s="13">
        <f t="shared" si="107"/>
        <v>5182</v>
      </c>
      <c r="AJ259" s="13">
        <f t="shared" si="107"/>
        <v>5183</v>
      </c>
      <c r="AK259" s="13">
        <f t="shared" si="107"/>
        <v>5184</v>
      </c>
      <c r="AL259" s="13">
        <f t="shared" si="107"/>
        <v>5185</v>
      </c>
      <c r="AM259" s="13">
        <f t="shared" si="107"/>
        <v>5186</v>
      </c>
      <c r="AN259" s="13">
        <f t="shared" si="107"/>
        <v>5187</v>
      </c>
      <c r="AO259" s="13">
        <f t="shared" si="107"/>
        <v>5188</v>
      </c>
      <c r="AP259" s="13">
        <f t="shared" si="107"/>
        <v>5189</v>
      </c>
      <c r="AQ259" s="13">
        <f t="shared" si="108"/>
        <v>5190</v>
      </c>
      <c r="AR259" s="13">
        <f t="shared" si="108"/>
        <v>5191</v>
      </c>
      <c r="AS259" s="13">
        <f t="shared" si="108"/>
        <v>5192</v>
      </c>
      <c r="AT259" s="13">
        <f t="shared" si="108"/>
        <v>5193</v>
      </c>
      <c r="AU259" s="13">
        <f t="shared" si="108"/>
        <v>5194</v>
      </c>
      <c r="AV259" s="13">
        <f t="shared" si="108"/>
        <v>5195</v>
      </c>
      <c r="AW259" s="13">
        <f t="shared" si="108"/>
        <v>5196</v>
      </c>
      <c r="AX259" s="13">
        <f t="shared" si="108"/>
        <v>5197</v>
      </c>
      <c r="AY259" s="13">
        <f t="shared" si="108"/>
        <v>5198</v>
      </c>
      <c r="AZ259" s="13">
        <f t="shared" si="108"/>
        <v>5199</v>
      </c>
      <c r="BA259" s="13">
        <f t="shared" si="109"/>
        <v>5200</v>
      </c>
      <c r="BB259" s="13">
        <f t="shared" si="109"/>
        <v>5201</v>
      </c>
      <c r="BC259" s="13">
        <f t="shared" si="109"/>
        <v>5202</v>
      </c>
      <c r="BD259" s="13">
        <f t="shared" si="109"/>
        <v>5203</v>
      </c>
      <c r="BE259" s="13">
        <f t="shared" si="109"/>
        <v>5204</v>
      </c>
      <c r="BF259" s="13">
        <f t="shared" si="109"/>
        <v>5205</v>
      </c>
      <c r="BG259" s="13">
        <f t="shared" si="109"/>
        <v>5206</v>
      </c>
      <c r="BH259" s="13">
        <f t="shared" si="109"/>
        <v>5207</v>
      </c>
      <c r="BI259" s="13">
        <f t="shared" si="109"/>
        <v>5208</v>
      </c>
      <c r="BJ259" s="13">
        <f t="shared" si="109"/>
        <v>5209</v>
      </c>
      <c r="BK259" s="13">
        <f t="shared" si="109"/>
        <v>5210</v>
      </c>
      <c r="BL259" s="13">
        <f t="shared" si="109"/>
        <v>5211</v>
      </c>
      <c r="BM259" s="13">
        <f t="shared" si="109"/>
        <v>5212</v>
      </c>
      <c r="BN259" s="13">
        <f t="shared" si="109"/>
        <v>5213</v>
      </c>
    </row>
    <row r="260" spans="2:66">
      <c r="B260">
        <f t="shared" si="85"/>
        <v>104</v>
      </c>
      <c r="C260" s="13">
        <f t="shared" si="104"/>
        <v>5200</v>
      </c>
      <c r="D260" s="13">
        <f t="shared" si="104"/>
        <v>5201</v>
      </c>
      <c r="E260" s="13">
        <f t="shared" si="104"/>
        <v>5202</v>
      </c>
      <c r="F260" s="13">
        <f t="shared" si="104"/>
        <v>5203</v>
      </c>
      <c r="G260" s="13">
        <f t="shared" si="104"/>
        <v>5204</v>
      </c>
      <c r="H260" s="13">
        <f t="shared" si="104"/>
        <v>5205</v>
      </c>
      <c r="I260" s="13">
        <f t="shared" si="104"/>
        <v>5206</v>
      </c>
      <c r="J260" s="13">
        <f t="shared" si="104"/>
        <v>5207</v>
      </c>
      <c r="K260" s="13">
        <f t="shared" si="104"/>
        <v>5208</v>
      </c>
      <c r="L260" s="13">
        <f t="shared" si="104"/>
        <v>5209</v>
      </c>
      <c r="M260" s="13">
        <f t="shared" si="105"/>
        <v>5210</v>
      </c>
      <c r="N260" s="13">
        <f t="shared" si="105"/>
        <v>5211</v>
      </c>
      <c r="O260" s="13">
        <f t="shared" si="105"/>
        <v>5212</v>
      </c>
      <c r="P260" s="13">
        <f t="shared" si="105"/>
        <v>5213</v>
      </c>
      <c r="Q260" s="13">
        <f t="shared" si="105"/>
        <v>5214</v>
      </c>
      <c r="R260" s="13">
        <f t="shared" si="105"/>
        <v>5215</v>
      </c>
      <c r="S260" s="13">
        <f t="shared" si="105"/>
        <v>5216</v>
      </c>
      <c r="T260" s="13">
        <f t="shared" si="105"/>
        <v>5217</v>
      </c>
      <c r="U260" s="13">
        <f t="shared" si="105"/>
        <v>5218</v>
      </c>
      <c r="V260" s="13">
        <f t="shared" si="105"/>
        <v>5219</v>
      </c>
      <c r="W260" s="13">
        <f t="shared" si="106"/>
        <v>5220</v>
      </c>
      <c r="X260" s="13">
        <f t="shared" si="106"/>
        <v>5221</v>
      </c>
      <c r="Y260" s="13">
        <f t="shared" si="106"/>
        <v>5222</v>
      </c>
      <c r="Z260" s="13">
        <f t="shared" si="106"/>
        <v>5223</v>
      </c>
      <c r="AA260" s="13">
        <f t="shared" si="106"/>
        <v>5224</v>
      </c>
      <c r="AB260" s="13">
        <f t="shared" si="106"/>
        <v>5225</v>
      </c>
      <c r="AC260" s="13">
        <f t="shared" si="106"/>
        <v>5226</v>
      </c>
      <c r="AD260" s="13">
        <f t="shared" si="106"/>
        <v>5227</v>
      </c>
      <c r="AE260" s="13">
        <f t="shared" si="106"/>
        <v>5228</v>
      </c>
      <c r="AF260" s="13">
        <f t="shared" si="106"/>
        <v>5229</v>
      </c>
      <c r="AG260" s="13">
        <f t="shared" si="107"/>
        <v>5230</v>
      </c>
      <c r="AH260" s="13">
        <f t="shared" si="107"/>
        <v>5231</v>
      </c>
      <c r="AI260" s="13">
        <f t="shared" si="107"/>
        <v>5232</v>
      </c>
      <c r="AJ260" s="13">
        <f t="shared" si="107"/>
        <v>5233</v>
      </c>
      <c r="AK260" s="13">
        <f t="shared" si="107"/>
        <v>5234</v>
      </c>
      <c r="AL260" s="13">
        <f t="shared" si="107"/>
        <v>5235</v>
      </c>
      <c r="AM260" s="13">
        <f t="shared" si="107"/>
        <v>5236</v>
      </c>
      <c r="AN260" s="13">
        <f t="shared" si="107"/>
        <v>5237</v>
      </c>
      <c r="AO260" s="13">
        <f t="shared" si="107"/>
        <v>5238</v>
      </c>
      <c r="AP260" s="13">
        <f t="shared" si="107"/>
        <v>5239</v>
      </c>
      <c r="AQ260" s="13">
        <f t="shared" si="108"/>
        <v>5240</v>
      </c>
      <c r="AR260" s="13">
        <f t="shared" si="108"/>
        <v>5241</v>
      </c>
      <c r="AS260" s="13">
        <f t="shared" si="108"/>
        <v>5242</v>
      </c>
      <c r="AT260" s="13">
        <f t="shared" si="108"/>
        <v>5243</v>
      </c>
      <c r="AU260" s="13">
        <f t="shared" si="108"/>
        <v>5244</v>
      </c>
      <c r="AV260" s="13">
        <f t="shared" si="108"/>
        <v>5245</v>
      </c>
      <c r="AW260" s="13">
        <f t="shared" si="108"/>
        <v>5246</v>
      </c>
      <c r="AX260" s="13">
        <f t="shared" si="108"/>
        <v>5247</v>
      </c>
      <c r="AY260" s="13">
        <f t="shared" si="108"/>
        <v>5248</v>
      </c>
      <c r="AZ260" s="13">
        <f t="shared" si="108"/>
        <v>5249</v>
      </c>
      <c r="BA260" s="13">
        <f t="shared" si="109"/>
        <v>5250</v>
      </c>
      <c r="BB260" s="13">
        <f t="shared" si="109"/>
        <v>5251</v>
      </c>
      <c r="BC260" s="13">
        <f t="shared" si="109"/>
        <v>5252</v>
      </c>
      <c r="BD260" s="13">
        <f t="shared" si="109"/>
        <v>5253</v>
      </c>
      <c r="BE260" s="13">
        <f t="shared" si="109"/>
        <v>5254</v>
      </c>
      <c r="BF260" s="13">
        <f t="shared" si="109"/>
        <v>5255</v>
      </c>
      <c r="BG260" s="13">
        <f t="shared" si="109"/>
        <v>5256</v>
      </c>
      <c r="BH260" s="13">
        <f t="shared" si="109"/>
        <v>5257</v>
      </c>
      <c r="BI260" s="13">
        <f t="shared" si="109"/>
        <v>5258</v>
      </c>
      <c r="BJ260" s="13">
        <f t="shared" si="109"/>
        <v>5259</v>
      </c>
      <c r="BK260" s="13">
        <f t="shared" si="109"/>
        <v>5260</v>
      </c>
      <c r="BL260" s="13">
        <f t="shared" si="109"/>
        <v>5261</v>
      </c>
      <c r="BM260" s="13">
        <f t="shared" si="109"/>
        <v>5262</v>
      </c>
      <c r="BN260" s="13">
        <f t="shared" si="109"/>
        <v>5263</v>
      </c>
    </row>
    <row r="261" spans="2:66">
      <c r="B261">
        <f t="shared" si="85"/>
        <v>105</v>
      </c>
      <c r="C261" s="13">
        <f t="shared" si="104"/>
        <v>5250</v>
      </c>
      <c r="D261" s="13">
        <f t="shared" si="104"/>
        <v>5251</v>
      </c>
      <c r="E261" s="13">
        <f t="shared" si="104"/>
        <v>5252</v>
      </c>
      <c r="F261" s="13">
        <f t="shared" si="104"/>
        <v>5253</v>
      </c>
      <c r="G261" s="13">
        <f t="shared" si="104"/>
        <v>5254</v>
      </c>
      <c r="H261" s="13">
        <f t="shared" si="104"/>
        <v>5255</v>
      </c>
      <c r="I261" s="13">
        <f t="shared" si="104"/>
        <v>5256</v>
      </c>
      <c r="J261" s="13">
        <f t="shared" si="104"/>
        <v>5257</v>
      </c>
      <c r="K261" s="13">
        <f t="shared" si="104"/>
        <v>5258</v>
      </c>
      <c r="L261" s="13">
        <f t="shared" si="104"/>
        <v>5259</v>
      </c>
      <c r="M261" s="13">
        <f t="shared" si="105"/>
        <v>5260</v>
      </c>
      <c r="N261" s="13">
        <f t="shared" si="105"/>
        <v>5261</v>
      </c>
      <c r="O261" s="13">
        <f t="shared" si="105"/>
        <v>5262</v>
      </c>
      <c r="P261" s="13">
        <f t="shared" si="105"/>
        <v>5263</v>
      </c>
      <c r="Q261" s="13">
        <f t="shared" si="105"/>
        <v>5264</v>
      </c>
      <c r="R261" s="13">
        <f t="shared" si="105"/>
        <v>5265</v>
      </c>
      <c r="S261" s="13">
        <f t="shared" si="105"/>
        <v>5266</v>
      </c>
      <c r="T261" s="13">
        <f t="shared" si="105"/>
        <v>5267</v>
      </c>
      <c r="U261" s="13">
        <f t="shared" si="105"/>
        <v>5268</v>
      </c>
      <c r="V261" s="13">
        <f t="shared" si="105"/>
        <v>5269</v>
      </c>
      <c r="W261" s="13">
        <f t="shared" si="106"/>
        <v>5270</v>
      </c>
      <c r="X261" s="13">
        <f t="shared" si="106"/>
        <v>5271</v>
      </c>
      <c r="Y261" s="13">
        <f t="shared" si="106"/>
        <v>5272</v>
      </c>
      <c r="Z261" s="13">
        <f t="shared" si="106"/>
        <v>5273</v>
      </c>
      <c r="AA261" s="13">
        <f t="shared" si="106"/>
        <v>5274</v>
      </c>
      <c r="AB261" s="13">
        <f t="shared" si="106"/>
        <v>5275</v>
      </c>
      <c r="AC261" s="13">
        <f t="shared" si="106"/>
        <v>5276</v>
      </c>
      <c r="AD261" s="13">
        <f t="shared" si="106"/>
        <v>5277</v>
      </c>
      <c r="AE261" s="13">
        <f t="shared" si="106"/>
        <v>5278</v>
      </c>
      <c r="AF261" s="13">
        <f t="shared" si="106"/>
        <v>5279</v>
      </c>
      <c r="AG261" s="13">
        <f t="shared" si="107"/>
        <v>5280</v>
      </c>
      <c r="AH261" s="13">
        <f t="shared" si="107"/>
        <v>5281</v>
      </c>
      <c r="AI261" s="13">
        <f t="shared" si="107"/>
        <v>5282</v>
      </c>
      <c r="AJ261" s="13">
        <f t="shared" si="107"/>
        <v>5283</v>
      </c>
      <c r="AK261" s="13">
        <f t="shared" si="107"/>
        <v>5284</v>
      </c>
      <c r="AL261" s="13">
        <f t="shared" si="107"/>
        <v>5285</v>
      </c>
      <c r="AM261" s="13">
        <f t="shared" si="107"/>
        <v>5286</v>
      </c>
      <c r="AN261" s="13">
        <f t="shared" si="107"/>
        <v>5287</v>
      </c>
      <c r="AO261" s="13">
        <f t="shared" si="107"/>
        <v>5288</v>
      </c>
      <c r="AP261" s="13">
        <f t="shared" si="107"/>
        <v>5289</v>
      </c>
      <c r="AQ261" s="13">
        <f t="shared" si="108"/>
        <v>5290</v>
      </c>
      <c r="AR261" s="13">
        <f t="shared" si="108"/>
        <v>5291</v>
      </c>
      <c r="AS261" s="13">
        <f t="shared" si="108"/>
        <v>5292</v>
      </c>
      <c r="AT261" s="13">
        <f t="shared" si="108"/>
        <v>5293</v>
      </c>
      <c r="AU261" s="13">
        <f t="shared" si="108"/>
        <v>5294</v>
      </c>
      <c r="AV261" s="13">
        <f t="shared" si="108"/>
        <v>5295</v>
      </c>
      <c r="AW261" s="13">
        <f t="shared" si="108"/>
        <v>5296</v>
      </c>
      <c r="AX261" s="13">
        <f t="shared" si="108"/>
        <v>5297</v>
      </c>
      <c r="AY261" s="13">
        <f t="shared" si="108"/>
        <v>5298</v>
      </c>
      <c r="AZ261" s="13">
        <f t="shared" si="108"/>
        <v>5299</v>
      </c>
      <c r="BA261" s="13">
        <f t="shared" si="109"/>
        <v>5300</v>
      </c>
      <c r="BB261" s="13">
        <f t="shared" si="109"/>
        <v>5301</v>
      </c>
      <c r="BC261" s="13">
        <f t="shared" si="109"/>
        <v>5302</v>
      </c>
      <c r="BD261" s="13">
        <f t="shared" si="109"/>
        <v>5303</v>
      </c>
      <c r="BE261" s="13">
        <f t="shared" si="109"/>
        <v>5304</v>
      </c>
      <c r="BF261" s="13">
        <f t="shared" si="109"/>
        <v>5305</v>
      </c>
      <c r="BG261" s="13">
        <f t="shared" si="109"/>
        <v>5306</v>
      </c>
      <c r="BH261" s="13">
        <f t="shared" si="109"/>
        <v>5307</v>
      </c>
      <c r="BI261" s="13">
        <f t="shared" si="109"/>
        <v>5308</v>
      </c>
      <c r="BJ261" s="13">
        <f t="shared" si="109"/>
        <v>5309</v>
      </c>
      <c r="BK261" s="13">
        <f t="shared" si="109"/>
        <v>5310</v>
      </c>
      <c r="BL261" s="13">
        <f t="shared" si="109"/>
        <v>5311</v>
      </c>
      <c r="BM261" s="13">
        <f t="shared" si="109"/>
        <v>5312</v>
      </c>
      <c r="BN261" s="13">
        <f t="shared" si="109"/>
        <v>5313</v>
      </c>
    </row>
    <row r="262" spans="2:66">
      <c r="B262">
        <f t="shared" si="85"/>
        <v>106</v>
      </c>
      <c r="C262" s="13">
        <f t="shared" si="104"/>
        <v>5300</v>
      </c>
      <c r="D262" s="13">
        <f t="shared" si="104"/>
        <v>5301</v>
      </c>
      <c r="E262" s="13">
        <f t="shared" si="104"/>
        <v>5302</v>
      </c>
      <c r="F262" s="13">
        <f t="shared" si="104"/>
        <v>5303</v>
      </c>
      <c r="G262" s="13">
        <f t="shared" si="104"/>
        <v>5304</v>
      </c>
      <c r="H262" s="13">
        <f t="shared" si="104"/>
        <v>5305</v>
      </c>
      <c r="I262" s="13">
        <f t="shared" si="104"/>
        <v>5306</v>
      </c>
      <c r="J262" s="13">
        <f t="shared" si="104"/>
        <v>5307</v>
      </c>
      <c r="K262" s="13">
        <f t="shared" si="104"/>
        <v>5308</v>
      </c>
      <c r="L262" s="13">
        <f t="shared" si="104"/>
        <v>5309</v>
      </c>
      <c r="M262" s="13">
        <f t="shared" si="105"/>
        <v>5310</v>
      </c>
      <c r="N262" s="13">
        <f t="shared" si="105"/>
        <v>5311</v>
      </c>
      <c r="O262" s="13">
        <f t="shared" si="105"/>
        <v>5312</v>
      </c>
      <c r="P262" s="13">
        <f t="shared" si="105"/>
        <v>5313</v>
      </c>
      <c r="Q262" s="13">
        <f t="shared" si="105"/>
        <v>5314</v>
      </c>
      <c r="R262" s="13">
        <f t="shared" si="105"/>
        <v>5315</v>
      </c>
      <c r="S262" s="13">
        <f t="shared" si="105"/>
        <v>5316</v>
      </c>
      <c r="T262" s="13">
        <f t="shared" si="105"/>
        <v>5317</v>
      </c>
      <c r="U262" s="13">
        <f t="shared" si="105"/>
        <v>5318</v>
      </c>
      <c r="V262" s="13">
        <f t="shared" si="105"/>
        <v>5319</v>
      </c>
      <c r="W262" s="13">
        <f t="shared" si="106"/>
        <v>5320</v>
      </c>
      <c r="X262" s="13">
        <f t="shared" si="106"/>
        <v>5321</v>
      </c>
      <c r="Y262" s="13">
        <f t="shared" si="106"/>
        <v>5322</v>
      </c>
      <c r="Z262" s="13">
        <f t="shared" si="106"/>
        <v>5323</v>
      </c>
      <c r="AA262" s="13">
        <f t="shared" si="106"/>
        <v>5324</v>
      </c>
      <c r="AB262" s="13">
        <f t="shared" si="106"/>
        <v>5325</v>
      </c>
      <c r="AC262" s="13">
        <f t="shared" si="106"/>
        <v>5326</v>
      </c>
      <c r="AD262" s="13">
        <f t="shared" si="106"/>
        <v>5327</v>
      </c>
      <c r="AE262" s="13">
        <f t="shared" si="106"/>
        <v>5328</v>
      </c>
      <c r="AF262" s="13">
        <f t="shared" si="106"/>
        <v>5329</v>
      </c>
      <c r="AG262" s="13">
        <f t="shared" si="107"/>
        <v>5330</v>
      </c>
      <c r="AH262" s="13">
        <f t="shared" si="107"/>
        <v>5331</v>
      </c>
      <c r="AI262" s="13">
        <f t="shared" si="107"/>
        <v>5332</v>
      </c>
      <c r="AJ262" s="13">
        <f t="shared" si="107"/>
        <v>5333</v>
      </c>
      <c r="AK262" s="13">
        <f t="shared" si="107"/>
        <v>5334</v>
      </c>
      <c r="AL262" s="13">
        <f t="shared" si="107"/>
        <v>5335</v>
      </c>
      <c r="AM262" s="13">
        <f t="shared" si="107"/>
        <v>5336</v>
      </c>
      <c r="AN262" s="13">
        <f t="shared" si="107"/>
        <v>5337</v>
      </c>
      <c r="AO262" s="13">
        <f t="shared" si="107"/>
        <v>5338</v>
      </c>
      <c r="AP262" s="13">
        <f t="shared" si="107"/>
        <v>5339</v>
      </c>
      <c r="AQ262" s="13">
        <f t="shared" si="108"/>
        <v>5340</v>
      </c>
      <c r="AR262" s="13">
        <f t="shared" si="108"/>
        <v>5341</v>
      </c>
      <c r="AS262" s="13">
        <f t="shared" si="108"/>
        <v>5342</v>
      </c>
      <c r="AT262" s="13">
        <f t="shared" si="108"/>
        <v>5343</v>
      </c>
      <c r="AU262" s="13">
        <f t="shared" si="108"/>
        <v>5344</v>
      </c>
      <c r="AV262" s="13">
        <f t="shared" si="108"/>
        <v>5345</v>
      </c>
      <c r="AW262" s="13">
        <f t="shared" si="108"/>
        <v>5346</v>
      </c>
      <c r="AX262" s="13">
        <f t="shared" si="108"/>
        <v>5347</v>
      </c>
      <c r="AY262" s="13">
        <f t="shared" si="108"/>
        <v>5348</v>
      </c>
      <c r="AZ262" s="13">
        <f t="shared" si="108"/>
        <v>5349</v>
      </c>
      <c r="BA262" s="13">
        <f t="shared" si="109"/>
        <v>5350</v>
      </c>
      <c r="BB262" s="13">
        <f t="shared" si="109"/>
        <v>5351</v>
      </c>
      <c r="BC262" s="13">
        <f t="shared" si="109"/>
        <v>5352</v>
      </c>
      <c r="BD262" s="13">
        <f t="shared" si="109"/>
        <v>5353</v>
      </c>
      <c r="BE262" s="13">
        <f t="shared" si="109"/>
        <v>5354</v>
      </c>
      <c r="BF262" s="13">
        <f t="shared" si="109"/>
        <v>5355</v>
      </c>
      <c r="BG262" s="13">
        <f t="shared" si="109"/>
        <v>5356</v>
      </c>
      <c r="BH262" s="13">
        <f t="shared" si="109"/>
        <v>5357</v>
      </c>
      <c r="BI262" s="13">
        <f t="shared" si="109"/>
        <v>5358</v>
      </c>
      <c r="BJ262" s="13">
        <f t="shared" si="109"/>
        <v>5359</v>
      </c>
      <c r="BK262" s="13">
        <f t="shared" si="109"/>
        <v>5360</v>
      </c>
      <c r="BL262" s="13">
        <f t="shared" si="109"/>
        <v>5361</v>
      </c>
      <c r="BM262" s="13">
        <f t="shared" si="109"/>
        <v>5362</v>
      </c>
      <c r="BN262" s="13">
        <f t="shared" si="109"/>
        <v>5363</v>
      </c>
    </row>
    <row r="263" spans="2:66">
      <c r="B263">
        <f t="shared" si="85"/>
        <v>107</v>
      </c>
      <c r="C263" s="13">
        <f t="shared" si="104"/>
        <v>5350</v>
      </c>
      <c r="D263" s="13">
        <f t="shared" si="104"/>
        <v>5351</v>
      </c>
      <c r="E263" s="13">
        <f t="shared" si="104"/>
        <v>5352</v>
      </c>
      <c r="F263" s="13">
        <f t="shared" si="104"/>
        <v>5353</v>
      </c>
      <c r="G263" s="13">
        <f t="shared" si="104"/>
        <v>5354</v>
      </c>
      <c r="H263" s="13">
        <f t="shared" si="104"/>
        <v>5355</v>
      </c>
      <c r="I263" s="13">
        <f t="shared" si="104"/>
        <v>5356</v>
      </c>
      <c r="J263" s="13">
        <f t="shared" si="104"/>
        <v>5357</v>
      </c>
      <c r="K263" s="13">
        <f t="shared" si="104"/>
        <v>5358</v>
      </c>
      <c r="L263" s="13">
        <f t="shared" si="104"/>
        <v>5359</v>
      </c>
      <c r="M263" s="13">
        <f t="shared" si="105"/>
        <v>5360</v>
      </c>
      <c r="N263" s="13">
        <f t="shared" si="105"/>
        <v>5361</v>
      </c>
      <c r="O263" s="13">
        <f t="shared" si="105"/>
        <v>5362</v>
      </c>
      <c r="P263" s="13">
        <f t="shared" si="105"/>
        <v>5363</v>
      </c>
      <c r="Q263" s="13">
        <f t="shared" si="105"/>
        <v>5364</v>
      </c>
      <c r="R263" s="13">
        <f t="shared" si="105"/>
        <v>5365</v>
      </c>
      <c r="S263" s="13">
        <f t="shared" si="105"/>
        <v>5366</v>
      </c>
      <c r="T263" s="13">
        <f t="shared" si="105"/>
        <v>5367</v>
      </c>
      <c r="U263" s="13">
        <f t="shared" si="105"/>
        <v>5368</v>
      </c>
      <c r="V263" s="13">
        <f t="shared" si="105"/>
        <v>5369</v>
      </c>
      <c r="W263" s="13">
        <f t="shared" si="106"/>
        <v>5370</v>
      </c>
      <c r="X263" s="13">
        <f t="shared" si="106"/>
        <v>5371</v>
      </c>
      <c r="Y263" s="13">
        <f t="shared" si="106"/>
        <v>5372</v>
      </c>
      <c r="Z263" s="13">
        <f t="shared" si="106"/>
        <v>5373</v>
      </c>
      <c r="AA263" s="13">
        <f t="shared" si="106"/>
        <v>5374</v>
      </c>
      <c r="AB263" s="13">
        <f t="shared" si="106"/>
        <v>5375</v>
      </c>
      <c r="AC263" s="13">
        <f t="shared" si="106"/>
        <v>5376</v>
      </c>
      <c r="AD263" s="13">
        <f t="shared" si="106"/>
        <v>5377</v>
      </c>
      <c r="AE263" s="13">
        <f t="shared" si="106"/>
        <v>5378</v>
      </c>
      <c r="AF263" s="13">
        <f t="shared" si="106"/>
        <v>5379</v>
      </c>
      <c r="AG263" s="13">
        <f t="shared" si="107"/>
        <v>5380</v>
      </c>
      <c r="AH263" s="13">
        <f t="shared" si="107"/>
        <v>5381</v>
      </c>
      <c r="AI263" s="13">
        <f t="shared" si="107"/>
        <v>5382</v>
      </c>
      <c r="AJ263" s="13">
        <f t="shared" si="107"/>
        <v>5383</v>
      </c>
      <c r="AK263" s="13">
        <f t="shared" si="107"/>
        <v>5384</v>
      </c>
      <c r="AL263" s="13">
        <f t="shared" si="107"/>
        <v>5385</v>
      </c>
      <c r="AM263" s="13">
        <f t="shared" si="107"/>
        <v>5386</v>
      </c>
      <c r="AN263" s="13">
        <f t="shared" si="107"/>
        <v>5387</v>
      </c>
      <c r="AO263" s="13">
        <f t="shared" si="107"/>
        <v>5388</v>
      </c>
      <c r="AP263" s="13">
        <f t="shared" si="107"/>
        <v>5389</v>
      </c>
      <c r="AQ263" s="13">
        <f t="shared" si="108"/>
        <v>5390</v>
      </c>
      <c r="AR263" s="13">
        <f t="shared" si="108"/>
        <v>5391</v>
      </c>
      <c r="AS263" s="13">
        <f t="shared" si="108"/>
        <v>5392</v>
      </c>
      <c r="AT263" s="13">
        <f t="shared" si="108"/>
        <v>5393</v>
      </c>
      <c r="AU263" s="13">
        <f t="shared" si="108"/>
        <v>5394</v>
      </c>
      <c r="AV263" s="13">
        <f t="shared" si="108"/>
        <v>5395</v>
      </c>
      <c r="AW263" s="13">
        <f t="shared" si="108"/>
        <v>5396</v>
      </c>
      <c r="AX263" s="13">
        <f t="shared" si="108"/>
        <v>5397</v>
      </c>
      <c r="AY263" s="13">
        <f t="shared" si="108"/>
        <v>5398</v>
      </c>
      <c r="AZ263" s="13">
        <f t="shared" si="108"/>
        <v>5399</v>
      </c>
      <c r="BA263" s="13">
        <f t="shared" si="109"/>
        <v>5400</v>
      </c>
      <c r="BB263" s="13">
        <f t="shared" si="109"/>
        <v>5401</v>
      </c>
      <c r="BC263" s="13">
        <f t="shared" si="109"/>
        <v>5402</v>
      </c>
      <c r="BD263" s="13">
        <f t="shared" si="109"/>
        <v>5403</v>
      </c>
      <c r="BE263" s="13">
        <f t="shared" si="109"/>
        <v>5404</v>
      </c>
      <c r="BF263" s="13">
        <f t="shared" si="109"/>
        <v>5405</v>
      </c>
      <c r="BG263" s="13">
        <f t="shared" si="109"/>
        <v>5406</v>
      </c>
      <c r="BH263" s="13">
        <f t="shared" si="109"/>
        <v>5407</v>
      </c>
      <c r="BI263" s="13">
        <f t="shared" si="109"/>
        <v>5408</v>
      </c>
      <c r="BJ263" s="13">
        <f t="shared" si="109"/>
        <v>5409</v>
      </c>
      <c r="BK263" s="13">
        <f t="shared" si="109"/>
        <v>5410</v>
      </c>
      <c r="BL263" s="13">
        <f t="shared" si="109"/>
        <v>5411</v>
      </c>
      <c r="BM263" s="13">
        <f t="shared" si="109"/>
        <v>5412</v>
      </c>
      <c r="BN263" s="13">
        <f t="shared" si="109"/>
        <v>5413</v>
      </c>
    </row>
    <row r="264" spans="2:66">
      <c r="B264">
        <f t="shared" si="85"/>
        <v>108</v>
      </c>
      <c r="C264" s="13">
        <f t="shared" si="104"/>
        <v>5400</v>
      </c>
      <c r="D264" s="13">
        <f t="shared" si="104"/>
        <v>5401</v>
      </c>
      <c r="E264" s="13">
        <f t="shared" si="104"/>
        <v>5402</v>
      </c>
      <c r="F264" s="13">
        <f t="shared" si="104"/>
        <v>5403</v>
      </c>
      <c r="G264" s="13">
        <f t="shared" si="104"/>
        <v>5404</v>
      </c>
      <c r="H264" s="13">
        <f t="shared" si="104"/>
        <v>5405</v>
      </c>
      <c r="I264" s="13">
        <f t="shared" si="104"/>
        <v>5406</v>
      </c>
      <c r="J264" s="13">
        <f t="shared" si="104"/>
        <v>5407</v>
      </c>
      <c r="K264" s="13">
        <f t="shared" si="104"/>
        <v>5408</v>
      </c>
      <c r="L264" s="13">
        <f t="shared" si="104"/>
        <v>5409</v>
      </c>
      <c r="M264" s="13">
        <f t="shared" si="105"/>
        <v>5410</v>
      </c>
      <c r="N264" s="13">
        <f t="shared" si="105"/>
        <v>5411</v>
      </c>
      <c r="O264" s="13">
        <f t="shared" si="105"/>
        <v>5412</v>
      </c>
      <c r="P264" s="13">
        <f t="shared" si="105"/>
        <v>5413</v>
      </c>
      <c r="Q264" s="13">
        <f t="shared" si="105"/>
        <v>5414</v>
      </c>
      <c r="R264" s="13">
        <f t="shared" si="105"/>
        <v>5415</v>
      </c>
      <c r="S264" s="13">
        <f t="shared" si="105"/>
        <v>5416</v>
      </c>
      <c r="T264" s="13">
        <f t="shared" si="105"/>
        <v>5417</v>
      </c>
      <c r="U264" s="13">
        <f t="shared" si="105"/>
        <v>5418</v>
      </c>
      <c r="V264" s="13">
        <f t="shared" si="105"/>
        <v>5419</v>
      </c>
      <c r="W264" s="13">
        <f t="shared" si="106"/>
        <v>5420</v>
      </c>
      <c r="X264" s="13">
        <f t="shared" si="106"/>
        <v>5421</v>
      </c>
      <c r="Y264" s="13">
        <f t="shared" si="106"/>
        <v>5422</v>
      </c>
      <c r="Z264" s="13">
        <f t="shared" si="106"/>
        <v>5423</v>
      </c>
      <c r="AA264" s="13">
        <f t="shared" si="106"/>
        <v>5424</v>
      </c>
      <c r="AB264" s="13">
        <f t="shared" si="106"/>
        <v>5425</v>
      </c>
      <c r="AC264" s="13">
        <f t="shared" si="106"/>
        <v>5426</v>
      </c>
      <c r="AD264" s="13">
        <f t="shared" si="106"/>
        <v>5427</v>
      </c>
      <c r="AE264" s="13">
        <f t="shared" si="106"/>
        <v>5428</v>
      </c>
      <c r="AF264" s="13">
        <f t="shared" si="106"/>
        <v>5429</v>
      </c>
      <c r="AG264" s="13">
        <f t="shared" si="107"/>
        <v>5430</v>
      </c>
      <c r="AH264" s="13">
        <f t="shared" si="107"/>
        <v>5431</v>
      </c>
      <c r="AI264" s="13">
        <f t="shared" si="107"/>
        <v>5432</v>
      </c>
      <c r="AJ264" s="13">
        <f t="shared" si="107"/>
        <v>5433</v>
      </c>
      <c r="AK264" s="13">
        <f t="shared" si="107"/>
        <v>5434</v>
      </c>
      <c r="AL264" s="13">
        <f t="shared" si="107"/>
        <v>5435</v>
      </c>
      <c r="AM264" s="13">
        <f t="shared" si="107"/>
        <v>5436</v>
      </c>
      <c r="AN264" s="13">
        <f t="shared" si="107"/>
        <v>5437</v>
      </c>
      <c r="AO264" s="13">
        <f t="shared" si="107"/>
        <v>5438</v>
      </c>
      <c r="AP264" s="13">
        <f t="shared" si="107"/>
        <v>5439</v>
      </c>
      <c r="AQ264" s="13">
        <f t="shared" si="108"/>
        <v>5440</v>
      </c>
      <c r="AR264" s="13">
        <f t="shared" si="108"/>
        <v>5441</v>
      </c>
      <c r="AS264" s="13">
        <f t="shared" si="108"/>
        <v>5442</v>
      </c>
      <c r="AT264" s="13">
        <f t="shared" si="108"/>
        <v>5443</v>
      </c>
      <c r="AU264" s="13">
        <f t="shared" si="108"/>
        <v>5444</v>
      </c>
      <c r="AV264" s="13">
        <f t="shared" si="108"/>
        <v>5445</v>
      </c>
      <c r="AW264" s="13">
        <f t="shared" si="108"/>
        <v>5446</v>
      </c>
      <c r="AX264" s="13">
        <f t="shared" si="108"/>
        <v>5447</v>
      </c>
      <c r="AY264" s="13">
        <f t="shared" si="108"/>
        <v>5448</v>
      </c>
      <c r="AZ264" s="13">
        <f t="shared" si="108"/>
        <v>5449</v>
      </c>
      <c r="BA264" s="13">
        <f t="shared" si="109"/>
        <v>5450</v>
      </c>
      <c r="BB264" s="13">
        <f t="shared" si="109"/>
        <v>5451</v>
      </c>
      <c r="BC264" s="13">
        <f t="shared" si="109"/>
        <v>5452</v>
      </c>
      <c r="BD264" s="13">
        <f t="shared" si="109"/>
        <v>5453</v>
      </c>
      <c r="BE264" s="13">
        <f t="shared" si="109"/>
        <v>5454</v>
      </c>
      <c r="BF264" s="13">
        <f t="shared" si="109"/>
        <v>5455</v>
      </c>
      <c r="BG264" s="13">
        <f t="shared" si="109"/>
        <v>5456</v>
      </c>
      <c r="BH264" s="13">
        <f t="shared" si="109"/>
        <v>5457</v>
      </c>
      <c r="BI264" s="13">
        <f t="shared" si="109"/>
        <v>5458</v>
      </c>
      <c r="BJ264" s="13">
        <f t="shared" si="109"/>
        <v>5459</v>
      </c>
      <c r="BK264" s="13">
        <f t="shared" si="109"/>
        <v>5460</v>
      </c>
      <c r="BL264" s="13">
        <f t="shared" si="109"/>
        <v>5461</v>
      </c>
      <c r="BM264" s="13">
        <f t="shared" si="109"/>
        <v>5462</v>
      </c>
      <c r="BN264" s="13">
        <f t="shared" si="109"/>
        <v>5463</v>
      </c>
    </row>
    <row r="265" spans="2:66">
      <c r="B265">
        <f t="shared" si="85"/>
        <v>109</v>
      </c>
      <c r="C265" s="13">
        <f t="shared" si="104"/>
        <v>5450</v>
      </c>
      <c r="D265" s="13">
        <f t="shared" si="104"/>
        <v>5451</v>
      </c>
      <c r="E265" s="13">
        <f t="shared" si="104"/>
        <v>5452</v>
      </c>
      <c r="F265" s="13">
        <f t="shared" si="104"/>
        <v>5453</v>
      </c>
      <c r="G265" s="13">
        <f t="shared" si="104"/>
        <v>5454</v>
      </c>
      <c r="H265" s="13">
        <f t="shared" si="104"/>
        <v>5455</v>
      </c>
      <c r="I265" s="13">
        <f t="shared" si="104"/>
        <v>5456</v>
      </c>
      <c r="J265" s="13">
        <f t="shared" si="104"/>
        <v>5457</v>
      </c>
      <c r="K265" s="13">
        <f t="shared" si="104"/>
        <v>5458</v>
      </c>
      <c r="L265" s="13">
        <f t="shared" si="104"/>
        <v>5459</v>
      </c>
      <c r="M265" s="13">
        <f t="shared" si="105"/>
        <v>5460</v>
      </c>
      <c r="N265" s="13">
        <f t="shared" si="105"/>
        <v>5461</v>
      </c>
      <c r="O265" s="13">
        <f t="shared" si="105"/>
        <v>5462</v>
      </c>
      <c r="P265" s="13">
        <f t="shared" si="105"/>
        <v>5463</v>
      </c>
      <c r="Q265" s="13">
        <f t="shared" si="105"/>
        <v>5464</v>
      </c>
      <c r="R265" s="13">
        <f t="shared" si="105"/>
        <v>5465</v>
      </c>
      <c r="S265" s="13">
        <f t="shared" si="105"/>
        <v>5466</v>
      </c>
      <c r="T265" s="13">
        <f t="shared" si="105"/>
        <v>5467</v>
      </c>
      <c r="U265" s="13">
        <f t="shared" si="105"/>
        <v>5468</v>
      </c>
      <c r="V265" s="13">
        <f t="shared" si="105"/>
        <v>5469</v>
      </c>
      <c r="W265" s="13">
        <f t="shared" si="106"/>
        <v>5470</v>
      </c>
      <c r="X265" s="13">
        <f t="shared" si="106"/>
        <v>5471</v>
      </c>
      <c r="Y265" s="13">
        <f t="shared" si="106"/>
        <v>5472</v>
      </c>
      <c r="Z265" s="13">
        <f t="shared" si="106"/>
        <v>5473</v>
      </c>
      <c r="AA265" s="13">
        <f t="shared" si="106"/>
        <v>5474</v>
      </c>
      <c r="AB265" s="13">
        <f t="shared" si="106"/>
        <v>5475</v>
      </c>
      <c r="AC265" s="13">
        <f t="shared" si="106"/>
        <v>5476</v>
      </c>
      <c r="AD265" s="13">
        <f t="shared" si="106"/>
        <v>5477</v>
      </c>
      <c r="AE265" s="13">
        <f t="shared" si="106"/>
        <v>5478</v>
      </c>
      <c r="AF265" s="13">
        <f t="shared" si="106"/>
        <v>5479</v>
      </c>
      <c r="AG265" s="13">
        <f t="shared" si="107"/>
        <v>5480</v>
      </c>
      <c r="AH265" s="13">
        <f t="shared" si="107"/>
        <v>5481</v>
      </c>
      <c r="AI265" s="13">
        <f t="shared" si="107"/>
        <v>5482</v>
      </c>
      <c r="AJ265" s="13">
        <f t="shared" si="107"/>
        <v>5483</v>
      </c>
      <c r="AK265" s="13">
        <f t="shared" si="107"/>
        <v>5484</v>
      </c>
      <c r="AL265" s="13">
        <f t="shared" si="107"/>
        <v>5485</v>
      </c>
      <c r="AM265" s="13">
        <f t="shared" si="107"/>
        <v>5486</v>
      </c>
      <c r="AN265" s="13">
        <f t="shared" si="107"/>
        <v>5487</v>
      </c>
      <c r="AO265" s="13">
        <f t="shared" si="107"/>
        <v>5488</v>
      </c>
      <c r="AP265" s="13">
        <f t="shared" si="107"/>
        <v>5489</v>
      </c>
      <c r="AQ265" s="13">
        <f t="shared" si="108"/>
        <v>5490</v>
      </c>
      <c r="AR265" s="13">
        <f t="shared" si="108"/>
        <v>5491</v>
      </c>
      <c r="AS265" s="13">
        <f t="shared" si="108"/>
        <v>5492</v>
      </c>
      <c r="AT265" s="13">
        <f t="shared" si="108"/>
        <v>5493</v>
      </c>
      <c r="AU265" s="13">
        <f t="shared" si="108"/>
        <v>5494</v>
      </c>
      <c r="AV265" s="13">
        <f t="shared" si="108"/>
        <v>5495</v>
      </c>
      <c r="AW265" s="13">
        <f t="shared" si="108"/>
        <v>5496</v>
      </c>
      <c r="AX265" s="13">
        <f t="shared" si="108"/>
        <v>5497</v>
      </c>
      <c r="AY265" s="13">
        <f t="shared" si="108"/>
        <v>5498</v>
      </c>
      <c r="AZ265" s="13">
        <f t="shared" si="108"/>
        <v>5499</v>
      </c>
      <c r="BA265" s="13">
        <f t="shared" si="109"/>
        <v>5500</v>
      </c>
      <c r="BB265" s="13">
        <f t="shared" si="109"/>
        <v>5501</v>
      </c>
      <c r="BC265" s="13">
        <f t="shared" si="109"/>
        <v>5502</v>
      </c>
      <c r="BD265" s="13">
        <f t="shared" si="109"/>
        <v>5503</v>
      </c>
      <c r="BE265" s="13">
        <f t="shared" si="109"/>
        <v>5504</v>
      </c>
      <c r="BF265" s="13">
        <f t="shared" si="109"/>
        <v>5505</v>
      </c>
      <c r="BG265" s="13">
        <f t="shared" si="109"/>
        <v>5506</v>
      </c>
      <c r="BH265" s="13">
        <f t="shared" si="109"/>
        <v>5507</v>
      </c>
      <c r="BI265" s="13">
        <f t="shared" si="109"/>
        <v>5508</v>
      </c>
      <c r="BJ265" s="13">
        <f t="shared" si="109"/>
        <v>5509</v>
      </c>
      <c r="BK265" s="13">
        <f t="shared" si="109"/>
        <v>5510</v>
      </c>
      <c r="BL265" s="13">
        <f t="shared" si="109"/>
        <v>5511</v>
      </c>
      <c r="BM265" s="13">
        <f t="shared" si="109"/>
        <v>5512</v>
      </c>
      <c r="BN265" s="13">
        <f t="shared" si="109"/>
        <v>5513</v>
      </c>
    </row>
    <row r="266" spans="2:66">
      <c r="B266">
        <f t="shared" si="85"/>
        <v>110</v>
      </c>
      <c r="C266" s="13">
        <f t="shared" si="104"/>
        <v>5500</v>
      </c>
      <c r="D266" s="13">
        <f t="shared" si="104"/>
        <v>5501</v>
      </c>
      <c r="E266" s="13">
        <f t="shared" si="104"/>
        <v>5502</v>
      </c>
      <c r="F266" s="13">
        <f t="shared" si="104"/>
        <v>5503</v>
      </c>
      <c r="G266" s="13">
        <f t="shared" si="104"/>
        <v>5504</v>
      </c>
      <c r="H266" s="13">
        <f t="shared" si="104"/>
        <v>5505</v>
      </c>
      <c r="I266" s="13">
        <f t="shared" si="104"/>
        <v>5506</v>
      </c>
      <c r="J266" s="13">
        <f t="shared" si="104"/>
        <v>5507</v>
      </c>
      <c r="K266" s="13">
        <f t="shared" si="104"/>
        <v>5508</v>
      </c>
      <c r="L266" s="13">
        <f t="shared" si="104"/>
        <v>5509</v>
      </c>
      <c r="M266" s="13">
        <f t="shared" si="105"/>
        <v>5510</v>
      </c>
      <c r="N266" s="13">
        <f t="shared" si="105"/>
        <v>5511</v>
      </c>
      <c r="O266" s="13">
        <f t="shared" si="105"/>
        <v>5512</v>
      </c>
      <c r="P266" s="13">
        <f t="shared" si="105"/>
        <v>5513</v>
      </c>
      <c r="Q266" s="13">
        <f t="shared" si="105"/>
        <v>5514</v>
      </c>
      <c r="R266" s="13">
        <f t="shared" si="105"/>
        <v>5515</v>
      </c>
      <c r="S266" s="13">
        <f t="shared" si="105"/>
        <v>5516</v>
      </c>
      <c r="T266" s="13">
        <f t="shared" si="105"/>
        <v>5517</v>
      </c>
      <c r="U266" s="13">
        <f t="shared" si="105"/>
        <v>5518</v>
      </c>
      <c r="V266" s="13">
        <f t="shared" si="105"/>
        <v>5519</v>
      </c>
      <c r="W266" s="13">
        <f t="shared" si="106"/>
        <v>5520</v>
      </c>
      <c r="X266" s="13">
        <f t="shared" si="106"/>
        <v>5521</v>
      </c>
      <c r="Y266" s="13">
        <f t="shared" si="106"/>
        <v>5522</v>
      </c>
      <c r="Z266" s="13">
        <f t="shared" si="106"/>
        <v>5523</v>
      </c>
      <c r="AA266" s="13">
        <f t="shared" si="106"/>
        <v>5524</v>
      </c>
      <c r="AB266" s="13">
        <f t="shared" si="106"/>
        <v>5525</v>
      </c>
      <c r="AC266" s="13">
        <f t="shared" si="106"/>
        <v>5526</v>
      </c>
      <c r="AD266" s="13">
        <f t="shared" si="106"/>
        <v>5527</v>
      </c>
      <c r="AE266" s="13">
        <f t="shared" si="106"/>
        <v>5528</v>
      </c>
      <c r="AF266" s="13">
        <f t="shared" si="106"/>
        <v>5529</v>
      </c>
      <c r="AG266" s="13">
        <f t="shared" si="107"/>
        <v>5530</v>
      </c>
      <c r="AH266" s="13">
        <f t="shared" si="107"/>
        <v>5531</v>
      </c>
      <c r="AI266" s="13">
        <f t="shared" si="107"/>
        <v>5532</v>
      </c>
      <c r="AJ266" s="13">
        <f t="shared" si="107"/>
        <v>5533</v>
      </c>
      <c r="AK266" s="13">
        <f t="shared" si="107"/>
        <v>5534</v>
      </c>
      <c r="AL266" s="13">
        <f t="shared" si="107"/>
        <v>5535</v>
      </c>
      <c r="AM266" s="13">
        <f t="shared" si="107"/>
        <v>5536</v>
      </c>
      <c r="AN266" s="13">
        <f t="shared" si="107"/>
        <v>5537</v>
      </c>
      <c r="AO266" s="13">
        <f t="shared" si="107"/>
        <v>5538</v>
      </c>
      <c r="AP266" s="13">
        <f t="shared" si="107"/>
        <v>5539</v>
      </c>
      <c r="AQ266" s="13">
        <f t="shared" si="108"/>
        <v>5540</v>
      </c>
      <c r="AR266" s="13">
        <f t="shared" si="108"/>
        <v>5541</v>
      </c>
      <c r="AS266" s="13">
        <f t="shared" si="108"/>
        <v>5542</v>
      </c>
      <c r="AT266" s="13">
        <f t="shared" si="108"/>
        <v>5543</v>
      </c>
      <c r="AU266" s="13">
        <f t="shared" si="108"/>
        <v>5544</v>
      </c>
      <c r="AV266" s="13">
        <f t="shared" si="108"/>
        <v>5545</v>
      </c>
      <c r="AW266" s="13">
        <f t="shared" si="108"/>
        <v>5546</v>
      </c>
      <c r="AX266" s="13">
        <f t="shared" si="108"/>
        <v>5547</v>
      </c>
      <c r="AY266" s="13">
        <f t="shared" si="108"/>
        <v>5548</v>
      </c>
      <c r="AZ266" s="13">
        <f t="shared" si="108"/>
        <v>5549</v>
      </c>
      <c r="BA266" s="13">
        <f t="shared" si="109"/>
        <v>5550</v>
      </c>
      <c r="BB266" s="13">
        <f t="shared" si="109"/>
        <v>5551</v>
      </c>
      <c r="BC266" s="13">
        <f t="shared" si="109"/>
        <v>5552</v>
      </c>
      <c r="BD266" s="13">
        <f t="shared" si="109"/>
        <v>5553</v>
      </c>
      <c r="BE266" s="13">
        <f t="shared" si="109"/>
        <v>5554</v>
      </c>
      <c r="BF266" s="13">
        <f t="shared" si="109"/>
        <v>5555</v>
      </c>
      <c r="BG266" s="13">
        <f t="shared" si="109"/>
        <v>5556</v>
      </c>
      <c r="BH266" s="13">
        <f t="shared" si="109"/>
        <v>5557</v>
      </c>
      <c r="BI266" s="13">
        <f t="shared" si="109"/>
        <v>5558</v>
      </c>
      <c r="BJ266" s="13">
        <f t="shared" si="109"/>
        <v>5559</v>
      </c>
      <c r="BK266" s="13">
        <f t="shared" si="109"/>
        <v>5560</v>
      </c>
      <c r="BL266" s="13">
        <f t="shared" si="109"/>
        <v>5561</v>
      </c>
      <c r="BM266" s="13">
        <f t="shared" si="109"/>
        <v>5562</v>
      </c>
      <c r="BN266" s="13">
        <f t="shared" si="109"/>
        <v>5563</v>
      </c>
    </row>
    <row r="267" spans="2:66">
      <c r="B267">
        <f t="shared" si="85"/>
        <v>111</v>
      </c>
      <c r="C267" s="13">
        <f t="shared" si="104"/>
        <v>5550</v>
      </c>
      <c r="D267" s="13">
        <f t="shared" si="104"/>
        <v>5551</v>
      </c>
      <c r="E267" s="13">
        <f t="shared" si="104"/>
        <v>5552</v>
      </c>
      <c r="F267" s="13">
        <f t="shared" si="104"/>
        <v>5553</v>
      </c>
      <c r="G267" s="13">
        <f t="shared" si="104"/>
        <v>5554</v>
      </c>
      <c r="H267" s="13">
        <f t="shared" si="104"/>
        <v>5555</v>
      </c>
      <c r="I267" s="13">
        <f t="shared" si="104"/>
        <v>5556</v>
      </c>
      <c r="J267" s="13">
        <f t="shared" si="104"/>
        <v>5557</v>
      </c>
      <c r="K267" s="13">
        <f t="shared" si="104"/>
        <v>5558</v>
      </c>
      <c r="L267" s="13">
        <f t="shared" si="104"/>
        <v>5559</v>
      </c>
      <c r="M267" s="13">
        <f t="shared" si="105"/>
        <v>5560</v>
      </c>
      <c r="N267" s="13">
        <f t="shared" si="105"/>
        <v>5561</v>
      </c>
      <c r="O267" s="13">
        <f t="shared" si="105"/>
        <v>5562</v>
      </c>
      <c r="P267" s="13">
        <f t="shared" si="105"/>
        <v>5563</v>
      </c>
      <c r="Q267" s="13">
        <f t="shared" si="105"/>
        <v>5564</v>
      </c>
      <c r="R267" s="13">
        <f t="shared" si="105"/>
        <v>5565</v>
      </c>
      <c r="S267" s="13">
        <f t="shared" si="105"/>
        <v>5566</v>
      </c>
      <c r="T267" s="13">
        <f t="shared" si="105"/>
        <v>5567</v>
      </c>
      <c r="U267" s="13">
        <f t="shared" si="105"/>
        <v>5568</v>
      </c>
      <c r="V267" s="13">
        <f t="shared" si="105"/>
        <v>5569</v>
      </c>
      <c r="W267" s="13">
        <f t="shared" si="106"/>
        <v>5570</v>
      </c>
      <c r="X267" s="13">
        <f t="shared" si="106"/>
        <v>5571</v>
      </c>
      <c r="Y267" s="13">
        <f t="shared" si="106"/>
        <v>5572</v>
      </c>
      <c r="Z267" s="13">
        <f t="shared" si="106"/>
        <v>5573</v>
      </c>
      <c r="AA267" s="13">
        <f t="shared" si="106"/>
        <v>5574</v>
      </c>
      <c r="AB267" s="13">
        <f t="shared" si="106"/>
        <v>5575</v>
      </c>
      <c r="AC267" s="13">
        <f t="shared" si="106"/>
        <v>5576</v>
      </c>
      <c r="AD267" s="13">
        <f t="shared" si="106"/>
        <v>5577</v>
      </c>
      <c r="AE267" s="13">
        <f t="shared" si="106"/>
        <v>5578</v>
      </c>
      <c r="AF267" s="13">
        <f t="shared" si="106"/>
        <v>5579</v>
      </c>
      <c r="AG267" s="13">
        <f t="shared" si="107"/>
        <v>5580</v>
      </c>
      <c r="AH267" s="13">
        <f t="shared" si="107"/>
        <v>5581</v>
      </c>
      <c r="AI267" s="13">
        <f t="shared" si="107"/>
        <v>5582</v>
      </c>
      <c r="AJ267" s="13">
        <f t="shared" si="107"/>
        <v>5583</v>
      </c>
      <c r="AK267" s="13">
        <f t="shared" si="107"/>
        <v>5584</v>
      </c>
      <c r="AL267" s="13">
        <f t="shared" si="107"/>
        <v>5585</v>
      </c>
      <c r="AM267" s="13">
        <f t="shared" si="107"/>
        <v>5586</v>
      </c>
      <c r="AN267" s="13">
        <f t="shared" si="107"/>
        <v>5587</v>
      </c>
      <c r="AO267" s="13">
        <f t="shared" si="107"/>
        <v>5588</v>
      </c>
      <c r="AP267" s="13">
        <f t="shared" si="107"/>
        <v>5589</v>
      </c>
      <c r="AQ267" s="13">
        <f t="shared" si="108"/>
        <v>5590</v>
      </c>
      <c r="AR267" s="13">
        <f t="shared" si="108"/>
        <v>5591</v>
      </c>
      <c r="AS267" s="13">
        <f t="shared" si="108"/>
        <v>5592</v>
      </c>
      <c r="AT267" s="13">
        <f t="shared" si="108"/>
        <v>5593</v>
      </c>
      <c r="AU267" s="13">
        <f t="shared" si="108"/>
        <v>5594</v>
      </c>
      <c r="AV267" s="13">
        <f t="shared" si="108"/>
        <v>5595</v>
      </c>
      <c r="AW267" s="13">
        <f t="shared" si="108"/>
        <v>5596</v>
      </c>
      <c r="AX267" s="13">
        <f t="shared" si="108"/>
        <v>5597</v>
      </c>
      <c r="AY267" s="13">
        <f t="shared" si="108"/>
        <v>5598</v>
      </c>
      <c r="AZ267" s="13">
        <f t="shared" si="108"/>
        <v>5599</v>
      </c>
      <c r="BA267" s="13">
        <f t="shared" si="109"/>
        <v>5600</v>
      </c>
      <c r="BB267" s="13">
        <f t="shared" si="109"/>
        <v>5601</v>
      </c>
      <c r="BC267" s="13">
        <f t="shared" si="109"/>
        <v>5602</v>
      </c>
      <c r="BD267" s="13">
        <f t="shared" si="109"/>
        <v>5603</v>
      </c>
      <c r="BE267" s="13">
        <f t="shared" si="109"/>
        <v>5604</v>
      </c>
      <c r="BF267" s="13">
        <f t="shared" si="109"/>
        <v>5605</v>
      </c>
      <c r="BG267" s="13">
        <f t="shared" si="109"/>
        <v>5606</v>
      </c>
      <c r="BH267" s="13">
        <f t="shared" si="109"/>
        <v>5607</v>
      </c>
      <c r="BI267" s="13">
        <f t="shared" si="109"/>
        <v>5608</v>
      </c>
      <c r="BJ267" s="13">
        <f t="shared" si="109"/>
        <v>5609</v>
      </c>
      <c r="BK267" s="13">
        <f t="shared" si="109"/>
        <v>5610</v>
      </c>
      <c r="BL267" s="13">
        <f t="shared" si="109"/>
        <v>5611</v>
      </c>
      <c r="BM267" s="13">
        <f t="shared" si="109"/>
        <v>5612</v>
      </c>
      <c r="BN267" s="13">
        <f t="shared" si="109"/>
        <v>5613</v>
      </c>
    </row>
  </sheetData>
  <conditionalFormatting sqref="C38:BN149">
    <cfRule type="expression" dxfId="101" priority="4">
      <formula>AND(C$37&lt;$B$1,$B38&lt;$B$2)</formula>
    </cfRule>
    <cfRule type="expression" dxfId="100" priority="3">
      <formula>C$37=$A38</formula>
    </cfRule>
  </conditionalFormatting>
  <conditionalFormatting sqref="C156:BN267">
    <cfRule type="expression" dxfId="99" priority="1">
      <formula>C$37=$A156</formula>
    </cfRule>
    <cfRule type="expression" dxfId="98" priority="2">
      <formula>AND(C$37&lt;$B$1,$B156&lt;$B$2)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dimension ref="A1:P26"/>
  <sheetViews>
    <sheetView showGridLines="0" workbookViewId="0"/>
  </sheetViews>
  <sheetFormatPr defaultRowHeight="15"/>
  <cols>
    <col min="1" max="1" width="11.85546875" customWidth="1"/>
    <col min="2" max="2" width="4.28515625" customWidth="1"/>
    <col min="3" max="13" width="5.7109375" customWidth="1"/>
  </cols>
  <sheetData>
    <row r="1" spans="1:16">
      <c r="A1" t="s">
        <v>110</v>
      </c>
      <c r="B1">
        <v>10</v>
      </c>
    </row>
    <row r="3" spans="1:16">
      <c r="D3" s="52" t="s">
        <v>117</v>
      </c>
      <c r="E3" s="52"/>
      <c r="F3" s="52"/>
      <c r="G3" s="52"/>
      <c r="H3" s="52"/>
      <c r="I3" s="52"/>
      <c r="J3" s="52"/>
      <c r="K3" s="52"/>
      <c r="L3" s="52"/>
      <c r="M3" s="52"/>
    </row>
    <row r="4" spans="1:16">
      <c r="D4" s="16">
        <v>0</v>
      </c>
      <c r="E4" s="16">
        <v>1</v>
      </c>
      <c r="F4" s="16">
        <v>2</v>
      </c>
      <c r="G4" s="16">
        <v>3</v>
      </c>
      <c r="H4" s="16">
        <v>4</v>
      </c>
      <c r="I4" s="16">
        <v>5</v>
      </c>
      <c r="J4" s="16">
        <v>6</v>
      </c>
      <c r="K4" s="16">
        <v>7</v>
      </c>
      <c r="L4" s="16">
        <v>8</v>
      </c>
      <c r="M4" s="16">
        <v>9</v>
      </c>
    </row>
    <row r="5" spans="1:16">
      <c r="B5" s="51" t="s">
        <v>124</v>
      </c>
      <c r="C5" s="15">
        <v>0</v>
      </c>
      <c r="D5" s="17">
        <f t="shared" ref="D5:M9" si="0">D$4 + $B$1*$C5</f>
        <v>0</v>
      </c>
      <c r="E5" s="17">
        <f t="shared" si="0"/>
        <v>1</v>
      </c>
      <c r="F5" s="17">
        <f t="shared" si="0"/>
        <v>2</v>
      </c>
      <c r="G5" s="17">
        <f t="shared" si="0"/>
        <v>3</v>
      </c>
      <c r="H5" s="17">
        <f t="shared" si="0"/>
        <v>4</v>
      </c>
      <c r="I5" s="17">
        <f t="shared" si="0"/>
        <v>5</v>
      </c>
      <c r="J5" s="17">
        <f t="shared" si="0"/>
        <v>6</v>
      </c>
      <c r="K5" s="17">
        <f t="shared" si="0"/>
        <v>7</v>
      </c>
      <c r="L5" s="17">
        <f t="shared" si="0"/>
        <v>8</v>
      </c>
      <c r="M5" s="17">
        <f t="shared" si="0"/>
        <v>9</v>
      </c>
    </row>
    <row r="6" spans="1:16">
      <c r="B6" s="51"/>
      <c r="C6" s="15">
        <v>1</v>
      </c>
      <c r="D6" s="17">
        <f t="shared" si="0"/>
        <v>10</v>
      </c>
      <c r="E6" s="17">
        <f t="shared" si="0"/>
        <v>11</v>
      </c>
      <c r="F6" s="17">
        <f t="shared" si="0"/>
        <v>12</v>
      </c>
      <c r="G6" s="17">
        <f t="shared" si="0"/>
        <v>13</v>
      </c>
      <c r="H6" s="17">
        <f t="shared" si="0"/>
        <v>14</v>
      </c>
      <c r="I6" s="17">
        <f t="shared" si="0"/>
        <v>15</v>
      </c>
      <c r="J6" s="17">
        <f t="shared" si="0"/>
        <v>16</v>
      </c>
      <c r="K6" s="17">
        <f t="shared" si="0"/>
        <v>17</v>
      </c>
      <c r="L6" s="17">
        <f t="shared" si="0"/>
        <v>18</v>
      </c>
      <c r="M6" s="17">
        <f t="shared" si="0"/>
        <v>19</v>
      </c>
    </row>
    <row r="7" spans="1:16">
      <c r="B7" s="51"/>
      <c r="C7" s="18">
        <v>2</v>
      </c>
      <c r="D7" s="19">
        <f t="shared" si="0"/>
        <v>20</v>
      </c>
      <c r="E7" s="19">
        <f t="shared" si="0"/>
        <v>21</v>
      </c>
      <c r="F7" s="19">
        <f t="shared" si="0"/>
        <v>22</v>
      </c>
      <c r="G7" s="19">
        <f t="shared" si="0"/>
        <v>23</v>
      </c>
      <c r="H7" s="19">
        <f t="shared" si="0"/>
        <v>24</v>
      </c>
      <c r="I7" s="20">
        <f t="shared" si="0"/>
        <v>25</v>
      </c>
      <c r="J7" s="21">
        <f t="shared" si="0"/>
        <v>26</v>
      </c>
      <c r="K7" s="19">
        <f t="shared" si="0"/>
        <v>27</v>
      </c>
      <c r="L7" s="19">
        <f t="shared" si="0"/>
        <v>28</v>
      </c>
      <c r="M7" s="19">
        <f t="shared" si="0"/>
        <v>29</v>
      </c>
    </row>
    <row r="8" spans="1:16">
      <c r="B8" s="51"/>
      <c r="C8" s="15">
        <v>3</v>
      </c>
      <c r="D8" s="17">
        <f t="shared" si="0"/>
        <v>30</v>
      </c>
      <c r="E8" s="17">
        <f t="shared" si="0"/>
        <v>31</v>
      </c>
      <c r="F8" s="17">
        <f t="shared" si="0"/>
        <v>32</v>
      </c>
      <c r="G8" s="17">
        <f t="shared" si="0"/>
        <v>33</v>
      </c>
      <c r="H8" s="17">
        <f t="shared" si="0"/>
        <v>34</v>
      </c>
      <c r="I8" s="17">
        <f t="shared" si="0"/>
        <v>35</v>
      </c>
      <c r="J8" s="17">
        <f t="shared" si="0"/>
        <v>36</v>
      </c>
      <c r="K8" s="17">
        <f t="shared" si="0"/>
        <v>37</v>
      </c>
      <c r="L8" s="17">
        <f t="shared" si="0"/>
        <v>38</v>
      </c>
      <c r="M8" s="17">
        <f t="shared" si="0"/>
        <v>39</v>
      </c>
    </row>
    <row r="9" spans="1:16">
      <c r="B9" s="51"/>
      <c r="C9" s="15">
        <v>4</v>
      </c>
      <c r="D9" s="17">
        <f t="shared" si="0"/>
        <v>40</v>
      </c>
      <c r="E9" s="17">
        <f t="shared" si="0"/>
        <v>41</v>
      </c>
      <c r="F9" s="17">
        <f t="shared" si="0"/>
        <v>42</v>
      </c>
      <c r="G9" s="17">
        <f t="shared" si="0"/>
        <v>43</v>
      </c>
      <c r="H9" s="17">
        <f t="shared" si="0"/>
        <v>44</v>
      </c>
      <c r="I9" s="17">
        <f t="shared" si="0"/>
        <v>45</v>
      </c>
      <c r="J9" s="17">
        <f t="shared" si="0"/>
        <v>46</v>
      </c>
      <c r="K9" s="17">
        <f t="shared" si="0"/>
        <v>47</v>
      </c>
      <c r="L9" s="17">
        <f t="shared" si="0"/>
        <v>48</v>
      </c>
      <c r="M9" s="17">
        <f t="shared" si="0"/>
        <v>49</v>
      </c>
    </row>
    <row r="11" spans="1:16">
      <c r="D11" t="s">
        <v>125</v>
      </c>
    </row>
    <row r="13" spans="1:16">
      <c r="D13" s="22" t="s">
        <v>128</v>
      </c>
      <c r="J13" s="22" t="s">
        <v>131</v>
      </c>
    </row>
    <row r="14" spans="1:16">
      <c r="D14" t="s">
        <v>126</v>
      </c>
      <c r="G14">
        <v>2</v>
      </c>
      <c r="J14" t="s">
        <v>133</v>
      </c>
      <c r="P14" s="23" t="s">
        <v>132</v>
      </c>
    </row>
    <row r="15" spans="1:16">
      <c r="D15" t="s">
        <v>127</v>
      </c>
      <c r="G15">
        <v>6</v>
      </c>
      <c r="J15" s="24" t="s">
        <v>134</v>
      </c>
      <c r="N15">
        <f>M16 + M17*M18</f>
        <v>20</v>
      </c>
      <c r="P15" s="23" t="s">
        <v>132</v>
      </c>
    </row>
    <row r="16" spans="1:16">
      <c r="K16" t="s">
        <v>130</v>
      </c>
      <c r="M16">
        <f>D4</f>
        <v>0</v>
      </c>
    </row>
    <row r="17" spans="4:14">
      <c r="D17" s="22" t="s">
        <v>129</v>
      </c>
      <c r="K17" t="s">
        <v>135</v>
      </c>
      <c r="M17">
        <f>$B$1</f>
        <v>10</v>
      </c>
    </row>
    <row r="18" spans="4:14">
      <c r="D18" t="s">
        <v>126</v>
      </c>
      <c r="G18">
        <v>2</v>
      </c>
      <c r="K18" t="s">
        <v>136</v>
      </c>
      <c r="M18">
        <f>C7</f>
        <v>2</v>
      </c>
    </row>
    <row r="19" spans="4:14">
      <c r="D19" t="s">
        <v>127</v>
      </c>
      <c r="G19">
        <v>26</v>
      </c>
      <c r="J19" s="24" t="s">
        <v>137</v>
      </c>
      <c r="N19">
        <f>M20 + M21*M22</f>
        <v>26</v>
      </c>
    </row>
    <row r="20" spans="4:14">
      <c r="K20" t="s">
        <v>130</v>
      </c>
      <c r="M20">
        <f>$G$15</f>
        <v>6</v>
      </c>
      <c r="N20" t="s">
        <v>139</v>
      </c>
    </row>
    <row r="21" spans="4:14">
      <c r="K21" t="s">
        <v>135</v>
      </c>
      <c r="M21">
        <f>$B$1</f>
        <v>10</v>
      </c>
    </row>
    <row r="22" spans="4:14">
      <c r="K22" t="s">
        <v>136</v>
      </c>
      <c r="M22">
        <f>C7</f>
        <v>2</v>
      </c>
    </row>
    <row r="23" spans="4:14">
      <c r="J23" s="24" t="s">
        <v>138</v>
      </c>
      <c r="N23">
        <f>M24 + M25*M26</f>
        <v>29</v>
      </c>
    </row>
    <row r="24" spans="4:14">
      <c r="K24" t="s">
        <v>130</v>
      </c>
      <c r="M24">
        <f>$B$1-1</f>
        <v>9</v>
      </c>
    </row>
    <row r="25" spans="4:14">
      <c r="K25" t="s">
        <v>135</v>
      </c>
      <c r="M25">
        <f>$B$1</f>
        <v>10</v>
      </c>
    </row>
    <row r="26" spans="4:14">
      <c r="K26" t="s">
        <v>136</v>
      </c>
      <c r="M26">
        <f>C7</f>
        <v>2</v>
      </c>
    </row>
  </sheetData>
  <mergeCells count="2">
    <mergeCell ref="B5:B9"/>
    <mergeCell ref="D3:M3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dimension ref="A1:I6334"/>
  <sheetViews>
    <sheetView topLeftCell="G6248" workbookViewId="0">
      <selection activeCell="H6221" sqref="H6221:I6273"/>
    </sheetView>
  </sheetViews>
  <sheetFormatPr defaultRowHeight="15"/>
  <cols>
    <col min="1" max="1" width="22.5703125" bestFit="1" customWidth="1"/>
    <col min="2" max="2" width="61.42578125" bestFit="1" customWidth="1"/>
    <col min="3" max="3" width="18.28515625" customWidth="1"/>
    <col min="4" max="4" width="9.140625" customWidth="1"/>
    <col min="5" max="7" width="20.42578125" customWidth="1"/>
    <col min="8" max="9" width="16.85546875" customWidth="1"/>
  </cols>
  <sheetData>
    <row r="1" spans="1:9">
      <c r="A1" t="s">
        <v>144</v>
      </c>
      <c r="B1" t="s">
        <v>145</v>
      </c>
      <c r="C1">
        <v>0</v>
      </c>
    </row>
    <row r="2" spans="1:9">
      <c r="A2" t="s">
        <v>144</v>
      </c>
      <c r="B2" t="s">
        <v>146</v>
      </c>
      <c r="C2">
        <v>36</v>
      </c>
    </row>
    <row r="3" spans="1:9">
      <c r="A3" t="s">
        <v>144</v>
      </c>
      <c r="B3" t="s">
        <v>147</v>
      </c>
      <c r="C3">
        <v>36</v>
      </c>
    </row>
    <row r="4" spans="1:9">
      <c r="A4" t="s">
        <v>144</v>
      </c>
      <c r="B4" t="s">
        <v>148</v>
      </c>
      <c r="C4">
        <v>0.74395</v>
      </c>
    </row>
    <row r="5" spans="1:9">
      <c r="A5" t="s">
        <v>144</v>
      </c>
      <c r="B5" t="s">
        <v>149</v>
      </c>
      <c r="C5">
        <v>0.74395</v>
      </c>
    </row>
    <row r="6" spans="1:9">
      <c r="A6" t="s">
        <v>144</v>
      </c>
      <c r="B6" t="s">
        <v>150</v>
      </c>
      <c r="C6">
        <v>-1</v>
      </c>
    </row>
    <row r="7" spans="1:9">
      <c r="A7" t="s">
        <v>144</v>
      </c>
      <c r="B7" t="s">
        <v>151</v>
      </c>
      <c r="C7">
        <v>-1</v>
      </c>
    </row>
    <row r="8" spans="1:9">
      <c r="A8" t="s">
        <v>144</v>
      </c>
      <c r="B8" t="s">
        <v>152</v>
      </c>
      <c r="C8">
        <v>18</v>
      </c>
    </row>
    <row r="9" spans="1:9">
      <c r="A9" t="s">
        <v>144</v>
      </c>
      <c r="B9" t="s">
        <v>153</v>
      </c>
      <c r="C9">
        <v>18</v>
      </c>
    </row>
    <row r="10" spans="1:9">
      <c r="A10" t="s">
        <v>144</v>
      </c>
      <c r="B10" t="s">
        <v>154</v>
      </c>
      <c r="C10">
        <v>0</v>
      </c>
    </row>
    <row r="11" spans="1:9">
      <c r="A11" t="s">
        <v>144</v>
      </c>
      <c r="B11" t="s">
        <v>155</v>
      </c>
    </row>
    <row r="12" spans="1:9">
      <c r="A12" t="s">
        <v>144</v>
      </c>
      <c r="B12" t="s">
        <v>150</v>
      </c>
      <c r="C12">
        <v>0.40492</v>
      </c>
      <c r="H12" s="38" t="s">
        <v>164</v>
      </c>
      <c r="I12" s="44">
        <f>MIN(I15:I64)</f>
        <v>-1.4268000000094982E-6</v>
      </c>
    </row>
    <row r="13" spans="1:9">
      <c r="A13" t="s">
        <v>144</v>
      </c>
      <c r="B13" t="s">
        <v>151</v>
      </c>
      <c r="C13">
        <v>0.40492</v>
      </c>
      <c r="H13" s="38" t="s">
        <v>165</v>
      </c>
      <c r="I13" s="44">
        <f>MAX(I15:I64)</f>
        <v>6.5371999996566288E-7</v>
      </c>
    </row>
    <row r="14" spans="1:9">
      <c r="A14" t="s">
        <v>144</v>
      </c>
      <c r="B14" t="s">
        <v>156</v>
      </c>
      <c r="C14" t="s">
        <v>157</v>
      </c>
      <c r="D14" t="s">
        <v>63</v>
      </c>
      <c r="E14" t="s">
        <v>158</v>
      </c>
      <c r="F14" t="s">
        <v>159</v>
      </c>
      <c r="G14" t="s">
        <v>160</v>
      </c>
      <c r="H14" s="43" t="s">
        <v>162</v>
      </c>
      <c r="I14" s="43" t="s">
        <v>163</v>
      </c>
    </row>
    <row r="15" spans="1:9">
      <c r="A15" t="s">
        <v>144</v>
      </c>
      <c r="B15">
        <v>0</v>
      </c>
      <c r="C15">
        <v>0</v>
      </c>
      <c r="D15">
        <v>0.40492</v>
      </c>
      <c r="E15">
        <v>-0.267098</v>
      </c>
      <c r="F15">
        <v>-1</v>
      </c>
      <c r="G15" s="9">
        <v>-0.267098</v>
      </c>
      <c r="H15" s="42">
        <f>IF(C15&lt;$C$9,E15,D15*E15 + (1 - D15)*F15)</f>
        <v>-0.267098</v>
      </c>
      <c r="I15" s="42">
        <f>H15-G15</f>
        <v>0</v>
      </c>
    </row>
    <row r="16" spans="1:9">
      <c r="A16" t="s">
        <v>144</v>
      </c>
      <c r="B16">
        <v>0</v>
      </c>
      <c r="C16">
        <v>1</v>
      </c>
      <c r="D16">
        <v>0.40492</v>
      </c>
      <c r="E16">
        <v>0.56114399999999998</v>
      </c>
      <c r="F16">
        <v>-1</v>
      </c>
      <c r="G16" s="9">
        <v>0.56114399999999998</v>
      </c>
      <c r="H16" s="42">
        <f t="shared" ref="H16:H64" si="0">IF(C16&lt;$C$9,E16,D16*E16 + (1 - D16)*F16)</f>
        <v>0.56114399999999998</v>
      </c>
      <c r="I16" s="42">
        <f t="shared" ref="I16:I64" si="1">H16-G16</f>
        <v>0</v>
      </c>
    </row>
    <row r="17" spans="1:9">
      <c r="A17" t="s">
        <v>144</v>
      </c>
      <c r="B17">
        <v>0</v>
      </c>
      <c r="C17">
        <v>2</v>
      </c>
      <c r="D17">
        <v>0.40492</v>
      </c>
      <c r="E17">
        <v>-0.28070899999999999</v>
      </c>
      <c r="F17">
        <v>-1</v>
      </c>
      <c r="G17" s="9">
        <v>-0.28070899999999999</v>
      </c>
      <c r="H17" s="42">
        <f t="shared" si="0"/>
        <v>-0.28070899999999999</v>
      </c>
      <c r="I17" s="42">
        <f t="shared" si="1"/>
        <v>0</v>
      </c>
    </row>
    <row r="18" spans="1:9">
      <c r="A18" t="s">
        <v>144</v>
      </c>
      <c r="B18">
        <v>0</v>
      </c>
      <c r="C18">
        <v>3</v>
      </c>
      <c r="D18">
        <v>0.40492</v>
      </c>
      <c r="E18">
        <v>0.54429799999999995</v>
      </c>
      <c r="F18">
        <v>-1</v>
      </c>
      <c r="G18" s="9">
        <v>0.54429799999999995</v>
      </c>
      <c r="H18" s="42">
        <f t="shared" si="0"/>
        <v>0.54429799999999995</v>
      </c>
      <c r="I18" s="42">
        <f t="shared" si="1"/>
        <v>0</v>
      </c>
    </row>
    <row r="19" spans="1:9">
      <c r="A19" t="s">
        <v>144</v>
      </c>
      <c r="B19">
        <v>0</v>
      </c>
      <c r="C19">
        <v>4</v>
      </c>
      <c r="D19">
        <v>0.40492</v>
      </c>
      <c r="E19">
        <v>-0.165349</v>
      </c>
      <c r="F19">
        <v>-1</v>
      </c>
      <c r="G19" s="9">
        <v>-0.165349</v>
      </c>
      <c r="H19" s="42">
        <f t="shared" si="0"/>
        <v>-0.165349</v>
      </c>
      <c r="I19" s="42">
        <f t="shared" si="1"/>
        <v>0</v>
      </c>
    </row>
    <row r="20" spans="1:9">
      <c r="A20" t="s">
        <v>144</v>
      </c>
      <c r="B20">
        <v>0</v>
      </c>
      <c r="C20">
        <v>5</v>
      </c>
      <c r="D20">
        <v>0.40492</v>
      </c>
      <c r="E20">
        <v>0.43519400000000003</v>
      </c>
      <c r="F20">
        <v>-1</v>
      </c>
      <c r="G20" s="9">
        <v>0.43519400000000003</v>
      </c>
      <c r="H20" s="42">
        <f t="shared" si="0"/>
        <v>0.43519400000000003</v>
      </c>
      <c r="I20" s="42">
        <f t="shared" si="1"/>
        <v>0</v>
      </c>
    </row>
    <row r="21" spans="1:9">
      <c r="A21" t="s">
        <v>144</v>
      </c>
      <c r="B21">
        <v>0</v>
      </c>
      <c r="C21">
        <v>6</v>
      </c>
      <c r="D21">
        <v>0.40492</v>
      </c>
      <c r="E21">
        <v>0.95837300000000003</v>
      </c>
      <c r="F21">
        <v>-1</v>
      </c>
      <c r="G21" s="9">
        <v>0.95837300000000003</v>
      </c>
      <c r="H21" s="42">
        <f t="shared" si="0"/>
        <v>0.95837300000000003</v>
      </c>
      <c r="I21" s="42">
        <f t="shared" si="1"/>
        <v>0</v>
      </c>
    </row>
    <row r="22" spans="1:9">
      <c r="A22" t="s">
        <v>144</v>
      </c>
      <c r="B22">
        <v>0</v>
      </c>
      <c r="C22">
        <v>7</v>
      </c>
      <c r="D22">
        <v>0.40492</v>
      </c>
      <c r="E22">
        <v>-0.27338499999999999</v>
      </c>
      <c r="F22">
        <v>-1</v>
      </c>
      <c r="G22" s="9">
        <v>-0.27338499999999999</v>
      </c>
      <c r="H22" s="42">
        <f t="shared" si="0"/>
        <v>-0.27338499999999999</v>
      </c>
      <c r="I22" s="42">
        <f t="shared" si="1"/>
        <v>0</v>
      </c>
    </row>
    <row r="23" spans="1:9">
      <c r="A23" t="s">
        <v>144</v>
      </c>
      <c r="B23">
        <v>0</v>
      </c>
      <c r="C23">
        <v>8</v>
      </c>
      <c r="D23">
        <v>0.40492</v>
      </c>
      <c r="E23">
        <v>0.35254999999999997</v>
      </c>
      <c r="F23">
        <v>-1</v>
      </c>
      <c r="G23" s="9">
        <v>0.35254999999999997</v>
      </c>
      <c r="H23" s="42">
        <f t="shared" si="0"/>
        <v>0.35254999999999997</v>
      </c>
      <c r="I23" s="42">
        <f t="shared" si="1"/>
        <v>0</v>
      </c>
    </row>
    <row r="24" spans="1:9">
      <c r="A24" t="s">
        <v>144</v>
      </c>
      <c r="B24">
        <v>0</v>
      </c>
      <c r="C24">
        <v>9</v>
      </c>
      <c r="D24">
        <v>0.40492</v>
      </c>
      <c r="E24">
        <v>0.32682299999999997</v>
      </c>
      <c r="F24">
        <v>-1</v>
      </c>
      <c r="G24" s="9">
        <v>0.32682299999999997</v>
      </c>
      <c r="H24" s="42">
        <f t="shared" si="0"/>
        <v>0.32682299999999997</v>
      </c>
      <c r="I24" s="42">
        <f t="shared" si="1"/>
        <v>0</v>
      </c>
    </row>
    <row r="25" spans="1:9">
      <c r="A25" t="s">
        <v>144</v>
      </c>
      <c r="B25">
        <v>0</v>
      </c>
      <c r="C25">
        <v>10</v>
      </c>
      <c r="D25">
        <v>0.40492</v>
      </c>
      <c r="E25">
        <v>4.9501000000000003E-2</v>
      </c>
      <c r="F25">
        <v>-1</v>
      </c>
      <c r="G25" s="9">
        <v>4.9501000000000003E-2</v>
      </c>
      <c r="H25" s="42">
        <f t="shared" si="0"/>
        <v>4.9501000000000003E-2</v>
      </c>
      <c r="I25" s="42">
        <f t="shared" si="1"/>
        <v>0</v>
      </c>
    </row>
    <row r="26" spans="1:9">
      <c r="A26" t="s">
        <v>144</v>
      </c>
      <c r="B26">
        <v>0</v>
      </c>
      <c r="C26">
        <v>11</v>
      </c>
      <c r="D26">
        <v>0.40492</v>
      </c>
      <c r="E26">
        <v>-0.52021799999999996</v>
      </c>
      <c r="F26">
        <v>-1</v>
      </c>
      <c r="G26" s="9">
        <v>-0.52021799999999996</v>
      </c>
      <c r="H26" s="42">
        <f t="shared" si="0"/>
        <v>-0.52021799999999996</v>
      </c>
      <c r="I26" s="42">
        <f t="shared" si="1"/>
        <v>0</v>
      </c>
    </row>
    <row r="27" spans="1:9">
      <c r="A27" t="s">
        <v>144</v>
      </c>
      <c r="B27">
        <v>0</v>
      </c>
      <c r="C27">
        <v>12</v>
      </c>
      <c r="D27">
        <v>0.40492</v>
      </c>
      <c r="E27">
        <v>0.86471100000000001</v>
      </c>
      <c r="F27">
        <v>-1</v>
      </c>
      <c r="G27" s="9">
        <v>0.86471100000000001</v>
      </c>
      <c r="H27" s="42">
        <f t="shared" si="0"/>
        <v>0.86471100000000001</v>
      </c>
      <c r="I27" s="42">
        <f t="shared" si="1"/>
        <v>0</v>
      </c>
    </row>
    <row r="28" spans="1:9">
      <c r="A28" t="s">
        <v>144</v>
      </c>
      <c r="B28">
        <v>0</v>
      </c>
      <c r="C28">
        <v>13</v>
      </c>
      <c r="D28">
        <v>0.40492</v>
      </c>
      <c r="E28">
        <v>-0.63090900000000005</v>
      </c>
      <c r="F28">
        <v>-1</v>
      </c>
      <c r="G28" s="9">
        <v>-0.63090900000000005</v>
      </c>
      <c r="H28" s="42">
        <f t="shared" si="0"/>
        <v>-0.63090900000000005</v>
      </c>
      <c r="I28" s="42">
        <f t="shared" si="1"/>
        <v>0</v>
      </c>
    </row>
    <row r="29" spans="1:9">
      <c r="A29" t="s">
        <v>144</v>
      </c>
      <c r="B29">
        <v>0</v>
      </c>
      <c r="C29">
        <v>14</v>
      </c>
      <c r="D29">
        <v>0.40492</v>
      </c>
      <c r="E29">
        <v>0.74071500000000001</v>
      </c>
      <c r="F29">
        <v>-1</v>
      </c>
      <c r="G29" s="9">
        <v>0.74071500000000001</v>
      </c>
      <c r="H29" s="42">
        <f t="shared" si="0"/>
        <v>0.74071500000000001</v>
      </c>
      <c r="I29" s="42">
        <f t="shared" si="1"/>
        <v>0</v>
      </c>
    </row>
    <row r="30" spans="1:9">
      <c r="A30" t="s">
        <v>144</v>
      </c>
      <c r="B30">
        <v>0</v>
      </c>
      <c r="C30">
        <v>15</v>
      </c>
      <c r="D30">
        <v>0.40492</v>
      </c>
      <c r="E30">
        <v>-0.65871100000000005</v>
      </c>
      <c r="F30">
        <v>-1</v>
      </c>
      <c r="G30" s="9">
        <v>-0.65871100000000005</v>
      </c>
      <c r="H30" s="42">
        <f t="shared" si="0"/>
        <v>-0.65871100000000005</v>
      </c>
      <c r="I30" s="42">
        <f t="shared" si="1"/>
        <v>0</v>
      </c>
    </row>
    <row r="31" spans="1:9">
      <c r="A31" t="s">
        <v>144</v>
      </c>
      <c r="B31">
        <v>0</v>
      </c>
      <c r="C31">
        <v>16</v>
      </c>
      <c r="D31">
        <v>0.40492</v>
      </c>
      <c r="E31">
        <v>-0.324961</v>
      </c>
      <c r="F31">
        <v>-1</v>
      </c>
      <c r="G31" s="9">
        <v>-0.324961</v>
      </c>
      <c r="H31" s="42">
        <f t="shared" si="0"/>
        <v>-0.324961</v>
      </c>
      <c r="I31" s="42">
        <f t="shared" si="1"/>
        <v>0</v>
      </c>
    </row>
    <row r="32" spans="1:9">
      <c r="A32" t="s">
        <v>144</v>
      </c>
      <c r="B32">
        <v>0</v>
      </c>
      <c r="C32">
        <v>17</v>
      </c>
      <c r="D32">
        <v>0.40492</v>
      </c>
      <c r="E32">
        <v>-0.275613</v>
      </c>
      <c r="F32">
        <v>-1</v>
      </c>
      <c r="G32" s="9">
        <v>-0.275613</v>
      </c>
      <c r="H32" s="42">
        <f t="shared" si="0"/>
        <v>-0.275613</v>
      </c>
      <c r="I32" s="42">
        <f t="shared" si="1"/>
        <v>0</v>
      </c>
    </row>
    <row r="33" spans="1:9">
      <c r="A33" t="s">
        <v>144</v>
      </c>
      <c r="B33">
        <v>0</v>
      </c>
      <c r="C33">
        <v>18</v>
      </c>
      <c r="D33">
        <v>0.40492</v>
      </c>
      <c r="E33">
        <v>-0.26831899999999997</v>
      </c>
      <c r="F33">
        <v>0.81673600000000002</v>
      </c>
      <c r="G33" s="9">
        <v>0.37737599999999999</v>
      </c>
      <c r="H33" s="42">
        <f t="shared" si="0"/>
        <v>0.37737552940000002</v>
      </c>
      <c r="I33" s="42">
        <f t="shared" si="1"/>
        <v>-4.7059999996879043E-7</v>
      </c>
    </row>
    <row r="34" spans="1:9">
      <c r="A34" t="s">
        <v>144</v>
      </c>
      <c r="B34">
        <v>0</v>
      </c>
      <c r="C34">
        <v>19</v>
      </c>
      <c r="D34">
        <v>0.40492</v>
      </c>
      <c r="E34">
        <v>0.76213900000000001</v>
      </c>
      <c r="F34">
        <v>0.52662699999999996</v>
      </c>
      <c r="G34" s="9">
        <v>0.62199099999999996</v>
      </c>
      <c r="H34" s="42">
        <f t="shared" si="0"/>
        <v>0.62199051904000002</v>
      </c>
      <c r="I34" s="42">
        <f t="shared" si="1"/>
        <v>-4.8095999993780225E-7</v>
      </c>
    </row>
    <row r="35" spans="1:9">
      <c r="A35" t="s">
        <v>144</v>
      </c>
      <c r="B35">
        <v>0</v>
      </c>
      <c r="C35">
        <v>20</v>
      </c>
      <c r="D35">
        <v>0.40492</v>
      </c>
      <c r="E35">
        <v>-0.90047900000000003</v>
      </c>
      <c r="F35">
        <v>-0.99182099999999995</v>
      </c>
      <c r="G35" s="9">
        <v>-0.95483499999999999</v>
      </c>
      <c r="H35" s="42">
        <f t="shared" si="0"/>
        <v>-0.95483479735999999</v>
      </c>
      <c r="I35" s="42">
        <f t="shared" si="1"/>
        <v>2.0264000000214111E-7</v>
      </c>
    </row>
    <row r="36" spans="1:9">
      <c r="A36" t="s">
        <v>144</v>
      </c>
      <c r="B36">
        <v>0</v>
      </c>
      <c r="C36">
        <v>21</v>
      </c>
      <c r="D36">
        <v>0.40492</v>
      </c>
      <c r="E36">
        <v>-0.33576499999999998</v>
      </c>
      <c r="F36">
        <v>0.80520000000000003</v>
      </c>
      <c r="G36" s="9">
        <v>0.34320099999999998</v>
      </c>
      <c r="H36" s="42">
        <f t="shared" si="0"/>
        <v>0.34320045220000006</v>
      </c>
      <c r="I36" s="42">
        <f t="shared" si="1"/>
        <v>-5.4779999991705353E-7</v>
      </c>
    </row>
    <row r="37" spans="1:9">
      <c r="A37" t="s">
        <v>144</v>
      </c>
      <c r="B37">
        <v>0</v>
      </c>
      <c r="C37">
        <v>22</v>
      </c>
      <c r="D37">
        <v>0.40492</v>
      </c>
      <c r="E37">
        <v>-0.43833699999999998</v>
      </c>
      <c r="F37">
        <v>-0.23929600000000001</v>
      </c>
      <c r="G37" s="9">
        <v>-0.31989200000000001</v>
      </c>
      <c r="H37" s="42">
        <f t="shared" si="0"/>
        <v>-0.31989168172000004</v>
      </c>
      <c r="I37" s="42">
        <f t="shared" si="1"/>
        <v>3.1827999996680845E-7</v>
      </c>
    </row>
    <row r="38" spans="1:9">
      <c r="A38" t="s">
        <v>144</v>
      </c>
      <c r="B38">
        <v>0</v>
      </c>
      <c r="C38">
        <v>23</v>
      </c>
      <c r="D38">
        <v>0.40492</v>
      </c>
      <c r="E38">
        <v>0.27884799999999998</v>
      </c>
      <c r="F38">
        <v>-0.42201</v>
      </c>
      <c r="G38" s="9">
        <v>-0.13821900000000001</v>
      </c>
      <c r="H38" s="42">
        <f t="shared" si="0"/>
        <v>-0.13821857864000003</v>
      </c>
      <c r="I38" s="42">
        <f t="shared" si="1"/>
        <v>4.2135999997472418E-7</v>
      </c>
    </row>
    <row r="39" spans="1:9">
      <c r="A39" t="s">
        <v>144</v>
      </c>
      <c r="B39">
        <v>0</v>
      </c>
      <c r="C39">
        <v>24</v>
      </c>
      <c r="D39">
        <v>0.40492</v>
      </c>
      <c r="E39">
        <v>-0.38447199999999998</v>
      </c>
      <c r="F39">
        <v>-0.83300300000000005</v>
      </c>
      <c r="G39" s="9">
        <v>-0.65138399999999996</v>
      </c>
      <c r="H39" s="42">
        <f t="shared" si="0"/>
        <v>-0.65138382748000001</v>
      </c>
      <c r="I39" s="42">
        <f t="shared" si="1"/>
        <v>1.7251999995249179E-7</v>
      </c>
    </row>
    <row r="40" spans="1:9">
      <c r="A40" t="s">
        <v>144</v>
      </c>
      <c r="B40">
        <v>0</v>
      </c>
      <c r="C40">
        <v>25</v>
      </c>
      <c r="D40">
        <v>0.40492</v>
      </c>
      <c r="E40">
        <v>-0.77102000000000004</v>
      </c>
      <c r="F40">
        <v>-0.99786399999999997</v>
      </c>
      <c r="G40" s="9">
        <v>-0.90600999999999998</v>
      </c>
      <c r="H40" s="42">
        <f t="shared" si="0"/>
        <v>-0.9060103275200001</v>
      </c>
      <c r="I40" s="42">
        <f t="shared" si="1"/>
        <v>-3.2752000012070681E-7</v>
      </c>
    </row>
    <row r="41" spans="1:9">
      <c r="A41" t="s">
        <v>144</v>
      </c>
      <c r="B41">
        <v>0</v>
      </c>
      <c r="C41">
        <v>26</v>
      </c>
      <c r="D41">
        <v>0.40492</v>
      </c>
      <c r="E41">
        <v>0.27057700000000001</v>
      </c>
      <c r="F41">
        <v>-0.77501799999999998</v>
      </c>
      <c r="G41" s="9">
        <v>-0.351636</v>
      </c>
      <c r="H41" s="42">
        <f t="shared" si="0"/>
        <v>-0.35163567260000006</v>
      </c>
      <c r="I41" s="42">
        <f t="shared" si="1"/>
        <v>3.2739999994424451E-7</v>
      </c>
    </row>
    <row r="42" spans="1:9">
      <c r="A42" t="s">
        <v>144</v>
      </c>
      <c r="B42">
        <v>0</v>
      </c>
      <c r="C42">
        <v>27</v>
      </c>
      <c r="D42">
        <v>0.40492</v>
      </c>
      <c r="E42">
        <v>0.83318599999999998</v>
      </c>
      <c r="F42">
        <v>-0.28778999999999999</v>
      </c>
      <c r="G42" s="9">
        <v>0.16611500000000001</v>
      </c>
      <c r="H42" s="42">
        <f t="shared" si="0"/>
        <v>0.16611560191999999</v>
      </c>
      <c r="I42" s="42">
        <f t="shared" si="1"/>
        <v>6.0191999998182588E-7</v>
      </c>
    </row>
    <row r="43" spans="1:9">
      <c r="A43" t="s">
        <v>144</v>
      </c>
      <c r="B43">
        <v>0</v>
      </c>
      <c r="C43">
        <v>28</v>
      </c>
      <c r="D43">
        <v>0.40492</v>
      </c>
      <c r="E43">
        <v>0.40339399999999997</v>
      </c>
      <c r="F43">
        <v>0.47926299999999999</v>
      </c>
      <c r="G43" s="9">
        <v>0.448542</v>
      </c>
      <c r="H43" s="42">
        <f t="shared" si="0"/>
        <v>0.44854212452000003</v>
      </c>
      <c r="I43" s="42">
        <f t="shared" si="1"/>
        <v>1.2452000003326802E-7</v>
      </c>
    </row>
    <row r="44" spans="1:9">
      <c r="A44" t="s">
        <v>144</v>
      </c>
      <c r="B44">
        <v>0</v>
      </c>
      <c r="C44">
        <v>29</v>
      </c>
      <c r="D44">
        <v>0.40492</v>
      </c>
      <c r="E44">
        <v>-0.289163</v>
      </c>
      <c r="F44">
        <v>-0.58027899999999999</v>
      </c>
      <c r="G44" s="9">
        <v>-0.46239999999999998</v>
      </c>
      <c r="H44" s="42">
        <f t="shared" si="0"/>
        <v>-0.46240030927999998</v>
      </c>
      <c r="I44" s="42">
        <f t="shared" si="1"/>
        <v>-3.0927999999930122E-7</v>
      </c>
    </row>
    <row r="45" spans="1:9">
      <c r="A45" t="s">
        <v>144</v>
      </c>
      <c r="B45">
        <v>0</v>
      </c>
      <c r="C45">
        <v>30</v>
      </c>
      <c r="D45">
        <v>0.40492</v>
      </c>
      <c r="E45">
        <v>0.76848700000000003</v>
      </c>
      <c r="F45">
        <v>0.61275100000000005</v>
      </c>
      <c r="G45" s="9">
        <v>0.67581100000000005</v>
      </c>
      <c r="H45" s="42">
        <f t="shared" si="0"/>
        <v>0.67581162112000004</v>
      </c>
      <c r="I45" s="42">
        <f t="shared" si="1"/>
        <v>6.2111999998837319E-7</v>
      </c>
    </row>
    <row r="46" spans="1:9">
      <c r="A46" t="s">
        <v>144</v>
      </c>
      <c r="B46">
        <v>0</v>
      </c>
      <c r="C46">
        <v>31</v>
      </c>
      <c r="D46">
        <v>0.40492</v>
      </c>
      <c r="E46">
        <v>0.15106700000000001</v>
      </c>
      <c r="F46">
        <v>-0.51988299999999998</v>
      </c>
      <c r="G46" s="9">
        <v>-0.24820200000000001</v>
      </c>
      <c r="H46" s="42">
        <f t="shared" si="0"/>
        <v>-0.24820192600000002</v>
      </c>
      <c r="I46" s="42">
        <f t="shared" si="1"/>
        <v>7.3999999988805243E-8</v>
      </c>
    </row>
    <row r="47" spans="1:9">
      <c r="A47" t="s">
        <v>144</v>
      </c>
      <c r="B47">
        <v>0</v>
      </c>
      <c r="C47">
        <v>32</v>
      </c>
      <c r="D47">
        <v>0.40492</v>
      </c>
      <c r="E47">
        <v>-0.74877199999999999</v>
      </c>
      <c r="F47">
        <v>0.75151800000000002</v>
      </c>
      <c r="G47" s="9">
        <v>0.14402200000000001</v>
      </c>
      <c r="H47" s="42">
        <f t="shared" si="0"/>
        <v>0.1440205732</v>
      </c>
      <c r="I47" s="42">
        <f t="shared" si="1"/>
        <v>-1.4268000000094982E-6</v>
      </c>
    </row>
    <row r="48" spans="1:9">
      <c r="A48" t="s">
        <v>144</v>
      </c>
      <c r="B48">
        <v>0</v>
      </c>
      <c r="C48">
        <v>33</v>
      </c>
      <c r="D48">
        <v>0.40492</v>
      </c>
      <c r="E48">
        <v>-0.33460499999999999</v>
      </c>
      <c r="F48">
        <v>0.26041399999999998</v>
      </c>
      <c r="G48" s="9">
        <v>1.9479E-2</v>
      </c>
      <c r="H48" s="42">
        <f t="shared" si="0"/>
        <v>1.9478906520000006E-2</v>
      </c>
      <c r="I48" s="42">
        <f t="shared" si="1"/>
        <v>-9.3479999994233731E-8</v>
      </c>
    </row>
    <row r="49" spans="1:9">
      <c r="A49" t="s">
        <v>144</v>
      </c>
      <c r="B49">
        <v>0</v>
      </c>
      <c r="C49">
        <v>34</v>
      </c>
      <c r="D49">
        <v>0.40492</v>
      </c>
      <c r="E49">
        <v>-0.81350100000000003</v>
      </c>
      <c r="F49">
        <v>7.0800000000000004E-3</v>
      </c>
      <c r="G49" s="9">
        <v>-0.32518900000000001</v>
      </c>
      <c r="H49" s="42">
        <f t="shared" si="0"/>
        <v>-0.32518965851999998</v>
      </c>
      <c r="I49" s="42">
        <f t="shared" si="1"/>
        <v>-6.585199999742386E-7</v>
      </c>
    </row>
    <row r="50" spans="1:9">
      <c r="A50" t="s">
        <v>144</v>
      </c>
      <c r="B50">
        <v>0</v>
      </c>
      <c r="C50">
        <v>35</v>
      </c>
      <c r="D50">
        <v>0.40492</v>
      </c>
      <c r="E50">
        <v>-0.11096499999999999</v>
      </c>
      <c r="F50">
        <v>-0.35410599999999998</v>
      </c>
      <c r="G50" s="9">
        <v>-0.25565399999999999</v>
      </c>
      <c r="H50" s="42">
        <f t="shared" si="0"/>
        <v>-0.25565334628000003</v>
      </c>
      <c r="I50" s="42">
        <f t="shared" si="1"/>
        <v>6.5371999996566288E-7</v>
      </c>
    </row>
    <row r="51" spans="1:9">
      <c r="A51" t="s">
        <v>144</v>
      </c>
      <c r="B51">
        <v>0</v>
      </c>
      <c r="C51">
        <v>36</v>
      </c>
      <c r="D51">
        <v>0.40492</v>
      </c>
      <c r="E51">
        <v>-0.83437600000000001</v>
      </c>
      <c r="F51">
        <v>-0.280221</v>
      </c>
      <c r="G51" s="9">
        <v>-0.50460899999999997</v>
      </c>
      <c r="H51" s="42">
        <f t="shared" si="0"/>
        <v>-0.50460944260000007</v>
      </c>
      <c r="I51" s="42">
        <f t="shared" si="1"/>
        <v>-4.4260000009455069E-7</v>
      </c>
    </row>
    <row r="52" spans="1:9">
      <c r="A52" t="s">
        <v>144</v>
      </c>
      <c r="B52">
        <v>0</v>
      </c>
      <c r="C52">
        <v>37</v>
      </c>
      <c r="D52">
        <v>0.40492</v>
      </c>
      <c r="E52">
        <v>0.20127</v>
      </c>
      <c r="F52">
        <v>-0.28348600000000002</v>
      </c>
      <c r="G52" s="9">
        <v>-8.7198999999999999E-2</v>
      </c>
      <c r="H52" s="42">
        <f t="shared" si="0"/>
        <v>-8.7198600480000027E-2</v>
      </c>
      <c r="I52" s="42">
        <f t="shared" si="1"/>
        <v>3.9951999997178689E-7</v>
      </c>
    </row>
    <row r="53" spans="1:9">
      <c r="A53" t="s">
        <v>144</v>
      </c>
      <c r="B53">
        <v>0</v>
      </c>
      <c r="C53">
        <v>38</v>
      </c>
      <c r="D53">
        <v>0.40492</v>
      </c>
      <c r="E53">
        <v>-0.184637</v>
      </c>
      <c r="F53">
        <v>0.29755500000000001</v>
      </c>
      <c r="G53" s="9">
        <v>0.10230599999999999</v>
      </c>
      <c r="H53" s="42">
        <f t="shared" si="0"/>
        <v>0.10230581536000002</v>
      </c>
      <c r="I53" s="42">
        <f t="shared" si="1"/>
        <v>-1.8463999996998215E-7</v>
      </c>
    </row>
    <row r="54" spans="1:9">
      <c r="A54" t="s">
        <v>144</v>
      </c>
      <c r="B54">
        <v>0</v>
      </c>
      <c r="C54">
        <v>39</v>
      </c>
      <c r="D54">
        <v>0.40492</v>
      </c>
      <c r="E54">
        <v>-0.91958399999999996</v>
      </c>
      <c r="F54">
        <v>4.2084999999999997E-2</v>
      </c>
      <c r="G54" s="9">
        <v>-0.34731299999999998</v>
      </c>
      <c r="H54" s="42">
        <f t="shared" si="0"/>
        <v>-0.34731401147999996</v>
      </c>
      <c r="I54" s="42">
        <f t="shared" si="1"/>
        <v>-1.0114799999794144E-6</v>
      </c>
    </row>
    <row r="55" spans="1:9">
      <c r="A55" t="s">
        <v>144</v>
      </c>
      <c r="B55">
        <v>0</v>
      </c>
      <c r="C55">
        <v>40</v>
      </c>
      <c r="D55">
        <v>0.40492</v>
      </c>
      <c r="E55">
        <v>0.278115</v>
      </c>
      <c r="F55">
        <v>-8.7741E-2</v>
      </c>
      <c r="G55" s="9">
        <v>6.0401999999999997E-2</v>
      </c>
      <c r="H55" s="42">
        <f t="shared" si="0"/>
        <v>6.0401411519999997E-2</v>
      </c>
      <c r="I55" s="42">
        <f t="shared" si="1"/>
        <v>-5.88480000000835E-7</v>
      </c>
    </row>
    <row r="56" spans="1:9">
      <c r="A56" t="s">
        <v>144</v>
      </c>
      <c r="B56">
        <v>0</v>
      </c>
      <c r="C56">
        <v>41</v>
      </c>
      <c r="D56">
        <v>0.40492</v>
      </c>
      <c r="E56">
        <v>-0.27121800000000001</v>
      </c>
      <c r="F56">
        <v>-0.67021699999999995</v>
      </c>
      <c r="G56" s="9">
        <v>-0.50865400000000005</v>
      </c>
      <c r="H56" s="42">
        <f t="shared" si="0"/>
        <v>-0.50865432491999996</v>
      </c>
      <c r="I56" s="42">
        <f t="shared" si="1"/>
        <v>-3.2491999990558185E-7</v>
      </c>
    </row>
    <row r="57" spans="1:9">
      <c r="A57" t="s">
        <v>144</v>
      </c>
      <c r="B57">
        <v>0</v>
      </c>
      <c r="C57">
        <v>42</v>
      </c>
      <c r="D57">
        <v>0.40492</v>
      </c>
      <c r="E57">
        <v>0.70314600000000005</v>
      </c>
      <c r="F57">
        <v>5.3407000000000003E-2</v>
      </c>
      <c r="G57" s="9">
        <v>0.31649899999999997</v>
      </c>
      <c r="H57" s="42">
        <f t="shared" si="0"/>
        <v>0.31649931588000002</v>
      </c>
      <c r="I57" s="42">
        <f t="shared" si="1"/>
        <v>3.1588000004578731E-7</v>
      </c>
    </row>
    <row r="58" spans="1:9">
      <c r="A58" t="s">
        <v>144</v>
      </c>
      <c r="B58">
        <v>0</v>
      </c>
      <c r="C58">
        <v>43</v>
      </c>
      <c r="D58">
        <v>0.40492</v>
      </c>
      <c r="E58">
        <v>0.412549</v>
      </c>
      <c r="F58">
        <v>0.151952</v>
      </c>
      <c r="G58" s="9">
        <v>0.25747300000000001</v>
      </c>
      <c r="H58" s="42">
        <f t="shared" si="0"/>
        <v>0.25747293723999998</v>
      </c>
      <c r="I58" s="42">
        <f t="shared" si="1"/>
        <v>-6.2760000030248619E-8</v>
      </c>
    </row>
    <row r="59" spans="1:9">
      <c r="A59" t="s">
        <v>144</v>
      </c>
      <c r="B59">
        <v>0</v>
      </c>
      <c r="C59">
        <v>44</v>
      </c>
      <c r="D59">
        <v>0.40492</v>
      </c>
      <c r="E59">
        <v>-0.60927200000000004</v>
      </c>
      <c r="F59">
        <v>0.29505300000000001</v>
      </c>
      <c r="G59" s="9">
        <v>-7.1125999999999995E-2</v>
      </c>
      <c r="H59" s="42">
        <f t="shared" si="0"/>
        <v>-7.1126278999999987E-2</v>
      </c>
      <c r="I59" s="42">
        <f t="shared" si="1"/>
        <v>-2.789999999919246E-7</v>
      </c>
    </row>
    <row r="60" spans="1:9">
      <c r="A60" t="s">
        <v>144</v>
      </c>
      <c r="B60">
        <v>0</v>
      </c>
      <c r="C60">
        <v>45</v>
      </c>
      <c r="D60">
        <v>0.40492</v>
      </c>
      <c r="E60">
        <v>-0.37781900000000002</v>
      </c>
      <c r="F60">
        <v>0.58006500000000005</v>
      </c>
      <c r="G60" s="9">
        <v>0.19219900000000001</v>
      </c>
      <c r="H60" s="42">
        <f t="shared" si="0"/>
        <v>0.19219861072000005</v>
      </c>
      <c r="I60" s="42">
        <f t="shared" si="1"/>
        <v>-3.8927999995719276E-7</v>
      </c>
    </row>
    <row r="61" spans="1:9">
      <c r="A61" t="s">
        <v>144</v>
      </c>
      <c r="B61">
        <v>0</v>
      </c>
      <c r="C61">
        <v>46</v>
      </c>
      <c r="D61">
        <v>0.40492</v>
      </c>
      <c r="E61">
        <v>-0.50169399999999997</v>
      </c>
      <c r="F61">
        <v>-0.34296700000000002</v>
      </c>
      <c r="G61" s="9">
        <v>-0.40723900000000002</v>
      </c>
      <c r="H61" s="42">
        <f t="shared" si="0"/>
        <v>-0.40723873684</v>
      </c>
      <c r="I61" s="42">
        <f t="shared" si="1"/>
        <v>2.6316000001358475E-7</v>
      </c>
    </row>
    <row r="62" spans="1:9">
      <c r="A62" t="s">
        <v>144</v>
      </c>
      <c r="B62">
        <v>0</v>
      </c>
      <c r="C62">
        <v>47</v>
      </c>
      <c r="D62">
        <v>0.40492</v>
      </c>
      <c r="E62">
        <v>-0.48045300000000002</v>
      </c>
      <c r="F62">
        <v>-0.99417100000000003</v>
      </c>
      <c r="G62" s="9">
        <v>-0.78615599999999997</v>
      </c>
      <c r="H62" s="42">
        <f t="shared" si="0"/>
        <v>-0.78615630744000009</v>
      </c>
      <c r="I62" s="42">
        <f t="shared" si="1"/>
        <v>-3.074400001246147E-7</v>
      </c>
    </row>
    <row r="63" spans="1:9">
      <c r="A63" t="s">
        <v>144</v>
      </c>
      <c r="B63">
        <v>0</v>
      </c>
      <c r="C63">
        <v>48</v>
      </c>
      <c r="D63">
        <v>0.40492</v>
      </c>
      <c r="E63">
        <v>-0.100314</v>
      </c>
      <c r="F63">
        <v>0.95394800000000002</v>
      </c>
      <c r="G63" s="9">
        <v>0.52705599999999997</v>
      </c>
      <c r="H63" s="42">
        <f t="shared" si="0"/>
        <v>0.52705623096000009</v>
      </c>
      <c r="I63" s="42">
        <f t="shared" si="1"/>
        <v>2.3096000012490236E-7</v>
      </c>
    </row>
    <row r="64" spans="1:9">
      <c r="A64" t="s">
        <v>144</v>
      </c>
      <c r="B64">
        <v>0</v>
      </c>
      <c r="C64">
        <v>49</v>
      </c>
      <c r="D64">
        <v>0.40492</v>
      </c>
      <c r="E64">
        <v>-0.29395399999999999</v>
      </c>
      <c r="F64">
        <v>0.79961499999999996</v>
      </c>
      <c r="G64" s="9">
        <v>0.35680800000000001</v>
      </c>
      <c r="H64" s="42">
        <f t="shared" si="0"/>
        <v>0.35680704052000001</v>
      </c>
      <c r="I64" s="42">
        <f t="shared" si="1"/>
        <v>-9.5948000000678491E-7</v>
      </c>
    </row>
    <row r="65" spans="1:9">
      <c r="A65" t="s">
        <v>144</v>
      </c>
      <c r="B65" t="s">
        <v>145</v>
      </c>
      <c r="C65">
        <v>1</v>
      </c>
    </row>
    <row r="66" spans="1:9">
      <c r="A66" t="s">
        <v>144</v>
      </c>
      <c r="B66" t="s">
        <v>146</v>
      </c>
      <c r="C66">
        <v>40</v>
      </c>
    </row>
    <row r="67" spans="1:9">
      <c r="A67" t="s">
        <v>144</v>
      </c>
      <c r="B67" t="s">
        <v>147</v>
      </c>
      <c r="C67">
        <v>40</v>
      </c>
    </row>
    <row r="68" spans="1:9">
      <c r="A68" t="s">
        <v>144</v>
      </c>
      <c r="B68" t="s">
        <v>148</v>
      </c>
      <c r="C68">
        <v>6.3996999999999998E-2</v>
      </c>
    </row>
    <row r="69" spans="1:9">
      <c r="A69" t="s">
        <v>144</v>
      </c>
      <c r="B69" t="s">
        <v>149</v>
      </c>
      <c r="C69">
        <v>6.3996999999999998E-2</v>
      </c>
    </row>
    <row r="70" spans="1:9">
      <c r="A70" t="s">
        <v>144</v>
      </c>
      <c r="B70" t="s">
        <v>150</v>
      </c>
      <c r="C70">
        <v>-1</v>
      </c>
    </row>
    <row r="71" spans="1:9">
      <c r="A71" t="s">
        <v>144</v>
      </c>
      <c r="B71" t="s">
        <v>151</v>
      </c>
      <c r="C71">
        <v>-1</v>
      </c>
    </row>
    <row r="72" spans="1:9">
      <c r="A72" t="s">
        <v>144</v>
      </c>
      <c r="B72" t="s">
        <v>152</v>
      </c>
      <c r="C72">
        <v>42</v>
      </c>
    </row>
    <row r="73" spans="1:9">
      <c r="A73" t="s">
        <v>144</v>
      </c>
      <c r="B73" t="s">
        <v>153</v>
      </c>
      <c r="C73">
        <v>42</v>
      </c>
    </row>
    <row r="74" spans="1:9">
      <c r="A74" t="s">
        <v>144</v>
      </c>
      <c r="B74" t="s">
        <v>154</v>
      </c>
      <c r="C74">
        <v>0</v>
      </c>
    </row>
    <row r="75" spans="1:9">
      <c r="A75" t="s">
        <v>144</v>
      </c>
      <c r="B75" t="s">
        <v>155</v>
      </c>
    </row>
    <row r="76" spans="1:9">
      <c r="A76" t="s">
        <v>144</v>
      </c>
      <c r="B76" t="s">
        <v>150</v>
      </c>
      <c r="C76">
        <v>0.26712900000000001</v>
      </c>
      <c r="H76" s="38" t="s">
        <v>164</v>
      </c>
      <c r="I76" s="44">
        <f>MIN(I79:I128)</f>
        <v>-8.0476899988468631E-7</v>
      </c>
    </row>
    <row r="77" spans="1:9">
      <c r="A77" t="s">
        <v>144</v>
      </c>
      <c r="B77" t="s">
        <v>151</v>
      </c>
      <c r="C77">
        <v>0.26712900000000001</v>
      </c>
      <c r="H77" s="38" t="s">
        <v>165</v>
      </c>
      <c r="I77" s="44">
        <f>MAX(I79:I128)</f>
        <v>2.7863500007274666E-7</v>
      </c>
    </row>
    <row r="78" spans="1:9">
      <c r="A78" t="s">
        <v>144</v>
      </c>
      <c r="B78" t="s">
        <v>156</v>
      </c>
      <c r="C78" t="s">
        <v>157</v>
      </c>
      <c r="D78" t="s">
        <v>63</v>
      </c>
      <c r="E78" t="s">
        <v>158</v>
      </c>
      <c r="F78" t="s">
        <v>159</v>
      </c>
      <c r="G78" t="s">
        <v>160</v>
      </c>
      <c r="H78" s="43" t="s">
        <v>162</v>
      </c>
      <c r="I78" s="43" t="s">
        <v>163</v>
      </c>
    </row>
    <row r="79" spans="1:9">
      <c r="A79" t="s">
        <v>144</v>
      </c>
      <c r="B79">
        <v>1</v>
      </c>
      <c r="C79">
        <v>0</v>
      </c>
      <c r="D79">
        <v>0.26712900000000001</v>
      </c>
      <c r="E79">
        <v>0.62172300000000003</v>
      </c>
      <c r="F79">
        <v>-1</v>
      </c>
      <c r="G79">
        <v>0.62172300000000003</v>
      </c>
      <c r="H79" s="42">
        <f>IF(C79&lt;$C$72,E79,D79*E79 + (1 - D79)*F79)</f>
        <v>0.62172300000000003</v>
      </c>
      <c r="I79" s="42">
        <f>H79-G79</f>
        <v>0</v>
      </c>
    </row>
    <row r="80" spans="1:9">
      <c r="A80" t="s">
        <v>144</v>
      </c>
      <c r="B80">
        <v>1</v>
      </c>
      <c r="C80">
        <v>1</v>
      </c>
      <c r="D80">
        <v>0.26712900000000001</v>
      </c>
      <c r="E80">
        <v>-0.54197799999999996</v>
      </c>
      <c r="F80">
        <v>-1</v>
      </c>
      <c r="G80">
        <v>-0.54197799999999996</v>
      </c>
      <c r="H80" s="42">
        <f t="shared" ref="H80:H128" si="2">IF(C80&lt;$C$72,E80,D80*E80 + (1 - D80)*F80)</f>
        <v>-0.54197799999999996</v>
      </c>
      <c r="I80" s="42">
        <f t="shared" ref="I80:I128" si="3">H80-G80</f>
        <v>0</v>
      </c>
    </row>
    <row r="81" spans="1:9">
      <c r="A81" t="s">
        <v>144</v>
      </c>
      <c r="B81">
        <v>1</v>
      </c>
      <c r="C81">
        <v>2</v>
      </c>
      <c r="D81">
        <v>0.26712900000000001</v>
      </c>
      <c r="E81">
        <v>-0.77584200000000003</v>
      </c>
      <c r="F81">
        <v>-1</v>
      </c>
      <c r="G81">
        <v>-0.77584200000000003</v>
      </c>
      <c r="H81" s="42">
        <f t="shared" si="2"/>
        <v>-0.77584200000000003</v>
      </c>
      <c r="I81" s="42">
        <f t="shared" si="3"/>
        <v>0</v>
      </c>
    </row>
    <row r="82" spans="1:9">
      <c r="A82" t="s">
        <v>144</v>
      </c>
      <c r="B82">
        <v>1</v>
      </c>
      <c r="C82">
        <v>3</v>
      </c>
      <c r="D82">
        <v>0.26712900000000001</v>
      </c>
      <c r="E82">
        <v>-7.1656999999999998E-2</v>
      </c>
      <c r="F82">
        <v>-1</v>
      </c>
      <c r="G82">
        <v>-7.1656999999999998E-2</v>
      </c>
      <c r="H82" s="42">
        <f t="shared" si="2"/>
        <v>-7.1656999999999998E-2</v>
      </c>
      <c r="I82" s="42">
        <f t="shared" si="3"/>
        <v>0</v>
      </c>
    </row>
    <row r="83" spans="1:9">
      <c r="A83" t="s">
        <v>144</v>
      </c>
      <c r="B83">
        <v>1</v>
      </c>
      <c r="C83">
        <v>4</v>
      </c>
      <c r="D83">
        <v>0.26712900000000001</v>
      </c>
      <c r="E83">
        <v>-0.11508500000000001</v>
      </c>
      <c r="F83">
        <v>-1</v>
      </c>
      <c r="G83">
        <v>-0.11508500000000001</v>
      </c>
      <c r="H83" s="42">
        <f t="shared" si="2"/>
        <v>-0.11508500000000001</v>
      </c>
      <c r="I83" s="42">
        <f t="shared" si="3"/>
        <v>0</v>
      </c>
    </row>
    <row r="84" spans="1:9">
      <c r="A84" t="s">
        <v>144</v>
      </c>
      <c r="B84">
        <v>1</v>
      </c>
      <c r="C84">
        <v>5</v>
      </c>
      <c r="D84">
        <v>0.26712900000000001</v>
      </c>
      <c r="E84">
        <v>-0.87475199999999997</v>
      </c>
      <c r="F84">
        <v>-1</v>
      </c>
      <c r="G84">
        <v>-0.87475199999999997</v>
      </c>
      <c r="H84" s="42">
        <f t="shared" si="2"/>
        <v>-0.87475199999999997</v>
      </c>
      <c r="I84" s="42">
        <f t="shared" si="3"/>
        <v>0</v>
      </c>
    </row>
    <row r="85" spans="1:9">
      <c r="A85" t="s">
        <v>144</v>
      </c>
      <c r="B85">
        <v>1</v>
      </c>
      <c r="C85">
        <v>6</v>
      </c>
      <c r="D85">
        <v>0.26712900000000001</v>
      </c>
      <c r="E85">
        <v>0.50468500000000005</v>
      </c>
      <c r="F85">
        <v>-1</v>
      </c>
      <c r="G85">
        <v>0.50468500000000005</v>
      </c>
      <c r="H85" s="42">
        <f t="shared" si="2"/>
        <v>0.50468500000000005</v>
      </c>
      <c r="I85" s="42">
        <f t="shared" si="3"/>
        <v>0</v>
      </c>
    </row>
    <row r="86" spans="1:9">
      <c r="A86" t="s">
        <v>144</v>
      </c>
      <c r="B86">
        <v>1</v>
      </c>
      <c r="C86">
        <v>7</v>
      </c>
      <c r="D86">
        <v>0.26712900000000001</v>
      </c>
      <c r="E86">
        <v>-0.56715599999999999</v>
      </c>
      <c r="F86">
        <v>-1</v>
      </c>
      <c r="G86">
        <v>-0.56715599999999999</v>
      </c>
      <c r="H86" s="42">
        <f t="shared" si="2"/>
        <v>-0.56715599999999999</v>
      </c>
      <c r="I86" s="42">
        <f t="shared" si="3"/>
        <v>0</v>
      </c>
    </row>
    <row r="87" spans="1:9">
      <c r="A87" t="s">
        <v>144</v>
      </c>
      <c r="B87">
        <v>1</v>
      </c>
      <c r="C87">
        <v>8</v>
      </c>
      <c r="D87">
        <v>0.26712900000000001</v>
      </c>
      <c r="E87">
        <v>0.95077400000000001</v>
      </c>
      <c r="F87">
        <v>-1</v>
      </c>
      <c r="G87">
        <v>0.95077400000000001</v>
      </c>
      <c r="H87" s="42">
        <f t="shared" si="2"/>
        <v>0.95077400000000001</v>
      </c>
      <c r="I87" s="42">
        <f t="shared" si="3"/>
        <v>0</v>
      </c>
    </row>
    <row r="88" spans="1:9">
      <c r="A88" t="s">
        <v>144</v>
      </c>
      <c r="B88">
        <v>1</v>
      </c>
      <c r="C88">
        <v>9</v>
      </c>
      <c r="D88">
        <v>0.26712900000000001</v>
      </c>
      <c r="E88">
        <v>0.36155300000000001</v>
      </c>
      <c r="F88">
        <v>-1</v>
      </c>
      <c r="G88">
        <v>0.36155300000000001</v>
      </c>
      <c r="H88" s="42">
        <f t="shared" si="2"/>
        <v>0.36155300000000001</v>
      </c>
      <c r="I88" s="42">
        <f t="shared" si="3"/>
        <v>0</v>
      </c>
    </row>
    <row r="89" spans="1:9">
      <c r="A89" t="s">
        <v>144</v>
      </c>
      <c r="B89">
        <v>1</v>
      </c>
      <c r="C89">
        <v>10</v>
      </c>
      <c r="D89">
        <v>0.26712900000000001</v>
      </c>
      <c r="E89">
        <v>0.78170099999999998</v>
      </c>
      <c r="F89">
        <v>-1</v>
      </c>
      <c r="G89">
        <v>0.78170099999999998</v>
      </c>
      <c r="H89" s="42">
        <f t="shared" si="2"/>
        <v>0.78170099999999998</v>
      </c>
      <c r="I89" s="42">
        <f t="shared" si="3"/>
        <v>0</v>
      </c>
    </row>
    <row r="90" spans="1:9">
      <c r="A90" t="s">
        <v>144</v>
      </c>
      <c r="B90">
        <v>1</v>
      </c>
      <c r="C90">
        <v>11</v>
      </c>
      <c r="D90">
        <v>0.26712900000000001</v>
      </c>
      <c r="E90">
        <v>-0.94857599999999997</v>
      </c>
      <c r="F90">
        <v>-1</v>
      </c>
      <c r="G90">
        <v>-0.94857599999999997</v>
      </c>
      <c r="H90" s="42">
        <f t="shared" si="2"/>
        <v>-0.94857599999999997</v>
      </c>
      <c r="I90" s="42">
        <f t="shared" si="3"/>
        <v>0</v>
      </c>
    </row>
    <row r="91" spans="1:9">
      <c r="A91" t="s">
        <v>144</v>
      </c>
      <c r="B91">
        <v>1</v>
      </c>
      <c r="C91">
        <v>12</v>
      </c>
      <c r="D91">
        <v>0.26712900000000001</v>
      </c>
      <c r="E91">
        <v>0.83129399999999998</v>
      </c>
      <c r="F91">
        <v>-1</v>
      </c>
      <c r="G91">
        <v>0.83129399999999998</v>
      </c>
      <c r="H91" s="42">
        <f t="shared" si="2"/>
        <v>0.83129399999999998</v>
      </c>
      <c r="I91" s="42">
        <f t="shared" si="3"/>
        <v>0</v>
      </c>
    </row>
    <row r="92" spans="1:9">
      <c r="A92" t="s">
        <v>144</v>
      </c>
      <c r="B92">
        <v>1</v>
      </c>
      <c r="C92">
        <v>13</v>
      </c>
      <c r="D92">
        <v>0.26712900000000001</v>
      </c>
      <c r="E92">
        <v>0.39585599999999999</v>
      </c>
      <c r="F92">
        <v>-1</v>
      </c>
      <c r="G92">
        <v>0.39585599999999999</v>
      </c>
      <c r="H92" s="42">
        <f t="shared" si="2"/>
        <v>0.39585599999999999</v>
      </c>
      <c r="I92" s="42">
        <f t="shared" si="3"/>
        <v>0</v>
      </c>
    </row>
    <row r="93" spans="1:9">
      <c r="A93" t="s">
        <v>144</v>
      </c>
      <c r="B93">
        <v>1</v>
      </c>
      <c r="C93">
        <v>14</v>
      </c>
      <c r="D93">
        <v>0.26712900000000001</v>
      </c>
      <c r="E93">
        <v>-0.78020599999999996</v>
      </c>
      <c r="F93">
        <v>-1</v>
      </c>
      <c r="G93">
        <v>-0.78020599999999996</v>
      </c>
      <c r="H93" s="42">
        <f t="shared" si="2"/>
        <v>-0.78020599999999996</v>
      </c>
      <c r="I93" s="42">
        <f t="shared" si="3"/>
        <v>0</v>
      </c>
    </row>
    <row r="94" spans="1:9">
      <c r="A94" t="s">
        <v>144</v>
      </c>
      <c r="B94">
        <v>1</v>
      </c>
      <c r="C94">
        <v>15</v>
      </c>
      <c r="D94">
        <v>0.26712900000000001</v>
      </c>
      <c r="E94">
        <v>0.47114499999999998</v>
      </c>
      <c r="F94">
        <v>-1</v>
      </c>
      <c r="G94">
        <v>0.47114499999999998</v>
      </c>
      <c r="H94" s="42">
        <f t="shared" si="2"/>
        <v>0.47114499999999998</v>
      </c>
      <c r="I94" s="42">
        <f t="shared" si="3"/>
        <v>0</v>
      </c>
    </row>
    <row r="95" spans="1:9">
      <c r="A95" t="s">
        <v>144</v>
      </c>
      <c r="B95">
        <v>1</v>
      </c>
      <c r="C95">
        <v>16</v>
      </c>
      <c r="D95">
        <v>0.26712900000000001</v>
      </c>
      <c r="E95">
        <v>0.31186900000000001</v>
      </c>
      <c r="F95">
        <v>-1</v>
      </c>
      <c r="G95">
        <v>0.31186900000000001</v>
      </c>
      <c r="H95" s="42">
        <f t="shared" si="2"/>
        <v>0.31186900000000001</v>
      </c>
      <c r="I95" s="42">
        <f t="shared" si="3"/>
        <v>0</v>
      </c>
    </row>
    <row r="96" spans="1:9">
      <c r="A96" t="s">
        <v>144</v>
      </c>
      <c r="B96">
        <v>1</v>
      </c>
      <c r="C96">
        <v>17</v>
      </c>
      <c r="D96">
        <v>0.26712900000000001</v>
      </c>
      <c r="E96">
        <v>0.29496099999999997</v>
      </c>
      <c r="F96">
        <v>-1</v>
      </c>
      <c r="G96">
        <v>0.29496099999999997</v>
      </c>
      <c r="H96" s="42">
        <f t="shared" si="2"/>
        <v>0.29496099999999997</v>
      </c>
      <c r="I96" s="42">
        <f t="shared" si="3"/>
        <v>0</v>
      </c>
    </row>
    <row r="97" spans="1:9">
      <c r="A97" t="s">
        <v>144</v>
      </c>
      <c r="B97">
        <v>1</v>
      </c>
      <c r="C97">
        <v>18</v>
      </c>
      <c r="D97">
        <v>0.26712900000000001</v>
      </c>
      <c r="E97">
        <v>0.23908199999999999</v>
      </c>
      <c r="F97">
        <v>-1</v>
      </c>
      <c r="G97">
        <v>0.23908199999999999</v>
      </c>
      <c r="H97" s="42">
        <f t="shared" si="2"/>
        <v>0.23908199999999999</v>
      </c>
      <c r="I97" s="42">
        <f t="shared" si="3"/>
        <v>0</v>
      </c>
    </row>
    <row r="98" spans="1:9">
      <c r="A98" t="s">
        <v>144</v>
      </c>
      <c r="B98">
        <v>1</v>
      </c>
      <c r="C98">
        <v>19</v>
      </c>
      <c r="D98">
        <v>0.26712900000000001</v>
      </c>
      <c r="E98">
        <v>-0.730155</v>
      </c>
      <c r="F98">
        <v>-1</v>
      </c>
      <c r="G98">
        <v>-0.730155</v>
      </c>
      <c r="H98" s="42">
        <f t="shared" si="2"/>
        <v>-0.730155</v>
      </c>
      <c r="I98" s="42">
        <f t="shared" si="3"/>
        <v>0</v>
      </c>
    </row>
    <row r="99" spans="1:9">
      <c r="A99" t="s">
        <v>144</v>
      </c>
      <c r="B99">
        <v>1</v>
      </c>
      <c r="C99">
        <v>20</v>
      </c>
      <c r="D99">
        <v>0.26712900000000001</v>
      </c>
      <c r="E99">
        <v>0.25745400000000002</v>
      </c>
      <c r="F99">
        <v>-1</v>
      </c>
      <c r="G99">
        <v>0.25745400000000002</v>
      </c>
      <c r="H99" s="42">
        <f t="shared" si="2"/>
        <v>0.25745400000000002</v>
      </c>
      <c r="I99" s="42">
        <f t="shared" si="3"/>
        <v>0</v>
      </c>
    </row>
    <row r="100" spans="1:9">
      <c r="A100" t="s">
        <v>144</v>
      </c>
      <c r="B100">
        <v>1</v>
      </c>
      <c r="C100">
        <v>21</v>
      </c>
      <c r="D100">
        <v>0.26712900000000001</v>
      </c>
      <c r="E100">
        <v>0.413495</v>
      </c>
      <c r="F100">
        <v>-1</v>
      </c>
      <c r="G100">
        <v>0.413495</v>
      </c>
      <c r="H100" s="42">
        <f t="shared" si="2"/>
        <v>0.413495</v>
      </c>
      <c r="I100" s="42">
        <f t="shared" si="3"/>
        <v>0</v>
      </c>
    </row>
    <row r="101" spans="1:9">
      <c r="A101" t="s">
        <v>144</v>
      </c>
      <c r="B101">
        <v>1</v>
      </c>
      <c r="C101">
        <v>22</v>
      </c>
      <c r="D101">
        <v>0.26712900000000001</v>
      </c>
      <c r="E101">
        <v>0.48231499999999999</v>
      </c>
      <c r="F101">
        <v>-1</v>
      </c>
      <c r="G101">
        <v>0.48231499999999999</v>
      </c>
      <c r="H101" s="42">
        <f t="shared" si="2"/>
        <v>0.48231499999999999</v>
      </c>
      <c r="I101" s="42">
        <f t="shared" si="3"/>
        <v>0</v>
      </c>
    </row>
    <row r="102" spans="1:9">
      <c r="A102" t="s">
        <v>144</v>
      </c>
      <c r="B102">
        <v>1</v>
      </c>
      <c r="C102">
        <v>23</v>
      </c>
      <c r="D102">
        <v>0.26712900000000001</v>
      </c>
      <c r="E102">
        <v>0.83660400000000001</v>
      </c>
      <c r="F102">
        <v>-1</v>
      </c>
      <c r="G102">
        <v>0.83660400000000001</v>
      </c>
      <c r="H102" s="42">
        <f t="shared" si="2"/>
        <v>0.83660400000000001</v>
      </c>
      <c r="I102" s="42">
        <f t="shared" si="3"/>
        <v>0</v>
      </c>
    </row>
    <row r="103" spans="1:9">
      <c r="A103" t="s">
        <v>144</v>
      </c>
      <c r="B103">
        <v>1</v>
      </c>
      <c r="C103">
        <v>24</v>
      </c>
      <c r="D103">
        <v>0.26712900000000001</v>
      </c>
      <c r="E103">
        <v>0.42469600000000002</v>
      </c>
      <c r="F103">
        <v>-1</v>
      </c>
      <c r="G103">
        <v>0.42469600000000002</v>
      </c>
      <c r="H103" s="42">
        <f t="shared" si="2"/>
        <v>0.42469600000000002</v>
      </c>
      <c r="I103" s="42">
        <f t="shared" si="3"/>
        <v>0</v>
      </c>
    </row>
    <row r="104" spans="1:9">
      <c r="A104" t="s">
        <v>144</v>
      </c>
      <c r="B104">
        <v>1</v>
      </c>
      <c r="C104">
        <v>25</v>
      </c>
      <c r="D104">
        <v>0.26712900000000001</v>
      </c>
      <c r="E104">
        <v>0.38148100000000001</v>
      </c>
      <c r="F104">
        <v>-1</v>
      </c>
      <c r="G104">
        <v>0.38148100000000001</v>
      </c>
      <c r="H104" s="42">
        <f t="shared" si="2"/>
        <v>0.38148100000000001</v>
      </c>
      <c r="I104" s="42">
        <f t="shared" si="3"/>
        <v>0</v>
      </c>
    </row>
    <row r="105" spans="1:9">
      <c r="A105" t="s">
        <v>144</v>
      </c>
      <c r="B105">
        <v>1</v>
      </c>
      <c r="C105">
        <v>26</v>
      </c>
      <c r="D105">
        <v>0.26712900000000001</v>
      </c>
      <c r="E105">
        <v>0.56346300000000005</v>
      </c>
      <c r="F105">
        <v>-1</v>
      </c>
      <c r="G105">
        <v>0.56346300000000005</v>
      </c>
      <c r="H105" s="42">
        <f t="shared" si="2"/>
        <v>0.56346300000000005</v>
      </c>
      <c r="I105" s="42">
        <f t="shared" si="3"/>
        <v>0</v>
      </c>
    </row>
    <row r="106" spans="1:9">
      <c r="A106" t="s">
        <v>144</v>
      </c>
      <c r="B106">
        <v>1</v>
      </c>
      <c r="C106">
        <v>27</v>
      </c>
      <c r="D106">
        <v>0.26712900000000001</v>
      </c>
      <c r="E106">
        <v>-0.71791700000000003</v>
      </c>
      <c r="F106">
        <v>-1</v>
      </c>
      <c r="G106">
        <v>-0.71791700000000003</v>
      </c>
      <c r="H106" s="42">
        <f t="shared" si="2"/>
        <v>-0.71791700000000003</v>
      </c>
      <c r="I106" s="42">
        <f t="shared" si="3"/>
        <v>0</v>
      </c>
    </row>
    <row r="107" spans="1:9">
      <c r="A107" t="s">
        <v>144</v>
      </c>
      <c r="B107">
        <v>1</v>
      </c>
      <c r="C107">
        <v>28</v>
      </c>
      <c r="D107">
        <v>0.26712900000000001</v>
      </c>
      <c r="E107">
        <v>-0.16894999999999999</v>
      </c>
      <c r="F107">
        <v>-1</v>
      </c>
      <c r="G107">
        <v>-0.16894999999999999</v>
      </c>
      <c r="H107" s="42">
        <f t="shared" si="2"/>
        <v>-0.16894999999999999</v>
      </c>
      <c r="I107" s="42">
        <f t="shared" si="3"/>
        <v>0</v>
      </c>
    </row>
    <row r="108" spans="1:9">
      <c r="A108" t="s">
        <v>144</v>
      </c>
      <c r="B108">
        <v>1</v>
      </c>
      <c r="C108">
        <v>29</v>
      </c>
      <c r="D108">
        <v>0.26712900000000001</v>
      </c>
      <c r="E108">
        <v>-0.46784900000000001</v>
      </c>
      <c r="F108">
        <v>-1</v>
      </c>
      <c r="G108">
        <v>-0.46784900000000001</v>
      </c>
      <c r="H108" s="42">
        <f t="shared" si="2"/>
        <v>-0.46784900000000001</v>
      </c>
      <c r="I108" s="42">
        <f t="shared" si="3"/>
        <v>0</v>
      </c>
    </row>
    <row r="109" spans="1:9">
      <c r="A109" t="s">
        <v>144</v>
      </c>
      <c r="B109">
        <v>1</v>
      </c>
      <c r="C109">
        <v>30</v>
      </c>
      <c r="D109">
        <v>0.26712900000000001</v>
      </c>
      <c r="E109">
        <v>0.53526399999999996</v>
      </c>
      <c r="F109">
        <v>-1</v>
      </c>
      <c r="G109">
        <v>0.53526399999999996</v>
      </c>
      <c r="H109" s="42">
        <f t="shared" si="2"/>
        <v>0.53526399999999996</v>
      </c>
      <c r="I109" s="42">
        <f t="shared" si="3"/>
        <v>0</v>
      </c>
    </row>
    <row r="110" spans="1:9">
      <c r="A110" t="s">
        <v>144</v>
      </c>
      <c r="B110">
        <v>1</v>
      </c>
      <c r="C110">
        <v>31</v>
      </c>
      <c r="D110">
        <v>0.26712900000000001</v>
      </c>
      <c r="E110">
        <v>0.54399200000000003</v>
      </c>
      <c r="F110">
        <v>-1</v>
      </c>
      <c r="G110">
        <v>0.54399200000000003</v>
      </c>
      <c r="H110" s="42">
        <f t="shared" si="2"/>
        <v>0.54399200000000003</v>
      </c>
      <c r="I110" s="42">
        <f t="shared" si="3"/>
        <v>0</v>
      </c>
    </row>
    <row r="111" spans="1:9">
      <c r="A111" t="s">
        <v>144</v>
      </c>
      <c r="B111">
        <v>1</v>
      </c>
      <c r="C111">
        <v>32</v>
      </c>
      <c r="D111">
        <v>0.26712900000000001</v>
      </c>
      <c r="E111">
        <v>-0.27643699999999999</v>
      </c>
      <c r="F111">
        <v>-1</v>
      </c>
      <c r="G111">
        <v>-0.27643699999999999</v>
      </c>
      <c r="H111" s="42">
        <f t="shared" si="2"/>
        <v>-0.27643699999999999</v>
      </c>
      <c r="I111" s="42">
        <f t="shared" si="3"/>
        <v>0</v>
      </c>
    </row>
    <row r="112" spans="1:9">
      <c r="A112" t="s">
        <v>144</v>
      </c>
      <c r="B112">
        <v>1</v>
      </c>
      <c r="C112">
        <v>33</v>
      </c>
      <c r="D112">
        <v>0.26712900000000001</v>
      </c>
      <c r="E112">
        <v>-6.8484000000000003E-2</v>
      </c>
      <c r="F112">
        <v>-1</v>
      </c>
      <c r="G112">
        <v>-6.8484000000000003E-2</v>
      </c>
      <c r="H112" s="42">
        <f t="shared" si="2"/>
        <v>-6.8484000000000003E-2</v>
      </c>
      <c r="I112" s="42">
        <f t="shared" si="3"/>
        <v>0</v>
      </c>
    </row>
    <row r="113" spans="1:9">
      <c r="A113" t="s">
        <v>144</v>
      </c>
      <c r="B113">
        <v>1</v>
      </c>
      <c r="C113">
        <v>34</v>
      </c>
      <c r="D113">
        <v>0.26712900000000001</v>
      </c>
      <c r="E113">
        <v>-0.84408099999999997</v>
      </c>
      <c r="F113">
        <v>-1</v>
      </c>
      <c r="G113">
        <v>-0.84408099999999997</v>
      </c>
      <c r="H113" s="42">
        <f t="shared" si="2"/>
        <v>-0.84408099999999997</v>
      </c>
      <c r="I113" s="42">
        <f t="shared" si="3"/>
        <v>0</v>
      </c>
    </row>
    <row r="114" spans="1:9">
      <c r="A114" t="s">
        <v>144</v>
      </c>
      <c r="B114">
        <v>1</v>
      </c>
      <c r="C114">
        <v>35</v>
      </c>
      <c r="D114">
        <v>0.26712900000000001</v>
      </c>
      <c r="E114">
        <v>-0.27771800000000002</v>
      </c>
      <c r="F114">
        <v>-1</v>
      </c>
      <c r="G114">
        <v>-0.27771800000000002</v>
      </c>
      <c r="H114" s="42">
        <f t="shared" si="2"/>
        <v>-0.27771800000000002</v>
      </c>
      <c r="I114" s="42">
        <f t="shared" si="3"/>
        <v>0</v>
      </c>
    </row>
    <row r="115" spans="1:9">
      <c r="A115" t="s">
        <v>144</v>
      </c>
      <c r="B115">
        <v>1</v>
      </c>
      <c r="C115">
        <v>36</v>
      </c>
      <c r="D115">
        <v>0.26712900000000001</v>
      </c>
      <c r="E115">
        <v>-0.92117099999999996</v>
      </c>
      <c r="F115">
        <v>-1</v>
      </c>
      <c r="G115">
        <v>-0.92117099999999996</v>
      </c>
      <c r="H115" s="42">
        <f t="shared" si="2"/>
        <v>-0.92117099999999996</v>
      </c>
      <c r="I115" s="42">
        <f t="shared" si="3"/>
        <v>0</v>
      </c>
    </row>
    <row r="116" spans="1:9">
      <c r="A116" t="s">
        <v>144</v>
      </c>
      <c r="B116">
        <v>1</v>
      </c>
      <c r="C116">
        <v>37</v>
      </c>
      <c r="D116">
        <v>0.26712900000000001</v>
      </c>
      <c r="E116">
        <v>-0.31977299999999997</v>
      </c>
      <c r="F116">
        <v>-1</v>
      </c>
      <c r="G116">
        <v>-0.31977299999999997</v>
      </c>
      <c r="H116" s="42">
        <f t="shared" si="2"/>
        <v>-0.31977299999999997</v>
      </c>
      <c r="I116" s="42">
        <f t="shared" si="3"/>
        <v>0</v>
      </c>
    </row>
    <row r="117" spans="1:9">
      <c r="A117" t="s">
        <v>144</v>
      </c>
      <c r="B117">
        <v>1</v>
      </c>
      <c r="C117">
        <v>38</v>
      </c>
      <c r="D117">
        <v>0.26712900000000001</v>
      </c>
      <c r="E117">
        <v>-0.84957400000000005</v>
      </c>
      <c r="F117">
        <v>-1</v>
      </c>
      <c r="G117">
        <v>-0.84957400000000005</v>
      </c>
      <c r="H117" s="42">
        <f t="shared" si="2"/>
        <v>-0.84957400000000005</v>
      </c>
      <c r="I117" s="42">
        <f t="shared" si="3"/>
        <v>0</v>
      </c>
    </row>
    <row r="118" spans="1:9">
      <c r="A118" t="s">
        <v>144</v>
      </c>
      <c r="B118">
        <v>1</v>
      </c>
      <c r="C118">
        <v>39</v>
      </c>
      <c r="D118">
        <v>0.26712900000000001</v>
      </c>
      <c r="E118">
        <v>-0.35087099999999999</v>
      </c>
      <c r="F118">
        <v>-1</v>
      </c>
      <c r="G118">
        <v>-0.35087099999999999</v>
      </c>
      <c r="H118" s="42">
        <f t="shared" si="2"/>
        <v>-0.35087099999999999</v>
      </c>
      <c r="I118" s="42">
        <f t="shared" si="3"/>
        <v>0</v>
      </c>
    </row>
    <row r="119" spans="1:9">
      <c r="A119" t="s">
        <v>144</v>
      </c>
      <c r="B119">
        <v>1</v>
      </c>
      <c r="C119">
        <v>40</v>
      </c>
      <c r="D119">
        <v>0.26712900000000001</v>
      </c>
      <c r="E119">
        <v>0.74690999999999996</v>
      </c>
      <c r="F119">
        <v>-1</v>
      </c>
      <c r="G119">
        <v>0.74690999999999996</v>
      </c>
      <c r="H119" s="42">
        <f t="shared" si="2"/>
        <v>0.74690999999999996</v>
      </c>
      <c r="I119" s="42">
        <f t="shared" si="3"/>
        <v>0</v>
      </c>
    </row>
    <row r="120" spans="1:9">
      <c r="A120" t="s">
        <v>144</v>
      </c>
      <c r="B120">
        <v>1</v>
      </c>
      <c r="C120">
        <v>41</v>
      </c>
      <c r="D120">
        <v>0.26712900000000001</v>
      </c>
      <c r="E120">
        <v>0.83663399999999999</v>
      </c>
      <c r="F120">
        <v>-1</v>
      </c>
      <c r="G120">
        <v>0.83663399999999999</v>
      </c>
      <c r="H120" s="42">
        <f t="shared" si="2"/>
        <v>0.83663399999999999</v>
      </c>
      <c r="I120" s="42">
        <f t="shared" si="3"/>
        <v>0</v>
      </c>
    </row>
    <row r="121" spans="1:9">
      <c r="A121" t="s">
        <v>144</v>
      </c>
      <c r="B121">
        <v>1</v>
      </c>
      <c r="C121">
        <v>42</v>
      </c>
      <c r="D121">
        <v>0.26712900000000001</v>
      </c>
      <c r="E121">
        <v>0.46903899999999998</v>
      </c>
      <c r="F121">
        <v>-0.583453</v>
      </c>
      <c r="G121">
        <v>-0.30230200000000002</v>
      </c>
      <c r="H121" s="42">
        <f t="shared" si="2"/>
        <v>-0.30230186453200003</v>
      </c>
      <c r="I121" s="42">
        <f t="shared" si="3"/>
        <v>1.354679999843178E-7</v>
      </c>
    </row>
    <row r="122" spans="1:9">
      <c r="A122" t="s">
        <v>144</v>
      </c>
      <c r="B122">
        <v>1</v>
      </c>
      <c r="C122">
        <v>43</v>
      </c>
      <c r="D122">
        <v>0.26712900000000001</v>
      </c>
      <c r="E122">
        <v>0.46488800000000002</v>
      </c>
      <c r="F122">
        <v>0.75804899999999997</v>
      </c>
      <c r="G122">
        <v>0.67973799999999995</v>
      </c>
      <c r="H122" s="42">
        <f t="shared" si="2"/>
        <v>0.67973719523100007</v>
      </c>
      <c r="I122" s="42">
        <f t="shared" si="3"/>
        <v>-8.0476899988468631E-7</v>
      </c>
    </row>
    <row r="123" spans="1:9">
      <c r="A123" t="s">
        <v>144</v>
      </c>
      <c r="B123">
        <v>1</v>
      </c>
      <c r="C123">
        <v>44</v>
      </c>
      <c r="D123">
        <v>0.26712900000000001</v>
      </c>
      <c r="E123">
        <v>7.4465000000000003E-2</v>
      </c>
      <c r="F123">
        <v>-0.80284999999999995</v>
      </c>
      <c r="G123">
        <v>-0.56849400000000005</v>
      </c>
      <c r="H123" s="42">
        <f t="shared" si="2"/>
        <v>-0.56849372136499998</v>
      </c>
      <c r="I123" s="42">
        <f t="shared" si="3"/>
        <v>2.7863500007274666E-7</v>
      </c>
    </row>
    <row r="124" spans="1:9">
      <c r="A124" t="s">
        <v>144</v>
      </c>
      <c r="B124">
        <v>1</v>
      </c>
      <c r="C124">
        <v>45</v>
      </c>
      <c r="D124">
        <v>0.26712900000000001</v>
      </c>
      <c r="E124">
        <v>-0.57591499999999995</v>
      </c>
      <c r="F124">
        <v>0.41001599999999999</v>
      </c>
      <c r="G124">
        <v>0.146646</v>
      </c>
      <c r="H124" s="42">
        <f t="shared" si="2"/>
        <v>0.14664523790100001</v>
      </c>
      <c r="I124" s="42">
        <f t="shared" si="3"/>
        <v>-7.6209899999013508E-7</v>
      </c>
    </row>
    <row r="125" spans="1:9">
      <c r="A125" t="s">
        <v>144</v>
      </c>
      <c r="B125">
        <v>1</v>
      </c>
      <c r="C125">
        <v>46</v>
      </c>
      <c r="D125">
        <v>0.26712900000000001</v>
      </c>
      <c r="E125">
        <v>-0.94714200000000004</v>
      </c>
      <c r="F125">
        <v>-0.18246999999999999</v>
      </c>
      <c r="G125">
        <v>-0.38673600000000002</v>
      </c>
      <c r="H125" s="42">
        <f t="shared" si="2"/>
        <v>-0.38673606668800004</v>
      </c>
      <c r="I125" s="42">
        <f t="shared" si="3"/>
        <v>-6.6688000011083659E-8</v>
      </c>
    </row>
    <row r="126" spans="1:9">
      <c r="A126" t="s">
        <v>144</v>
      </c>
      <c r="B126">
        <v>1</v>
      </c>
      <c r="C126">
        <v>47</v>
      </c>
      <c r="D126">
        <v>0.26712900000000001</v>
      </c>
      <c r="E126">
        <v>0.51661699999999999</v>
      </c>
      <c r="F126">
        <v>0.159307</v>
      </c>
      <c r="G126">
        <v>0.25475500000000001</v>
      </c>
      <c r="H126" s="42">
        <f t="shared" si="2"/>
        <v>0.25475486299</v>
      </c>
      <c r="I126" s="42">
        <f t="shared" si="3"/>
        <v>-1.3701000001198338E-7</v>
      </c>
    </row>
    <row r="127" spans="1:9">
      <c r="A127" t="s">
        <v>144</v>
      </c>
      <c r="B127">
        <v>1</v>
      </c>
      <c r="C127">
        <v>48</v>
      </c>
      <c r="D127">
        <v>0.26712900000000001</v>
      </c>
      <c r="E127">
        <v>-0.23346700000000001</v>
      </c>
      <c r="F127">
        <v>-0.45872400000000002</v>
      </c>
      <c r="G127">
        <v>-0.39855099999999999</v>
      </c>
      <c r="H127" s="42">
        <f t="shared" si="2"/>
        <v>-0.39855132284700001</v>
      </c>
      <c r="I127" s="42">
        <f t="shared" si="3"/>
        <v>-3.2284700002271904E-7</v>
      </c>
    </row>
    <row r="128" spans="1:9">
      <c r="A128" t="s">
        <v>144</v>
      </c>
      <c r="B128">
        <v>1</v>
      </c>
      <c r="C128">
        <v>49</v>
      </c>
      <c r="D128">
        <v>0.26712900000000001</v>
      </c>
      <c r="E128">
        <v>-0.82470200000000005</v>
      </c>
      <c r="F128">
        <v>0.29053600000000002</v>
      </c>
      <c r="G128">
        <v>-7.3759999999999997E-3</v>
      </c>
      <c r="H128" s="42">
        <f t="shared" si="2"/>
        <v>-7.3764117019999853E-3</v>
      </c>
      <c r="I128" s="42">
        <f t="shared" si="3"/>
        <v>-4.1170199998556006E-7</v>
      </c>
    </row>
    <row r="129" spans="1:9">
      <c r="A129" t="s">
        <v>144</v>
      </c>
      <c r="B129" t="s">
        <v>145</v>
      </c>
      <c r="C129">
        <v>2</v>
      </c>
    </row>
    <row r="130" spans="1:9">
      <c r="A130" t="s">
        <v>144</v>
      </c>
      <c r="B130" t="s">
        <v>146</v>
      </c>
      <c r="C130">
        <v>49</v>
      </c>
    </row>
    <row r="131" spans="1:9">
      <c r="A131" t="s">
        <v>144</v>
      </c>
      <c r="B131" t="s">
        <v>147</v>
      </c>
      <c r="C131">
        <v>49</v>
      </c>
    </row>
    <row r="132" spans="1:9">
      <c r="A132" t="s">
        <v>144</v>
      </c>
      <c r="B132" t="s">
        <v>148</v>
      </c>
      <c r="C132">
        <v>0.448042</v>
      </c>
    </row>
    <row r="133" spans="1:9">
      <c r="A133" t="s">
        <v>144</v>
      </c>
      <c r="B133" t="s">
        <v>149</v>
      </c>
      <c r="C133">
        <v>0.448042</v>
      </c>
    </row>
    <row r="134" spans="1:9">
      <c r="A134" t="s">
        <v>144</v>
      </c>
      <c r="B134" t="s">
        <v>150</v>
      </c>
      <c r="C134">
        <v>-1</v>
      </c>
    </row>
    <row r="135" spans="1:9">
      <c r="A135" t="s">
        <v>144</v>
      </c>
      <c r="B135" t="s">
        <v>151</v>
      </c>
      <c r="C135">
        <v>-1</v>
      </c>
    </row>
    <row r="136" spans="1:9">
      <c r="A136" t="s">
        <v>144</v>
      </c>
      <c r="B136" t="s">
        <v>152</v>
      </c>
      <c r="C136">
        <v>31</v>
      </c>
    </row>
    <row r="137" spans="1:9">
      <c r="A137" t="s">
        <v>144</v>
      </c>
      <c r="B137" t="s">
        <v>153</v>
      </c>
      <c r="C137">
        <v>31</v>
      </c>
    </row>
    <row r="138" spans="1:9">
      <c r="A138" t="s">
        <v>144</v>
      </c>
      <c r="B138" t="s">
        <v>154</v>
      </c>
      <c r="C138">
        <v>0</v>
      </c>
    </row>
    <row r="139" spans="1:9">
      <c r="A139" t="s">
        <v>144</v>
      </c>
      <c r="B139" t="s">
        <v>155</v>
      </c>
    </row>
    <row r="140" spans="1:9">
      <c r="A140" t="s">
        <v>144</v>
      </c>
      <c r="B140" t="s">
        <v>150</v>
      </c>
      <c r="C140">
        <v>0.441328</v>
      </c>
      <c r="H140" s="38" t="s">
        <v>164</v>
      </c>
      <c r="I140" s="44">
        <f>MIN(I143:I192)</f>
        <v>-4.893120000293294E-7</v>
      </c>
    </row>
    <row r="141" spans="1:9">
      <c r="A141" t="s">
        <v>144</v>
      </c>
      <c r="B141" t="s">
        <v>151</v>
      </c>
      <c r="C141">
        <v>0.441328</v>
      </c>
      <c r="H141" s="38" t="s">
        <v>165</v>
      </c>
      <c r="I141" s="44">
        <f>MAX(I143:I192)</f>
        <v>1.0965120000733242E-6</v>
      </c>
    </row>
    <row r="142" spans="1:9">
      <c r="A142" t="s">
        <v>144</v>
      </c>
      <c r="B142" t="s">
        <v>156</v>
      </c>
      <c r="C142" t="s">
        <v>157</v>
      </c>
      <c r="D142" t="s">
        <v>63</v>
      </c>
      <c r="E142" t="s">
        <v>158</v>
      </c>
      <c r="F142" t="s">
        <v>159</v>
      </c>
      <c r="G142" t="s">
        <v>160</v>
      </c>
      <c r="H142" s="43" t="s">
        <v>162</v>
      </c>
      <c r="I142" s="43" t="s">
        <v>163</v>
      </c>
    </row>
    <row r="143" spans="1:9">
      <c r="A143" t="s">
        <v>144</v>
      </c>
      <c r="B143">
        <v>2</v>
      </c>
      <c r="C143">
        <v>0</v>
      </c>
      <c r="D143">
        <v>0.441328</v>
      </c>
      <c r="E143">
        <v>0.94692799999999999</v>
      </c>
      <c r="F143">
        <v>-1</v>
      </c>
      <c r="G143">
        <v>0.94692799999999999</v>
      </c>
      <c r="H143" s="42">
        <f>IF(C143&lt;$C$136,E143,D143*E143 + (1 - D143)*F143)</f>
        <v>0.94692799999999999</v>
      </c>
      <c r="I143" s="42">
        <f>H143-G143</f>
        <v>0</v>
      </c>
    </row>
    <row r="144" spans="1:9">
      <c r="A144" t="s">
        <v>144</v>
      </c>
      <c r="B144">
        <v>2</v>
      </c>
      <c r="C144">
        <v>1</v>
      </c>
      <c r="D144">
        <v>0.441328</v>
      </c>
      <c r="E144">
        <v>-0.87719400000000003</v>
      </c>
      <c r="F144">
        <v>-1</v>
      </c>
      <c r="G144">
        <v>-0.87719400000000003</v>
      </c>
      <c r="H144" s="42">
        <f t="shared" ref="H144:H192" si="4">IF(C144&lt;$C$136,E144,D144*E144 + (1 - D144)*F144)</f>
        <v>-0.87719400000000003</v>
      </c>
      <c r="I144" s="42">
        <f t="shared" ref="I144:I192" si="5">H144-G144</f>
        <v>0</v>
      </c>
    </row>
    <row r="145" spans="1:9">
      <c r="A145" t="s">
        <v>144</v>
      </c>
      <c r="B145">
        <v>2</v>
      </c>
      <c r="C145">
        <v>2</v>
      </c>
      <c r="D145">
        <v>0.441328</v>
      </c>
      <c r="E145">
        <v>-0.88869900000000002</v>
      </c>
      <c r="F145">
        <v>-1</v>
      </c>
      <c r="G145">
        <v>-0.88869900000000002</v>
      </c>
      <c r="H145" s="42">
        <f t="shared" si="4"/>
        <v>-0.88869900000000002</v>
      </c>
      <c r="I145" s="42">
        <f t="shared" si="5"/>
        <v>0</v>
      </c>
    </row>
    <row r="146" spans="1:9">
      <c r="A146" t="s">
        <v>144</v>
      </c>
      <c r="B146">
        <v>2</v>
      </c>
      <c r="C146">
        <v>3</v>
      </c>
      <c r="D146">
        <v>0.441328</v>
      </c>
      <c r="E146">
        <v>0.74987000000000004</v>
      </c>
      <c r="F146">
        <v>-1</v>
      </c>
      <c r="G146">
        <v>0.74987000000000004</v>
      </c>
      <c r="H146" s="42">
        <f t="shared" si="4"/>
        <v>0.74987000000000004</v>
      </c>
      <c r="I146" s="42">
        <f t="shared" si="5"/>
        <v>0</v>
      </c>
    </row>
    <row r="147" spans="1:9">
      <c r="A147" t="s">
        <v>144</v>
      </c>
      <c r="B147">
        <v>2</v>
      </c>
      <c r="C147">
        <v>4</v>
      </c>
      <c r="D147">
        <v>0.441328</v>
      </c>
      <c r="E147">
        <v>0.35325200000000001</v>
      </c>
      <c r="F147">
        <v>-1</v>
      </c>
      <c r="G147">
        <v>0.35325200000000001</v>
      </c>
      <c r="H147" s="42">
        <f t="shared" si="4"/>
        <v>0.35325200000000001</v>
      </c>
      <c r="I147" s="42">
        <f t="shared" si="5"/>
        <v>0</v>
      </c>
    </row>
    <row r="148" spans="1:9">
      <c r="A148" t="s">
        <v>144</v>
      </c>
      <c r="B148">
        <v>2</v>
      </c>
      <c r="C148">
        <v>5</v>
      </c>
      <c r="D148">
        <v>0.441328</v>
      </c>
      <c r="E148">
        <v>-0.77687899999999999</v>
      </c>
      <c r="F148">
        <v>-1</v>
      </c>
      <c r="G148">
        <v>-0.77687899999999999</v>
      </c>
      <c r="H148" s="42">
        <f t="shared" si="4"/>
        <v>-0.77687899999999999</v>
      </c>
      <c r="I148" s="42">
        <f t="shared" si="5"/>
        <v>0</v>
      </c>
    </row>
    <row r="149" spans="1:9">
      <c r="A149" t="s">
        <v>144</v>
      </c>
      <c r="B149">
        <v>2</v>
      </c>
      <c r="C149">
        <v>6</v>
      </c>
      <c r="D149">
        <v>0.441328</v>
      </c>
      <c r="E149">
        <v>-0.37321100000000001</v>
      </c>
      <c r="F149">
        <v>-1</v>
      </c>
      <c r="G149">
        <v>-0.37321100000000001</v>
      </c>
      <c r="H149" s="42">
        <f t="shared" si="4"/>
        <v>-0.37321100000000001</v>
      </c>
      <c r="I149" s="42">
        <f t="shared" si="5"/>
        <v>0</v>
      </c>
    </row>
    <row r="150" spans="1:9">
      <c r="A150" t="s">
        <v>144</v>
      </c>
      <c r="B150">
        <v>2</v>
      </c>
      <c r="C150">
        <v>7</v>
      </c>
      <c r="D150">
        <v>0.441328</v>
      </c>
      <c r="E150">
        <v>0.42408499999999999</v>
      </c>
      <c r="F150">
        <v>-1</v>
      </c>
      <c r="G150">
        <v>0.42408499999999999</v>
      </c>
      <c r="H150" s="42">
        <f t="shared" si="4"/>
        <v>0.42408499999999999</v>
      </c>
      <c r="I150" s="42">
        <f t="shared" si="5"/>
        <v>0</v>
      </c>
    </row>
    <row r="151" spans="1:9">
      <c r="A151" t="s">
        <v>144</v>
      </c>
      <c r="B151">
        <v>2</v>
      </c>
      <c r="C151">
        <v>8</v>
      </c>
      <c r="D151">
        <v>0.441328</v>
      </c>
      <c r="E151">
        <v>0.69695099999999999</v>
      </c>
      <c r="F151">
        <v>-1</v>
      </c>
      <c r="G151">
        <v>0.69695099999999999</v>
      </c>
      <c r="H151" s="42">
        <f t="shared" si="4"/>
        <v>0.69695099999999999</v>
      </c>
      <c r="I151" s="42">
        <f t="shared" si="5"/>
        <v>0</v>
      </c>
    </row>
    <row r="152" spans="1:9">
      <c r="A152" t="s">
        <v>144</v>
      </c>
      <c r="B152">
        <v>2</v>
      </c>
      <c r="C152">
        <v>9</v>
      </c>
      <c r="D152">
        <v>0.441328</v>
      </c>
      <c r="E152">
        <v>0.42851</v>
      </c>
      <c r="F152">
        <v>-1</v>
      </c>
      <c r="G152">
        <v>0.42851</v>
      </c>
      <c r="H152" s="42">
        <f t="shared" si="4"/>
        <v>0.42851</v>
      </c>
      <c r="I152" s="42">
        <f t="shared" si="5"/>
        <v>0</v>
      </c>
    </row>
    <row r="153" spans="1:9">
      <c r="A153" t="s">
        <v>144</v>
      </c>
      <c r="B153">
        <v>2</v>
      </c>
      <c r="C153">
        <v>10</v>
      </c>
      <c r="D153">
        <v>0.441328</v>
      </c>
      <c r="E153">
        <v>-0.96624699999999997</v>
      </c>
      <c r="F153">
        <v>-1</v>
      </c>
      <c r="G153">
        <v>-0.96624699999999997</v>
      </c>
      <c r="H153" s="42">
        <f t="shared" si="4"/>
        <v>-0.96624699999999997</v>
      </c>
      <c r="I153" s="42">
        <f t="shared" si="5"/>
        <v>0</v>
      </c>
    </row>
    <row r="154" spans="1:9">
      <c r="A154" t="s">
        <v>144</v>
      </c>
      <c r="B154">
        <v>2</v>
      </c>
      <c r="C154">
        <v>11</v>
      </c>
      <c r="D154">
        <v>0.441328</v>
      </c>
      <c r="E154">
        <v>0.64455099999999999</v>
      </c>
      <c r="F154">
        <v>-1</v>
      </c>
      <c r="G154">
        <v>0.64455099999999999</v>
      </c>
      <c r="H154" s="42">
        <f t="shared" si="4"/>
        <v>0.64455099999999999</v>
      </c>
      <c r="I154" s="42">
        <f t="shared" si="5"/>
        <v>0</v>
      </c>
    </row>
    <row r="155" spans="1:9">
      <c r="A155" t="s">
        <v>144</v>
      </c>
      <c r="B155">
        <v>2</v>
      </c>
      <c r="C155">
        <v>12</v>
      </c>
      <c r="D155">
        <v>0.441328</v>
      </c>
      <c r="E155">
        <v>0.582812</v>
      </c>
      <c r="F155">
        <v>-1</v>
      </c>
      <c r="G155">
        <v>0.582812</v>
      </c>
      <c r="H155" s="42">
        <f t="shared" si="4"/>
        <v>0.582812</v>
      </c>
      <c r="I155" s="42">
        <f t="shared" si="5"/>
        <v>0</v>
      </c>
    </row>
    <row r="156" spans="1:9">
      <c r="A156" t="s">
        <v>144</v>
      </c>
      <c r="B156">
        <v>2</v>
      </c>
      <c r="C156">
        <v>13</v>
      </c>
      <c r="D156">
        <v>0.441328</v>
      </c>
      <c r="E156">
        <v>-9.5431000000000002E-2</v>
      </c>
      <c r="F156">
        <v>-1</v>
      </c>
      <c r="G156">
        <v>-9.5431000000000002E-2</v>
      </c>
      <c r="H156" s="42">
        <f t="shared" si="4"/>
        <v>-9.5431000000000002E-2</v>
      </c>
      <c r="I156" s="42">
        <f t="shared" si="5"/>
        <v>0</v>
      </c>
    </row>
    <row r="157" spans="1:9">
      <c r="A157" t="s">
        <v>144</v>
      </c>
      <c r="B157">
        <v>2</v>
      </c>
      <c r="C157">
        <v>14</v>
      </c>
      <c r="D157">
        <v>0.441328</v>
      </c>
      <c r="E157">
        <v>0.42106399999999999</v>
      </c>
      <c r="F157">
        <v>-1</v>
      </c>
      <c r="G157">
        <v>0.42106399999999999</v>
      </c>
      <c r="H157" s="42">
        <f t="shared" si="4"/>
        <v>0.42106399999999999</v>
      </c>
      <c r="I157" s="42">
        <f t="shared" si="5"/>
        <v>0</v>
      </c>
    </row>
    <row r="158" spans="1:9">
      <c r="A158" t="s">
        <v>144</v>
      </c>
      <c r="B158">
        <v>2</v>
      </c>
      <c r="C158">
        <v>15</v>
      </c>
      <c r="D158">
        <v>0.441328</v>
      </c>
      <c r="E158">
        <v>-0.63606700000000005</v>
      </c>
      <c r="F158">
        <v>-1</v>
      </c>
      <c r="G158">
        <v>-0.63606700000000005</v>
      </c>
      <c r="H158" s="42">
        <f t="shared" si="4"/>
        <v>-0.63606700000000005</v>
      </c>
      <c r="I158" s="42">
        <f t="shared" si="5"/>
        <v>0</v>
      </c>
    </row>
    <row r="159" spans="1:9">
      <c r="A159" t="s">
        <v>144</v>
      </c>
      <c r="B159">
        <v>2</v>
      </c>
      <c r="C159">
        <v>16</v>
      </c>
      <c r="D159">
        <v>0.441328</v>
      </c>
      <c r="E159">
        <v>-4.2451000000000003E-2</v>
      </c>
      <c r="F159">
        <v>-1</v>
      </c>
      <c r="G159">
        <v>-4.2451000000000003E-2</v>
      </c>
      <c r="H159" s="42">
        <f t="shared" si="4"/>
        <v>-4.2451000000000003E-2</v>
      </c>
      <c r="I159" s="42">
        <f t="shared" si="5"/>
        <v>0</v>
      </c>
    </row>
    <row r="160" spans="1:9">
      <c r="A160" t="s">
        <v>144</v>
      </c>
      <c r="B160">
        <v>2</v>
      </c>
      <c r="C160">
        <v>17</v>
      </c>
      <c r="D160">
        <v>0.441328</v>
      </c>
      <c r="E160">
        <v>0.13303000000000001</v>
      </c>
      <c r="F160">
        <v>-1</v>
      </c>
      <c r="G160">
        <v>0.13303000000000001</v>
      </c>
      <c r="H160" s="42">
        <f t="shared" si="4"/>
        <v>0.13303000000000001</v>
      </c>
      <c r="I160" s="42">
        <f t="shared" si="5"/>
        <v>0</v>
      </c>
    </row>
    <row r="161" spans="1:9">
      <c r="A161" t="s">
        <v>144</v>
      </c>
      <c r="B161">
        <v>2</v>
      </c>
      <c r="C161">
        <v>18</v>
      </c>
      <c r="D161">
        <v>0.441328</v>
      </c>
      <c r="E161">
        <v>-0.56825499999999995</v>
      </c>
      <c r="F161">
        <v>-1</v>
      </c>
      <c r="G161">
        <v>-0.56825499999999995</v>
      </c>
      <c r="H161" s="42">
        <f t="shared" si="4"/>
        <v>-0.56825499999999995</v>
      </c>
      <c r="I161" s="42">
        <f t="shared" si="5"/>
        <v>0</v>
      </c>
    </row>
    <row r="162" spans="1:9">
      <c r="A162" t="s">
        <v>144</v>
      </c>
      <c r="B162">
        <v>2</v>
      </c>
      <c r="C162">
        <v>19</v>
      </c>
      <c r="D162">
        <v>0.441328</v>
      </c>
      <c r="E162">
        <v>-0.56901800000000002</v>
      </c>
      <c r="F162">
        <v>-1</v>
      </c>
      <c r="G162">
        <v>-0.56901800000000002</v>
      </c>
      <c r="H162" s="42">
        <f t="shared" si="4"/>
        <v>-0.56901800000000002</v>
      </c>
      <c r="I162" s="42">
        <f t="shared" si="5"/>
        <v>0</v>
      </c>
    </row>
    <row r="163" spans="1:9">
      <c r="A163" t="s">
        <v>144</v>
      </c>
      <c r="B163">
        <v>2</v>
      </c>
      <c r="C163">
        <v>20</v>
      </c>
      <c r="D163">
        <v>0.441328</v>
      </c>
      <c r="E163">
        <v>-0.86654299999999995</v>
      </c>
      <c r="F163">
        <v>-1</v>
      </c>
      <c r="G163">
        <v>-0.86654299999999995</v>
      </c>
      <c r="H163" s="42">
        <f t="shared" si="4"/>
        <v>-0.86654299999999995</v>
      </c>
      <c r="I163" s="42">
        <f t="shared" si="5"/>
        <v>0</v>
      </c>
    </row>
    <row r="164" spans="1:9">
      <c r="A164" t="s">
        <v>144</v>
      </c>
      <c r="B164">
        <v>2</v>
      </c>
      <c r="C164">
        <v>21</v>
      </c>
      <c r="D164">
        <v>0.441328</v>
      </c>
      <c r="E164">
        <v>0.97677499999999995</v>
      </c>
      <c r="F164">
        <v>-1</v>
      </c>
      <c r="G164">
        <v>0.97677499999999995</v>
      </c>
      <c r="H164" s="42">
        <f t="shared" si="4"/>
        <v>0.97677499999999995</v>
      </c>
      <c r="I164" s="42">
        <f t="shared" si="5"/>
        <v>0</v>
      </c>
    </row>
    <row r="165" spans="1:9">
      <c r="A165" t="s">
        <v>144</v>
      </c>
      <c r="B165">
        <v>2</v>
      </c>
      <c r="C165">
        <v>22</v>
      </c>
      <c r="D165">
        <v>0.441328</v>
      </c>
      <c r="E165">
        <v>0.21012</v>
      </c>
      <c r="F165">
        <v>-1</v>
      </c>
      <c r="G165">
        <v>0.21012</v>
      </c>
      <c r="H165" s="42">
        <f t="shared" si="4"/>
        <v>0.21012</v>
      </c>
      <c r="I165" s="42">
        <f t="shared" si="5"/>
        <v>0</v>
      </c>
    </row>
    <row r="166" spans="1:9">
      <c r="A166" t="s">
        <v>144</v>
      </c>
      <c r="B166">
        <v>2</v>
      </c>
      <c r="C166">
        <v>23</v>
      </c>
      <c r="D166">
        <v>0.441328</v>
      </c>
      <c r="E166">
        <v>0.60985100000000003</v>
      </c>
      <c r="F166">
        <v>-1</v>
      </c>
      <c r="G166">
        <v>0.60985100000000003</v>
      </c>
      <c r="H166" s="42">
        <f t="shared" si="4"/>
        <v>0.60985100000000003</v>
      </c>
      <c r="I166" s="42">
        <f t="shared" si="5"/>
        <v>0</v>
      </c>
    </row>
    <row r="167" spans="1:9">
      <c r="A167" t="s">
        <v>144</v>
      </c>
      <c r="B167">
        <v>2</v>
      </c>
      <c r="C167">
        <v>24</v>
      </c>
      <c r="D167">
        <v>0.441328</v>
      </c>
      <c r="E167">
        <v>-6.1463999999999998E-2</v>
      </c>
      <c r="F167">
        <v>-1</v>
      </c>
      <c r="G167">
        <v>-6.1463999999999998E-2</v>
      </c>
      <c r="H167" s="42">
        <f t="shared" si="4"/>
        <v>-6.1463999999999998E-2</v>
      </c>
      <c r="I167" s="42">
        <f t="shared" si="5"/>
        <v>0</v>
      </c>
    </row>
    <row r="168" spans="1:9">
      <c r="A168" t="s">
        <v>144</v>
      </c>
      <c r="B168">
        <v>2</v>
      </c>
      <c r="C168">
        <v>25</v>
      </c>
      <c r="D168">
        <v>0.441328</v>
      </c>
      <c r="E168">
        <v>-0.25559300000000001</v>
      </c>
      <c r="F168">
        <v>-1</v>
      </c>
      <c r="G168">
        <v>-0.25559300000000001</v>
      </c>
      <c r="H168" s="42">
        <f t="shared" si="4"/>
        <v>-0.25559300000000001</v>
      </c>
      <c r="I168" s="42">
        <f t="shared" si="5"/>
        <v>0</v>
      </c>
    </row>
    <row r="169" spans="1:9">
      <c r="A169" t="s">
        <v>144</v>
      </c>
      <c r="B169">
        <v>2</v>
      </c>
      <c r="C169">
        <v>26</v>
      </c>
      <c r="D169">
        <v>0.441328</v>
      </c>
      <c r="E169">
        <v>-0.14041600000000001</v>
      </c>
      <c r="F169">
        <v>-1</v>
      </c>
      <c r="G169">
        <v>-0.14041600000000001</v>
      </c>
      <c r="H169" s="42">
        <f t="shared" si="4"/>
        <v>-0.14041600000000001</v>
      </c>
      <c r="I169" s="42">
        <f t="shared" si="5"/>
        <v>0</v>
      </c>
    </row>
    <row r="170" spans="1:9">
      <c r="A170" t="s">
        <v>144</v>
      </c>
      <c r="B170">
        <v>2</v>
      </c>
      <c r="C170">
        <v>27</v>
      </c>
      <c r="D170">
        <v>0.441328</v>
      </c>
      <c r="E170">
        <v>9.7110000000000002E-2</v>
      </c>
      <c r="F170">
        <v>-1</v>
      </c>
      <c r="G170">
        <v>9.7110000000000002E-2</v>
      </c>
      <c r="H170" s="42">
        <f t="shared" si="4"/>
        <v>9.7110000000000002E-2</v>
      </c>
      <c r="I170" s="42">
        <f t="shared" si="5"/>
        <v>0</v>
      </c>
    </row>
    <row r="171" spans="1:9">
      <c r="A171" t="s">
        <v>144</v>
      </c>
      <c r="B171">
        <v>2</v>
      </c>
      <c r="C171">
        <v>28</v>
      </c>
      <c r="D171">
        <v>0.441328</v>
      </c>
      <c r="E171">
        <v>-0.43183700000000003</v>
      </c>
      <c r="F171">
        <v>-1</v>
      </c>
      <c r="G171">
        <v>-0.43183700000000003</v>
      </c>
      <c r="H171" s="42">
        <f t="shared" si="4"/>
        <v>-0.43183700000000003</v>
      </c>
      <c r="I171" s="42">
        <f t="shared" si="5"/>
        <v>0</v>
      </c>
    </row>
    <row r="172" spans="1:9">
      <c r="A172" t="s">
        <v>144</v>
      </c>
      <c r="B172">
        <v>2</v>
      </c>
      <c r="C172">
        <v>29</v>
      </c>
      <c r="D172">
        <v>0.441328</v>
      </c>
      <c r="E172">
        <v>-3.0304999999999999E-2</v>
      </c>
      <c r="F172">
        <v>-1</v>
      </c>
      <c r="G172">
        <v>-3.0304999999999999E-2</v>
      </c>
      <c r="H172" s="42">
        <f t="shared" si="4"/>
        <v>-3.0304999999999999E-2</v>
      </c>
      <c r="I172" s="42">
        <f t="shared" si="5"/>
        <v>0</v>
      </c>
    </row>
    <row r="173" spans="1:9">
      <c r="A173" t="s">
        <v>144</v>
      </c>
      <c r="B173">
        <v>2</v>
      </c>
      <c r="C173">
        <v>30</v>
      </c>
      <c r="D173">
        <v>0.441328</v>
      </c>
      <c r="E173">
        <v>0.28867500000000001</v>
      </c>
      <c r="F173">
        <v>-1</v>
      </c>
      <c r="G173">
        <v>0.28867500000000001</v>
      </c>
      <c r="H173" s="42">
        <f t="shared" si="4"/>
        <v>0.28867500000000001</v>
      </c>
      <c r="I173" s="42">
        <f t="shared" si="5"/>
        <v>0</v>
      </c>
    </row>
    <row r="174" spans="1:9">
      <c r="A174" t="s">
        <v>144</v>
      </c>
      <c r="B174">
        <v>2</v>
      </c>
      <c r="C174">
        <v>31</v>
      </c>
      <c r="D174">
        <v>0.441328</v>
      </c>
      <c r="E174">
        <v>-0.84215799999999996</v>
      </c>
      <c r="F174">
        <v>0.797296</v>
      </c>
      <c r="G174">
        <v>7.3759000000000005E-2</v>
      </c>
      <c r="H174" s="42">
        <f t="shared" si="4"/>
        <v>7.3759045088000075E-2</v>
      </c>
      <c r="I174" s="42">
        <f t="shared" si="5"/>
        <v>4.5088000069637424E-8</v>
      </c>
    </row>
    <row r="175" spans="1:9">
      <c r="A175" t="s">
        <v>144</v>
      </c>
      <c r="B175">
        <v>2</v>
      </c>
      <c r="C175">
        <v>32</v>
      </c>
      <c r="D175">
        <v>0.441328</v>
      </c>
      <c r="E175">
        <v>-0.28711799999999998</v>
      </c>
      <c r="F175">
        <v>-3.0335000000000001E-2</v>
      </c>
      <c r="G175">
        <v>-0.14366100000000001</v>
      </c>
      <c r="H175" s="42">
        <f t="shared" si="4"/>
        <v>-0.14366052782399999</v>
      </c>
      <c r="I175" s="42">
        <f t="shared" si="5"/>
        <v>4.7217600002147364E-7</v>
      </c>
    </row>
    <row r="176" spans="1:9">
      <c r="A176" t="s">
        <v>144</v>
      </c>
      <c r="B176">
        <v>2</v>
      </c>
      <c r="C176">
        <v>33</v>
      </c>
      <c r="D176">
        <v>0.441328</v>
      </c>
      <c r="E176">
        <v>0.15668199999999999</v>
      </c>
      <c r="F176">
        <v>0.57490799999999997</v>
      </c>
      <c r="G176">
        <v>0.39033299999999999</v>
      </c>
      <c r="H176" s="42">
        <f t="shared" si="4"/>
        <v>0.39033315587200001</v>
      </c>
      <c r="I176" s="42">
        <f t="shared" si="5"/>
        <v>1.5587200002942225E-7</v>
      </c>
    </row>
    <row r="177" spans="1:9">
      <c r="A177" t="s">
        <v>144</v>
      </c>
      <c r="B177">
        <v>2</v>
      </c>
      <c r="C177">
        <v>34</v>
      </c>
      <c r="D177">
        <v>0.441328</v>
      </c>
      <c r="E177">
        <v>-0.98983699999999997</v>
      </c>
      <c r="F177">
        <v>0.97225899999999998</v>
      </c>
      <c r="G177">
        <v>0.10632999999999999</v>
      </c>
      <c r="H177" s="42">
        <f t="shared" si="4"/>
        <v>0.10633109651200007</v>
      </c>
      <c r="I177" s="42">
        <f t="shared" si="5"/>
        <v>1.0965120000733242E-6</v>
      </c>
    </row>
    <row r="178" spans="1:9">
      <c r="A178" t="s">
        <v>144</v>
      </c>
      <c r="B178">
        <v>2</v>
      </c>
      <c r="C178">
        <v>35</v>
      </c>
      <c r="D178">
        <v>0.441328</v>
      </c>
      <c r="E178">
        <v>-0.55476499999999995</v>
      </c>
      <c r="F178">
        <v>0.269478</v>
      </c>
      <c r="G178">
        <v>-9.4284000000000007E-2</v>
      </c>
      <c r="H178" s="42">
        <f t="shared" si="4"/>
        <v>-9.4283514703999982E-2</v>
      </c>
      <c r="I178" s="42">
        <f t="shared" si="5"/>
        <v>4.8529600002455986E-7</v>
      </c>
    </row>
    <row r="179" spans="1:9">
      <c r="A179" t="s">
        <v>144</v>
      </c>
      <c r="B179">
        <v>2</v>
      </c>
      <c r="C179">
        <v>36</v>
      </c>
      <c r="D179">
        <v>0.441328</v>
      </c>
      <c r="E179">
        <v>0.273812</v>
      </c>
      <c r="F179">
        <v>0.71895500000000001</v>
      </c>
      <c r="G179">
        <v>0.52250099999999999</v>
      </c>
      <c r="H179" s="42">
        <f t="shared" si="4"/>
        <v>0.52250093009600007</v>
      </c>
      <c r="I179" s="42">
        <f t="shared" si="5"/>
        <v>-6.9903999921905324E-8</v>
      </c>
    </row>
    <row r="180" spans="1:9">
      <c r="A180" t="s">
        <v>144</v>
      </c>
      <c r="B180">
        <v>2</v>
      </c>
      <c r="C180">
        <v>37</v>
      </c>
      <c r="D180">
        <v>0.441328</v>
      </c>
      <c r="E180">
        <v>-0.77385800000000005</v>
      </c>
      <c r="F180">
        <v>-0.30063800000000002</v>
      </c>
      <c r="G180">
        <v>-0.50948300000000002</v>
      </c>
      <c r="H180" s="42">
        <f t="shared" si="4"/>
        <v>-0.50948323616000002</v>
      </c>
      <c r="I180" s="42">
        <f t="shared" si="5"/>
        <v>-2.3616000000004078E-7</v>
      </c>
    </row>
    <row r="181" spans="1:9">
      <c r="A181" t="s">
        <v>144</v>
      </c>
      <c r="B181">
        <v>2</v>
      </c>
      <c r="C181">
        <v>38</v>
      </c>
      <c r="D181">
        <v>0.441328</v>
      </c>
      <c r="E181">
        <v>-0.37876500000000002</v>
      </c>
      <c r="F181">
        <v>-0.46205000000000002</v>
      </c>
      <c r="G181">
        <v>-0.42529400000000001</v>
      </c>
      <c r="H181" s="42">
        <f t="shared" si="4"/>
        <v>-0.42529399752000002</v>
      </c>
      <c r="I181" s="42">
        <f t="shared" si="5"/>
        <v>2.4799999831515152E-9</v>
      </c>
    </row>
    <row r="182" spans="1:9">
      <c r="A182" t="s">
        <v>144</v>
      </c>
      <c r="B182">
        <v>2</v>
      </c>
      <c r="C182">
        <v>39</v>
      </c>
      <c r="D182">
        <v>0.441328</v>
      </c>
      <c r="E182">
        <v>-0.394177</v>
      </c>
      <c r="F182">
        <v>-0.12854399999999999</v>
      </c>
      <c r="G182">
        <v>-0.24577499999999999</v>
      </c>
      <c r="H182" s="42">
        <f t="shared" si="4"/>
        <v>-0.245775280624</v>
      </c>
      <c r="I182" s="42">
        <f t="shared" si="5"/>
        <v>-2.8062400000972154E-7</v>
      </c>
    </row>
    <row r="183" spans="1:9">
      <c r="A183" t="s">
        <v>144</v>
      </c>
      <c r="B183">
        <v>2</v>
      </c>
      <c r="C183">
        <v>40</v>
      </c>
      <c r="D183">
        <v>0.441328</v>
      </c>
      <c r="E183">
        <v>-0.33256000000000002</v>
      </c>
      <c r="F183">
        <v>0.96121100000000004</v>
      </c>
      <c r="G183">
        <v>0.390233</v>
      </c>
      <c r="H183" s="42">
        <f t="shared" si="4"/>
        <v>0.39023363211200007</v>
      </c>
      <c r="I183" s="42">
        <f t="shared" si="5"/>
        <v>6.3211200007629031E-7</v>
      </c>
    </row>
    <row r="184" spans="1:9">
      <c r="A184" t="s">
        <v>144</v>
      </c>
      <c r="B184">
        <v>2</v>
      </c>
      <c r="C184">
        <v>41</v>
      </c>
      <c r="D184">
        <v>0.441328</v>
      </c>
      <c r="E184">
        <v>-0.91750799999999999</v>
      </c>
      <c r="F184">
        <v>0.15295900000000001</v>
      </c>
      <c r="G184">
        <v>-0.319469</v>
      </c>
      <c r="H184" s="42">
        <f t="shared" si="4"/>
        <v>-0.31946806017599993</v>
      </c>
      <c r="I184" s="42">
        <f t="shared" si="5"/>
        <v>9.3982400006797917E-7</v>
      </c>
    </row>
    <row r="185" spans="1:9">
      <c r="A185" t="s">
        <v>144</v>
      </c>
      <c r="B185">
        <v>2</v>
      </c>
      <c r="C185">
        <v>42</v>
      </c>
      <c r="D185">
        <v>0.441328</v>
      </c>
      <c r="E185">
        <v>0.90981800000000002</v>
      </c>
      <c r="F185">
        <v>0.88531099999999996</v>
      </c>
      <c r="G185">
        <v>0.89612700000000001</v>
      </c>
      <c r="H185" s="42">
        <f t="shared" si="4"/>
        <v>0.89612662529600007</v>
      </c>
      <c r="I185" s="42">
        <f t="shared" si="5"/>
        <v>-3.7470399993910775E-7</v>
      </c>
    </row>
    <row r="186" spans="1:9">
      <c r="A186" t="s">
        <v>144</v>
      </c>
      <c r="B186">
        <v>2</v>
      </c>
      <c r="C186">
        <v>43</v>
      </c>
      <c r="D186">
        <v>0.441328</v>
      </c>
      <c r="E186">
        <v>0.64470400000000005</v>
      </c>
      <c r="F186">
        <v>3.6073000000000001E-2</v>
      </c>
      <c r="G186">
        <v>0.30467899999999998</v>
      </c>
      <c r="H186" s="42">
        <f t="shared" si="4"/>
        <v>0.30467890196800002</v>
      </c>
      <c r="I186" s="42">
        <f t="shared" si="5"/>
        <v>-9.8031999962167049E-8</v>
      </c>
    </row>
    <row r="187" spans="1:9">
      <c r="A187" t="s">
        <v>144</v>
      </c>
      <c r="B187">
        <v>2</v>
      </c>
      <c r="C187">
        <v>44</v>
      </c>
      <c r="D187">
        <v>0.441328</v>
      </c>
      <c r="E187">
        <v>-0.780053</v>
      </c>
      <c r="F187">
        <v>-0.96856600000000004</v>
      </c>
      <c r="G187">
        <v>-0.88536999999999999</v>
      </c>
      <c r="H187" s="42">
        <f t="shared" si="4"/>
        <v>-0.88536993473600001</v>
      </c>
      <c r="I187" s="42">
        <f t="shared" si="5"/>
        <v>6.5263999982079213E-8</v>
      </c>
    </row>
    <row r="188" spans="1:9">
      <c r="A188" t="s">
        <v>144</v>
      </c>
      <c r="B188">
        <v>2</v>
      </c>
      <c r="C188">
        <v>45</v>
      </c>
      <c r="D188">
        <v>0.441328</v>
      </c>
      <c r="E188">
        <v>-0.25827800000000001</v>
      </c>
      <c r="F188">
        <v>0.35548000000000002</v>
      </c>
      <c r="G188">
        <v>8.4611000000000006E-2</v>
      </c>
      <c r="H188" s="42">
        <f t="shared" si="4"/>
        <v>8.4611409376000021E-2</v>
      </c>
      <c r="I188" s="42">
        <f t="shared" si="5"/>
        <v>4.0937600001567098E-7</v>
      </c>
    </row>
    <row r="189" spans="1:9">
      <c r="A189" t="s">
        <v>144</v>
      </c>
      <c r="B189">
        <v>2</v>
      </c>
      <c r="C189">
        <v>46</v>
      </c>
      <c r="D189">
        <v>0.441328</v>
      </c>
      <c r="E189">
        <v>-1.2819999999999999E-3</v>
      </c>
      <c r="F189">
        <v>-0.13702800000000001</v>
      </c>
      <c r="G189">
        <v>-7.7118999999999993E-2</v>
      </c>
      <c r="H189" s="42">
        <f t="shared" si="4"/>
        <v>-7.7119489312000022E-2</v>
      </c>
      <c r="I189" s="42">
        <f t="shared" si="5"/>
        <v>-4.893120000293294E-7</v>
      </c>
    </row>
    <row r="190" spans="1:9">
      <c r="A190" t="s">
        <v>144</v>
      </c>
      <c r="B190">
        <v>2</v>
      </c>
      <c r="C190">
        <v>47</v>
      </c>
      <c r="D190">
        <v>0.441328</v>
      </c>
      <c r="E190">
        <v>-0.51655600000000002</v>
      </c>
      <c r="F190">
        <v>0.99350000000000005</v>
      </c>
      <c r="G190">
        <v>0.327069</v>
      </c>
      <c r="H190" s="42">
        <f t="shared" si="4"/>
        <v>0.32707000563200006</v>
      </c>
      <c r="I190" s="42">
        <f t="shared" si="5"/>
        <v>1.0056320000617625E-6</v>
      </c>
    </row>
    <row r="191" spans="1:9">
      <c r="A191" t="s">
        <v>144</v>
      </c>
      <c r="B191">
        <v>2</v>
      </c>
      <c r="C191">
        <v>48</v>
      </c>
      <c r="D191">
        <v>0.441328</v>
      </c>
      <c r="E191">
        <v>-0.51606799999999997</v>
      </c>
      <c r="F191">
        <v>0.262185</v>
      </c>
      <c r="G191">
        <v>-8.1280000000000005E-2</v>
      </c>
      <c r="H191" s="42">
        <f t="shared" si="4"/>
        <v>-8.1279839983999957E-2</v>
      </c>
      <c r="I191" s="42">
        <f t="shared" si="5"/>
        <v>1.6001600004755812E-7</v>
      </c>
    </row>
    <row r="192" spans="1:9">
      <c r="A192" t="s">
        <v>144</v>
      </c>
      <c r="B192">
        <v>2</v>
      </c>
      <c r="C192">
        <v>49</v>
      </c>
      <c r="D192">
        <v>0.441328</v>
      </c>
      <c r="E192">
        <v>-0.96496499999999996</v>
      </c>
      <c r="F192">
        <v>-0.16894999999999999</v>
      </c>
      <c r="G192">
        <v>-0.52025399999999999</v>
      </c>
      <c r="H192" s="42">
        <f t="shared" si="4"/>
        <v>-0.52025370792000003</v>
      </c>
      <c r="I192" s="42">
        <f t="shared" si="5"/>
        <v>2.9207999996394562E-7</v>
      </c>
    </row>
    <row r="193" spans="1:9">
      <c r="A193" t="s">
        <v>144</v>
      </c>
      <c r="B193" t="s">
        <v>145</v>
      </c>
      <c r="C193">
        <v>3</v>
      </c>
    </row>
    <row r="194" spans="1:9">
      <c r="A194" t="s">
        <v>144</v>
      </c>
      <c r="B194" t="s">
        <v>146</v>
      </c>
      <c r="C194">
        <v>65</v>
      </c>
    </row>
    <row r="195" spans="1:9">
      <c r="A195" t="s">
        <v>144</v>
      </c>
      <c r="B195" t="s">
        <v>147</v>
      </c>
      <c r="C195">
        <v>65</v>
      </c>
    </row>
    <row r="196" spans="1:9">
      <c r="A196" t="s">
        <v>144</v>
      </c>
      <c r="B196" t="s">
        <v>148</v>
      </c>
      <c r="C196">
        <v>0.38996599999999998</v>
      </c>
    </row>
    <row r="197" spans="1:9">
      <c r="A197" t="s">
        <v>144</v>
      </c>
      <c r="B197" t="s">
        <v>149</v>
      </c>
      <c r="C197">
        <v>0.38996599999999998</v>
      </c>
    </row>
    <row r="198" spans="1:9">
      <c r="A198" t="s">
        <v>144</v>
      </c>
      <c r="B198" t="s">
        <v>150</v>
      </c>
      <c r="C198">
        <v>-1</v>
      </c>
    </row>
    <row r="199" spans="1:9">
      <c r="A199" t="s">
        <v>144</v>
      </c>
      <c r="B199" t="s">
        <v>151</v>
      </c>
      <c r="C199">
        <v>-1</v>
      </c>
    </row>
    <row r="200" spans="1:9">
      <c r="A200" t="s">
        <v>144</v>
      </c>
      <c r="B200" t="s">
        <v>152</v>
      </c>
      <c r="C200">
        <v>5</v>
      </c>
    </row>
    <row r="201" spans="1:9">
      <c r="A201" t="s">
        <v>144</v>
      </c>
      <c r="B201" t="s">
        <v>153</v>
      </c>
      <c r="C201">
        <v>5</v>
      </c>
    </row>
    <row r="202" spans="1:9">
      <c r="A202" t="s">
        <v>144</v>
      </c>
      <c r="B202" t="s">
        <v>154</v>
      </c>
      <c r="C202">
        <v>0</v>
      </c>
    </row>
    <row r="203" spans="1:9">
      <c r="A203" t="s">
        <v>144</v>
      </c>
      <c r="B203" t="s">
        <v>155</v>
      </c>
    </row>
    <row r="204" spans="1:9">
      <c r="A204" t="s">
        <v>144</v>
      </c>
      <c r="B204" t="s">
        <v>150</v>
      </c>
      <c r="C204">
        <v>0.51420600000000005</v>
      </c>
      <c r="H204" s="38" t="s">
        <v>164</v>
      </c>
      <c r="I204" s="44">
        <f>MIN(I207:I256)</f>
        <v>-6.9092999999131877E-7</v>
      </c>
    </row>
    <row r="205" spans="1:9">
      <c r="A205" t="s">
        <v>144</v>
      </c>
      <c r="B205" t="s">
        <v>151</v>
      </c>
      <c r="C205">
        <v>0.51420600000000005</v>
      </c>
      <c r="H205" s="38" t="s">
        <v>165</v>
      </c>
      <c r="I205" s="44">
        <f>MAX(I207:I256)</f>
        <v>1.13985999995736E-6</v>
      </c>
    </row>
    <row r="206" spans="1:9">
      <c r="A206" t="s">
        <v>144</v>
      </c>
      <c r="B206" t="s">
        <v>156</v>
      </c>
      <c r="C206" t="s">
        <v>157</v>
      </c>
      <c r="D206" t="s">
        <v>63</v>
      </c>
      <c r="E206" t="s">
        <v>158</v>
      </c>
      <c r="F206" t="s">
        <v>159</v>
      </c>
      <c r="G206" t="s">
        <v>160</v>
      </c>
      <c r="H206" s="43" t="s">
        <v>162</v>
      </c>
      <c r="I206" s="43" t="s">
        <v>163</v>
      </c>
    </row>
    <row r="207" spans="1:9">
      <c r="A207" t="s">
        <v>144</v>
      </c>
      <c r="B207">
        <v>3</v>
      </c>
      <c r="C207">
        <v>0</v>
      </c>
      <c r="D207">
        <v>0.51420600000000005</v>
      </c>
      <c r="E207">
        <v>-0.59340199999999999</v>
      </c>
      <c r="F207">
        <v>-1</v>
      </c>
      <c r="G207">
        <v>-0.59340199999999999</v>
      </c>
      <c r="H207" s="42">
        <f>IF(C207&lt;$C$200,E207,D207*E207 + (1 - D207)*F207)</f>
        <v>-0.59340199999999999</v>
      </c>
      <c r="I207" s="42">
        <f>H207-G207</f>
        <v>0</v>
      </c>
    </row>
    <row r="208" spans="1:9">
      <c r="A208" t="s">
        <v>144</v>
      </c>
      <c r="B208">
        <v>3</v>
      </c>
      <c r="C208">
        <v>1</v>
      </c>
      <c r="D208">
        <v>0.51420600000000005</v>
      </c>
      <c r="E208">
        <v>-0.44727899999999998</v>
      </c>
      <c r="F208">
        <v>-1</v>
      </c>
      <c r="G208">
        <v>-0.44727899999999998</v>
      </c>
      <c r="H208" s="42">
        <f t="shared" ref="H208:H256" si="6">IF(C208&lt;$C$200,E208,D208*E208 + (1 - D208)*F208)</f>
        <v>-0.44727899999999998</v>
      </c>
      <c r="I208" s="42">
        <f t="shared" ref="I208:I256" si="7">H208-G208</f>
        <v>0</v>
      </c>
    </row>
    <row r="209" spans="1:9">
      <c r="A209" t="s">
        <v>144</v>
      </c>
      <c r="B209">
        <v>3</v>
      </c>
      <c r="C209">
        <v>2</v>
      </c>
      <c r="D209">
        <v>0.51420600000000005</v>
      </c>
      <c r="E209">
        <v>-0.50425699999999996</v>
      </c>
      <c r="F209">
        <v>-1</v>
      </c>
      <c r="G209">
        <v>-0.50425699999999996</v>
      </c>
      <c r="H209" s="42">
        <f t="shared" si="6"/>
        <v>-0.50425699999999996</v>
      </c>
      <c r="I209" s="42">
        <f t="shared" si="7"/>
        <v>0</v>
      </c>
    </row>
    <row r="210" spans="1:9">
      <c r="A210" t="s">
        <v>144</v>
      </c>
      <c r="B210">
        <v>3</v>
      </c>
      <c r="C210">
        <v>3</v>
      </c>
      <c r="D210">
        <v>0.51420600000000005</v>
      </c>
      <c r="E210">
        <v>-0.119602</v>
      </c>
      <c r="F210">
        <v>-1</v>
      </c>
      <c r="G210">
        <v>-0.119602</v>
      </c>
      <c r="H210" s="42">
        <f t="shared" si="6"/>
        <v>-0.119602</v>
      </c>
      <c r="I210" s="42">
        <f t="shared" si="7"/>
        <v>0</v>
      </c>
    </row>
    <row r="211" spans="1:9">
      <c r="A211" t="s">
        <v>144</v>
      </c>
      <c r="B211">
        <v>3</v>
      </c>
      <c r="C211">
        <v>4</v>
      </c>
      <c r="D211">
        <v>0.51420600000000005</v>
      </c>
      <c r="E211">
        <v>-0.36658800000000002</v>
      </c>
      <c r="F211">
        <v>-1</v>
      </c>
      <c r="G211">
        <v>-0.36658800000000002</v>
      </c>
      <c r="H211" s="42">
        <f t="shared" si="6"/>
        <v>-0.36658800000000002</v>
      </c>
      <c r="I211" s="42">
        <f t="shared" si="7"/>
        <v>0</v>
      </c>
    </row>
    <row r="212" spans="1:9">
      <c r="A212" t="s">
        <v>144</v>
      </c>
      <c r="B212">
        <v>3</v>
      </c>
      <c r="C212">
        <v>5</v>
      </c>
      <c r="D212">
        <v>0.51420600000000005</v>
      </c>
      <c r="E212">
        <v>-3.4700000000000002E-2</v>
      </c>
      <c r="F212">
        <v>0.62257799999999996</v>
      </c>
      <c r="G212">
        <v>0.28460200000000002</v>
      </c>
      <c r="H212" s="42">
        <f t="shared" si="6"/>
        <v>0.28460170873199997</v>
      </c>
      <c r="I212" s="42">
        <f t="shared" si="7"/>
        <v>-2.9126800005219167E-7</v>
      </c>
    </row>
    <row r="213" spans="1:9">
      <c r="A213" t="s">
        <v>144</v>
      </c>
      <c r="B213">
        <v>3</v>
      </c>
      <c r="C213">
        <v>6</v>
      </c>
      <c r="D213">
        <v>0.51420600000000005</v>
      </c>
      <c r="E213">
        <v>0.65443899999999999</v>
      </c>
      <c r="F213">
        <v>0.74230200000000002</v>
      </c>
      <c r="G213">
        <v>0.69712200000000002</v>
      </c>
      <c r="H213" s="42">
        <f t="shared" si="6"/>
        <v>0.69712231822199999</v>
      </c>
      <c r="I213" s="42">
        <f t="shared" si="7"/>
        <v>3.1822199997311174E-7</v>
      </c>
    </row>
    <row r="214" spans="1:9">
      <c r="A214" t="s">
        <v>144</v>
      </c>
      <c r="B214">
        <v>3</v>
      </c>
      <c r="C214">
        <v>7</v>
      </c>
      <c r="D214">
        <v>0.51420600000000005</v>
      </c>
      <c r="E214">
        <v>-6.9430000000000006E-2</v>
      </c>
      <c r="F214">
        <v>0.62001399999999995</v>
      </c>
      <c r="G214">
        <v>0.26549800000000001</v>
      </c>
      <c r="H214" s="42">
        <f t="shared" si="6"/>
        <v>0.26549775853599994</v>
      </c>
      <c r="I214" s="42">
        <f t="shared" si="7"/>
        <v>-2.4146400007252211E-7</v>
      </c>
    </row>
    <row r="215" spans="1:9">
      <c r="A215" t="s">
        <v>144</v>
      </c>
      <c r="B215">
        <v>3</v>
      </c>
      <c r="C215">
        <v>8</v>
      </c>
      <c r="D215">
        <v>0.51420600000000005</v>
      </c>
      <c r="E215">
        <v>0.75258599999999998</v>
      </c>
      <c r="F215">
        <v>0.81862800000000002</v>
      </c>
      <c r="G215">
        <v>0.78466899999999995</v>
      </c>
      <c r="H215" s="42">
        <f t="shared" si="6"/>
        <v>0.78466880734799993</v>
      </c>
      <c r="I215" s="42">
        <f t="shared" si="7"/>
        <v>-1.9265200001949978E-7</v>
      </c>
    </row>
    <row r="216" spans="1:9">
      <c r="A216" t="s">
        <v>144</v>
      </c>
      <c r="B216">
        <v>3</v>
      </c>
      <c r="C216">
        <v>9</v>
      </c>
      <c r="D216">
        <v>0.51420600000000005</v>
      </c>
      <c r="E216">
        <v>-0.12515599999999999</v>
      </c>
      <c r="F216">
        <v>0.17725199999999999</v>
      </c>
      <c r="G216">
        <v>2.1751E-2</v>
      </c>
      <c r="H216" s="42">
        <f t="shared" si="6"/>
        <v>2.1751991951999977E-2</v>
      </c>
      <c r="I216" s="42">
        <f t="shared" si="7"/>
        <v>9.9195199997764716E-7</v>
      </c>
    </row>
    <row r="217" spans="1:9">
      <c r="A217" t="s">
        <v>144</v>
      </c>
      <c r="B217">
        <v>3</v>
      </c>
      <c r="C217">
        <v>10</v>
      </c>
      <c r="D217">
        <v>0.51420600000000005</v>
      </c>
      <c r="E217">
        <v>-0.71980999999999995</v>
      </c>
      <c r="F217">
        <v>0.455733</v>
      </c>
      <c r="G217">
        <v>-0.14873900000000001</v>
      </c>
      <c r="H217" s="42">
        <f t="shared" si="6"/>
        <v>-0.14873826385800007</v>
      </c>
      <c r="I217" s="42">
        <f t="shared" si="7"/>
        <v>7.3614199994076479E-7</v>
      </c>
    </row>
    <row r="218" spans="1:9">
      <c r="A218" t="s">
        <v>144</v>
      </c>
      <c r="B218">
        <v>3</v>
      </c>
      <c r="C218">
        <v>11</v>
      </c>
      <c r="D218">
        <v>0.51420600000000005</v>
      </c>
      <c r="E218">
        <v>0.24759700000000001</v>
      </c>
      <c r="F218">
        <v>0.61146900000000004</v>
      </c>
      <c r="G218">
        <v>0.42436299999999999</v>
      </c>
      <c r="H218" s="42">
        <f t="shared" si="6"/>
        <v>0.42436383436799996</v>
      </c>
      <c r="I218" s="42">
        <f t="shared" si="7"/>
        <v>8.3436799996894351E-7</v>
      </c>
    </row>
    <row r="219" spans="1:9">
      <c r="A219" t="s">
        <v>144</v>
      </c>
      <c r="B219">
        <v>3</v>
      </c>
      <c r="C219">
        <v>12</v>
      </c>
      <c r="D219">
        <v>0.51420600000000005</v>
      </c>
      <c r="E219">
        <v>0.61668800000000001</v>
      </c>
      <c r="F219">
        <v>-0.57991300000000001</v>
      </c>
      <c r="G219">
        <v>3.5387000000000002E-2</v>
      </c>
      <c r="H219" s="42">
        <f t="shared" si="6"/>
        <v>3.5386413806000105E-2</v>
      </c>
      <c r="I219" s="42">
        <f t="shared" si="7"/>
        <v>-5.8619399989634502E-7</v>
      </c>
    </row>
    <row r="220" spans="1:9">
      <c r="A220" t="s">
        <v>144</v>
      </c>
      <c r="B220">
        <v>3</v>
      </c>
      <c r="C220">
        <v>13</v>
      </c>
      <c r="D220">
        <v>0.51420600000000005</v>
      </c>
      <c r="E220">
        <v>0.82653299999999996</v>
      </c>
      <c r="F220">
        <v>0.90084500000000001</v>
      </c>
      <c r="G220">
        <v>0.86263299999999998</v>
      </c>
      <c r="H220" s="42">
        <f t="shared" si="6"/>
        <v>0.86263332372799995</v>
      </c>
      <c r="I220" s="42">
        <f t="shared" si="7"/>
        <v>3.2372799996238655E-7</v>
      </c>
    </row>
    <row r="221" spans="1:9">
      <c r="A221" t="s">
        <v>144</v>
      </c>
      <c r="B221">
        <v>3</v>
      </c>
      <c r="C221">
        <v>14</v>
      </c>
      <c r="D221">
        <v>0.51420600000000005</v>
      </c>
      <c r="E221">
        <v>0.554033</v>
      </c>
      <c r="F221">
        <v>-0.76863899999999996</v>
      </c>
      <c r="G221">
        <v>-8.8512999999999994E-2</v>
      </c>
      <c r="H221" s="42">
        <f t="shared" si="6"/>
        <v>-8.8513121567999953E-2</v>
      </c>
      <c r="I221" s="42">
        <f t="shared" si="7"/>
        <v>-1.2156799995832746E-7</v>
      </c>
    </row>
    <row r="222" spans="1:9">
      <c r="A222" t="s">
        <v>144</v>
      </c>
      <c r="B222">
        <v>3</v>
      </c>
      <c r="C222">
        <v>15</v>
      </c>
      <c r="D222">
        <v>0.51420600000000005</v>
      </c>
      <c r="E222">
        <v>0.28202199999999999</v>
      </c>
      <c r="F222">
        <v>-0.212256</v>
      </c>
      <c r="G222">
        <v>4.1904999999999998E-2</v>
      </c>
      <c r="H222" s="42">
        <f t="shared" si="6"/>
        <v>4.1904713268000021E-2</v>
      </c>
      <c r="I222" s="42">
        <f t="shared" si="7"/>
        <v>-2.8673199997664156E-7</v>
      </c>
    </row>
    <row r="223" spans="1:9">
      <c r="A223" t="s">
        <v>144</v>
      </c>
      <c r="B223">
        <v>3</v>
      </c>
      <c r="C223">
        <v>16</v>
      </c>
      <c r="D223">
        <v>0.51420600000000005</v>
      </c>
      <c r="E223">
        <v>-0.118259</v>
      </c>
      <c r="F223">
        <v>0.25214399999999998</v>
      </c>
      <c r="G223">
        <v>6.1679999999999999E-2</v>
      </c>
      <c r="H223" s="42">
        <f t="shared" si="6"/>
        <v>6.1680554981999966E-2</v>
      </c>
      <c r="I223" s="42">
        <f t="shared" si="7"/>
        <v>5.5498199996728559E-7</v>
      </c>
    </row>
    <row r="224" spans="1:9">
      <c r="A224" t="s">
        <v>144</v>
      </c>
      <c r="B224">
        <v>3</v>
      </c>
      <c r="C224">
        <v>17</v>
      </c>
      <c r="D224">
        <v>0.51420600000000005</v>
      </c>
      <c r="E224">
        <v>0.14322299999999999</v>
      </c>
      <c r="F224">
        <v>-0.16586799999999999</v>
      </c>
      <c r="G224">
        <v>-6.9309999999999997E-3</v>
      </c>
      <c r="H224" s="42">
        <f t="shared" si="6"/>
        <v>-6.9315532539999808E-3</v>
      </c>
      <c r="I224" s="42">
        <f t="shared" si="7"/>
        <v>-5.5325399998112923E-7</v>
      </c>
    </row>
    <row r="225" spans="1:9">
      <c r="A225" t="s">
        <v>144</v>
      </c>
      <c r="B225">
        <v>3</v>
      </c>
      <c r="C225">
        <v>18</v>
      </c>
      <c r="D225">
        <v>0.51420600000000005</v>
      </c>
      <c r="E225">
        <v>-0.33014900000000003</v>
      </c>
      <c r="F225">
        <v>-0.54200899999999996</v>
      </c>
      <c r="G225">
        <v>-0.43306899999999998</v>
      </c>
      <c r="H225" s="42">
        <f t="shared" si="6"/>
        <v>-0.43306931683999994</v>
      </c>
      <c r="I225" s="42">
        <f t="shared" si="7"/>
        <v>-3.1683999995868461E-7</v>
      </c>
    </row>
    <row r="226" spans="1:9">
      <c r="A226" t="s">
        <v>144</v>
      </c>
      <c r="B226">
        <v>3</v>
      </c>
      <c r="C226">
        <v>19</v>
      </c>
      <c r="D226">
        <v>0.51420600000000005</v>
      </c>
      <c r="E226">
        <v>0.92584</v>
      </c>
      <c r="F226">
        <v>0.74178299999999997</v>
      </c>
      <c r="G226">
        <v>0.836426</v>
      </c>
      <c r="H226" s="42">
        <f t="shared" si="6"/>
        <v>0.83642621374199999</v>
      </c>
      <c r="I226" s="42">
        <f t="shared" si="7"/>
        <v>2.1374199998813737E-7</v>
      </c>
    </row>
    <row r="227" spans="1:9">
      <c r="A227" t="s">
        <v>144</v>
      </c>
      <c r="B227">
        <v>3</v>
      </c>
      <c r="C227">
        <v>20</v>
      </c>
      <c r="D227">
        <v>0.51420600000000005</v>
      </c>
      <c r="E227">
        <v>-0.79277900000000001</v>
      </c>
      <c r="F227">
        <v>0.84289099999999995</v>
      </c>
      <c r="G227">
        <v>1.8190000000000001E-3</v>
      </c>
      <c r="H227" s="42">
        <f t="shared" si="6"/>
        <v>1.8196719799998817E-3</v>
      </c>
      <c r="I227" s="42">
        <f t="shared" si="7"/>
        <v>6.7197999988164066E-7</v>
      </c>
    </row>
    <row r="228" spans="1:9">
      <c r="A228" t="s">
        <v>144</v>
      </c>
      <c r="B228">
        <v>3</v>
      </c>
      <c r="C228">
        <v>21</v>
      </c>
      <c r="D228">
        <v>0.51420600000000005</v>
      </c>
      <c r="E228">
        <v>0.71471300000000004</v>
      </c>
      <c r="F228">
        <v>0.23572499999999999</v>
      </c>
      <c r="G228">
        <v>0.48202400000000001</v>
      </c>
      <c r="H228" s="42">
        <f t="shared" si="6"/>
        <v>0.48202350352800005</v>
      </c>
      <c r="I228" s="42">
        <f t="shared" si="7"/>
        <v>-4.9647199995561664E-7</v>
      </c>
    </row>
    <row r="229" spans="1:9">
      <c r="A229" t="s">
        <v>144</v>
      </c>
      <c r="B229">
        <v>3</v>
      </c>
      <c r="C229">
        <v>22</v>
      </c>
      <c r="D229">
        <v>0.51420600000000005</v>
      </c>
      <c r="E229">
        <v>-0.185278</v>
      </c>
      <c r="F229">
        <v>-0.90362299999999995</v>
      </c>
      <c r="G229">
        <v>-0.53424499999999997</v>
      </c>
      <c r="H229" s="42">
        <f t="shared" si="6"/>
        <v>-0.53424569092999996</v>
      </c>
      <c r="I229" s="42">
        <f t="shared" si="7"/>
        <v>-6.9092999999131877E-7</v>
      </c>
    </row>
    <row r="230" spans="1:9">
      <c r="A230" t="s">
        <v>144</v>
      </c>
      <c r="B230">
        <v>3</v>
      </c>
      <c r="C230">
        <v>23</v>
      </c>
      <c r="D230">
        <v>0.51420600000000005</v>
      </c>
      <c r="E230">
        <v>-0.85796700000000004</v>
      </c>
      <c r="F230">
        <v>-0.169958</v>
      </c>
      <c r="G230">
        <v>-0.52373599999999998</v>
      </c>
      <c r="H230" s="42">
        <f t="shared" si="6"/>
        <v>-0.52373635585400002</v>
      </c>
      <c r="I230" s="42">
        <f t="shared" si="7"/>
        <v>-3.5585400004478629E-7</v>
      </c>
    </row>
    <row r="231" spans="1:9">
      <c r="A231" t="s">
        <v>144</v>
      </c>
      <c r="B231">
        <v>3</v>
      </c>
      <c r="C231">
        <v>24</v>
      </c>
      <c r="D231">
        <v>0.51420600000000005</v>
      </c>
      <c r="E231">
        <v>-0.75878199999999996</v>
      </c>
      <c r="F231">
        <v>0.46427800000000002</v>
      </c>
      <c r="G231">
        <v>-0.164627</v>
      </c>
      <c r="H231" s="42">
        <f t="shared" si="6"/>
        <v>-0.16462679036000005</v>
      </c>
      <c r="I231" s="42">
        <f t="shared" si="7"/>
        <v>2.0963999994294547E-7</v>
      </c>
    </row>
    <row r="232" spans="1:9">
      <c r="A232" t="s">
        <v>144</v>
      </c>
      <c r="B232">
        <v>3</v>
      </c>
      <c r="C232">
        <v>25</v>
      </c>
      <c r="D232">
        <v>0.51420600000000005</v>
      </c>
      <c r="E232">
        <v>-0.67842599999999997</v>
      </c>
      <c r="F232">
        <v>0.56526399999999999</v>
      </c>
      <c r="G232">
        <v>-7.4249999999999997E-2</v>
      </c>
      <c r="H232" s="42">
        <f t="shared" si="6"/>
        <v>-7.4248860140000039E-2</v>
      </c>
      <c r="I232" s="42">
        <f t="shared" si="7"/>
        <v>1.13985999995736E-6</v>
      </c>
    </row>
    <row r="233" spans="1:9">
      <c r="A233" t="s">
        <v>144</v>
      </c>
      <c r="B233">
        <v>3</v>
      </c>
      <c r="C233">
        <v>26</v>
      </c>
      <c r="D233">
        <v>0.51420600000000005</v>
      </c>
      <c r="E233">
        <v>-0.99002000000000001</v>
      </c>
      <c r="F233">
        <v>-0.954924</v>
      </c>
      <c r="G233">
        <v>-0.97297100000000003</v>
      </c>
      <c r="H233" s="42">
        <f t="shared" si="6"/>
        <v>-0.97297057377599994</v>
      </c>
      <c r="I233" s="42">
        <f t="shared" si="7"/>
        <v>4.2622400009406647E-7</v>
      </c>
    </row>
    <row r="234" spans="1:9">
      <c r="A234" t="s">
        <v>144</v>
      </c>
      <c r="B234">
        <v>3</v>
      </c>
      <c r="C234">
        <v>27</v>
      </c>
      <c r="D234">
        <v>0.51420600000000005</v>
      </c>
      <c r="E234">
        <v>-0.60908799999999996</v>
      </c>
      <c r="F234">
        <v>-0.48057499999999997</v>
      </c>
      <c r="G234">
        <v>-0.54665699999999995</v>
      </c>
      <c r="H234" s="42">
        <f t="shared" si="6"/>
        <v>-0.546657155678</v>
      </c>
      <c r="I234" s="42">
        <f t="shared" si="7"/>
        <v>-1.5567800004667731E-7</v>
      </c>
    </row>
    <row r="235" spans="1:9">
      <c r="A235" t="s">
        <v>144</v>
      </c>
      <c r="B235">
        <v>3</v>
      </c>
      <c r="C235">
        <v>28</v>
      </c>
      <c r="D235">
        <v>0.51420600000000005</v>
      </c>
      <c r="E235">
        <v>4.9988999999999999E-2</v>
      </c>
      <c r="F235">
        <v>0.60264899999999999</v>
      </c>
      <c r="G235">
        <v>0.31846799999999997</v>
      </c>
      <c r="H235" s="42">
        <f t="shared" si="6"/>
        <v>0.31846791203999997</v>
      </c>
      <c r="I235" s="42">
        <f t="shared" si="7"/>
        <v>-8.7960000005882222E-8</v>
      </c>
    </row>
    <row r="236" spans="1:9">
      <c r="A236" t="s">
        <v>144</v>
      </c>
      <c r="B236">
        <v>3</v>
      </c>
      <c r="C236">
        <v>29</v>
      </c>
      <c r="D236">
        <v>0.51420600000000005</v>
      </c>
      <c r="E236">
        <v>-0.65840600000000005</v>
      </c>
      <c r="F236">
        <v>-0.2266</v>
      </c>
      <c r="G236">
        <v>-0.44863799999999998</v>
      </c>
      <c r="H236" s="42">
        <f t="shared" si="6"/>
        <v>-0.44863723603600009</v>
      </c>
      <c r="I236" s="42">
        <f t="shared" si="7"/>
        <v>7.639639998946457E-7</v>
      </c>
    </row>
    <row r="237" spans="1:9">
      <c r="A237" t="s">
        <v>144</v>
      </c>
      <c r="B237">
        <v>3</v>
      </c>
      <c r="C237">
        <v>30</v>
      </c>
      <c r="D237">
        <v>0.51420600000000005</v>
      </c>
      <c r="E237">
        <v>0.24295800000000001</v>
      </c>
      <c r="F237">
        <v>-0.60319800000000001</v>
      </c>
      <c r="G237">
        <v>-0.168099</v>
      </c>
      <c r="H237" s="42">
        <f t="shared" si="6"/>
        <v>-0.16809950786399996</v>
      </c>
      <c r="I237" s="42">
        <f t="shared" si="7"/>
        <v>-5.078639999656076E-7</v>
      </c>
    </row>
    <row r="238" spans="1:9">
      <c r="A238" t="s">
        <v>144</v>
      </c>
      <c r="B238">
        <v>3</v>
      </c>
      <c r="C238">
        <v>31</v>
      </c>
      <c r="D238">
        <v>0.51420600000000005</v>
      </c>
      <c r="E238">
        <v>-0.61229299999999998</v>
      </c>
      <c r="F238">
        <v>0.15933700000000001</v>
      </c>
      <c r="G238">
        <v>-0.23744000000000001</v>
      </c>
      <c r="H238" s="42">
        <f t="shared" si="6"/>
        <v>-0.23743977578000003</v>
      </c>
      <c r="I238" s="42">
        <f t="shared" si="7"/>
        <v>2.242199999835659E-7</v>
      </c>
    </row>
    <row r="239" spans="1:9">
      <c r="A239" t="s">
        <v>144</v>
      </c>
      <c r="B239">
        <v>3</v>
      </c>
      <c r="C239">
        <v>32</v>
      </c>
      <c r="D239">
        <v>0.51420600000000005</v>
      </c>
      <c r="E239">
        <v>-7.2389999999999996E-2</v>
      </c>
      <c r="F239">
        <v>0.51301600000000003</v>
      </c>
      <c r="G239">
        <v>0.21199699999999999</v>
      </c>
      <c r="H239" s="42">
        <f t="shared" si="6"/>
        <v>0.211996722364</v>
      </c>
      <c r="I239" s="42">
        <f t="shared" si="7"/>
        <v>-2.7763599999564015E-7</v>
      </c>
    </row>
    <row r="240" spans="1:9">
      <c r="A240" t="s">
        <v>144</v>
      </c>
      <c r="B240">
        <v>3</v>
      </c>
      <c r="C240">
        <v>33</v>
      </c>
      <c r="D240">
        <v>0.51420600000000005</v>
      </c>
      <c r="E240">
        <v>0.87835300000000005</v>
      </c>
      <c r="F240">
        <v>-0.460005</v>
      </c>
      <c r="G240">
        <v>0.228187</v>
      </c>
      <c r="H240" s="42">
        <f t="shared" si="6"/>
        <v>0.22818671374800009</v>
      </c>
      <c r="I240" s="42">
        <f t="shared" si="7"/>
        <v>-2.8625199990917061E-7</v>
      </c>
    </row>
    <row r="241" spans="1:9">
      <c r="A241" t="s">
        <v>144</v>
      </c>
      <c r="B241">
        <v>3</v>
      </c>
      <c r="C241">
        <v>34</v>
      </c>
      <c r="D241">
        <v>0.51420600000000005</v>
      </c>
      <c r="E241">
        <v>9.0365000000000001E-2</v>
      </c>
      <c r="F241">
        <v>0.51854</v>
      </c>
      <c r="G241">
        <v>0.29837000000000002</v>
      </c>
      <c r="H241" s="42">
        <f t="shared" si="6"/>
        <v>0.29836984594999993</v>
      </c>
      <c r="I241" s="42">
        <f t="shared" si="7"/>
        <v>-1.5405000008961167E-7</v>
      </c>
    </row>
    <row r="242" spans="1:9">
      <c r="A242" t="s">
        <v>144</v>
      </c>
      <c r="B242">
        <v>3</v>
      </c>
      <c r="C242">
        <v>35</v>
      </c>
      <c r="D242">
        <v>0.51420600000000005</v>
      </c>
      <c r="E242">
        <v>-0.37900899999999998</v>
      </c>
      <c r="F242">
        <v>0.80748900000000001</v>
      </c>
      <c r="G242">
        <v>0.197384</v>
      </c>
      <c r="H242" s="42">
        <f t="shared" si="6"/>
        <v>0.19738460941199995</v>
      </c>
      <c r="I242" s="42">
        <f t="shared" si="7"/>
        <v>6.0941199994668516E-7</v>
      </c>
    </row>
    <row r="243" spans="1:9">
      <c r="A243" t="s">
        <v>144</v>
      </c>
      <c r="B243">
        <v>3</v>
      </c>
      <c r="C243">
        <v>36</v>
      </c>
      <c r="D243">
        <v>0.51420600000000005</v>
      </c>
      <c r="E243">
        <v>0.18613199999999999</v>
      </c>
      <c r="F243">
        <v>-0.73857799999999996</v>
      </c>
      <c r="G243">
        <v>-0.26308599999999999</v>
      </c>
      <c r="H243" s="42">
        <f t="shared" si="6"/>
        <v>-0.26308656973999989</v>
      </c>
      <c r="I243" s="42">
        <f t="shared" si="7"/>
        <v>-5.6973999990050928E-7</v>
      </c>
    </row>
    <row r="244" spans="1:9">
      <c r="A244" t="s">
        <v>144</v>
      </c>
      <c r="B244">
        <v>3</v>
      </c>
      <c r="C244">
        <v>37</v>
      </c>
      <c r="D244">
        <v>0.51420600000000005</v>
      </c>
      <c r="E244">
        <v>-0.399976</v>
      </c>
      <c r="F244">
        <v>0.34961999999999999</v>
      </c>
      <c r="G244">
        <v>-3.5826999999999998E-2</v>
      </c>
      <c r="H244" s="42">
        <f t="shared" si="6"/>
        <v>-3.5826760776000055E-2</v>
      </c>
      <c r="I244" s="42">
        <f t="shared" si="7"/>
        <v>2.3922399994269483E-7</v>
      </c>
    </row>
    <row r="245" spans="1:9">
      <c r="A245" t="s">
        <v>144</v>
      </c>
      <c r="B245">
        <v>3</v>
      </c>
      <c r="C245">
        <v>38</v>
      </c>
      <c r="D245">
        <v>0.51420600000000005</v>
      </c>
      <c r="E245">
        <v>0.47056500000000001</v>
      </c>
      <c r="F245">
        <v>-0.215918</v>
      </c>
      <c r="G245">
        <v>0.137076</v>
      </c>
      <c r="H245" s="42">
        <f t="shared" si="6"/>
        <v>0.13707567749800004</v>
      </c>
      <c r="I245" s="42">
        <f t="shared" si="7"/>
        <v>-3.2250199996641804E-7</v>
      </c>
    </row>
    <row r="246" spans="1:9">
      <c r="A246" t="s">
        <v>144</v>
      </c>
      <c r="B246">
        <v>3</v>
      </c>
      <c r="C246">
        <v>39</v>
      </c>
      <c r="D246">
        <v>0.51420600000000005</v>
      </c>
      <c r="E246">
        <v>0.79961499999999996</v>
      </c>
      <c r="F246">
        <v>0.87975700000000001</v>
      </c>
      <c r="G246">
        <v>0.83854799999999996</v>
      </c>
      <c r="H246" s="42">
        <f t="shared" si="6"/>
        <v>0.83854750274800005</v>
      </c>
      <c r="I246" s="42">
        <f t="shared" si="7"/>
        <v>-4.9725199990913183E-7</v>
      </c>
    </row>
    <row r="247" spans="1:9">
      <c r="A247" t="s">
        <v>144</v>
      </c>
      <c r="B247">
        <v>3</v>
      </c>
      <c r="C247">
        <v>40</v>
      </c>
      <c r="D247">
        <v>0.51420600000000005</v>
      </c>
      <c r="E247">
        <v>0.41260999999999998</v>
      </c>
      <c r="F247">
        <v>0.75524199999999997</v>
      </c>
      <c r="G247">
        <v>0.57905799999999996</v>
      </c>
      <c r="H247" s="42">
        <f t="shared" si="6"/>
        <v>0.57905856980799997</v>
      </c>
      <c r="I247" s="42">
        <f t="shared" si="7"/>
        <v>5.6980800000605569E-7</v>
      </c>
    </row>
    <row r="248" spans="1:9">
      <c r="A248" t="s">
        <v>144</v>
      </c>
      <c r="B248">
        <v>3</v>
      </c>
      <c r="C248">
        <v>41</v>
      </c>
      <c r="D248">
        <v>0.51420600000000005</v>
      </c>
      <c r="E248">
        <v>0.48628199999999999</v>
      </c>
      <c r="F248">
        <v>-0.62422599999999995</v>
      </c>
      <c r="G248">
        <v>-5.3196E-2</v>
      </c>
      <c r="H248" s="42">
        <f t="shared" si="6"/>
        <v>-5.3196123351999913E-2</v>
      </c>
      <c r="I248" s="42">
        <f t="shared" si="7"/>
        <v>-1.2335199991303503E-7</v>
      </c>
    </row>
    <row r="249" spans="1:9">
      <c r="A249" t="s">
        <v>144</v>
      </c>
      <c r="B249">
        <v>3</v>
      </c>
      <c r="C249">
        <v>42</v>
      </c>
      <c r="D249">
        <v>0.51420600000000005</v>
      </c>
      <c r="E249">
        <v>0.38358700000000001</v>
      </c>
      <c r="F249">
        <v>-0.26212299999999999</v>
      </c>
      <c r="G249">
        <v>6.9904999999999995E-2</v>
      </c>
      <c r="H249" s="42">
        <f t="shared" si="6"/>
        <v>6.990495626000004E-2</v>
      </c>
      <c r="I249" s="42">
        <f t="shared" si="7"/>
        <v>-4.3739999955327846E-8</v>
      </c>
    </row>
    <row r="250" spans="1:9">
      <c r="A250" t="s">
        <v>144</v>
      </c>
      <c r="B250">
        <v>3</v>
      </c>
      <c r="C250">
        <v>43</v>
      </c>
      <c r="D250">
        <v>0.51420600000000005</v>
      </c>
      <c r="E250">
        <v>-0.56929200000000002</v>
      </c>
      <c r="F250">
        <v>0.54783800000000005</v>
      </c>
      <c r="G250">
        <v>-2.6598E-2</v>
      </c>
      <c r="H250" s="42">
        <f t="shared" si="6"/>
        <v>-2.6596948780000018E-2</v>
      </c>
      <c r="I250" s="42">
        <f t="shared" si="7"/>
        <v>1.0512199999819505E-6</v>
      </c>
    </row>
    <row r="251" spans="1:9">
      <c r="A251" t="s">
        <v>144</v>
      </c>
      <c r="B251">
        <v>3</v>
      </c>
      <c r="C251">
        <v>44</v>
      </c>
      <c r="D251">
        <v>0.51420600000000005</v>
      </c>
      <c r="E251">
        <v>-0.266488</v>
      </c>
      <c r="F251">
        <v>0.74123399999999995</v>
      </c>
      <c r="G251">
        <v>0.22305700000000001</v>
      </c>
      <c r="H251" s="42">
        <f t="shared" si="6"/>
        <v>0.22305730126799991</v>
      </c>
      <c r="I251" s="42">
        <f t="shared" si="7"/>
        <v>3.0126799990815023E-7</v>
      </c>
    </row>
    <row r="252" spans="1:9">
      <c r="A252" t="s">
        <v>144</v>
      </c>
      <c r="B252">
        <v>3</v>
      </c>
      <c r="C252">
        <v>45</v>
      </c>
      <c r="D252">
        <v>0.51420600000000005</v>
      </c>
      <c r="E252">
        <v>8.9908000000000002E-2</v>
      </c>
      <c r="F252">
        <v>0.58299500000000004</v>
      </c>
      <c r="G252">
        <v>0.32944600000000002</v>
      </c>
      <c r="H252" s="42">
        <f t="shared" si="6"/>
        <v>0.32944670607799997</v>
      </c>
      <c r="I252" s="42">
        <f t="shared" si="7"/>
        <v>7.060779999568112E-7</v>
      </c>
    </row>
    <row r="253" spans="1:9">
      <c r="A253" t="s">
        <v>144</v>
      </c>
      <c r="B253">
        <v>3</v>
      </c>
      <c r="C253">
        <v>46</v>
      </c>
      <c r="D253">
        <v>0.51420600000000005</v>
      </c>
      <c r="E253">
        <v>-0.28556199999999998</v>
      </c>
      <c r="F253">
        <v>0.60792900000000005</v>
      </c>
      <c r="G253">
        <v>0.14849000000000001</v>
      </c>
      <c r="H253" s="42">
        <f t="shared" si="6"/>
        <v>0.14849056685399997</v>
      </c>
      <c r="I253" s="42">
        <f t="shared" si="7"/>
        <v>5.6685399996148078E-7</v>
      </c>
    </row>
    <row r="254" spans="1:9">
      <c r="A254" t="s">
        <v>144</v>
      </c>
      <c r="B254">
        <v>3</v>
      </c>
      <c r="C254">
        <v>47</v>
      </c>
      <c r="D254">
        <v>0.51420600000000005</v>
      </c>
      <c r="E254">
        <v>0.73888399999999999</v>
      </c>
      <c r="F254">
        <v>-0.68874199999999997</v>
      </c>
      <c r="G254">
        <v>4.5352000000000003E-2</v>
      </c>
      <c r="H254" s="42">
        <f t="shared" si="6"/>
        <v>4.5351854956000082E-2</v>
      </c>
      <c r="I254" s="42">
        <f t="shared" si="7"/>
        <v>-1.4504399992176786E-7</v>
      </c>
    </row>
    <row r="255" spans="1:9">
      <c r="A255" t="s">
        <v>144</v>
      </c>
      <c r="B255">
        <v>3</v>
      </c>
      <c r="C255">
        <v>48</v>
      </c>
      <c r="D255">
        <v>0.51420600000000005</v>
      </c>
      <c r="E255">
        <v>-0.71288200000000002</v>
      </c>
      <c r="F255">
        <v>0.47154099999999999</v>
      </c>
      <c r="G255">
        <v>-0.13749700000000001</v>
      </c>
      <c r="H255" s="42">
        <f t="shared" si="6"/>
        <v>-0.13749641313800007</v>
      </c>
      <c r="I255" s="42">
        <f t="shared" si="7"/>
        <v>5.8686199994051336E-7</v>
      </c>
    </row>
    <row r="256" spans="1:9">
      <c r="A256" t="s">
        <v>144</v>
      </c>
      <c r="B256">
        <v>3</v>
      </c>
      <c r="C256">
        <v>49</v>
      </c>
      <c r="D256">
        <v>0.51420600000000005</v>
      </c>
      <c r="E256">
        <v>0.46629199999999998</v>
      </c>
      <c r="F256">
        <v>-0.146397</v>
      </c>
      <c r="G256">
        <v>0.168652</v>
      </c>
      <c r="H256" s="42">
        <f t="shared" si="6"/>
        <v>0.16865135993400002</v>
      </c>
      <c r="I256" s="42">
        <f t="shared" si="7"/>
        <v>-6.4006599997945557E-7</v>
      </c>
    </row>
    <row r="257" spans="1:9">
      <c r="A257" t="s">
        <v>144</v>
      </c>
      <c r="B257" t="s">
        <v>145</v>
      </c>
      <c r="C257">
        <v>4</v>
      </c>
    </row>
    <row r="258" spans="1:9">
      <c r="A258" t="s">
        <v>144</v>
      </c>
      <c r="B258" t="s">
        <v>146</v>
      </c>
      <c r="C258">
        <v>16</v>
      </c>
    </row>
    <row r="259" spans="1:9">
      <c r="A259" t="s">
        <v>144</v>
      </c>
      <c r="B259" t="s">
        <v>147</v>
      </c>
      <c r="C259">
        <v>16</v>
      </c>
    </row>
    <row r="260" spans="1:9">
      <c r="A260" t="s">
        <v>144</v>
      </c>
      <c r="B260" t="s">
        <v>148</v>
      </c>
      <c r="C260">
        <v>0.44505099999999997</v>
      </c>
    </row>
    <row r="261" spans="1:9">
      <c r="A261" t="s">
        <v>144</v>
      </c>
      <c r="B261" t="s">
        <v>149</v>
      </c>
      <c r="C261">
        <v>0.44505099999999997</v>
      </c>
    </row>
    <row r="262" spans="1:9">
      <c r="A262" t="s">
        <v>144</v>
      </c>
      <c r="B262" t="s">
        <v>150</v>
      </c>
      <c r="C262">
        <v>-1</v>
      </c>
    </row>
    <row r="263" spans="1:9">
      <c r="A263" t="s">
        <v>144</v>
      </c>
      <c r="B263" t="s">
        <v>151</v>
      </c>
      <c r="C263">
        <v>-1</v>
      </c>
    </row>
    <row r="264" spans="1:9">
      <c r="A264" t="s">
        <v>144</v>
      </c>
      <c r="B264" t="s">
        <v>152</v>
      </c>
      <c r="C264">
        <v>45</v>
      </c>
    </row>
    <row r="265" spans="1:9">
      <c r="A265" t="s">
        <v>144</v>
      </c>
      <c r="B265" t="s">
        <v>153</v>
      </c>
      <c r="C265">
        <v>45</v>
      </c>
    </row>
    <row r="266" spans="1:9">
      <c r="A266" t="s">
        <v>144</v>
      </c>
      <c r="B266" t="s">
        <v>154</v>
      </c>
      <c r="C266">
        <v>0</v>
      </c>
    </row>
    <row r="267" spans="1:9">
      <c r="A267" t="s">
        <v>144</v>
      </c>
      <c r="B267" t="s">
        <v>155</v>
      </c>
    </row>
    <row r="268" spans="1:9">
      <c r="A268" t="s">
        <v>144</v>
      </c>
      <c r="B268" t="s">
        <v>150</v>
      </c>
      <c r="C268">
        <v>0.95284899999999995</v>
      </c>
      <c r="H268" s="38" t="s">
        <v>164</v>
      </c>
      <c r="I268" s="44">
        <f>MIN(I271:I320)</f>
        <v>-3.3351400002823439E-7</v>
      </c>
    </row>
    <row r="269" spans="1:9">
      <c r="A269" t="s">
        <v>144</v>
      </c>
      <c r="B269" t="s">
        <v>151</v>
      </c>
      <c r="C269">
        <v>0.95284899999999995</v>
      </c>
      <c r="H269" s="38" t="s">
        <v>165</v>
      </c>
      <c r="I269" s="44">
        <f>MAX(I271:I320)</f>
        <v>7.2688900004669321E-7</v>
      </c>
    </row>
    <row r="270" spans="1:9">
      <c r="A270" t="s">
        <v>144</v>
      </c>
      <c r="B270" t="s">
        <v>156</v>
      </c>
      <c r="C270" t="s">
        <v>157</v>
      </c>
      <c r="D270" t="s">
        <v>63</v>
      </c>
      <c r="E270" t="s">
        <v>158</v>
      </c>
      <c r="F270" t="s">
        <v>159</v>
      </c>
      <c r="G270" t="s">
        <v>160</v>
      </c>
      <c r="H270" s="43" t="s">
        <v>162</v>
      </c>
      <c r="I270" s="43" t="s">
        <v>163</v>
      </c>
    </row>
    <row r="271" spans="1:9">
      <c r="A271" t="s">
        <v>144</v>
      </c>
      <c r="B271">
        <v>4</v>
      </c>
      <c r="C271">
        <v>0</v>
      </c>
      <c r="D271">
        <v>0.95284899999999995</v>
      </c>
      <c r="E271">
        <v>-0.267098</v>
      </c>
      <c r="F271">
        <v>-1</v>
      </c>
      <c r="G271">
        <v>-0.267098</v>
      </c>
      <c r="H271" s="42">
        <f>IF(C271&lt;$C$264,E271,D271*E271 + (1 - D271)*F271)</f>
        <v>-0.267098</v>
      </c>
      <c r="I271" s="42">
        <f>H271-G271</f>
        <v>0</v>
      </c>
    </row>
    <row r="272" spans="1:9">
      <c r="A272" t="s">
        <v>144</v>
      </c>
      <c r="B272">
        <v>4</v>
      </c>
      <c r="C272">
        <v>1</v>
      </c>
      <c r="D272">
        <v>0.95284899999999995</v>
      </c>
      <c r="E272">
        <v>0.56114399999999998</v>
      </c>
      <c r="F272">
        <v>-1</v>
      </c>
      <c r="G272">
        <v>0.56114399999999998</v>
      </c>
      <c r="H272" s="42">
        <f t="shared" ref="H272:H320" si="8">IF(C272&lt;$C$264,E272,D272*E272 + (1 - D272)*F272)</f>
        <v>0.56114399999999998</v>
      </c>
      <c r="I272" s="42">
        <f t="shared" ref="I272:I320" si="9">H272-G272</f>
        <v>0</v>
      </c>
    </row>
    <row r="273" spans="1:9">
      <c r="A273" t="s">
        <v>144</v>
      </c>
      <c r="B273">
        <v>4</v>
      </c>
      <c r="C273">
        <v>2</v>
      </c>
      <c r="D273">
        <v>0.95284899999999995</v>
      </c>
      <c r="E273">
        <v>-0.28070899999999999</v>
      </c>
      <c r="F273">
        <v>-1</v>
      </c>
      <c r="G273">
        <v>-0.28070899999999999</v>
      </c>
      <c r="H273" s="42">
        <f t="shared" si="8"/>
        <v>-0.28070899999999999</v>
      </c>
      <c r="I273" s="42">
        <f t="shared" si="9"/>
        <v>0</v>
      </c>
    </row>
    <row r="274" spans="1:9">
      <c r="A274" t="s">
        <v>144</v>
      </c>
      <c r="B274">
        <v>4</v>
      </c>
      <c r="C274">
        <v>3</v>
      </c>
      <c r="D274">
        <v>0.95284899999999995</v>
      </c>
      <c r="E274">
        <v>0.54429799999999995</v>
      </c>
      <c r="F274">
        <v>-1</v>
      </c>
      <c r="G274">
        <v>0.54429799999999995</v>
      </c>
      <c r="H274" s="42">
        <f t="shared" si="8"/>
        <v>0.54429799999999995</v>
      </c>
      <c r="I274" s="42">
        <f t="shared" si="9"/>
        <v>0</v>
      </c>
    </row>
    <row r="275" spans="1:9">
      <c r="A275" t="s">
        <v>144</v>
      </c>
      <c r="B275">
        <v>4</v>
      </c>
      <c r="C275">
        <v>4</v>
      </c>
      <c r="D275">
        <v>0.95284899999999995</v>
      </c>
      <c r="E275">
        <v>-0.165349</v>
      </c>
      <c r="F275">
        <v>-1</v>
      </c>
      <c r="G275">
        <v>-0.165349</v>
      </c>
      <c r="H275" s="42">
        <f t="shared" si="8"/>
        <v>-0.165349</v>
      </c>
      <c r="I275" s="42">
        <f t="shared" si="9"/>
        <v>0</v>
      </c>
    </row>
    <row r="276" spans="1:9">
      <c r="A276" t="s">
        <v>144</v>
      </c>
      <c r="B276">
        <v>4</v>
      </c>
      <c r="C276">
        <v>5</v>
      </c>
      <c r="D276">
        <v>0.95284899999999995</v>
      </c>
      <c r="E276">
        <v>0.43519400000000003</v>
      </c>
      <c r="F276">
        <v>-1</v>
      </c>
      <c r="G276">
        <v>0.43519400000000003</v>
      </c>
      <c r="H276" s="42">
        <f t="shared" si="8"/>
        <v>0.43519400000000003</v>
      </c>
      <c r="I276" s="42">
        <f t="shared" si="9"/>
        <v>0</v>
      </c>
    </row>
    <row r="277" spans="1:9">
      <c r="A277" t="s">
        <v>144</v>
      </c>
      <c r="B277">
        <v>4</v>
      </c>
      <c r="C277">
        <v>6</v>
      </c>
      <c r="D277">
        <v>0.95284899999999995</v>
      </c>
      <c r="E277">
        <v>0.95837300000000003</v>
      </c>
      <c r="F277">
        <v>-1</v>
      </c>
      <c r="G277">
        <v>0.95837300000000003</v>
      </c>
      <c r="H277" s="42">
        <f t="shared" si="8"/>
        <v>0.95837300000000003</v>
      </c>
      <c r="I277" s="42">
        <f t="shared" si="9"/>
        <v>0</v>
      </c>
    </row>
    <row r="278" spans="1:9">
      <c r="A278" t="s">
        <v>144</v>
      </c>
      <c r="B278">
        <v>4</v>
      </c>
      <c r="C278">
        <v>7</v>
      </c>
      <c r="D278">
        <v>0.95284899999999995</v>
      </c>
      <c r="E278">
        <v>-0.27338499999999999</v>
      </c>
      <c r="F278">
        <v>-1</v>
      </c>
      <c r="G278">
        <v>-0.27338499999999999</v>
      </c>
      <c r="H278" s="42">
        <f t="shared" si="8"/>
        <v>-0.27338499999999999</v>
      </c>
      <c r="I278" s="42">
        <f t="shared" si="9"/>
        <v>0</v>
      </c>
    </row>
    <row r="279" spans="1:9">
      <c r="A279" t="s">
        <v>144</v>
      </c>
      <c r="B279">
        <v>4</v>
      </c>
      <c r="C279">
        <v>8</v>
      </c>
      <c r="D279">
        <v>0.95284899999999995</v>
      </c>
      <c r="E279">
        <v>0.35254999999999997</v>
      </c>
      <c r="F279">
        <v>-1</v>
      </c>
      <c r="G279">
        <v>0.35254999999999997</v>
      </c>
      <c r="H279" s="42">
        <f t="shared" si="8"/>
        <v>0.35254999999999997</v>
      </c>
      <c r="I279" s="42">
        <f t="shared" si="9"/>
        <v>0</v>
      </c>
    </row>
    <row r="280" spans="1:9">
      <c r="A280" t="s">
        <v>144</v>
      </c>
      <c r="B280">
        <v>4</v>
      </c>
      <c r="C280">
        <v>9</v>
      </c>
      <c r="D280">
        <v>0.95284899999999995</v>
      </c>
      <c r="E280">
        <v>0.32682299999999997</v>
      </c>
      <c r="F280">
        <v>-1</v>
      </c>
      <c r="G280">
        <v>0.32682299999999997</v>
      </c>
      <c r="H280" s="42">
        <f t="shared" si="8"/>
        <v>0.32682299999999997</v>
      </c>
      <c r="I280" s="42">
        <f t="shared" si="9"/>
        <v>0</v>
      </c>
    </row>
    <row r="281" spans="1:9">
      <c r="A281" t="s">
        <v>144</v>
      </c>
      <c r="B281">
        <v>4</v>
      </c>
      <c r="C281">
        <v>10</v>
      </c>
      <c r="D281">
        <v>0.95284899999999995</v>
      </c>
      <c r="E281">
        <v>4.9501000000000003E-2</v>
      </c>
      <c r="F281">
        <v>-1</v>
      </c>
      <c r="G281">
        <v>4.9501000000000003E-2</v>
      </c>
      <c r="H281" s="42">
        <f t="shared" si="8"/>
        <v>4.9501000000000003E-2</v>
      </c>
      <c r="I281" s="42">
        <f t="shared" si="9"/>
        <v>0</v>
      </c>
    </row>
    <row r="282" spans="1:9">
      <c r="A282" t="s">
        <v>144</v>
      </c>
      <c r="B282">
        <v>4</v>
      </c>
      <c r="C282">
        <v>11</v>
      </c>
      <c r="D282">
        <v>0.95284899999999995</v>
      </c>
      <c r="E282">
        <v>-0.52021799999999996</v>
      </c>
      <c r="F282">
        <v>-1</v>
      </c>
      <c r="G282">
        <v>-0.52021799999999996</v>
      </c>
      <c r="H282" s="42">
        <f t="shared" si="8"/>
        <v>-0.52021799999999996</v>
      </c>
      <c r="I282" s="42">
        <f t="shared" si="9"/>
        <v>0</v>
      </c>
    </row>
    <row r="283" spans="1:9">
      <c r="A283" t="s">
        <v>144</v>
      </c>
      <c r="B283">
        <v>4</v>
      </c>
      <c r="C283">
        <v>12</v>
      </c>
      <c r="D283">
        <v>0.95284899999999995</v>
      </c>
      <c r="E283">
        <v>0.86471100000000001</v>
      </c>
      <c r="F283">
        <v>-1</v>
      </c>
      <c r="G283">
        <v>0.86471100000000001</v>
      </c>
      <c r="H283" s="42">
        <f t="shared" si="8"/>
        <v>0.86471100000000001</v>
      </c>
      <c r="I283" s="42">
        <f t="shared" si="9"/>
        <v>0</v>
      </c>
    </row>
    <row r="284" spans="1:9">
      <c r="A284" t="s">
        <v>144</v>
      </c>
      <c r="B284">
        <v>4</v>
      </c>
      <c r="C284">
        <v>13</v>
      </c>
      <c r="D284">
        <v>0.95284899999999995</v>
      </c>
      <c r="E284">
        <v>-0.63090900000000005</v>
      </c>
      <c r="F284">
        <v>-1</v>
      </c>
      <c r="G284">
        <v>-0.63090900000000005</v>
      </c>
      <c r="H284" s="42">
        <f t="shared" si="8"/>
        <v>-0.63090900000000005</v>
      </c>
      <c r="I284" s="42">
        <f t="shared" si="9"/>
        <v>0</v>
      </c>
    </row>
    <row r="285" spans="1:9">
      <c r="A285" t="s">
        <v>144</v>
      </c>
      <c r="B285">
        <v>4</v>
      </c>
      <c r="C285">
        <v>14</v>
      </c>
      <c r="D285">
        <v>0.95284899999999995</v>
      </c>
      <c r="E285">
        <v>0.74071500000000001</v>
      </c>
      <c r="F285">
        <v>-1</v>
      </c>
      <c r="G285">
        <v>0.74071500000000001</v>
      </c>
      <c r="H285" s="42">
        <f t="shared" si="8"/>
        <v>0.74071500000000001</v>
      </c>
      <c r="I285" s="42">
        <f t="shared" si="9"/>
        <v>0</v>
      </c>
    </row>
    <row r="286" spans="1:9">
      <c r="A286" t="s">
        <v>144</v>
      </c>
      <c r="B286">
        <v>4</v>
      </c>
      <c r="C286">
        <v>15</v>
      </c>
      <c r="D286">
        <v>0.95284899999999995</v>
      </c>
      <c r="E286">
        <v>-0.65871100000000005</v>
      </c>
      <c r="F286">
        <v>-1</v>
      </c>
      <c r="G286">
        <v>-0.65871100000000005</v>
      </c>
      <c r="H286" s="42">
        <f t="shared" si="8"/>
        <v>-0.65871100000000005</v>
      </c>
      <c r="I286" s="42">
        <f t="shared" si="9"/>
        <v>0</v>
      </c>
    </row>
    <row r="287" spans="1:9">
      <c r="A287" t="s">
        <v>144</v>
      </c>
      <c r="B287">
        <v>4</v>
      </c>
      <c r="C287">
        <v>16</v>
      </c>
      <c r="D287">
        <v>0.95284899999999995</v>
      </c>
      <c r="E287">
        <v>-0.324961</v>
      </c>
      <c r="F287">
        <v>-1</v>
      </c>
      <c r="G287">
        <v>-0.324961</v>
      </c>
      <c r="H287" s="42">
        <f t="shared" si="8"/>
        <v>-0.324961</v>
      </c>
      <c r="I287" s="42">
        <f t="shared" si="9"/>
        <v>0</v>
      </c>
    </row>
    <row r="288" spans="1:9">
      <c r="A288" t="s">
        <v>144</v>
      </c>
      <c r="B288">
        <v>4</v>
      </c>
      <c r="C288">
        <v>17</v>
      </c>
      <c r="D288">
        <v>0.95284899999999995</v>
      </c>
      <c r="E288">
        <v>-0.275613</v>
      </c>
      <c r="F288">
        <v>-1</v>
      </c>
      <c r="G288">
        <v>-0.275613</v>
      </c>
      <c r="H288" s="42">
        <f t="shared" si="8"/>
        <v>-0.275613</v>
      </c>
      <c r="I288" s="42">
        <f t="shared" si="9"/>
        <v>0</v>
      </c>
    </row>
    <row r="289" spans="1:9">
      <c r="A289" t="s">
        <v>144</v>
      </c>
      <c r="B289">
        <v>4</v>
      </c>
      <c r="C289">
        <v>18</v>
      </c>
      <c r="D289">
        <v>0.95284899999999995</v>
      </c>
      <c r="E289">
        <v>-0.26831899999999997</v>
      </c>
      <c r="F289">
        <v>-1</v>
      </c>
      <c r="G289">
        <v>-0.26831899999999997</v>
      </c>
      <c r="H289" s="42">
        <f t="shared" si="8"/>
        <v>-0.26831899999999997</v>
      </c>
      <c r="I289" s="42">
        <f t="shared" si="9"/>
        <v>0</v>
      </c>
    </row>
    <row r="290" spans="1:9">
      <c r="A290" t="s">
        <v>144</v>
      </c>
      <c r="B290">
        <v>4</v>
      </c>
      <c r="C290">
        <v>19</v>
      </c>
      <c r="D290">
        <v>0.95284899999999995</v>
      </c>
      <c r="E290">
        <v>0.76213900000000001</v>
      </c>
      <c r="F290">
        <v>-1</v>
      </c>
      <c r="G290">
        <v>0.76213900000000001</v>
      </c>
      <c r="H290" s="42">
        <f t="shared" si="8"/>
        <v>0.76213900000000001</v>
      </c>
      <c r="I290" s="42">
        <f t="shared" si="9"/>
        <v>0</v>
      </c>
    </row>
    <row r="291" spans="1:9">
      <c r="A291" t="s">
        <v>144</v>
      </c>
      <c r="B291">
        <v>4</v>
      </c>
      <c r="C291">
        <v>20</v>
      </c>
      <c r="D291">
        <v>0.95284899999999995</v>
      </c>
      <c r="E291">
        <v>-0.90047900000000003</v>
      </c>
      <c r="F291">
        <v>-1</v>
      </c>
      <c r="G291">
        <v>-0.90047900000000003</v>
      </c>
      <c r="H291" s="42">
        <f t="shared" si="8"/>
        <v>-0.90047900000000003</v>
      </c>
      <c r="I291" s="42">
        <f t="shared" si="9"/>
        <v>0</v>
      </c>
    </row>
    <row r="292" spans="1:9">
      <c r="A292" t="s">
        <v>144</v>
      </c>
      <c r="B292">
        <v>4</v>
      </c>
      <c r="C292">
        <v>21</v>
      </c>
      <c r="D292">
        <v>0.95284899999999995</v>
      </c>
      <c r="E292">
        <v>-0.33576499999999998</v>
      </c>
      <c r="F292">
        <v>-1</v>
      </c>
      <c r="G292">
        <v>-0.33576499999999998</v>
      </c>
      <c r="H292" s="42">
        <f t="shared" si="8"/>
        <v>-0.33576499999999998</v>
      </c>
      <c r="I292" s="42">
        <f t="shared" si="9"/>
        <v>0</v>
      </c>
    </row>
    <row r="293" spans="1:9">
      <c r="A293" t="s">
        <v>144</v>
      </c>
      <c r="B293">
        <v>4</v>
      </c>
      <c r="C293">
        <v>22</v>
      </c>
      <c r="D293">
        <v>0.95284899999999995</v>
      </c>
      <c r="E293">
        <v>-0.43833699999999998</v>
      </c>
      <c r="F293">
        <v>-1</v>
      </c>
      <c r="G293">
        <v>-0.43833699999999998</v>
      </c>
      <c r="H293" s="42">
        <f t="shared" si="8"/>
        <v>-0.43833699999999998</v>
      </c>
      <c r="I293" s="42">
        <f t="shared" si="9"/>
        <v>0</v>
      </c>
    </row>
    <row r="294" spans="1:9">
      <c r="A294" t="s">
        <v>144</v>
      </c>
      <c r="B294">
        <v>4</v>
      </c>
      <c r="C294">
        <v>23</v>
      </c>
      <c r="D294">
        <v>0.95284899999999995</v>
      </c>
      <c r="E294">
        <v>0.27884799999999998</v>
      </c>
      <c r="F294">
        <v>-1</v>
      </c>
      <c r="G294">
        <v>0.27884799999999998</v>
      </c>
      <c r="H294" s="42">
        <f t="shared" si="8"/>
        <v>0.27884799999999998</v>
      </c>
      <c r="I294" s="42">
        <f t="shared" si="9"/>
        <v>0</v>
      </c>
    </row>
    <row r="295" spans="1:9">
      <c r="A295" t="s">
        <v>144</v>
      </c>
      <c r="B295">
        <v>4</v>
      </c>
      <c r="C295">
        <v>24</v>
      </c>
      <c r="D295">
        <v>0.95284899999999995</v>
      </c>
      <c r="E295">
        <v>-0.38447199999999998</v>
      </c>
      <c r="F295">
        <v>-1</v>
      </c>
      <c r="G295">
        <v>-0.38447199999999998</v>
      </c>
      <c r="H295" s="42">
        <f t="shared" si="8"/>
        <v>-0.38447199999999998</v>
      </c>
      <c r="I295" s="42">
        <f t="shared" si="9"/>
        <v>0</v>
      </c>
    </row>
    <row r="296" spans="1:9">
      <c r="A296" t="s">
        <v>144</v>
      </c>
      <c r="B296">
        <v>4</v>
      </c>
      <c r="C296">
        <v>25</v>
      </c>
      <c r="D296">
        <v>0.95284899999999995</v>
      </c>
      <c r="E296">
        <v>-0.77102000000000004</v>
      </c>
      <c r="F296">
        <v>-1</v>
      </c>
      <c r="G296">
        <v>-0.77102000000000004</v>
      </c>
      <c r="H296" s="42">
        <f t="shared" si="8"/>
        <v>-0.77102000000000004</v>
      </c>
      <c r="I296" s="42">
        <f t="shared" si="9"/>
        <v>0</v>
      </c>
    </row>
    <row r="297" spans="1:9">
      <c r="A297" t="s">
        <v>144</v>
      </c>
      <c r="B297">
        <v>4</v>
      </c>
      <c r="C297">
        <v>26</v>
      </c>
      <c r="D297">
        <v>0.95284899999999995</v>
      </c>
      <c r="E297">
        <v>0.27057700000000001</v>
      </c>
      <c r="F297">
        <v>-1</v>
      </c>
      <c r="G297">
        <v>0.27057700000000001</v>
      </c>
      <c r="H297" s="42">
        <f t="shared" si="8"/>
        <v>0.27057700000000001</v>
      </c>
      <c r="I297" s="42">
        <f t="shared" si="9"/>
        <v>0</v>
      </c>
    </row>
    <row r="298" spans="1:9">
      <c r="A298" t="s">
        <v>144</v>
      </c>
      <c r="B298">
        <v>4</v>
      </c>
      <c r="C298">
        <v>27</v>
      </c>
      <c r="D298">
        <v>0.95284899999999995</v>
      </c>
      <c r="E298">
        <v>0.83318599999999998</v>
      </c>
      <c r="F298">
        <v>-1</v>
      </c>
      <c r="G298">
        <v>0.83318599999999998</v>
      </c>
      <c r="H298" s="42">
        <f t="shared" si="8"/>
        <v>0.83318599999999998</v>
      </c>
      <c r="I298" s="42">
        <f t="shared" si="9"/>
        <v>0</v>
      </c>
    </row>
    <row r="299" spans="1:9">
      <c r="A299" t="s">
        <v>144</v>
      </c>
      <c r="B299">
        <v>4</v>
      </c>
      <c r="C299">
        <v>28</v>
      </c>
      <c r="D299">
        <v>0.95284899999999995</v>
      </c>
      <c r="E299">
        <v>0.40339399999999997</v>
      </c>
      <c r="F299">
        <v>-1</v>
      </c>
      <c r="G299">
        <v>0.40339399999999997</v>
      </c>
      <c r="H299" s="42">
        <f t="shared" si="8"/>
        <v>0.40339399999999997</v>
      </c>
      <c r="I299" s="42">
        <f t="shared" si="9"/>
        <v>0</v>
      </c>
    </row>
    <row r="300" spans="1:9">
      <c r="A300" t="s">
        <v>144</v>
      </c>
      <c r="B300">
        <v>4</v>
      </c>
      <c r="C300">
        <v>29</v>
      </c>
      <c r="D300">
        <v>0.95284899999999995</v>
      </c>
      <c r="E300">
        <v>-0.289163</v>
      </c>
      <c r="F300">
        <v>-1</v>
      </c>
      <c r="G300">
        <v>-0.289163</v>
      </c>
      <c r="H300" s="42">
        <f t="shared" si="8"/>
        <v>-0.289163</v>
      </c>
      <c r="I300" s="42">
        <f t="shared" si="9"/>
        <v>0</v>
      </c>
    </row>
    <row r="301" spans="1:9">
      <c r="A301" t="s">
        <v>144</v>
      </c>
      <c r="B301">
        <v>4</v>
      </c>
      <c r="C301">
        <v>30</v>
      </c>
      <c r="D301">
        <v>0.95284899999999995</v>
      </c>
      <c r="E301">
        <v>0.76848700000000003</v>
      </c>
      <c r="F301">
        <v>-1</v>
      </c>
      <c r="G301">
        <v>0.76848700000000003</v>
      </c>
      <c r="H301" s="42">
        <f t="shared" si="8"/>
        <v>0.76848700000000003</v>
      </c>
      <c r="I301" s="42">
        <f t="shared" si="9"/>
        <v>0</v>
      </c>
    </row>
    <row r="302" spans="1:9">
      <c r="A302" t="s">
        <v>144</v>
      </c>
      <c r="B302">
        <v>4</v>
      </c>
      <c r="C302">
        <v>31</v>
      </c>
      <c r="D302">
        <v>0.95284899999999995</v>
      </c>
      <c r="E302">
        <v>0.15106700000000001</v>
      </c>
      <c r="F302">
        <v>-1</v>
      </c>
      <c r="G302">
        <v>0.15106700000000001</v>
      </c>
      <c r="H302" s="42">
        <f t="shared" si="8"/>
        <v>0.15106700000000001</v>
      </c>
      <c r="I302" s="42">
        <f t="shared" si="9"/>
        <v>0</v>
      </c>
    </row>
    <row r="303" spans="1:9">
      <c r="A303" t="s">
        <v>144</v>
      </c>
      <c r="B303">
        <v>4</v>
      </c>
      <c r="C303">
        <v>32</v>
      </c>
      <c r="D303">
        <v>0.95284899999999995</v>
      </c>
      <c r="E303">
        <v>-0.74877199999999999</v>
      </c>
      <c r="F303">
        <v>-1</v>
      </c>
      <c r="G303">
        <v>-0.74877199999999999</v>
      </c>
      <c r="H303" s="42">
        <f t="shared" si="8"/>
        <v>-0.74877199999999999</v>
      </c>
      <c r="I303" s="42">
        <f t="shared" si="9"/>
        <v>0</v>
      </c>
    </row>
    <row r="304" spans="1:9">
      <c r="A304" t="s">
        <v>144</v>
      </c>
      <c r="B304">
        <v>4</v>
      </c>
      <c r="C304">
        <v>33</v>
      </c>
      <c r="D304">
        <v>0.95284899999999995</v>
      </c>
      <c r="E304">
        <v>-0.33460499999999999</v>
      </c>
      <c r="F304">
        <v>-1</v>
      </c>
      <c r="G304">
        <v>-0.33460499999999999</v>
      </c>
      <c r="H304" s="42">
        <f t="shared" si="8"/>
        <v>-0.33460499999999999</v>
      </c>
      <c r="I304" s="42">
        <f t="shared" si="9"/>
        <v>0</v>
      </c>
    </row>
    <row r="305" spans="1:9">
      <c r="A305" t="s">
        <v>144</v>
      </c>
      <c r="B305">
        <v>4</v>
      </c>
      <c r="C305">
        <v>34</v>
      </c>
      <c r="D305">
        <v>0.95284899999999995</v>
      </c>
      <c r="E305">
        <v>-0.81350100000000003</v>
      </c>
      <c r="F305">
        <v>-1</v>
      </c>
      <c r="G305">
        <v>-0.81350100000000003</v>
      </c>
      <c r="H305" s="42">
        <f t="shared" si="8"/>
        <v>-0.81350100000000003</v>
      </c>
      <c r="I305" s="42">
        <f t="shared" si="9"/>
        <v>0</v>
      </c>
    </row>
    <row r="306" spans="1:9">
      <c r="A306" t="s">
        <v>144</v>
      </c>
      <c r="B306">
        <v>4</v>
      </c>
      <c r="C306">
        <v>35</v>
      </c>
      <c r="D306">
        <v>0.95284899999999995</v>
      </c>
      <c r="E306">
        <v>-0.11096499999999999</v>
      </c>
      <c r="F306">
        <v>-1</v>
      </c>
      <c r="G306">
        <v>-0.11096499999999999</v>
      </c>
      <c r="H306" s="42">
        <f t="shared" si="8"/>
        <v>-0.11096499999999999</v>
      </c>
      <c r="I306" s="42">
        <f t="shared" si="9"/>
        <v>0</v>
      </c>
    </row>
    <row r="307" spans="1:9">
      <c r="A307" t="s">
        <v>144</v>
      </c>
      <c r="B307">
        <v>4</v>
      </c>
      <c r="C307">
        <v>36</v>
      </c>
      <c r="D307">
        <v>0.95284899999999995</v>
      </c>
      <c r="E307">
        <v>-0.83437600000000001</v>
      </c>
      <c r="F307">
        <v>-1</v>
      </c>
      <c r="G307">
        <v>-0.83437600000000001</v>
      </c>
      <c r="H307" s="42">
        <f t="shared" si="8"/>
        <v>-0.83437600000000001</v>
      </c>
      <c r="I307" s="42">
        <f t="shared" si="9"/>
        <v>0</v>
      </c>
    </row>
    <row r="308" spans="1:9">
      <c r="A308" t="s">
        <v>144</v>
      </c>
      <c r="B308">
        <v>4</v>
      </c>
      <c r="C308">
        <v>37</v>
      </c>
      <c r="D308">
        <v>0.95284899999999995</v>
      </c>
      <c r="E308">
        <v>0.20127</v>
      </c>
      <c r="F308">
        <v>-1</v>
      </c>
      <c r="G308">
        <v>0.20127</v>
      </c>
      <c r="H308" s="42">
        <f t="shared" si="8"/>
        <v>0.20127</v>
      </c>
      <c r="I308" s="42">
        <f t="shared" si="9"/>
        <v>0</v>
      </c>
    </row>
    <row r="309" spans="1:9">
      <c r="A309" t="s">
        <v>144</v>
      </c>
      <c r="B309">
        <v>4</v>
      </c>
      <c r="C309">
        <v>38</v>
      </c>
      <c r="D309">
        <v>0.95284899999999995</v>
      </c>
      <c r="E309">
        <v>-0.184637</v>
      </c>
      <c r="F309">
        <v>-1</v>
      </c>
      <c r="G309">
        <v>-0.184637</v>
      </c>
      <c r="H309" s="42">
        <f t="shared" si="8"/>
        <v>-0.184637</v>
      </c>
      <c r="I309" s="42">
        <f t="shared" si="9"/>
        <v>0</v>
      </c>
    </row>
    <row r="310" spans="1:9">
      <c r="A310" t="s">
        <v>144</v>
      </c>
      <c r="B310">
        <v>4</v>
      </c>
      <c r="C310">
        <v>39</v>
      </c>
      <c r="D310">
        <v>0.95284899999999995</v>
      </c>
      <c r="E310">
        <v>-0.91958399999999996</v>
      </c>
      <c r="F310">
        <v>-1</v>
      </c>
      <c r="G310">
        <v>-0.91958399999999996</v>
      </c>
      <c r="H310" s="42">
        <f t="shared" si="8"/>
        <v>-0.91958399999999996</v>
      </c>
      <c r="I310" s="42">
        <f t="shared" si="9"/>
        <v>0</v>
      </c>
    </row>
    <row r="311" spans="1:9">
      <c r="A311" t="s">
        <v>144</v>
      </c>
      <c r="B311">
        <v>4</v>
      </c>
      <c r="C311">
        <v>40</v>
      </c>
      <c r="D311">
        <v>0.95284899999999995</v>
      </c>
      <c r="E311">
        <v>0.278115</v>
      </c>
      <c r="F311">
        <v>-1</v>
      </c>
      <c r="G311">
        <v>0.278115</v>
      </c>
      <c r="H311" s="42">
        <f t="shared" si="8"/>
        <v>0.278115</v>
      </c>
      <c r="I311" s="42">
        <f t="shared" si="9"/>
        <v>0</v>
      </c>
    </row>
    <row r="312" spans="1:9">
      <c r="A312" t="s">
        <v>144</v>
      </c>
      <c r="B312">
        <v>4</v>
      </c>
      <c r="C312">
        <v>41</v>
      </c>
      <c r="D312">
        <v>0.95284899999999995</v>
      </c>
      <c r="E312">
        <v>-0.27121800000000001</v>
      </c>
      <c r="F312">
        <v>-1</v>
      </c>
      <c r="G312">
        <v>-0.27121800000000001</v>
      </c>
      <c r="H312" s="42">
        <f t="shared" si="8"/>
        <v>-0.27121800000000001</v>
      </c>
      <c r="I312" s="42">
        <f t="shared" si="9"/>
        <v>0</v>
      </c>
    </row>
    <row r="313" spans="1:9">
      <c r="A313" t="s">
        <v>144</v>
      </c>
      <c r="B313">
        <v>4</v>
      </c>
      <c r="C313">
        <v>42</v>
      </c>
      <c r="D313">
        <v>0.95284899999999995</v>
      </c>
      <c r="E313">
        <v>0.70314600000000005</v>
      </c>
      <c r="F313">
        <v>-1</v>
      </c>
      <c r="G313">
        <v>0.70314600000000005</v>
      </c>
      <c r="H313" s="42">
        <f t="shared" si="8"/>
        <v>0.70314600000000005</v>
      </c>
      <c r="I313" s="42">
        <f t="shared" si="9"/>
        <v>0</v>
      </c>
    </row>
    <row r="314" spans="1:9">
      <c r="A314" t="s">
        <v>144</v>
      </c>
      <c r="B314">
        <v>4</v>
      </c>
      <c r="C314">
        <v>43</v>
      </c>
      <c r="D314">
        <v>0.95284899999999995</v>
      </c>
      <c r="E314">
        <v>0.412549</v>
      </c>
      <c r="F314">
        <v>-1</v>
      </c>
      <c r="G314">
        <v>0.412549</v>
      </c>
      <c r="H314" s="42">
        <f t="shared" si="8"/>
        <v>0.412549</v>
      </c>
      <c r="I314" s="42">
        <f t="shared" si="9"/>
        <v>0</v>
      </c>
    </row>
    <row r="315" spans="1:9">
      <c r="A315" t="s">
        <v>144</v>
      </c>
      <c r="B315">
        <v>4</v>
      </c>
      <c r="C315">
        <v>44</v>
      </c>
      <c r="D315">
        <v>0.95284899999999995</v>
      </c>
      <c r="E315">
        <v>-0.60927200000000004</v>
      </c>
      <c r="F315">
        <v>-1</v>
      </c>
      <c r="G315">
        <v>-0.60927200000000004</v>
      </c>
      <c r="H315" s="42">
        <f t="shared" si="8"/>
        <v>-0.60927200000000004</v>
      </c>
      <c r="I315" s="42">
        <f t="shared" si="9"/>
        <v>0</v>
      </c>
    </row>
    <row r="316" spans="1:9">
      <c r="A316" t="s">
        <v>144</v>
      </c>
      <c r="B316">
        <v>4</v>
      </c>
      <c r="C316">
        <v>45</v>
      </c>
      <c r="D316">
        <v>0.95284899999999995</v>
      </c>
      <c r="E316">
        <v>-0.37781900000000002</v>
      </c>
      <c r="F316">
        <v>-0.59532499999999999</v>
      </c>
      <c r="G316">
        <v>-0.388075</v>
      </c>
      <c r="H316" s="42">
        <f t="shared" si="8"/>
        <v>-0.38807462540600002</v>
      </c>
      <c r="I316" s="42">
        <f t="shared" si="9"/>
        <v>3.7459399998551746E-7</v>
      </c>
    </row>
    <row r="317" spans="1:9">
      <c r="A317" t="s">
        <v>144</v>
      </c>
      <c r="B317">
        <v>4</v>
      </c>
      <c r="C317">
        <v>46</v>
      </c>
      <c r="D317">
        <v>0.95284899999999995</v>
      </c>
      <c r="E317">
        <v>-0.50169399999999997</v>
      </c>
      <c r="F317">
        <v>0.16550200000000001</v>
      </c>
      <c r="G317">
        <v>-0.47023500000000001</v>
      </c>
      <c r="H317" s="42">
        <f t="shared" si="8"/>
        <v>-0.47023504140399996</v>
      </c>
      <c r="I317" s="42">
        <f t="shared" si="9"/>
        <v>-4.1403999950784254E-8</v>
      </c>
    </row>
    <row r="318" spans="1:9">
      <c r="A318" t="s">
        <v>144</v>
      </c>
      <c r="B318">
        <v>4</v>
      </c>
      <c r="C318">
        <v>47</v>
      </c>
      <c r="D318">
        <v>0.95284899999999995</v>
      </c>
      <c r="E318">
        <v>-0.48045300000000002</v>
      </c>
      <c r="F318">
        <v>0.15613299999999999</v>
      </c>
      <c r="G318">
        <v>-0.45043699999999998</v>
      </c>
      <c r="H318" s="42">
        <f t="shared" si="8"/>
        <v>-0.450437333514</v>
      </c>
      <c r="I318" s="42">
        <f t="shared" si="9"/>
        <v>-3.3351400002823439E-7</v>
      </c>
    </row>
    <row r="319" spans="1:9">
      <c r="A319" t="s">
        <v>144</v>
      </c>
      <c r="B319">
        <v>4</v>
      </c>
      <c r="C319">
        <v>48</v>
      </c>
      <c r="D319">
        <v>0.95284899999999995</v>
      </c>
      <c r="E319">
        <v>-0.100314</v>
      </c>
      <c r="F319">
        <v>0.58772500000000005</v>
      </c>
      <c r="G319">
        <v>-6.7873000000000003E-2</v>
      </c>
      <c r="H319" s="42">
        <f t="shared" si="8"/>
        <v>-6.7872273110999956E-2</v>
      </c>
      <c r="I319" s="42">
        <f t="shared" si="9"/>
        <v>7.2688900004669321E-7</v>
      </c>
    </row>
    <row r="320" spans="1:9">
      <c r="A320" t="s">
        <v>144</v>
      </c>
      <c r="B320">
        <v>4</v>
      </c>
      <c r="C320">
        <v>49</v>
      </c>
      <c r="D320">
        <v>0.95284899999999995</v>
      </c>
      <c r="E320">
        <v>-0.29395399999999999</v>
      </c>
      <c r="F320">
        <v>0.181585</v>
      </c>
      <c r="G320">
        <v>-0.271532</v>
      </c>
      <c r="H320" s="42">
        <f t="shared" si="8"/>
        <v>-0.27153186061099993</v>
      </c>
      <c r="I320" s="42">
        <f t="shared" si="9"/>
        <v>1.3938900006449373E-7</v>
      </c>
    </row>
    <row r="321" spans="1:9">
      <c r="A321" t="s">
        <v>144</v>
      </c>
      <c r="B321" t="s">
        <v>145</v>
      </c>
      <c r="C321">
        <v>5</v>
      </c>
    </row>
    <row r="322" spans="1:9">
      <c r="A322" t="s">
        <v>144</v>
      </c>
      <c r="B322" t="s">
        <v>146</v>
      </c>
      <c r="C322">
        <v>65</v>
      </c>
    </row>
    <row r="323" spans="1:9">
      <c r="A323" t="s">
        <v>144</v>
      </c>
      <c r="B323" t="s">
        <v>147</v>
      </c>
      <c r="C323">
        <v>65</v>
      </c>
    </row>
    <row r="324" spans="1:9">
      <c r="A324" t="s">
        <v>144</v>
      </c>
      <c r="B324" t="s">
        <v>148</v>
      </c>
      <c r="C324">
        <v>4.3915999999999997E-2</v>
      </c>
    </row>
    <row r="325" spans="1:9">
      <c r="A325" t="s">
        <v>144</v>
      </c>
      <c r="B325" t="s">
        <v>149</v>
      </c>
      <c r="C325">
        <v>4.3915999999999997E-2</v>
      </c>
    </row>
    <row r="326" spans="1:9">
      <c r="A326" t="s">
        <v>144</v>
      </c>
      <c r="B326" t="s">
        <v>150</v>
      </c>
      <c r="C326">
        <v>-1</v>
      </c>
    </row>
    <row r="327" spans="1:9">
      <c r="A327" t="s">
        <v>144</v>
      </c>
      <c r="B327" t="s">
        <v>151</v>
      </c>
      <c r="C327">
        <v>-1</v>
      </c>
    </row>
    <row r="328" spans="1:9">
      <c r="A328" t="s">
        <v>144</v>
      </c>
      <c r="B328" t="s">
        <v>152</v>
      </c>
      <c r="C328">
        <v>10</v>
      </c>
    </row>
    <row r="329" spans="1:9">
      <c r="A329" t="s">
        <v>144</v>
      </c>
      <c r="B329" t="s">
        <v>153</v>
      </c>
      <c r="C329">
        <v>10</v>
      </c>
    </row>
    <row r="330" spans="1:9">
      <c r="A330" t="s">
        <v>144</v>
      </c>
      <c r="B330" t="s">
        <v>154</v>
      </c>
      <c r="C330">
        <v>0</v>
      </c>
    </row>
    <row r="331" spans="1:9">
      <c r="A331" t="s">
        <v>144</v>
      </c>
      <c r="B331" t="s">
        <v>155</v>
      </c>
    </row>
    <row r="332" spans="1:9">
      <c r="A332" t="s">
        <v>144</v>
      </c>
      <c r="B332" t="s">
        <v>150</v>
      </c>
      <c r="C332">
        <v>0.68126500000000001</v>
      </c>
      <c r="H332" s="38" t="s">
        <v>164</v>
      </c>
      <c r="I332" s="44">
        <f>MIN(I335:I384)</f>
        <v>-8.999349999927464E-7</v>
      </c>
    </row>
    <row r="333" spans="1:9">
      <c r="A333" t="s">
        <v>144</v>
      </c>
      <c r="B333" t="s">
        <v>151</v>
      </c>
      <c r="C333">
        <v>0.68126500000000001</v>
      </c>
      <c r="H333" s="38" t="s">
        <v>165</v>
      </c>
      <c r="I333" s="44">
        <f>MAX(I335:I384)</f>
        <v>8.5468499999574732E-7</v>
      </c>
    </row>
    <row r="334" spans="1:9">
      <c r="A334" t="s">
        <v>144</v>
      </c>
      <c r="B334" t="s">
        <v>156</v>
      </c>
      <c r="C334" t="s">
        <v>157</v>
      </c>
      <c r="D334" t="s">
        <v>63</v>
      </c>
      <c r="E334" t="s">
        <v>158</v>
      </c>
      <c r="F334" t="s">
        <v>159</v>
      </c>
      <c r="G334" t="s">
        <v>160</v>
      </c>
      <c r="H334" s="43" t="s">
        <v>162</v>
      </c>
      <c r="I334" s="43" t="s">
        <v>163</v>
      </c>
    </row>
    <row r="335" spans="1:9">
      <c r="A335" t="s">
        <v>144</v>
      </c>
      <c r="B335">
        <v>5</v>
      </c>
      <c r="C335">
        <v>0</v>
      </c>
      <c r="D335">
        <v>0.68126500000000001</v>
      </c>
      <c r="E335">
        <v>-0.99029500000000004</v>
      </c>
      <c r="F335">
        <v>-1</v>
      </c>
      <c r="G335">
        <v>-0.99029500000000004</v>
      </c>
      <c r="H335" s="42">
        <f>IF(C335&lt;$C$328,E335,D335*E335 + (1 - D335)*F335)</f>
        <v>-0.99029500000000004</v>
      </c>
      <c r="I335" s="42">
        <f>H335-G335</f>
        <v>0</v>
      </c>
    </row>
    <row r="336" spans="1:9">
      <c r="A336" t="s">
        <v>144</v>
      </c>
      <c r="B336">
        <v>5</v>
      </c>
      <c r="C336">
        <v>1</v>
      </c>
      <c r="D336">
        <v>0.68126500000000001</v>
      </c>
      <c r="E336">
        <v>-0.82155800000000001</v>
      </c>
      <c r="F336">
        <v>-1</v>
      </c>
      <c r="G336">
        <v>-0.82155800000000001</v>
      </c>
      <c r="H336" s="42">
        <f t="shared" ref="H336:H384" si="10">IF(C336&lt;$C$328,E336,D336*E336 + (1 - D336)*F336)</f>
        <v>-0.82155800000000001</v>
      </c>
      <c r="I336" s="42">
        <f t="shared" ref="I336:I384" si="11">H336-G336</f>
        <v>0</v>
      </c>
    </row>
    <row r="337" spans="1:9">
      <c r="A337" t="s">
        <v>144</v>
      </c>
      <c r="B337">
        <v>5</v>
      </c>
      <c r="C337">
        <v>2</v>
      </c>
      <c r="D337">
        <v>0.68126500000000001</v>
      </c>
      <c r="E337">
        <v>-0.24234700000000001</v>
      </c>
      <c r="F337">
        <v>-1</v>
      </c>
      <c r="G337">
        <v>-0.24234700000000001</v>
      </c>
      <c r="H337" s="42">
        <f t="shared" si="10"/>
        <v>-0.24234700000000001</v>
      </c>
      <c r="I337" s="42">
        <f t="shared" si="11"/>
        <v>0</v>
      </c>
    </row>
    <row r="338" spans="1:9">
      <c r="A338" t="s">
        <v>144</v>
      </c>
      <c r="B338">
        <v>5</v>
      </c>
      <c r="C338">
        <v>3</v>
      </c>
      <c r="D338">
        <v>0.68126500000000001</v>
      </c>
      <c r="E338">
        <v>-0.42579400000000001</v>
      </c>
      <c r="F338">
        <v>-1</v>
      </c>
      <c r="G338">
        <v>-0.42579400000000001</v>
      </c>
      <c r="H338" s="42">
        <f t="shared" si="10"/>
        <v>-0.42579400000000001</v>
      </c>
      <c r="I338" s="42">
        <f t="shared" si="11"/>
        <v>0</v>
      </c>
    </row>
    <row r="339" spans="1:9">
      <c r="A339" t="s">
        <v>144</v>
      </c>
      <c r="B339">
        <v>5</v>
      </c>
      <c r="C339">
        <v>4</v>
      </c>
      <c r="D339">
        <v>0.68126500000000001</v>
      </c>
      <c r="E339">
        <v>0.116214</v>
      </c>
      <c r="F339">
        <v>-1</v>
      </c>
      <c r="G339">
        <v>0.116214</v>
      </c>
      <c r="H339" s="42">
        <f t="shared" si="10"/>
        <v>0.116214</v>
      </c>
      <c r="I339" s="42">
        <f t="shared" si="11"/>
        <v>0</v>
      </c>
    </row>
    <row r="340" spans="1:9">
      <c r="A340" t="s">
        <v>144</v>
      </c>
      <c r="B340">
        <v>5</v>
      </c>
      <c r="C340">
        <v>5</v>
      </c>
      <c r="D340">
        <v>0.68126500000000001</v>
      </c>
      <c r="E340">
        <v>-0.93771199999999999</v>
      </c>
      <c r="F340">
        <v>-1</v>
      </c>
      <c r="G340">
        <v>-0.93771199999999999</v>
      </c>
      <c r="H340" s="42">
        <f t="shared" si="10"/>
        <v>-0.93771199999999999</v>
      </c>
      <c r="I340" s="42">
        <f t="shared" si="11"/>
        <v>0</v>
      </c>
    </row>
    <row r="341" spans="1:9">
      <c r="A341" t="s">
        <v>144</v>
      </c>
      <c r="B341">
        <v>5</v>
      </c>
      <c r="C341">
        <v>6</v>
      </c>
      <c r="D341">
        <v>0.68126500000000001</v>
      </c>
      <c r="E341">
        <v>-8.5818000000000005E-2</v>
      </c>
      <c r="F341">
        <v>-1</v>
      </c>
      <c r="G341">
        <v>-8.5818000000000005E-2</v>
      </c>
      <c r="H341" s="42">
        <f t="shared" si="10"/>
        <v>-8.5818000000000005E-2</v>
      </c>
      <c r="I341" s="42">
        <f t="shared" si="11"/>
        <v>0</v>
      </c>
    </row>
    <row r="342" spans="1:9">
      <c r="A342" t="s">
        <v>144</v>
      </c>
      <c r="B342">
        <v>5</v>
      </c>
      <c r="C342">
        <v>7</v>
      </c>
      <c r="D342">
        <v>0.68126500000000001</v>
      </c>
      <c r="E342">
        <v>0.779748</v>
      </c>
      <c r="F342">
        <v>-1</v>
      </c>
      <c r="G342">
        <v>0.779748</v>
      </c>
      <c r="H342" s="42">
        <f t="shared" si="10"/>
        <v>0.779748</v>
      </c>
      <c r="I342" s="42">
        <f t="shared" si="11"/>
        <v>0</v>
      </c>
    </row>
    <row r="343" spans="1:9">
      <c r="A343" t="s">
        <v>144</v>
      </c>
      <c r="B343">
        <v>5</v>
      </c>
      <c r="C343">
        <v>8</v>
      </c>
      <c r="D343">
        <v>0.68126500000000001</v>
      </c>
      <c r="E343">
        <v>0.36915199999999998</v>
      </c>
      <c r="F343">
        <v>-1</v>
      </c>
      <c r="G343">
        <v>0.36915199999999998</v>
      </c>
      <c r="H343" s="42">
        <f t="shared" si="10"/>
        <v>0.36915199999999998</v>
      </c>
      <c r="I343" s="42">
        <f t="shared" si="11"/>
        <v>0</v>
      </c>
    </row>
    <row r="344" spans="1:9">
      <c r="A344" t="s">
        <v>144</v>
      </c>
      <c r="B344">
        <v>5</v>
      </c>
      <c r="C344">
        <v>9</v>
      </c>
      <c r="D344">
        <v>0.68126500000000001</v>
      </c>
      <c r="E344">
        <v>0.64946400000000004</v>
      </c>
      <c r="F344">
        <v>-1</v>
      </c>
      <c r="G344">
        <v>0.64946400000000004</v>
      </c>
      <c r="H344" s="42">
        <f t="shared" si="10"/>
        <v>0.64946400000000004</v>
      </c>
      <c r="I344" s="42">
        <f t="shared" si="11"/>
        <v>0</v>
      </c>
    </row>
    <row r="345" spans="1:9">
      <c r="A345" t="s">
        <v>144</v>
      </c>
      <c r="B345">
        <v>5</v>
      </c>
      <c r="C345">
        <v>10</v>
      </c>
      <c r="D345">
        <v>0.68126500000000001</v>
      </c>
      <c r="E345">
        <v>0.861599</v>
      </c>
      <c r="F345">
        <v>0.455733</v>
      </c>
      <c r="G345">
        <v>0.73223499999999997</v>
      </c>
      <c r="H345" s="42">
        <f t="shared" si="10"/>
        <v>0.73223530048999996</v>
      </c>
      <c r="I345" s="42">
        <f t="shared" si="11"/>
        <v>3.0048999999365833E-7</v>
      </c>
    </row>
    <row r="346" spans="1:9">
      <c r="A346" t="s">
        <v>144</v>
      </c>
      <c r="B346">
        <v>5</v>
      </c>
      <c r="C346">
        <v>11</v>
      </c>
      <c r="D346">
        <v>0.68126500000000001</v>
      </c>
      <c r="E346">
        <v>-0.16821800000000001</v>
      </c>
      <c r="F346">
        <v>0.61146900000000004</v>
      </c>
      <c r="G346">
        <v>8.0296000000000006E-2</v>
      </c>
      <c r="H346" s="42">
        <f t="shared" si="10"/>
        <v>8.0295535944999982E-2</v>
      </c>
      <c r="I346" s="42">
        <f t="shared" si="11"/>
        <v>-4.6405500002399958E-7</v>
      </c>
    </row>
    <row r="347" spans="1:9">
      <c r="A347" t="s">
        <v>144</v>
      </c>
      <c r="B347">
        <v>5</v>
      </c>
      <c r="C347">
        <v>12</v>
      </c>
      <c r="D347">
        <v>0.68126500000000001</v>
      </c>
      <c r="E347">
        <v>-0.22714899999999999</v>
      </c>
      <c r="F347">
        <v>-0.57991300000000001</v>
      </c>
      <c r="G347">
        <v>-0.33958700000000003</v>
      </c>
      <c r="H347" s="42">
        <f t="shared" si="10"/>
        <v>-0.33958723353999998</v>
      </c>
      <c r="I347" s="42">
        <f t="shared" si="11"/>
        <v>-2.3353999994979446E-7</v>
      </c>
    </row>
    <row r="348" spans="1:9">
      <c r="A348" t="s">
        <v>144</v>
      </c>
      <c r="B348">
        <v>5</v>
      </c>
      <c r="C348">
        <v>13</v>
      </c>
      <c r="D348">
        <v>0.68126500000000001</v>
      </c>
      <c r="E348">
        <v>-0.95434399999999997</v>
      </c>
      <c r="F348">
        <v>0.90084500000000001</v>
      </c>
      <c r="G348">
        <v>-0.36303000000000002</v>
      </c>
      <c r="H348" s="42">
        <f t="shared" si="10"/>
        <v>-0.36303033408500002</v>
      </c>
      <c r="I348" s="42">
        <f t="shared" si="11"/>
        <v>-3.3408499999776353E-7</v>
      </c>
    </row>
    <row r="349" spans="1:9">
      <c r="A349" t="s">
        <v>144</v>
      </c>
      <c r="B349">
        <v>5</v>
      </c>
      <c r="C349">
        <v>14</v>
      </c>
      <c r="D349">
        <v>0.68126500000000001</v>
      </c>
      <c r="E349">
        <v>0.80459000000000003</v>
      </c>
      <c r="F349">
        <v>-0.76863899999999996</v>
      </c>
      <c r="G349">
        <v>0.30314600000000003</v>
      </c>
      <c r="H349" s="42">
        <f t="shared" si="10"/>
        <v>0.30314685468500002</v>
      </c>
      <c r="I349" s="42">
        <f t="shared" si="11"/>
        <v>8.5468499999574732E-7</v>
      </c>
    </row>
    <row r="350" spans="1:9">
      <c r="A350" t="s">
        <v>144</v>
      </c>
      <c r="B350">
        <v>5</v>
      </c>
      <c r="C350">
        <v>15</v>
      </c>
      <c r="D350">
        <v>0.68126500000000001</v>
      </c>
      <c r="E350">
        <v>2.5758E-2</v>
      </c>
      <c r="F350">
        <v>-0.212256</v>
      </c>
      <c r="G350">
        <v>-5.0105999999999998E-2</v>
      </c>
      <c r="H350" s="42">
        <f t="shared" si="10"/>
        <v>-5.0105392289999995E-2</v>
      </c>
      <c r="I350" s="42">
        <f t="shared" si="11"/>
        <v>6.0771000000292563E-7</v>
      </c>
    </row>
    <row r="351" spans="1:9">
      <c r="A351" t="s">
        <v>144</v>
      </c>
      <c r="B351">
        <v>5</v>
      </c>
      <c r="C351">
        <v>16</v>
      </c>
      <c r="D351">
        <v>0.68126500000000001</v>
      </c>
      <c r="E351">
        <v>0.48377900000000001</v>
      </c>
      <c r="F351">
        <v>0.25214399999999998</v>
      </c>
      <c r="G351">
        <v>0.40994900000000001</v>
      </c>
      <c r="H351" s="42">
        <f t="shared" si="10"/>
        <v>0.40994881827500002</v>
      </c>
      <c r="I351" s="42">
        <f t="shared" si="11"/>
        <v>-1.8172499999247194E-7</v>
      </c>
    </row>
    <row r="352" spans="1:9">
      <c r="A352" t="s">
        <v>144</v>
      </c>
      <c r="B352">
        <v>5</v>
      </c>
      <c r="C352">
        <v>17</v>
      </c>
      <c r="D352">
        <v>0.68126500000000001</v>
      </c>
      <c r="E352">
        <v>0.93972599999999995</v>
      </c>
      <c r="F352">
        <v>-0.16586799999999999</v>
      </c>
      <c r="G352">
        <v>0.58733400000000002</v>
      </c>
      <c r="H352" s="42">
        <f t="shared" si="10"/>
        <v>0.58733449640999991</v>
      </c>
      <c r="I352" s="42">
        <f t="shared" si="11"/>
        <v>4.9640999988387335E-7</v>
      </c>
    </row>
    <row r="353" spans="1:9">
      <c r="A353" t="s">
        <v>144</v>
      </c>
      <c r="B353">
        <v>5</v>
      </c>
      <c r="C353">
        <v>18</v>
      </c>
      <c r="D353">
        <v>0.68126500000000001</v>
      </c>
      <c r="E353">
        <v>0.20938699999999999</v>
      </c>
      <c r="F353">
        <v>-0.54200899999999996</v>
      </c>
      <c r="G353">
        <v>-3.0109E-2</v>
      </c>
      <c r="H353" s="42">
        <f t="shared" si="10"/>
        <v>-3.0109204059999978E-2</v>
      </c>
      <c r="I353" s="42">
        <f t="shared" si="11"/>
        <v>-2.0405999997738511E-7</v>
      </c>
    </row>
    <row r="354" spans="1:9">
      <c r="A354" t="s">
        <v>144</v>
      </c>
      <c r="B354">
        <v>5</v>
      </c>
      <c r="C354">
        <v>19</v>
      </c>
      <c r="D354">
        <v>0.68126500000000001</v>
      </c>
      <c r="E354">
        <v>0.57417499999999999</v>
      </c>
      <c r="F354">
        <v>0.74178299999999997</v>
      </c>
      <c r="G354">
        <v>0.62759799999999999</v>
      </c>
      <c r="H354" s="42">
        <f t="shared" si="10"/>
        <v>0.62759753588</v>
      </c>
      <c r="I354" s="42">
        <f t="shared" si="11"/>
        <v>-4.6411999998774434E-7</v>
      </c>
    </row>
    <row r="355" spans="1:9">
      <c r="A355" t="s">
        <v>144</v>
      </c>
      <c r="B355">
        <v>5</v>
      </c>
      <c r="C355">
        <v>20</v>
      </c>
      <c r="D355">
        <v>0.68126500000000001</v>
      </c>
      <c r="E355">
        <v>0.26764700000000002</v>
      </c>
      <c r="F355">
        <v>0.84289099999999995</v>
      </c>
      <c r="G355">
        <v>0.45099800000000001</v>
      </c>
      <c r="H355" s="42">
        <f t="shared" si="10"/>
        <v>0.45099739633999997</v>
      </c>
      <c r="I355" s="42">
        <f t="shared" si="11"/>
        <v>-6.036600000425274E-7</v>
      </c>
    </row>
    <row r="356" spans="1:9">
      <c r="A356" t="s">
        <v>144</v>
      </c>
      <c r="B356">
        <v>5</v>
      </c>
      <c r="C356">
        <v>21</v>
      </c>
      <c r="D356">
        <v>0.68126500000000001</v>
      </c>
      <c r="E356">
        <v>-0.95879999999999999</v>
      </c>
      <c r="F356">
        <v>0.23572499999999999</v>
      </c>
      <c r="G356">
        <v>-0.57806299999999999</v>
      </c>
      <c r="H356" s="42">
        <f t="shared" si="10"/>
        <v>-0.57806307412500002</v>
      </c>
      <c r="I356" s="42">
        <f t="shared" si="11"/>
        <v>-7.4125000026903365E-8</v>
      </c>
    </row>
    <row r="357" spans="1:9">
      <c r="A357" t="s">
        <v>144</v>
      </c>
      <c r="B357">
        <v>5</v>
      </c>
      <c r="C357">
        <v>22</v>
      </c>
      <c r="D357">
        <v>0.68126500000000001</v>
      </c>
      <c r="E357">
        <v>1.2359999999999999E-2</v>
      </c>
      <c r="F357">
        <v>-0.90362299999999995</v>
      </c>
      <c r="G357">
        <v>-0.27959600000000001</v>
      </c>
      <c r="H357" s="42">
        <f t="shared" si="10"/>
        <v>-0.279595841505</v>
      </c>
      <c r="I357" s="42">
        <f t="shared" si="11"/>
        <v>1.5849500001330341E-7</v>
      </c>
    </row>
    <row r="358" spans="1:9">
      <c r="A358" t="s">
        <v>144</v>
      </c>
      <c r="B358">
        <v>5</v>
      </c>
      <c r="C358">
        <v>23</v>
      </c>
      <c r="D358">
        <v>0.68126500000000001</v>
      </c>
      <c r="E358">
        <v>-6.0639999999999999E-2</v>
      </c>
      <c r="F358">
        <v>-0.169958</v>
      </c>
      <c r="G358">
        <v>-9.5483999999999999E-2</v>
      </c>
      <c r="H358" s="42">
        <f t="shared" si="10"/>
        <v>-9.5483472729999991E-2</v>
      </c>
      <c r="I358" s="42">
        <f t="shared" si="11"/>
        <v>5.2727000000862834E-7</v>
      </c>
    </row>
    <row r="359" spans="1:9">
      <c r="A359" t="s">
        <v>144</v>
      </c>
      <c r="B359">
        <v>5</v>
      </c>
      <c r="C359">
        <v>24</v>
      </c>
      <c r="D359">
        <v>0.68126500000000001</v>
      </c>
      <c r="E359">
        <v>0.18704799999999999</v>
      </c>
      <c r="F359">
        <v>0.46427800000000002</v>
      </c>
      <c r="G359">
        <v>0.27541100000000002</v>
      </c>
      <c r="H359" s="42">
        <f t="shared" si="10"/>
        <v>0.27541090405000002</v>
      </c>
      <c r="I359" s="42">
        <f t="shared" si="11"/>
        <v>-9.5950000000843971E-8</v>
      </c>
    </row>
    <row r="360" spans="1:9">
      <c r="A360" t="s">
        <v>144</v>
      </c>
      <c r="B360">
        <v>5</v>
      </c>
      <c r="C360">
        <v>25</v>
      </c>
      <c r="D360">
        <v>0.68126500000000001</v>
      </c>
      <c r="E360">
        <v>-0.93127199999999999</v>
      </c>
      <c r="F360">
        <v>0.56526399999999999</v>
      </c>
      <c r="G360">
        <v>-0.45427299999999998</v>
      </c>
      <c r="H360" s="42">
        <f t="shared" si="10"/>
        <v>-0.45427359804</v>
      </c>
      <c r="I360" s="42">
        <f t="shared" si="11"/>
        <v>-5.9804000002161573E-7</v>
      </c>
    </row>
    <row r="361" spans="1:9">
      <c r="A361" t="s">
        <v>144</v>
      </c>
      <c r="B361">
        <v>5</v>
      </c>
      <c r="C361">
        <v>26</v>
      </c>
      <c r="D361">
        <v>0.68126500000000001</v>
      </c>
      <c r="E361">
        <v>0.498581</v>
      </c>
      <c r="F361">
        <v>-0.954924</v>
      </c>
      <c r="G361">
        <v>3.5298000000000003E-2</v>
      </c>
      <c r="H361" s="42">
        <f t="shared" si="10"/>
        <v>3.5298083824999993E-2</v>
      </c>
      <c r="I361" s="42">
        <f t="shared" si="11"/>
        <v>8.3824999989878801E-8</v>
      </c>
    </row>
    <row r="362" spans="1:9">
      <c r="A362" t="s">
        <v>144</v>
      </c>
      <c r="B362">
        <v>5</v>
      </c>
      <c r="C362">
        <v>27</v>
      </c>
      <c r="D362">
        <v>0.68126500000000001</v>
      </c>
      <c r="E362">
        <v>0.121281</v>
      </c>
      <c r="F362">
        <v>-0.48057499999999997</v>
      </c>
      <c r="G362">
        <v>-7.0552000000000004E-2</v>
      </c>
      <c r="H362" s="42">
        <f t="shared" si="10"/>
        <v>-7.0551572159999992E-2</v>
      </c>
      <c r="I362" s="42">
        <f t="shared" si="11"/>
        <v>4.2784000001128142E-7</v>
      </c>
    </row>
    <row r="363" spans="1:9">
      <c r="A363" t="s">
        <v>144</v>
      </c>
      <c r="B363">
        <v>5</v>
      </c>
      <c r="C363">
        <v>28</v>
      </c>
      <c r="D363">
        <v>0.68126500000000001</v>
      </c>
      <c r="E363">
        <v>0.59938400000000003</v>
      </c>
      <c r="F363">
        <v>0.60264899999999999</v>
      </c>
      <c r="G363">
        <v>0.60042399999999996</v>
      </c>
      <c r="H363" s="42">
        <f t="shared" si="10"/>
        <v>0.60042466977499998</v>
      </c>
      <c r="I363" s="42">
        <f t="shared" si="11"/>
        <v>6.6977500001730306E-7</v>
      </c>
    </row>
    <row r="364" spans="1:9">
      <c r="A364" t="s">
        <v>144</v>
      </c>
      <c r="B364">
        <v>5</v>
      </c>
      <c r="C364">
        <v>29</v>
      </c>
      <c r="D364">
        <v>0.68126500000000001</v>
      </c>
      <c r="E364">
        <v>-0.76909700000000003</v>
      </c>
      <c r="F364">
        <v>-0.2266</v>
      </c>
      <c r="G364">
        <v>-0.59618400000000005</v>
      </c>
      <c r="H364" s="42">
        <f t="shared" si="10"/>
        <v>-0.59618421870499994</v>
      </c>
      <c r="I364" s="42">
        <f t="shared" si="11"/>
        <v>-2.1870499988807524E-7</v>
      </c>
    </row>
    <row r="365" spans="1:9">
      <c r="A365" t="s">
        <v>144</v>
      </c>
      <c r="B365">
        <v>5</v>
      </c>
      <c r="C365">
        <v>30</v>
      </c>
      <c r="D365">
        <v>0.68126500000000001</v>
      </c>
      <c r="E365">
        <v>-0.133885</v>
      </c>
      <c r="F365">
        <v>-0.60319800000000001</v>
      </c>
      <c r="G365">
        <v>-0.283472</v>
      </c>
      <c r="H365" s="42">
        <f t="shared" si="10"/>
        <v>-0.28347147905500003</v>
      </c>
      <c r="I365" s="42">
        <f t="shared" si="11"/>
        <v>5.2094499997101806E-7</v>
      </c>
    </row>
    <row r="366" spans="1:9">
      <c r="A366" t="s">
        <v>144</v>
      </c>
      <c r="B366">
        <v>5</v>
      </c>
      <c r="C366">
        <v>31</v>
      </c>
      <c r="D366">
        <v>0.68126500000000001</v>
      </c>
      <c r="E366">
        <v>0.26923399999999997</v>
      </c>
      <c r="F366">
        <v>0.15933700000000001</v>
      </c>
      <c r="G366">
        <v>0.234206</v>
      </c>
      <c r="H366" s="42">
        <f t="shared" si="10"/>
        <v>0.23420597970499998</v>
      </c>
      <c r="I366" s="42">
        <f t="shared" si="11"/>
        <v>-2.0295000013881292E-8</v>
      </c>
    </row>
    <row r="367" spans="1:9">
      <c r="A367" t="s">
        <v>144</v>
      </c>
      <c r="B367">
        <v>5</v>
      </c>
      <c r="C367">
        <v>32</v>
      </c>
      <c r="D367">
        <v>0.68126500000000001</v>
      </c>
      <c r="E367">
        <v>5.7070000000000003E-3</v>
      </c>
      <c r="F367">
        <v>0.51301600000000003</v>
      </c>
      <c r="G367">
        <v>0.167404</v>
      </c>
      <c r="H367" s="42">
        <f t="shared" si="10"/>
        <v>0.16740413411499999</v>
      </c>
      <c r="I367" s="42">
        <f t="shared" si="11"/>
        <v>1.3411499999449461E-7</v>
      </c>
    </row>
    <row r="368" spans="1:9">
      <c r="A368" t="s">
        <v>144</v>
      </c>
      <c r="B368">
        <v>5</v>
      </c>
      <c r="C368">
        <v>33</v>
      </c>
      <c r="D368">
        <v>0.68126500000000001</v>
      </c>
      <c r="E368">
        <v>-0.927458</v>
      </c>
      <c r="F368">
        <v>-0.460005</v>
      </c>
      <c r="G368">
        <v>-0.77846400000000004</v>
      </c>
      <c r="H368" s="42">
        <f t="shared" si="10"/>
        <v>-0.77846436804500008</v>
      </c>
      <c r="I368" s="42">
        <f t="shared" si="11"/>
        <v>-3.6804500003206897E-7</v>
      </c>
    </row>
    <row r="369" spans="1:9">
      <c r="A369" t="s">
        <v>144</v>
      </c>
      <c r="B369">
        <v>5</v>
      </c>
      <c r="C369">
        <v>34</v>
      </c>
      <c r="D369">
        <v>0.68126500000000001</v>
      </c>
      <c r="E369">
        <v>0.52198900000000004</v>
      </c>
      <c r="F369">
        <v>0.51854</v>
      </c>
      <c r="G369">
        <v>0.52088900000000005</v>
      </c>
      <c r="H369" s="42">
        <f t="shared" si="10"/>
        <v>0.52088968298500005</v>
      </c>
      <c r="I369" s="42">
        <f t="shared" si="11"/>
        <v>6.8298500000008033E-7</v>
      </c>
    </row>
    <row r="370" spans="1:9">
      <c r="A370" t="s">
        <v>144</v>
      </c>
      <c r="B370">
        <v>5</v>
      </c>
      <c r="C370">
        <v>35</v>
      </c>
      <c r="D370">
        <v>0.68126500000000001</v>
      </c>
      <c r="E370">
        <v>-0.50801099999999999</v>
      </c>
      <c r="F370">
        <v>0.80748900000000001</v>
      </c>
      <c r="G370">
        <v>-8.8715000000000002E-2</v>
      </c>
      <c r="H370" s="42">
        <f t="shared" si="10"/>
        <v>-8.8715107500000001E-2</v>
      </c>
      <c r="I370" s="42">
        <f t="shared" si="11"/>
        <v>-1.074999999989279E-7</v>
      </c>
    </row>
    <row r="371" spans="1:9">
      <c r="A371" t="s">
        <v>144</v>
      </c>
      <c r="B371">
        <v>5</v>
      </c>
      <c r="C371">
        <v>36</v>
      </c>
      <c r="D371">
        <v>0.68126500000000001</v>
      </c>
      <c r="E371">
        <v>-0.57042099999999996</v>
      </c>
      <c r="F371">
        <v>-0.73857799999999996</v>
      </c>
      <c r="G371">
        <v>-0.62401899999999999</v>
      </c>
      <c r="H371" s="42">
        <f t="shared" si="10"/>
        <v>-0.62401852139499991</v>
      </c>
      <c r="I371" s="42">
        <f t="shared" si="11"/>
        <v>4.7860500007601559E-7</v>
      </c>
    </row>
    <row r="372" spans="1:9">
      <c r="A372" t="s">
        <v>144</v>
      </c>
      <c r="B372">
        <v>5</v>
      </c>
      <c r="C372">
        <v>37</v>
      </c>
      <c r="D372">
        <v>0.68126500000000001</v>
      </c>
      <c r="E372">
        <v>8.0202999999999997E-2</v>
      </c>
      <c r="F372">
        <v>0.34961999999999999</v>
      </c>
      <c r="G372">
        <v>0.166075</v>
      </c>
      <c r="H372" s="42">
        <f t="shared" si="10"/>
        <v>0.16607562749499999</v>
      </c>
      <c r="I372" s="42">
        <f t="shared" si="11"/>
        <v>6.2749499998848712E-7</v>
      </c>
    </row>
    <row r="373" spans="1:9">
      <c r="A373" t="s">
        <v>144</v>
      </c>
      <c r="B373">
        <v>5</v>
      </c>
      <c r="C373">
        <v>38</v>
      </c>
      <c r="D373">
        <v>0.68126500000000001</v>
      </c>
      <c r="E373">
        <v>-0.486404</v>
      </c>
      <c r="F373">
        <v>-0.215918</v>
      </c>
      <c r="G373">
        <v>-0.40019100000000002</v>
      </c>
      <c r="H373" s="42">
        <f t="shared" si="10"/>
        <v>-0.40019064478999999</v>
      </c>
      <c r="I373" s="42">
        <f t="shared" si="11"/>
        <v>3.5521000002480818E-7</v>
      </c>
    </row>
    <row r="374" spans="1:9">
      <c r="A374" t="s">
        <v>144</v>
      </c>
      <c r="B374">
        <v>5</v>
      </c>
      <c r="C374">
        <v>39</v>
      </c>
      <c r="D374">
        <v>0.68126500000000001</v>
      </c>
      <c r="E374">
        <v>6.9704000000000002E-2</v>
      </c>
      <c r="F374">
        <v>0.87975700000000001</v>
      </c>
      <c r="G374">
        <v>0.32789699999999999</v>
      </c>
      <c r="H374" s="42">
        <f t="shared" si="10"/>
        <v>0.32789624295500003</v>
      </c>
      <c r="I374" s="42">
        <f t="shared" si="11"/>
        <v>-7.5704499996609442E-7</v>
      </c>
    </row>
    <row r="375" spans="1:9">
      <c r="A375" t="s">
        <v>144</v>
      </c>
      <c r="B375">
        <v>5</v>
      </c>
      <c r="C375">
        <v>40</v>
      </c>
      <c r="D375">
        <v>0.68126500000000001</v>
      </c>
      <c r="E375">
        <v>0.76546499999999995</v>
      </c>
      <c r="F375">
        <v>0.75524199999999997</v>
      </c>
      <c r="G375">
        <v>0.76220699999999997</v>
      </c>
      <c r="H375" s="42">
        <f t="shared" si="10"/>
        <v>0.76220657209499998</v>
      </c>
      <c r="I375" s="42">
        <f t="shared" si="11"/>
        <v>-4.2790499998890397E-7</v>
      </c>
    </row>
    <row r="376" spans="1:9">
      <c r="A376" t="s">
        <v>144</v>
      </c>
      <c r="B376">
        <v>5</v>
      </c>
      <c r="C376">
        <v>41</v>
      </c>
      <c r="D376">
        <v>0.68126500000000001</v>
      </c>
      <c r="E376">
        <v>-0.92110999999999998</v>
      </c>
      <c r="F376">
        <v>-0.62422599999999995</v>
      </c>
      <c r="G376">
        <v>-0.82648200000000005</v>
      </c>
      <c r="H376" s="42">
        <f t="shared" si="10"/>
        <v>-0.82648267825999999</v>
      </c>
      <c r="I376" s="42">
        <f t="shared" si="11"/>
        <v>-6.7825999994219899E-7</v>
      </c>
    </row>
    <row r="377" spans="1:9">
      <c r="A377" t="s">
        <v>144</v>
      </c>
      <c r="B377">
        <v>5</v>
      </c>
      <c r="C377">
        <v>42</v>
      </c>
      <c r="D377">
        <v>0.68126500000000001</v>
      </c>
      <c r="E377">
        <v>0.27756599999999998</v>
      </c>
      <c r="F377">
        <v>-0.26212299999999999</v>
      </c>
      <c r="G377">
        <v>0.105548</v>
      </c>
      <c r="H377" s="42">
        <f t="shared" si="10"/>
        <v>0.10554822658499999</v>
      </c>
      <c r="I377" s="42">
        <f t="shared" si="11"/>
        <v>2.2658499998495785E-7</v>
      </c>
    </row>
    <row r="378" spans="1:9">
      <c r="A378" t="s">
        <v>144</v>
      </c>
      <c r="B378">
        <v>5</v>
      </c>
      <c r="C378">
        <v>43</v>
      </c>
      <c r="D378">
        <v>0.68126500000000001</v>
      </c>
      <c r="E378">
        <v>-0.27839000000000003</v>
      </c>
      <c r="F378">
        <v>0.54783800000000005</v>
      </c>
      <c r="G378">
        <v>-1.5042E-2</v>
      </c>
      <c r="H378" s="42">
        <f t="shared" si="10"/>
        <v>-1.5042218420000003E-2</v>
      </c>
      <c r="I378" s="42">
        <f t="shared" si="11"/>
        <v>-2.1842000000327211E-7</v>
      </c>
    </row>
    <row r="379" spans="1:9">
      <c r="A379" t="s">
        <v>144</v>
      </c>
      <c r="B379">
        <v>5</v>
      </c>
      <c r="C379">
        <v>44</v>
      </c>
      <c r="D379">
        <v>0.68126500000000001</v>
      </c>
      <c r="E379">
        <v>0.14014099999999999</v>
      </c>
      <c r="F379">
        <v>0.74123399999999995</v>
      </c>
      <c r="G379">
        <v>0.33173000000000002</v>
      </c>
      <c r="H379" s="42">
        <f t="shared" si="10"/>
        <v>0.33173037735499999</v>
      </c>
      <c r="I379" s="42">
        <f t="shared" si="11"/>
        <v>3.7735499996971456E-7</v>
      </c>
    </row>
    <row r="380" spans="1:9">
      <c r="A380" t="s">
        <v>144</v>
      </c>
      <c r="B380">
        <v>5</v>
      </c>
      <c r="C380">
        <v>45</v>
      </c>
      <c r="D380">
        <v>0.68126500000000001</v>
      </c>
      <c r="E380">
        <v>-8.9083999999999997E-2</v>
      </c>
      <c r="F380">
        <v>0.58299500000000004</v>
      </c>
      <c r="G380">
        <v>0.12513199999999999</v>
      </c>
      <c r="H380" s="42">
        <f t="shared" si="10"/>
        <v>0.125131100065</v>
      </c>
      <c r="I380" s="42">
        <f t="shared" si="11"/>
        <v>-8.999349999927464E-7</v>
      </c>
    </row>
    <row r="381" spans="1:9">
      <c r="A381" t="s">
        <v>144</v>
      </c>
      <c r="B381">
        <v>5</v>
      </c>
      <c r="C381">
        <v>46</v>
      </c>
      <c r="D381">
        <v>0.68126500000000001</v>
      </c>
      <c r="E381">
        <v>-0.90484299999999995</v>
      </c>
      <c r="F381">
        <v>0.60792900000000005</v>
      </c>
      <c r="G381">
        <v>-0.42266900000000002</v>
      </c>
      <c r="H381" s="42">
        <f t="shared" si="10"/>
        <v>-0.42266961657999996</v>
      </c>
      <c r="I381" s="42">
        <f t="shared" si="11"/>
        <v>-6.1657999994579882E-7</v>
      </c>
    </row>
    <row r="382" spans="1:9">
      <c r="A382" t="s">
        <v>144</v>
      </c>
      <c r="B382">
        <v>5</v>
      </c>
      <c r="C382">
        <v>47</v>
      </c>
      <c r="D382">
        <v>0.68126500000000001</v>
      </c>
      <c r="E382">
        <v>-0.53834700000000002</v>
      </c>
      <c r="F382">
        <v>-0.68874199999999997</v>
      </c>
      <c r="G382">
        <v>-0.586283</v>
      </c>
      <c r="H382" s="42">
        <f t="shared" si="10"/>
        <v>-0.586283150325</v>
      </c>
      <c r="I382" s="42">
        <f t="shared" si="11"/>
        <v>-1.5032500000344839E-7</v>
      </c>
    </row>
    <row r="383" spans="1:9">
      <c r="A383" t="s">
        <v>144</v>
      </c>
      <c r="B383">
        <v>5</v>
      </c>
      <c r="C383">
        <v>48</v>
      </c>
      <c r="D383">
        <v>0.68126500000000001</v>
      </c>
      <c r="E383">
        <v>0.215583</v>
      </c>
      <c r="F383">
        <v>0.47154099999999999</v>
      </c>
      <c r="G383">
        <v>0.29716599999999999</v>
      </c>
      <c r="H383" s="42">
        <f t="shared" si="10"/>
        <v>0.29716577312999998</v>
      </c>
      <c r="I383" s="42">
        <f t="shared" si="11"/>
        <v>-2.2687000000853885E-7</v>
      </c>
    </row>
    <row r="384" spans="1:9">
      <c r="A384" t="s">
        <v>144</v>
      </c>
      <c r="B384">
        <v>5</v>
      </c>
      <c r="C384">
        <v>49</v>
      </c>
      <c r="D384">
        <v>0.68126500000000001</v>
      </c>
      <c r="E384">
        <v>0.21951999999999999</v>
      </c>
      <c r="F384">
        <v>-0.146397</v>
      </c>
      <c r="G384">
        <v>0.10288899999999999</v>
      </c>
      <c r="H384" s="42">
        <f t="shared" si="10"/>
        <v>0.102889445005</v>
      </c>
      <c r="I384" s="42">
        <f t="shared" si="11"/>
        <v>4.4500500000210774E-7</v>
      </c>
    </row>
    <row r="385" spans="1:9">
      <c r="A385" t="s">
        <v>144</v>
      </c>
      <c r="B385" t="s">
        <v>145</v>
      </c>
      <c r="C385">
        <v>6</v>
      </c>
    </row>
    <row r="386" spans="1:9">
      <c r="A386" t="s">
        <v>144</v>
      </c>
      <c r="B386" t="s">
        <v>146</v>
      </c>
      <c r="C386">
        <v>6</v>
      </c>
    </row>
    <row r="387" spans="1:9">
      <c r="A387" t="s">
        <v>144</v>
      </c>
      <c r="B387" t="s">
        <v>147</v>
      </c>
      <c r="C387">
        <v>6</v>
      </c>
    </row>
    <row r="388" spans="1:9">
      <c r="A388" t="s">
        <v>144</v>
      </c>
      <c r="B388" t="s">
        <v>148</v>
      </c>
      <c r="C388">
        <v>0.933836</v>
      </c>
    </row>
    <row r="389" spans="1:9">
      <c r="A389" t="s">
        <v>144</v>
      </c>
      <c r="B389" t="s">
        <v>149</v>
      </c>
      <c r="C389">
        <v>0.933836</v>
      </c>
    </row>
    <row r="390" spans="1:9">
      <c r="A390" t="s">
        <v>144</v>
      </c>
      <c r="B390" t="s">
        <v>150</v>
      </c>
      <c r="C390">
        <v>-1</v>
      </c>
    </row>
    <row r="391" spans="1:9">
      <c r="A391" t="s">
        <v>144</v>
      </c>
      <c r="B391" t="s">
        <v>151</v>
      </c>
      <c r="C391">
        <v>-1</v>
      </c>
    </row>
    <row r="392" spans="1:9">
      <c r="A392" t="s">
        <v>144</v>
      </c>
      <c r="B392" t="s">
        <v>152</v>
      </c>
      <c r="C392">
        <v>41</v>
      </c>
    </row>
    <row r="393" spans="1:9">
      <c r="A393" t="s">
        <v>144</v>
      </c>
      <c r="B393" t="s">
        <v>153</v>
      </c>
      <c r="C393">
        <v>41</v>
      </c>
      <c r="H393" s="38" t="s">
        <v>164</v>
      </c>
      <c r="I393" s="44">
        <f>MIN(I396:I445)</f>
        <v>0</v>
      </c>
    </row>
    <row r="394" spans="1:9">
      <c r="A394" t="s">
        <v>144</v>
      </c>
      <c r="B394" t="s">
        <v>154</v>
      </c>
      <c r="C394">
        <v>0</v>
      </c>
      <c r="H394" s="38" t="s">
        <v>165</v>
      </c>
      <c r="I394" s="44">
        <f>MAX(I396:I445)</f>
        <v>0</v>
      </c>
    </row>
    <row r="395" spans="1:9">
      <c r="A395" t="s">
        <v>144</v>
      </c>
      <c r="B395" t="s">
        <v>161</v>
      </c>
      <c r="H395" s="43" t="s">
        <v>162</v>
      </c>
      <c r="I395" s="43" t="s">
        <v>163</v>
      </c>
    </row>
    <row r="396" spans="1:9">
      <c r="A396" t="s">
        <v>144</v>
      </c>
      <c r="B396">
        <v>6</v>
      </c>
      <c r="C396">
        <v>0</v>
      </c>
      <c r="D396">
        <v>-1</v>
      </c>
      <c r="E396">
        <v>7.2206999999999993E-2</v>
      </c>
      <c r="F396">
        <v>-1</v>
      </c>
      <c r="G396">
        <v>7.2206999999999993E-2</v>
      </c>
      <c r="H396" s="42">
        <f>E396</f>
        <v>7.2206999999999993E-2</v>
      </c>
      <c r="I396" s="42">
        <f>H396-G396</f>
        <v>0</v>
      </c>
    </row>
    <row r="397" spans="1:9">
      <c r="A397" t="s">
        <v>144</v>
      </c>
      <c r="B397">
        <v>6</v>
      </c>
      <c r="C397">
        <v>1</v>
      </c>
      <c r="D397">
        <v>-1</v>
      </c>
      <c r="E397">
        <v>-0.99768100000000004</v>
      </c>
      <c r="F397">
        <v>-1</v>
      </c>
      <c r="G397">
        <v>-0.99768100000000004</v>
      </c>
      <c r="H397" s="42">
        <f t="shared" ref="H397:H445" si="12">E397</f>
        <v>-0.99768100000000004</v>
      </c>
      <c r="I397" s="42">
        <f t="shared" ref="I397:I445" si="13">H397-G397</f>
        <v>0</v>
      </c>
    </row>
    <row r="398" spans="1:9">
      <c r="A398" t="s">
        <v>144</v>
      </c>
      <c r="B398">
        <v>6</v>
      </c>
      <c r="C398">
        <v>2</v>
      </c>
      <c r="D398">
        <v>-1</v>
      </c>
      <c r="E398">
        <v>0.75185400000000002</v>
      </c>
      <c r="F398">
        <v>-1</v>
      </c>
      <c r="G398">
        <v>0.75185400000000002</v>
      </c>
      <c r="H398" s="42">
        <f t="shared" si="12"/>
        <v>0.75185400000000002</v>
      </c>
      <c r="I398" s="42">
        <f t="shared" si="13"/>
        <v>0</v>
      </c>
    </row>
    <row r="399" spans="1:9">
      <c r="A399" t="s">
        <v>144</v>
      </c>
      <c r="B399">
        <v>6</v>
      </c>
      <c r="C399">
        <v>3</v>
      </c>
      <c r="D399">
        <v>-1</v>
      </c>
      <c r="E399">
        <v>-0.121281</v>
      </c>
      <c r="F399">
        <v>-1</v>
      </c>
      <c r="G399">
        <v>-0.121281</v>
      </c>
      <c r="H399" s="42">
        <f t="shared" si="12"/>
        <v>-0.121281</v>
      </c>
      <c r="I399" s="42">
        <f t="shared" si="13"/>
        <v>0</v>
      </c>
    </row>
    <row r="400" spans="1:9">
      <c r="A400" t="s">
        <v>144</v>
      </c>
      <c r="B400">
        <v>6</v>
      </c>
      <c r="C400">
        <v>4</v>
      </c>
      <c r="D400">
        <v>-1</v>
      </c>
      <c r="E400">
        <v>-0.46592600000000001</v>
      </c>
      <c r="F400">
        <v>-1</v>
      </c>
      <c r="G400">
        <v>-0.46592600000000001</v>
      </c>
      <c r="H400" s="42">
        <f t="shared" si="12"/>
        <v>-0.46592600000000001</v>
      </c>
      <c r="I400" s="42">
        <f t="shared" si="13"/>
        <v>0</v>
      </c>
    </row>
    <row r="401" spans="1:9">
      <c r="A401" t="s">
        <v>144</v>
      </c>
      <c r="B401">
        <v>6</v>
      </c>
      <c r="C401">
        <v>5</v>
      </c>
      <c r="D401">
        <v>-1</v>
      </c>
      <c r="E401">
        <v>0.81240299999999999</v>
      </c>
      <c r="F401">
        <v>-1</v>
      </c>
      <c r="G401">
        <v>0.81240299999999999</v>
      </c>
      <c r="H401" s="42">
        <f t="shared" si="12"/>
        <v>0.81240299999999999</v>
      </c>
      <c r="I401" s="42">
        <f t="shared" si="13"/>
        <v>0</v>
      </c>
    </row>
    <row r="402" spans="1:9">
      <c r="A402" t="s">
        <v>144</v>
      </c>
      <c r="B402">
        <v>6</v>
      </c>
      <c r="C402">
        <v>6</v>
      </c>
      <c r="D402">
        <v>-1</v>
      </c>
      <c r="E402">
        <v>0.73107100000000003</v>
      </c>
      <c r="F402">
        <v>-1</v>
      </c>
      <c r="G402">
        <v>0.73107100000000003</v>
      </c>
      <c r="H402" s="42">
        <f t="shared" si="12"/>
        <v>0.73107100000000003</v>
      </c>
      <c r="I402" s="42">
        <f t="shared" si="13"/>
        <v>0</v>
      </c>
    </row>
    <row r="403" spans="1:9">
      <c r="A403" t="s">
        <v>144</v>
      </c>
      <c r="B403">
        <v>6</v>
      </c>
      <c r="C403">
        <v>7</v>
      </c>
      <c r="D403">
        <v>-1</v>
      </c>
      <c r="E403">
        <v>-0.58128599999999997</v>
      </c>
      <c r="F403">
        <v>-1</v>
      </c>
      <c r="G403">
        <v>-0.58128599999999997</v>
      </c>
      <c r="H403" s="42">
        <f t="shared" si="12"/>
        <v>-0.58128599999999997</v>
      </c>
      <c r="I403" s="42">
        <f t="shared" si="13"/>
        <v>0</v>
      </c>
    </row>
    <row r="404" spans="1:9">
      <c r="A404" t="s">
        <v>144</v>
      </c>
      <c r="B404">
        <v>6</v>
      </c>
      <c r="C404">
        <v>8</v>
      </c>
      <c r="D404">
        <v>-1</v>
      </c>
      <c r="E404">
        <v>0.88290000000000002</v>
      </c>
      <c r="F404">
        <v>-1</v>
      </c>
      <c r="G404">
        <v>0.88290000000000002</v>
      </c>
      <c r="H404" s="42">
        <f t="shared" si="12"/>
        <v>0.88290000000000002</v>
      </c>
      <c r="I404" s="42">
        <f t="shared" si="13"/>
        <v>0</v>
      </c>
    </row>
    <row r="405" spans="1:9">
      <c r="A405" t="s">
        <v>144</v>
      </c>
      <c r="B405">
        <v>6</v>
      </c>
      <c r="C405">
        <v>9</v>
      </c>
      <c r="D405">
        <v>-1</v>
      </c>
      <c r="E405">
        <v>-0.13653999999999999</v>
      </c>
      <c r="F405">
        <v>-1</v>
      </c>
      <c r="G405">
        <v>-0.13653999999999999</v>
      </c>
      <c r="H405" s="42">
        <f t="shared" si="12"/>
        <v>-0.13653999999999999</v>
      </c>
      <c r="I405" s="42">
        <f t="shared" si="13"/>
        <v>0</v>
      </c>
    </row>
    <row r="406" spans="1:9">
      <c r="A406" t="s">
        <v>144</v>
      </c>
      <c r="B406">
        <v>6</v>
      </c>
      <c r="C406">
        <v>10</v>
      </c>
      <c r="D406">
        <v>-1</v>
      </c>
      <c r="E406">
        <v>0.49540699999999999</v>
      </c>
      <c r="F406">
        <v>-1</v>
      </c>
      <c r="G406">
        <v>0.49540699999999999</v>
      </c>
      <c r="H406" s="42">
        <f t="shared" si="12"/>
        <v>0.49540699999999999</v>
      </c>
      <c r="I406" s="42">
        <f t="shared" si="13"/>
        <v>0</v>
      </c>
    </row>
    <row r="407" spans="1:9">
      <c r="A407" t="s">
        <v>144</v>
      </c>
      <c r="B407">
        <v>6</v>
      </c>
      <c r="C407">
        <v>11</v>
      </c>
      <c r="D407">
        <v>-1</v>
      </c>
      <c r="E407">
        <v>0.41123700000000002</v>
      </c>
      <c r="F407">
        <v>-1</v>
      </c>
      <c r="G407">
        <v>0.41123700000000002</v>
      </c>
      <c r="H407" s="42">
        <f t="shared" si="12"/>
        <v>0.41123700000000002</v>
      </c>
      <c r="I407" s="42">
        <f t="shared" si="13"/>
        <v>0</v>
      </c>
    </row>
    <row r="408" spans="1:9">
      <c r="A408" t="s">
        <v>144</v>
      </c>
      <c r="B408">
        <v>6</v>
      </c>
      <c r="C408">
        <v>12</v>
      </c>
      <c r="D408">
        <v>-1</v>
      </c>
      <c r="E408">
        <v>0.86513899999999999</v>
      </c>
      <c r="F408">
        <v>-1</v>
      </c>
      <c r="G408">
        <v>0.86513899999999999</v>
      </c>
      <c r="H408" s="42">
        <f t="shared" si="12"/>
        <v>0.86513899999999999</v>
      </c>
      <c r="I408" s="42">
        <f t="shared" si="13"/>
        <v>0</v>
      </c>
    </row>
    <row r="409" spans="1:9">
      <c r="A409" t="s">
        <v>144</v>
      </c>
      <c r="B409">
        <v>6</v>
      </c>
      <c r="C409">
        <v>13</v>
      </c>
      <c r="D409">
        <v>-1</v>
      </c>
      <c r="E409">
        <v>-0.168798</v>
      </c>
      <c r="F409">
        <v>-1</v>
      </c>
      <c r="G409">
        <v>-0.168798</v>
      </c>
      <c r="H409" s="42">
        <f t="shared" si="12"/>
        <v>-0.168798</v>
      </c>
      <c r="I409" s="42">
        <f t="shared" si="13"/>
        <v>0</v>
      </c>
    </row>
    <row r="410" spans="1:9">
      <c r="A410" t="s">
        <v>144</v>
      </c>
      <c r="B410">
        <v>6</v>
      </c>
      <c r="C410">
        <v>14</v>
      </c>
      <c r="D410">
        <v>-1</v>
      </c>
      <c r="E410">
        <v>-0.71584199999999998</v>
      </c>
      <c r="F410">
        <v>-1</v>
      </c>
      <c r="G410">
        <v>-0.71584199999999998</v>
      </c>
      <c r="H410" s="42">
        <f t="shared" si="12"/>
        <v>-0.71584199999999998</v>
      </c>
      <c r="I410" s="42">
        <f t="shared" si="13"/>
        <v>0</v>
      </c>
    </row>
    <row r="411" spans="1:9">
      <c r="A411" t="s">
        <v>144</v>
      </c>
      <c r="B411">
        <v>6</v>
      </c>
      <c r="C411">
        <v>15</v>
      </c>
      <c r="D411">
        <v>-1</v>
      </c>
      <c r="E411">
        <v>0.59556900000000002</v>
      </c>
      <c r="F411">
        <v>-1</v>
      </c>
      <c r="G411">
        <v>0.59556900000000002</v>
      </c>
      <c r="H411" s="42">
        <f t="shared" si="12"/>
        <v>0.59556900000000002</v>
      </c>
      <c r="I411" s="42">
        <f t="shared" si="13"/>
        <v>0</v>
      </c>
    </row>
    <row r="412" spans="1:9">
      <c r="A412" t="s">
        <v>144</v>
      </c>
      <c r="B412">
        <v>6</v>
      </c>
      <c r="C412">
        <v>16</v>
      </c>
      <c r="D412">
        <v>-1</v>
      </c>
      <c r="E412">
        <v>-0.780084</v>
      </c>
      <c r="F412">
        <v>-1</v>
      </c>
      <c r="G412">
        <v>-0.780084</v>
      </c>
      <c r="H412" s="42">
        <f t="shared" si="12"/>
        <v>-0.780084</v>
      </c>
      <c r="I412" s="42">
        <f t="shared" si="13"/>
        <v>0</v>
      </c>
    </row>
    <row r="413" spans="1:9">
      <c r="A413" t="s">
        <v>144</v>
      </c>
      <c r="B413">
        <v>6</v>
      </c>
      <c r="C413">
        <v>17</v>
      </c>
      <c r="D413">
        <v>-1</v>
      </c>
      <c r="E413">
        <v>0.78569900000000004</v>
      </c>
      <c r="F413">
        <v>-1</v>
      </c>
      <c r="G413">
        <v>0.78569900000000004</v>
      </c>
      <c r="H413" s="42">
        <f t="shared" si="12"/>
        <v>0.78569900000000004</v>
      </c>
      <c r="I413" s="42">
        <f t="shared" si="13"/>
        <v>0</v>
      </c>
    </row>
    <row r="414" spans="1:9">
      <c r="A414" t="s">
        <v>144</v>
      </c>
      <c r="B414">
        <v>6</v>
      </c>
      <c r="C414">
        <v>18</v>
      </c>
      <c r="D414">
        <v>-1</v>
      </c>
      <c r="E414">
        <v>-0.41410599999999997</v>
      </c>
      <c r="F414">
        <v>-1</v>
      </c>
      <c r="G414">
        <v>-0.41410599999999997</v>
      </c>
      <c r="H414" s="42">
        <f t="shared" si="12"/>
        <v>-0.41410599999999997</v>
      </c>
      <c r="I414" s="42">
        <f t="shared" si="13"/>
        <v>0</v>
      </c>
    </row>
    <row r="415" spans="1:9">
      <c r="A415" t="s">
        <v>144</v>
      </c>
      <c r="B415">
        <v>6</v>
      </c>
      <c r="C415">
        <v>19</v>
      </c>
      <c r="D415">
        <v>-1</v>
      </c>
      <c r="E415">
        <v>-0.52500999999999998</v>
      </c>
      <c r="F415">
        <v>-1</v>
      </c>
      <c r="G415">
        <v>-0.52500999999999998</v>
      </c>
      <c r="H415" s="42">
        <f t="shared" si="12"/>
        <v>-0.52500999999999998</v>
      </c>
      <c r="I415" s="42">
        <f t="shared" si="13"/>
        <v>0</v>
      </c>
    </row>
    <row r="416" spans="1:9">
      <c r="A416" t="s">
        <v>144</v>
      </c>
      <c r="B416">
        <v>6</v>
      </c>
      <c r="C416">
        <v>20</v>
      </c>
      <c r="D416">
        <v>-1</v>
      </c>
      <c r="E416">
        <v>-0.90237100000000003</v>
      </c>
      <c r="F416">
        <v>-1</v>
      </c>
      <c r="G416">
        <v>-0.90237100000000003</v>
      </c>
      <c r="H416" s="42">
        <f t="shared" si="12"/>
        <v>-0.90237100000000003</v>
      </c>
      <c r="I416" s="42">
        <f t="shared" si="13"/>
        <v>0</v>
      </c>
    </row>
    <row r="417" spans="1:9">
      <c r="A417" t="s">
        <v>144</v>
      </c>
      <c r="B417">
        <v>6</v>
      </c>
      <c r="C417">
        <v>21</v>
      </c>
      <c r="D417">
        <v>-1</v>
      </c>
      <c r="E417">
        <v>0.27988499999999999</v>
      </c>
      <c r="F417">
        <v>-1</v>
      </c>
      <c r="G417">
        <v>0.27988499999999999</v>
      </c>
      <c r="H417" s="42">
        <f t="shared" si="12"/>
        <v>0.27988499999999999</v>
      </c>
      <c r="I417" s="42">
        <f t="shared" si="13"/>
        <v>0</v>
      </c>
    </row>
    <row r="418" spans="1:9">
      <c r="A418" t="s">
        <v>144</v>
      </c>
      <c r="B418">
        <v>6</v>
      </c>
      <c r="C418">
        <v>22</v>
      </c>
      <c r="D418">
        <v>-1</v>
      </c>
      <c r="E418">
        <v>-0.60719599999999996</v>
      </c>
      <c r="F418">
        <v>-1</v>
      </c>
      <c r="G418">
        <v>-0.60719599999999996</v>
      </c>
      <c r="H418" s="42">
        <f t="shared" si="12"/>
        <v>-0.60719599999999996</v>
      </c>
      <c r="I418" s="42">
        <f t="shared" si="13"/>
        <v>0</v>
      </c>
    </row>
    <row r="419" spans="1:9">
      <c r="A419" t="s">
        <v>144</v>
      </c>
      <c r="B419">
        <v>6</v>
      </c>
      <c r="C419">
        <v>23</v>
      </c>
      <c r="D419">
        <v>-1</v>
      </c>
      <c r="E419">
        <v>-0.79751000000000005</v>
      </c>
      <c r="F419">
        <v>-1</v>
      </c>
      <c r="G419">
        <v>-0.79751000000000005</v>
      </c>
      <c r="H419" s="42">
        <f t="shared" si="12"/>
        <v>-0.79751000000000005</v>
      </c>
      <c r="I419" s="42">
        <f t="shared" si="13"/>
        <v>0</v>
      </c>
    </row>
    <row r="420" spans="1:9">
      <c r="A420" t="s">
        <v>144</v>
      </c>
      <c r="B420">
        <v>6</v>
      </c>
      <c r="C420">
        <v>24</v>
      </c>
      <c r="D420">
        <v>-1</v>
      </c>
      <c r="E420">
        <v>-0.62111300000000003</v>
      </c>
      <c r="F420">
        <v>-1</v>
      </c>
      <c r="G420">
        <v>-0.62111300000000003</v>
      </c>
      <c r="H420" s="42">
        <f t="shared" si="12"/>
        <v>-0.62111300000000003</v>
      </c>
      <c r="I420" s="42">
        <f t="shared" si="13"/>
        <v>0</v>
      </c>
    </row>
    <row r="421" spans="1:9">
      <c r="A421" t="s">
        <v>144</v>
      </c>
      <c r="B421">
        <v>6</v>
      </c>
      <c r="C421">
        <v>25</v>
      </c>
      <c r="D421">
        <v>-1</v>
      </c>
      <c r="E421">
        <v>0.22351799999999999</v>
      </c>
      <c r="F421">
        <v>-1</v>
      </c>
      <c r="G421">
        <v>0.22351799999999999</v>
      </c>
      <c r="H421" s="42">
        <f t="shared" si="12"/>
        <v>0.22351799999999999</v>
      </c>
      <c r="I421" s="42">
        <f t="shared" si="13"/>
        <v>0</v>
      </c>
    </row>
    <row r="422" spans="1:9">
      <c r="A422" t="s">
        <v>144</v>
      </c>
      <c r="B422">
        <v>6</v>
      </c>
      <c r="C422">
        <v>26</v>
      </c>
      <c r="D422">
        <v>-1</v>
      </c>
      <c r="E422">
        <v>7.6785000000000006E-2</v>
      </c>
      <c r="F422">
        <v>-1</v>
      </c>
      <c r="G422">
        <v>7.6785000000000006E-2</v>
      </c>
      <c r="H422" s="42">
        <f t="shared" si="12"/>
        <v>7.6785000000000006E-2</v>
      </c>
      <c r="I422" s="42">
        <f t="shared" si="13"/>
        <v>0</v>
      </c>
    </row>
    <row r="423" spans="1:9">
      <c r="A423" t="s">
        <v>144</v>
      </c>
      <c r="B423">
        <v>6</v>
      </c>
      <c r="C423">
        <v>27</v>
      </c>
      <c r="D423">
        <v>-1</v>
      </c>
      <c r="E423">
        <v>0.14386399999999999</v>
      </c>
      <c r="F423">
        <v>-1</v>
      </c>
      <c r="G423">
        <v>0.14386399999999999</v>
      </c>
      <c r="H423" s="42">
        <f t="shared" si="12"/>
        <v>0.14386399999999999</v>
      </c>
      <c r="I423" s="42">
        <f t="shared" si="13"/>
        <v>0</v>
      </c>
    </row>
    <row r="424" spans="1:9">
      <c r="A424" t="s">
        <v>144</v>
      </c>
      <c r="B424">
        <v>6</v>
      </c>
      <c r="C424">
        <v>28</v>
      </c>
      <c r="D424">
        <v>-1</v>
      </c>
      <c r="E424">
        <v>0.77181299999999997</v>
      </c>
      <c r="F424">
        <v>-1</v>
      </c>
      <c r="G424">
        <v>0.77181299999999997</v>
      </c>
      <c r="H424" s="42">
        <f t="shared" si="12"/>
        <v>0.77181299999999997</v>
      </c>
      <c r="I424" s="42">
        <f t="shared" si="13"/>
        <v>0</v>
      </c>
    </row>
    <row r="425" spans="1:9">
      <c r="A425" t="s">
        <v>144</v>
      </c>
      <c r="B425">
        <v>6</v>
      </c>
      <c r="C425">
        <v>29</v>
      </c>
      <c r="D425">
        <v>-1</v>
      </c>
      <c r="E425">
        <v>0.456374</v>
      </c>
      <c r="F425">
        <v>-1</v>
      </c>
      <c r="G425">
        <v>0.456374</v>
      </c>
      <c r="H425" s="42">
        <f t="shared" si="12"/>
        <v>0.456374</v>
      </c>
      <c r="I425" s="42">
        <f t="shared" si="13"/>
        <v>0</v>
      </c>
    </row>
    <row r="426" spans="1:9">
      <c r="A426" t="s">
        <v>144</v>
      </c>
      <c r="B426">
        <v>6</v>
      </c>
      <c r="C426">
        <v>30</v>
      </c>
      <c r="D426">
        <v>-1</v>
      </c>
      <c r="E426">
        <v>0.26392399999999999</v>
      </c>
      <c r="F426">
        <v>-1</v>
      </c>
      <c r="G426">
        <v>0.26392399999999999</v>
      </c>
      <c r="H426" s="42">
        <f t="shared" si="12"/>
        <v>0.26392399999999999</v>
      </c>
      <c r="I426" s="42">
        <f t="shared" si="13"/>
        <v>0</v>
      </c>
    </row>
    <row r="427" spans="1:9">
      <c r="A427" t="s">
        <v>144</v>
      </c>
      <c r="B427">
        <v>6</v>
      </c>
      <c r="C427">
        <v>31</v>
      </c>
      <c r="D427">
        <v>-1</v>
      </c>
      <c r="E427">
        <v>-0.478744</v>
      </c>
      <c r="F427">
        <v>-1</v>
      </c>
      <c r="G427">
        <v>-0.478744</v>
      </c>
      <c r="H427" s="42">
        <f t="shared" si="12"/>
        <v>-0.478744</v>
      </c>
      <c r="I427" s="42">
        <f t="shared" si="13"/>
        <v>0</v>
      </c>
    </row>
    <row r="428" spans="1:9">
      <c r="A428" t="s">
        <v>144</v>
      </c>
      <c r="B428">
        <v>6</v>
      </c>
      <c r="C428">
        <v>32</v>
      </c>
      <c r="D428">
        <v>-1</v>
      </c>
      <c r="E428">
        <v>-9.3417E-2</v>
      </c>
      <c r="F428">
        <v>-1</v>
      </c>
      <c r="G428">
        <v>-9.3417E-2</v>
      </c>
      <c r="H428" s="42">
        <f t="shared" si="12"/>
        <v>-9.3417E-2</v>
      </c>
      <c r="I428" s="42">
        <f t="shared" si="13"/>
        <v>0</v>
      </c>
    </row>
    <row r="429" spans="1:9">
      <c r="A429" t="s">
        <v>144</v>
      </c>
      <c r="B429">
        <v>6</v>
      </c>
      <c r="C429">
        <v>33</v>
      </c>
      <c r="D429">
        <v>-1</v>
      </c>
      <c r="E429">
        <v>-0.19925499999999999</v>
      </c>
      <c r="F429">
        <v>-1</v>
      </c>
      <c r="G429">
        <v>-0.19925499999999999</v>
      </c>
      <c r="H429" s="42">
        <f t="shared" si="12"/>
        <v>-0.19925499999999999</v>
      </c>
      <c r="I429" s="42">
        <f t="shared" si="13"/>
        <v>0</v>
      </c>
    </row>
    <row r="430" spans="1:9">
      <c r="A430" t="s">
        <v>144</v>
      </c>
      <c r="B430">
        <v>6</v>
      </c>
      <c r="C430">
        <v>34</v>
      </c>
      <c r="D430">
        <v>-1</v>
      </c>
      <c r="E430">
        <v>-0.288491</v>
      </c>
      <c r="F430">
        <v>-1</v>
      </c>
      <c r="G430">
        <v>-0.288491</v>
      </c>
      <c r="H430" s="42">
        <f t="shared" si="12"/>
        <v>-0.288491</v>
      </c>
      <c r="I430" s="42">
        <f t="shared" si="13"/>
        <v>0</v>
      </c>
    </row>
    <row r="431" spans="1:9">
      <c r="A431" t="s">
        <v>144</v>
      </c>
      <c r="B431">
        <v>6</v>
      </c>
      <c r="C431">
        <v>35</v>
      </c>
      <c r="D431">
        <v>-1</v>
      </c>
      <c r="E431">
        <v>7.6144000000000003E-2</v>
      </c>
      <c r="F431">
        <v>-1</v>
      </c>
      <c r="G431">
        <v>7.6144000000000003E-2</v>
      </c>
      <c r="H431" s="42">
        <f t="shared" si="12"/>
        <v>7.6144000000000003E-2</v>
      </c>
      <c r="I431" s="42">
        <f t="shared" si="13"/>
        <v>0</v>
      </c>
    </row>
    <row r="432" spans="1:9">
      <c r="A432" t="s">
        <v>144</v>
      </c>
      <c r="B432">
        <v>6</v>
      </c>
      <c r="C432">
        <v>36</v>
      </c>
      <c r="D432">
        <v>-1</v>
      </c>
      <c r="E432">
        <v>0.81035800000000002</v>
      </c>
      <c r="F432">
        <v>-1</v>
      </c>
      <c r="G432">
        <v>0.81035800000000002</v>
      </c>
      <c r="H432" s="42">
        <f t="shared" si="12"/>
        <v>0.81035800000000002</v>
      </c>
      <c r="I432" s="42">
        <f t="shared" si="13"/>
        <v>0</v>
      </c>
    </row>
    <row r="433" spans="1:9">
      <c r="A433" t="s">
        <v>144</v>
      </c>
      <c r="B433">
        <v>6</v>
      </c>
      <c r="C433">
        <v>37</v>
      </c>
      <c r="D433">
        <v>-1</v>
      </c>
      <c r="E433">
        <v>0.292184</v>
      </c>
      <c r="F433">
        <v>-1</v>
      </c>
      <c r="G433">
        <v>0.292184</v>
      </c>
      <c r="H433" s="42">
        <f t="shared" si="12"/>
        <v>0.292184</v>
      </c>
      <c r="I433" s="42">
        <f t="shared" si="13"/>
        <v>0</v>
      </c>
    </row>
    <row r="434" spans="1:9">
      <c r="A434" t="s">
        <v>144</v>
      </c>
      <c r="B434">
        <v>6</v>
      </c>
      <c r="C434">
        <v>38</v>
      </c>
      <c r="D434">
        <v>-1</v>
      </c>
      <c r="E434">
        <v>9.3691999999999998E-2</v>
      </c>
      <c r="F434">
        <v>-1</v>
      </c>
      <c r="G434">
        <v>9.3691999999999998E-2</v>
      </c>
      <c r="H434" s="42">
        <f t="shared" si="12"/>
        <v>9.3691999999999998E-2</v>
      </c>
      <c r="I434" s="42">
        <f t="shared" si="13"/>
        <v>0</v>
      </c>
    </row>
    <row r="435" spans="1:9">
      <c r="A435" t="s">
        <v>144</v>
      </c>
      <c r="B435">
        <v>6</v>
      </c>
      <c r="C435">
        <v>39</v>
      </c>
      <c r="D435">
        <v>-1</v>
      </c>
      <c r="E435">
        <v>0.87044900000000003</v>
      </c>
      <c r="F435">
        <v>-1</v>
      </c>
      <c r="G435">
        <v>0.87044900000000003</v>
      </c>
      <c r="H435" s="42">
        <f t="shared" si="12"/>
        <v>0.87044900000000003</v>
      </c>
      <c r="I435" s="42">
        <f t="shared" si="13"/>
        <v>0</v>
      </c>
    </row>
    <row r="436" spans="1:9">
      <c r="A436" t="s">
        <v>144</v>
      </c>
      <c r="B436">
        <v>6</v>
      </c>
      <c r="C436">
        <v>40</v>
      </c>
      <c r="D436">
        <v>-1</v>
      </c>
      <c r="E436">
        <v>0.33948800000000001</v>
      </c>
      <c r="F436">
        <v>-1</v>
      </c>
      <c r="G436">
        <v>0.33948800000000001</v>
      </c>
      <c r="H436" s="42">
        <f t="shared" si="12"/>
        <v>0.33948800000000001</v>
      </c>
      <c r="I436" s="42">
        <f t="shared" si="13"/>
        <v>0</v>
      </c>
    </row>
    <row r="437" spans="1:9">
      <c r="A437" t="s">
        <v>144</v>
      </c>
      <c r="B437">
        <v>6</v>
      </c>
      <c r="C437">
        <v>41</v>
      </c>
      <c r="D437">
        <v>-1</v>
      </c>
      <c r="E437">
        <v>-0.55778700000000003</v>
      </c>
      <c r="F437">
        <v>-1</v>
      </c>
      <c r="G437">
        <v>-0.55778700000000003</v>
      </c>
      <c r="H437" s="42">
        <f t="shared" si="12"/>
        <v>-0.55778700000000003</v>
      </c>
      <c r="I437" s="42">
        <f t="shared" si="13"/>
        <v>0</v>
      </c>
    </row>
    <row r="438" spans="1:9">
      <c r="A438" t="s">
        <v>144</v>
      </c>
      <c r="B438">
        <v>6</v>
      </c>
      <c r="C438">
        <v>42</v>
      </c>
      <c r="D438">
        <v>-1</v>
      </c>
      <c r="E438">
        <v>0.71565900000000005</v>
      </c>
      <c r="F438">
        <v>-1</v>
      </c>
      <c r="G438">
        <v>0.71565900000000005</v>
      </c>
      <c r="H438" s="42">
        <f t="shared" si="12"/>
        <v>0.71565900000000005</v>
      </c>
      <c r="I438" s="42">
        <f t="shared" si="13"/>
        <v>0</v>
      </c>
    </row>
    <row r="439" spans="1:9">
      <c r="A439" t="s">
        <v>144</v>
      </c>
      <c r="B439">
        <v>6</v>
      </c>
      <c r="C439">
        <v>43</v>
      </c>
      <c r="D439">
        <v>-1</v>
      </c>
      <c r="E439">
        <v>-0.882046</v>
      </c>
      <c r="F439">
        <v>-1</v>
      </c>
      <c r="G439">
        <v>-0.882046</v>
      </c>
      <c r="H439" s="42">
        <f t="shared" si="12"/>
        <v>-0.882046</v>
      </c>
      <c r="I439" s="42">
        <f t="shared" si="13"/>
        <v>0</v>
      </c>
    </row>
    <row r="440" spans="1:9">
      <c r="A440" t="s">
        <v>144</v>
      </c>
      <c r="B440">
        <v>6</v>
      </c>
      <c r="C440">
        <v>44</v>
      </c>
      <c r="D440">
        <v>-1</v>
      </c>
      <c r="E440">
        <v>-0.122349</v>
      </c>
      <c r="F440">
        <v>-1</v>
      </c>
      <c r="G440">
        <v>-0.122349</v>
      </c>
      <c r="H440" s="42">
        <f t="shared" si="12"/>
        <v>-0.122349</v>
      </c>
      <c r="I440" s="42">
        <f t="shared" si="13"/>
        <v>0</v>
      </c>
    </row>
    <row r="441" spans="1:9">
      <c r="A441" t="s">
        <v>144</v>
      </c>
      <c r="B441">
        <v>6</v>
      </c>
      <c r="C441">
        <v>45</v>
      </c>
      <c r="D441">
        <v>-1</v>
      </c>
      <c r="E441">
        <v>0.28940700000000003</v>
      </c>
      <c r="F441">
        <v>-1</v>
      </c>
      <c r="G441">
        <v>0.28940700000000003</v>
      </c>
      <c r="H441" s="42">
        <f t="shared" si="12"/>
        <v>0.28940700000000003</v>
      </c>
      <c r="I441" s="42">
        <f t="shared" si="13"/>
        <v>0</v>
      </c>
    </row>
    <row r="442" spans="1:9">
      <c r="A442" t="s">
        <v>144</v>
      </c>
      <c r="B442">
        <v>6</v>
      </c>
      <c r="C442">
        <v>46</v>
      </c>
      <c r="D442">
        <v>-1</v>
      </c>
      <c r="E442">
        <v>-0.67793800000000004</v>
      </c>
      <c r="F442">
        <v>-1</v>
      </c>
      <c r="G442">
        <v>-0.67793800000000004</v>
      </c>
      <c r="H442" s="42">
        <f t="shared" si="12"/>
        <v>-0.67793800000000004</v>
      </c>
      <c r="I442" s="42">
        <f t="shared" si="13"/>
        <v>0</v>
      </c>
    </row>
    <row r="443" spans="1:9">
      <c r="A443" t="s">
        <v>144</v>
      </c>
      <c r="B443">
        <v>6</v>
      </c>
      <c r="C443">
        <v>47</v>
      </c>
      <c r="D443">
        <v>-1</v>
      </c>
      <c r="E443">
        <v>0.76815100000000003</v>
      </c>
      <c r="F443">
        <v>-1</v>
      </c>
      <c r="G443">
        <v>0.76815100000000003</v>
      </c>
      <c r="H443" s="42">
        <f t="shared" si="12"/>
        <v>0.76815100000000003</v>
      </c>
      <c r="I443" s="42">
        <f t="shared" si="13"/>
        <v>0</v>
      </c>
    </row>
    <row r="444" spans="1:9">
      <c r="A444" t="s">
        <v>144</v>
      </c>
      <c r="B444">
        <v>6</v>
      </c>
      <c r="C444">
        <v>48</v>
      </c>
      <c r="D444">
        <v>-1</v>
      </c>
      <c r="E444">
        <v>-0.58189599999999997</v>
      </c>
      <c r="F444">
        <v>-1</v>
      </c>
      <c r="G444">
        <v>-0.58189599999999997</v>
      </c>
      <c r="H444" s="42">
        <f t="shared" si="12"/>
        <v>-0.58189599999999997</v>
      </c>
      <c r="I444" s="42">
        <f t="shared" si="13"/>
        <v>0</v>
      </c>
    </row>
    <row r="445" spans="1:9">
      <c r="A445" t="s">
        <v>144</v>
      </c>
      <c r="B445">
        <v>6</v>
      </c>
      <c r="C445">
        <v>49</v>
      </c>
      <c r="D445">
        <v>-1</v>
      </c>
      <c r="E445">
        <v>0.86465000000000003</v>
      </c>
      <c r="F445">
        <v>-1</v>
      </c>
      <c r="G445">
        <v>0.86465000000000003</v>
      </c>
      <c r="H445" s="42">
        <f t="shared" si="12"/>
        <v>0.86465000000000003</v>
      </c>
      <c r="I445" s="42">
        <f t="shared" si="13"/>
        <v>0</v>
      </c>
    </row>
    <row r="446" spans="1:9">
      <c r="A446" t="s">
        <v>144</v>
      </c>
      <c r="B446" t="s">
        <v>145</v>
      </c>
      <c r="C446">
        <v>7</v>
      </c>
    </row>
    <row r="447" spans="1:9">
      <c r="A447" t="s">
        <v>144</v>
      </c>
      <c r="B447" t="s">
        <v>146</v>
      </c>
      <c r="C447">
        <v>29</v>
      </c>
    </row>
    <row r="448" spans="1:9">
      <c r="A448" t="s">
        <v>144</v>
      </c>
      <c r="B448" t="s">
        <v>147</v>
      </c>
      <c r="C448">
        <v>29</v>
      </c>
    </row>
    <row r="449" spans="1:9">
      <c r="A449" t="s">
        <v>144</v>
      </c>
      <c r="B449" t="s">
        <v>148</v>
      </c>
      <c r="C449">
        <v>0.48909000000000002</v>
      </c>
    </row>
    <row r="450" spans="1:9">
      <c r="A450" t="s">
        <v>144</v>
      </c>
      <c r="B450" t="s">
        <v>149</v>
      </c>
      <c r="C450">
        <v>0.48909000000000002</v>
      </c>
    </row>
    <row r="451" spans="1:9">
      <c r="A451" t="s">
        <v>144</v>
      </c>
      <c r="B451" t="s">
        <v>150</v>
      </c>
      <c r="C451">
        <v>-1</v>
      </c>
    </row>
    <row r="452" spans="1:9">
      <c r="A452" t="s">
        <v>144</v>
      </c>
      <c r="B452" t="s">
        <v>151</v>
      </c>
      <c r="C452">
        <v>-1</v>
      </c>
    </row>
    <row r="453" spans="1:9">
      <c r="A453" t="s">
        <v>144</v>
      </c>
      <c r="B453" t="s">
        <v>152</v>
      </c>
      <c r="C453">
        <v>19</v>
      </c>
    </row>
    <row r="454" spans="1:9">
      <c r="A454" t="s">
        <v>144</v>
      </c>
      <c r="B454" t="s">
        <v>153</v>
      </c>
      <c r="C454">
        <v>19</v>
      </c>
    </row>
    <row r="455" spans="1:9">
      <c r="A455" t="s">
        <v>144</v>
      </c>
      <c r="B455" t="s">
        <v>154</v>
      </c>
      <c r="C455">
        <v>0</v>
      </c>
    </row>
    <row r="456" spans="1:9">
      <c r="A456" t="s">
        <v>144</v>
      </c>
      <c r="B456" t="s">
        <v>155</v>
      </c>
    </row>
    <row r="457" spans="1:9">
      <c r="A457" t="s">
        <v>144</v>
      </c>
      <c r="B457" t="s">
        <v>150</v>
      </c>
      <c r="C457">
        <v>0.37458399999999997</v>
      </c>
      <c r="H457" s="38" t="s">
        <v>164</v>
      </c>
      <c r="I457" s="44">
        <f>MIN(I460:I509)</f>
        <v>-7.1295199999266146E-7</v>
      </c>
    </row>
    <row r="458" spans="1:9">
      <c r="A458" t="s">
        <v>144</v>
      </c>
      <c r="B458" t="s">
        <v>151</v>
      </c>
      <c r="C458">
        <v>0.37458399999999997</v>
      </c>
      <c r="H458" s="38" t="s">
        <v>165</v>
      </c>
      <c r="I458" s="44">
        <f>MAX(I460:I509)</f>
        <v>7.1036800003768108E-7</v>
      </c>
    </row>
    <row r="459" spans="1:9">
      <c r="A459" t="s">
        <v>144</v>
      </c>
      <c r="B459" t="s">
        <v>156</v>
      </c>
      <c r="C459" t="s">
        <v>157</v>
      </c>
      <c r="D459" t="s">
        <v>63</v>
      </c>
      <c r="E459" t="s">
        <v>158</v>
      </c>
      <c r="F459" t="s">
        <v>159</v>
      </c>
      <c r="G459" t="s">
        <v>160</v>
      </c>
      <c r="H459" s="43" t="s">
        <v>162</v>
      </c>
      <c r="I459" s="43" t="s">
        <v>163</v>
      </c>
    </row>
    <row r="460" spans="1:9">
      <c r="A460" t="s">
        <v>144</v>
      </c>
      <c r="B460">
        <v>7</v>
      </c>
      <c r="C460">
        <v>0</v>
      </c>
      <c r="D460">
        <v>0.37458399999999997</v>
      </c>
      <c r="E460">
        <v>-0.178594</v>
      </c>
      <c r="F460">
        <v>-1</v>
      </c>
      <c r="G460">
        <v>-0.178594</v>
      </c>
      <c r="H460" s="42">
        <f>IF(C460&lt;$C$453,E460,D460*E460 + (1 - D460)*F460)</f>
        <v>-0.178594</v>
      </c>
      <c r="I460" s="42">
        <f>H460-G460</f>
        <v>0</v>
      </c>
    </row>
    <row r="461" spans="1:9">
      <c r="A461" t="s">
        <v>144</v>
      </c>
      <c r="B461">
        <v>7</v>
      </c>
      <c r="C461">
        <v>1</v>
      </c>
      <c r="D461">
        <v>0.37458399999999997</v>
      </c>
      <c r="E461">
        <v>-0.61778599999999995</v>
      </c>
      <c r="F461">
        <v>-1</v>
      </c>
      <c r="G461">
        <v>-0.61778599999999995</v>
      </c>
      <c r="H461" s="42">
        <f t="shared" ref="H461:H509" si="14">IF(C461&lt;$C$453,E461,D461*E461 + (1 - D461)*F461)</f>
        <v>-0.61778599999999995</v>
      </c>
      <c r="I461" s="42">
        <f t="shared" ref="I461:I509" si="15">H461-G461</f>
        <v>0</v>
      </c>
    </row>
    <row r="462" spans="1:9">
      <c r="A462" t="s">
        <v>144</v>
      </c>
      <c r="B462">
        <v>7</v>
      </c>
      <c r="C462">
        <v>2</v>
      </c>
      <c r="D462">
        <v>0.37458399999999997</v>
      </c>
      <c r="E462">
        <v>0.24271400000000001</v>
      </c>
      <c r="F462">
        <v>-1</v>
      </c>
      <c r="G462">
        <v>0.24271400000000001</v>
      </c>
      <c r="H462" s="42">
        <f t="shared" si="14"/>
        <v>0.24271400000000001</v>
      </c>
      <c r="I462" s="42">
        <f t="shared" si="15"/>
        <v>0</v>
      </c>
    </row>
    <row r="463" spans="1:9">
      <c r="A463" t="s">
        <v>144</v>
      </c>
      <c r="B463">
        <v>7</v>
      </c>
      <c r="C463">
        <v>3</v>
      </c>
      <c r="D463">
        <v>0.37458399999999997</v>
      </c>
      <c r="E463">
        <v>-0.233955</v>
      </c>
      <c r="F463">
        <v>-1</v>
      </c>
      <c r="G463">
        <v>-0.233955</v>
      </c>
      <c r="H463" s="42">
        <f t="shared" si="14"/>
        <v>-0.233955</v>
      </c>
      <c r="I463" s="42">
        <f t="shared" si="15"/>
        <v>0</v>
      </c>
    </row>
    <row r="464" spans="1:9">
      <c r="A464" t="s">
        <v>144</v>
      </c>
      <c r="B464">
        <v>7</v>
      </c>
      <c r="C464">
        <v>4</v>
      </c>
      <c r="D464">
        <v>0.37458399999999997</v>
      </c>
      <c r="E464">
        <v>0.30521599999999999</v>
      </c>
      <c r="F464">
        <v>-1</v>
      </c>
      <c r="G464">
        <v>0.30521599999999999</v>
      </c>
      <c r="H464" s="42">
        <f t="shared" si="14"/>
        <v>0.30521599999999999</v>
      </c>
      <c r="I464" s="42">
        <f t="shared" si="15"/>
        <v>0</v>
      </c>
    </row>
    <row r="465" spans="1:9">
      <c r="A465" t="s">
        <v>144</v>
      </c>
      <c r="B465">
        <v>7</v>
      </c>
      <c r="C465">
        <v>5</v>
      </c>
      <c r="D465">
        <v>0.37458399999999997</v>
      </c>
      <c r="E465">
        <v>0.92645</v>
      </c>
      <c r="F465">
        <v>-1</v>
      </c>
      <c r="G465">
        <v>0.92645</v>
      </c>
      <c r="H465" s="42">
        <f t="shared" si="14"/>
        <v>0.92645</v>
      </c>
      <c r="I465" s="42">
        <f t="shared" si="15"/>
        <v>0</v>
      </c>
    </row>
    <row r="466" spans="1:9">
      <c r="A466" t="s">
        <v>144</v>
      </c>
      <c r="B466">
        <v>7</v>
      </c>
      <c r="C466">
        <v>6</v>
      </c>
      <c r="D466">
        <v>0.37458399999999997</v>
      </c>
      <c r="E466">
        <v>-0.99520900000000001</v>
      </c>
      <c r="F466">
        <v>-1</v>
      </c>
      <c r="G466">
        <v>-0.99520900000000001</v>
      </c>
      <c r="H466" s="42">
        <f t="shared" si="14"/>
        <v>-0.99520900000000001</v>
      </c>
      <c r="I466" s="42">
        <f t="shared" si="15"/>
        <v>0</v>
      </c>
    </row>
    <row r="467" spans="1:9">
      <c r="A467" t="s">
        <v>144</v>
      </c>
      <c r="B467">
        <v>7</v>
      </c>
      <c r="C467">
        <v>7</v>
      </c>
      <c r="D467">
        <v>0.37458399999999997</v>
      </c>
      <c r="E467">
        <v>0.85772300000000001</v>
      </c>
      <c r="F467">
        <v>-1</v>
      </c>
      <c r="G467">
        <v>0.85772300000000001</v>
      </c>
      <c r="H467" s="42">
        <f t="shared" si="14"/>
        <v>0.85772300000000001</v>
      </c>
      <c r="I467" s="42">
        <f t="shared" si="15"/>
        <v>0</v>
      </c>
    </row>
    <row r="468" spans="1:9">
      <c r="A468" t="s">
        <v>144</v>
      </c>
      <c r="B468">
        <v>7</v>
      </c>
      <c r="C468">
        <v>8</v>
      </c>
      <c r="D468">
        <v>0.37458399999999997</v>
      </c>
      <c r="E468">
        <v>-0.284188</v>
      </c>
      <c r="F468">
        <v>-1</v>
      </c>
      <c r="G468">
        <v>-0.284188</v>
      </c>
      <c r="H468" s="42">
        <f t="shared" si="14"/>
        <v>-0.284188</v>
      </c>
      <c r="I468" s="42">
        <f t="shared" si="15"/>
        <v>0</v>
      </c>
    </row>
    <row r="469" spans="1:9">
      <c r="A469" t="s">
        <v>144</v>
      </c>
      <c r="B469">
        <v>7</v>
      </c>
      <c r="C469">
        <v>9</v>
      </c>
      <c r="D469">
        <v>0.37458399999999997</v>
      </c>
      <c r="E469">
        <v>0.35077999999999998</v>
      </c>
      <c r="F469">
        <v>-1</v>
      </c>
      <c r="G469">
        <v>0.35077999999999998</v>
      </c>
      <c r="H469" s="42">
        <f t="shared" si="14"/>
        <v>0.35077999999999998</v>
      </c>
      <c r="I469" s="42">
        <f t="shared" si="15"/>
        <v>0</v>
      </c>
    </row>
    <row r="470" spans="1:9">
      <c r="A470" t="s">
        <v>144</v>
      </c>
      <c r="B470">
        <v>7</v>
      </c>
      <c r="C470">
        <v>10</v>
      </c>
      <c r="D470">
        <v>0.37458399999999997</v>
      </c>
      <c r="E470">
        <v>0.29050599999999999</v>
      </c>
      <c r="F470">
        <v>-1</v>
      </c>
      <c r="G470">
        <v>0.29050599999999999</v>
      </c>
      <c r="H470" s="42">
        <f t="shared" si="14"/>
        <v>0.29050599999999999</v>
      </c>
      <c r="I470" s="42">
        <f t="shared" si="15"/>
        <v>0</v>
      </c>
    </row>
    <row r="471" spans="1:9">
      <c r="A471" t="s">
        <v>144</v>
      </c>
      <c r="B471">
        <v>7</v>
      </c>
      <c r="C471">
        <v>11</v>
      </c>
      <c r="D471">
        <v>0.37458399999999997</v>
      </c>
      <c r="E471">
        <v>0.37785000000000002</v>
      </c>
      <c r="F471">
        <v>-1</v>
      </c>
      <c r="G471">
        <v>0.37785000000000002</v>
      </c>
      <c r="H471" s="42">
        <f t="shared" si="14"/>
        <v>0.37785000000000002</v>
      </c>
      <c r="I471" s="42">
        <f t="shared" si="15"/>
        <v>0</v>
      </c>
    </row>
    <row r="472" spans="1:9">
      <c r="A472" t="s">
        <v>144</v>
      </c>
      <c r="B472">
        <v>7</v>
      </c>
      <c r="C472">
        <v>12</v>
      </c>
      <c r="D472">
        <v>0.37458399999999997</v>
      </c>
      <c r="E472">
        <v>0.92935000000000001</v>
      </c>
      <c r="F472">
        <v>-1</v>
      </c>
      <c r="G472">
        <v>0.92935000000000001</v>
      </c>
      <c r="H472" s="42">
        <f t="shared" si="14"/>
        <v>0.92935000000000001</v>
      </c>
      <c r="I472" s="42">
        <f t="shared" si="15"/>
        <v>0</v>
      </c>
    </row>
    <row r="473" spans="1:9">
      <c r="A473" t="s">
        <v>144</v>
      </c>
      <c r="B473">
        <v>7</v>
      </c>
      <c r="C473">
        <v>13</v>
      </c>
      <c r="D473">
        <v>0.37458399999999997</v>
      </c>
      <c r="E473">
        <v>-0.66069500000000003</v>
      </c>
      <c r="F473">
        <v>-1</v>
      </c>
      <c r="G473">
        <v>-0.66069500000000003</v>
      </c>
      <c r="H473" s="42">
        <f t="shared" si="14"/>
        <v>-0.66069500000000003</v>
      </c>
      <c r="I473" s="42">
        <f t="shared" si="15"/>
        <v>0</v>
      </c>
    </row>
    <row r="474" spans="1:9">
      <c r="A474" t="s">
        <v>144</v>
      </c>
      <c r="B474">
        <v>7</v>
      </c>
      <c r="C474">
        <v>14</v>
      </c>
      <c r="D474">
        <v>0.37458399999999997</v>
      </c>
      <c r="E474">
        <v>-6.4607999999999999E-2</v>
      </c>
      <c r="F474">
        <v>-1</v>
      </c>
      <c r="G474">
        <v>-6.4607999999999999E-2</v>
      </c>
      <c r="H474" s="42">
        <f t="shared" si="14"/>
        <v>-6.4607999999999999E-2</v>
      </c>
      <c r="I474" s="42">
        <f t="shared" si="15"/>
        <v>0</v>
      </c>
    </row>
    <row r="475" spans="1:9">
      <c r="A475" t="s">
        <v>144</v>
      </c>
      <c r="B475">
        <v>7</v>
      </c>
      <c r="C475">
        <v>15</v>
      </c>
      <c r="D475">
        <v>0.37458399999999997</v>
      </c>
      <c r="E475">
        <v>-0.28833900000000001</v>
      </c>
      <c r="F475">
        <v>-1</v>
      </c>
      <c r="G475">
        <v>-0.28833900000000001</v>
      </c>
      <c r="H475" s="42">
        <f t="shared" si="14"/>
        <v>-0.28833900000000001</v>
      </c>
      <c r="I475" s="42">
        <f t="shared" si="15"/>
        <v>0</v>
      </c>
    </row>
    <row r="476" spans="1:9">
      <c r="A476" t="s">
        <v>144</v>
      </c>
      <c r="B476">
        <v>7</v>
      </c>
      <c r="C476">
        <v>16</v>
      </c>
      <c r="D476">
        <v>0.37458399999999997</v>
      </c>
      <c r="E476">
        <v>-0.31928499999999999</v>
      </c>
      <c r="F476">
        <v>-1</v>
      </c>
      <c r="G476">
        <v>-0.31928499999999999</v>
      </c>
      <c r="H476" s="42">
        <f t="shared" si="14"/>
        <v>-0.31928499999999999</v>
      </c>
      <c r="I476" s="42">
        <f t="shared" si="15"/>
        <v>0</v>
      </c>
    </row>
    <row r="477" spans="1:9">
      <c r="A477" t="s">
        <v>144</v>
      </c>
      <c r="B477">
        <v>7</v>
      </c>
      <c r="C477">
        <v>17</v>
      </c>
      <c r="D477">
        <v>0.37458399999999997</v>
      </c>
      <c r="E477">
        <v>0.25882699999999997</v>
      </c>
      <c r="F477">
        <v>-1</v>
      </c>
      <c r="G477">
        <v>0.25882699999999997</v>
      </c>
      <c r="H477" s="42">
        <f t="shared" si="14"/>
        <v>0.25882699999999997</v>
      </c>
      <c r="I477" s="42">
        <f t="shared" si="15"/>
        <v>0</v>
      </c>
    </row>
    <row r="478" spans="1:9">
      <c r="A478" t="s">
        <v>144</v>
      </c>
      <c r="B478">
        <v>7</v>
      </c>
      <c r="C478">
        <v>18</v>
      </c>
      <c r="D478">
        <v>0.37458399999999997</v>
      </c>
      <c r="E478">
        <v>-0.19986599999999999</v>
      </c>
      <c r="F478">
        <v>-1</v>
      </c>
      <c r="G478">
        <v>-0.19986599999999999</v>
      </c>
      <c r="H478" s="42">
        <f t="shared" si="14"/>
        <v>-0.19986599999999999</v>
      </c>
      <c r="I478" s="42">
        <f t="shared" si="15"/>
        <v>0</v>
      </c>
    </row>
    <row r="479" spans="1:9">
      <c r="A479" t="s">
        <v>144</v>
      </c>
      <c r="B479">
        <v>7</v>
      </c>
      <c r="C479">
        <v>19</v>
      </c>
      <c r="D479">
        <v>0.37458399999999997</v>
      </c>
      <c r="E479">
        <v>-0.85085599999999995</v>
      </c>
      <c r="F479">
        <v>0.43726900000000002</v>
      </c>
      <c r="G479">
        <v>-4.5241999999999997E-2</v>
      </c>
      <c r="H479" s="42">
        <f t="shared" si="14"/>
        <v>-4.5242014999999969E-2</v>
      </c>
      <c r="I479" s="42">
        <f t="shared" si="15"/>
        <v>-1.4999999971287981E-8</v>
      </c>
    </row>
    <row r="480" spans="1:9">
      <c r="A480" t="s">
        <v>144</v>
      </c>
      <c r="B480">
        <v>7</v>
      </c>
      <c r="C480">
        <v>20</v>
      </c>
      <c r="D480">
        <v>0.37458399999999997</v>
      </c>
      <c r="E480">
        <v>-0.69191599999999998</v>
      </c>
      <c r="F480">
        <v>9.4241000000000005E-2</v>
      </c>
      <c r="G480">
        <v>-0.200241</v>
      </c>
      <c r="H480" s="42">
        <f t="shared" si="14"/>
        <v>-0.200240833688</v>
      </c>
      <c r="I480" s="42">
        <f t="shared" si="15"/>
        <v>1.6631200000505331E-7</v>
      </c>
    </row>
    <row r="481" spans="1:9">
      <c r="A481" t="s">
        <v>144</v>
      </c>
      <c r="B481">
        <v>7</v>
      </c>
      <c r="C481">
        <v>21</v>
      </c>
      <c r="D481">
        <v>0.37458399999999997</v>
      </c>
      <c r="E481">
        <v>-0.23166600000000001</v>
      </c>
      <c r="F481">
        <v>-0.50337200000000004</v>
      </c>
      <c r="G481">
        <v>-0.40159499999999998</v>
      </c>
      <c r="H481" s="42">
        <f t="shared" si="14"/>
        <v>-0.40159527969600001</v>
      </c>
      <c r="I481" s="42">
        <f t="shared" si="15"/>
        <v>-2.7969600002730743E-7</v>
      </c>
    </row>
    <row r="482" spans="1:9">
      <c r="A482" t="s">
        <v>144</v>
      </c>
      <c r="B482">
        <v>7</v>
      </c>
      <c r="C482">
        <v>22</v>
      </c>
      <c r="D482">
        <v>0.37458399999999997</v>
      </c>
      <c r="E482">
        <v>-0.98211599999999999</v>
      </c>
      <c r="F482">
        <v>-6.1647E-2</v>
      </c>
      <c r="G482">
        <v>-0.40644000000000002</v>
      </c>
      <c r="H482" s="42">
        <f t="shared" si="14"/>
        <v>-0.40643995989600001</v>
      </c>
      <c r="I482" s="42">
        <f t="shared" si="15"/>
        <v>4.0104000009755225E-8</v>
      </c>
    </row>
    <row r="483" spans="1:9">
      <c r="A483" t="s">
        <v>144</v>
      </c>
      <c r="B483">
        <v>7</v>
      </c>
      <c r="C483">
        <v>23</v>
      </c>
      <c r="D483">
        <v>0.37458399999999997</v>
      </c>
      <c r="E483">
        <v>0.208014</v>
      </c>
      <c r="F483">
        <v>0.66460200000000003</v>
      </c>
      <c r="G483">
        <v>0.49357099999999998</v>
      </c>
      <c r="H483" s="42">
        <f t="shared" si="14"/>
        <v>0.49357144060800001</v>
      </c>
      <c r="I483" s="42">
        <f t="shared" si="15"/>
        <v>4.4060800002965195E-7</v>
      </c>
    </row>
    <row r="484" spans="1:9">
      <c r="A484" t="s">
        <v>144</v>
      </c>
      <c r="B484">
        <v>7</v>
      </c>
      <c r="C484">
        <v>24</v>
      </c>
      <c r="D484">
        <v>0.37458399999999997</v>
      </c>
      <c r="E484">
        <v>-0.46394200000000002</v>
      </c>
      <c r="F484">
        <v>0.518204</v>
      </c>
      <c r="G484">
        <v>0.150308</v>
      </c>
      <c r="H484" s="42">
        <f t="shared" si="14"/>
        <v>0.15030782273599996</v>
      </c>
      <c r="I484" s="42">
        <f t="shared" si="15"/>
        <v>-1.7726400003414966E-7</v>
      </c>
    </row>
    <row r="485" spans="1:9">
      <c r="A485" t="s">
        <v>144</v>
      </c>
      <c r="B485">
        <v>7</v>
      </c>
      <c r="C485">
        <v>25</v>
      </c>
      <c r="D485">
        <v>0.37458399999999997</v>
      </c>
      <c r="E485">
        <v>0.52519300000000002</v>
      </c>
      <c r="F485">
        <v>5.1180000000000003E-2</v>
      </c>
      <c r="G485">
        <v>0.228738</v>
      </c>
      <c r="H485" s="42">
        <f t="shared" si="14"/>
        <v>0.228737685592</v>
      </c>
      <c r="I485" s="42">
        <f t="shared" si="15"/>
        <v>-3.1440799999615798E-7</v>
      </c>
    </row>
    <row r="486" spans="1:9">
      <c r="A486" t="s">
        <v>144</v>
      </c>
      <c r="B486">
        <v>7</v>
      </c>
      <c r="C486">
        <v>26</v>
      </c>
      <c r="D486">
        <v>0.37458399999999997</v>
      </c>
      <c r="E486">
        <v>0.68257699999999999</v>
      </c>
      <c r="F486">
        <v>-0.53581299999999998</v>
      </c>
      <c r="G486">
        <v>-7.9423999999999995E-2</v>
      </c>
      <c r="H486" s="42">
        <f t="shared" si="14"/>
        <v>-7.9423600240000003E-2</v>
      </c>
      <c r="I486" s="42">
        <f t="shared" si="15"/>
        <v>3.9975999999164458E-7</v>
      </c>
    </row>
    <row r="487" spans="1:9">
      <c r="A487" t="s">
        <v>144</v>
      </c>
      <c r="B487">
        <v>7</v>
      </c>
      <c r="C487">
        <v>27</v>
      </c>
      <c r="D487">
        <v>0.37458399999999997</v>
      </c>
      <c r="E487">
        <v>-0.621784</v>
      </c>
      <c r="F487">
        <v>0.40516400000000002</v>
      </c>
      <c r="G487">
        <v>2.0485E-2</v>
      </c>
      <c r="H487" s="42">
        <f t="shared" si="14"/>
        <v>2.0485710368000037E-2</v>
      </c>
      <c r="I487" s="42">
        <f t="shared" si="15"/>
        <v>7.1036800003768108E-7</v>
      </c>
    </row>
    <row r="488" spans="1:9">
      <c r="A488" t="s">
        <v>144</v>
      </c>
      <c r="B488">
        <v>7</v>
      </c>
      <c r="C488">
        <v>28</v>
      </c>
      <c r="D488">
        <v>0.37458399999999997</v>
      </c>
      <c r="E488">
        <v>0.3755</v>
      </c>
      <c r="F488">
        <v>-0.64485599999999998</v>
      </c>
      <c r="G488">
        <v>-0.26264700000000002</v>
      </c>
      <c r="H488" s="42">
        <f t="shared" si="14"/>
        <v>-0.26264696809599997</v>
      </c>
      <c r="I488" s="42">
        <f t="shared" si="15"/>
        <v>3.1904000052929149E-8</v>
      </c>
    </row>
    <row r="489" spans="1:9">
      <c r="A489" t="s">
        <v>144</v>
      </c>
      <c r="B489">
        <v>7</v>
      </c>
      <c r="C489">
        <v>29</v>
      </c>
      <c r="D489">
        <v>0.37458399999999997</v>
      </c>
      <c r="E489">
        <v>-0.24552099999999999</v>
      </c>
      <c r="F489">
        <v>-0.17258200000000001</v>
      </c>
      <c r="G489">
        <v>-0.199904</v>
      </c>
      <c r="H489" s="42">
        <f t="shared" si="14"/>
        <v>-0.19990378237599998</v>
      </c>
      <c r="I489" s="42">
        <f t="shared" si="15"/>
        <v>2.1762400001512638E-7</v>
      </c>
    </row>
    <row r="490" spans="1:9">
      <c r="A490" t="s">
        <v>144</v>
      </c>
      <c r="B490">
        <v>7</v>
      </c>
      <c r="C490">
        <v>30</v>
      </c>
      <c r="D490">
        <v>0.37458399999999997</v>
      </c>
      <c r="E490">
        <v>-0.26511400000000002</v>
      </c>
      <c r="F490">
        <v>-0.91579900000000003</v>
      </c>
      <c r="G490">
        <v>-0.67206299999999997</v>
      </c>
      <c r="H490" s="42">
        <f t="shared" si="14"/>
        <v>-0.67206280996000001</v>
      </c>
      <c r="I490" s="42">
        <f t="shared" si="15"/>
        <v>1.9003999995881315E-7</v>
      </c>
    </row>
    <row r="491" spans="1:9">
      <c r="A491" t="s">
        <v>144</v>
      </c>
      <c r="B491">
        <v>7</v>
      </c>
      <c r="C491">
        <v>31</v>
      </c>
      <c r="D491">
        <v>0.37458399999999997</v>
      </c>
      <c r="E491">
        <v>0.83663399999999999</v>
      </c>
      <c r="F491">
        <v>-0.48866199999999999</v>
      </c>
      <c r="G491">
        <v>7.7730000000000004E-3</v>
      </c>
      <c r="H491" s="42">
        <f t="shared" si="14"/>
        <v>7.7726768640000166E-3</v>
      </c>
      <c r="I491" s="42">
        <f t="shared" si="15"/>
        <v>-3.2313599998383402E-7</v>
      </c>
    </row>
    <row r="492" spans="1:9">
      <c r="A492" t="s">
        <v>144</v>
      </c>
      <c r="B492">
        <v>7</v>
      </c>
      <c r="C492">
        <v>32</v>
      </c>
      <c r="D492">
        <v>0.37458399999999997</v>
      </c>
      <c r="E492">
        <v>0.759606</v>
      </c>
      <c r="F492">
        <v>-7.4038000000000007E-2</v>
      </c>
      <c r="G492">
        <v>0.238232</v>
      </c>
      <c r="H492" s="42">
        <f t="shared" si="14"/>
        <v>0.238231704096</v>
      </c>
      <c r="I492" s="42">
        <f t="shared" si="15"/>
        <v>-2.9590399999723793E-7</v>
      </c>
    </row>
    <row r="493" spans="1:9">
      <c r="A493" t="s">
        <v>144</v>
      </c>
      <c r="B493">
        <v>7</v>
      </c>
      <c r="C493">
        <v>33</v>
      </c>
      <c r="D493">
        <v>0.37458399999999997</v>
      </c>
      <c r="E493">
        <v>-8.5025000000000003E-2</v>
      </c>
      <c r="F493">
        <v>-0.46150099999999999</v>
      </c>
      <c r="G493">
        <v>-0.32047900000000001</v>
      </c>
      <c r="H493" s="42">
        <f t="shared" si="14"/>
        <v>-0.32047911401599999</v>
      </c>
      <c r="I493" s="42">
        <f t="shared" si="15"/>
        <v>-1.1401599997462597E-7</v>
      </c>
    </row>
    <row r="494" spans="1:9">
      <c r="A494" t="s">
        <v>144</v>
      </c>
      <c r="B494">
        <v>7</v>
      </c>
      <c r="C494">
        <v>34</v>
      </c>
      <c r="D494">
        <v>0.37458399999999997</v>
      </c>
      <c r="E494">
        <v>0.218055</v>
      </c>
      <c r="F494">
        <v>-0.304392</v>
      </c>
      <c r="G494">
        <v>-0.108691</v>
      </c>
      <c r="H494" s="42">
        <f t="shared" si="14"/>
        <v>-0.10869171295199999</v>
      </c>
      <c r="I494" s="42">
        <f t="shared" si="15"/>
        <v>-7.1295199999266146E-7</v>
      </c>
    </row>
    <row r="495" spans="1:9">
      <c r="A495" t="s">
        <v>144</v>
      </c>
      <c r="B495">
        <v>7</v>
      </c>
      <c r="C495">
        <v>35</v>
      </c>
      <c r="D495">
        <v>0.37458399999999997</v>
      </c>
      <c r="E495">
        <v>0.56782699999999997</v>
      </c>
      <c r="F495">
        <v>-0.66093900000000005</v>
      </c>
      <c r="G495">
        <v>-0.20066300000000001</v>
      </c>
      <c r="H495" s="42">
        <f t="shared" si="14"/>
        <v>-0.20066291665600006</v>
      </c>
      <c r="I495" s="42">
        <f t="shared" si="15"/>
        <v>8.3343999951468462E-8</v>
      </c>
    </row>
    <row r="496" spans="1:9">
      <c r="A496" t="s">
        <v>144</v>
      </c>
      <c r="B496">
        <v>7</v>
      </c>
      <c r="C496">
        <v>36</v>
      </c>
      <c r="D496">
        <v>0.37458399999999997</v>
      </c>
      <c r="E496">
        <v>0.93664400000000003</v>
      </c>
      <c r="F496">
        <v>-0.90087600000000001</v>
      </c>
      <c r="G496">
        <v>-0.21257000000000001</v>
      </c>
      <c r="H496" s="42">
        <f t="shared" si="14"/>
        <v>-0.21257040831999996</v>
      </c>
      <c r="I496" s="42">
        <f t="shared" si="15"/>
        <v>-4.0831999995050161E-7</v>
      </c>
    </row>
    <row r="497" spans="1:9">
      <c r="A497" t="s">
        <v>144</v>
      </c>
      <c r="B497">
        <v>7</v>
      </c>
      <c r="C497">
        <v>37</v>
      </c>
      <c r="D497">
        <v>0.37458399999999997</v>
      </c>
      <c r="E497">
        <v>0.87282899999999997</v>
      </c>
      <c r="F497">
        <v>-0.21890899999999999</v>
      </c>
      <c r="G497">
        <v>0.19003900000000001</v>
      </c>
      <c r="H497" s="42">
        <f t="shared" si="14"/>
        <v>0.19003858699199996</v>
      </c>
      <c r="I497" s="42">
        <f t="shared" si="15"/>
        <v>-4.1300800004973048E-7</v>
      </c>
    </row>
    <row r="498" spans="1:9">
      <c r="A498" t="s">
        <v>144</v>
      </c>
      <c r="B498">
        <v>7</v>
      </c>
      <c r="C498">
        <v>38</v>
      </c>
      <c r="D498">
        <v>0.37458399999999997</v>
      </c>
      <c r="E498">
        <v>-0.51127699999999998</v>
      </c>
      <c r="F498">
        <v>0.41886699999999999</v>
      </c>
      <c r="G498">
        <v>7.0449999999999999E-2</v>
      </c>
      <c r="H498" s="42">
        <f t="shared" si="14"/>
        <v>7.0449939904000031E-2</v>
      </c>
      <c r="I498" s="42">
        <f t="shared" si="15"/>
        <v>-6.0095999968035052E-8</v>
      </c>
    </row>
    <row r="499" spans="1:9">
      <c r="A499" t="s">
        <v>144</v>
      </c>
      <c r="B499">
        <v>7</v>
      </c>
      <c r="C499">
        <v>39</v>
      </c>
      <c r="D499">
        <v>0.37458399999999997</v>
      </c>
      <c r="E499">
        <v>0.11477999999999999</v>
      </c>
      <c r="F499">
        <v>0.44718799999999997</v>
      </c>
      <c r="G499">
        <v>0.32267299999999999</v>
      </c>
      <c r="H499" s="42">
        <f t="shared" si="14"/>
        <v>0.32267328172799997</v>
      </c>
      <c r="I499" s="42">
        <f t="shared" si="15"/>
        <v>2.8172799998449349E-7</v>
      </c>
    </row>
    <row r="500" spans="1:9">
      <c r="A500" t="s">
        <v>144</v>
      </c>
      <c r="B500">
        <v>7</v>
      </c>
      <c r="C500">
        <v>40</v>
      </c>
      <c r="D500">
        <v>0.37458399999999997</v>
      </c>
      <c r="E500">
        <v>0.73400100000000001</v>
      </c>
      <c r="F500">
        <v>-0.48518299999999998</v>
      </c>
      <c r="G500">
        <v>-2.8496E-2</v>
      </c>
      <c r="H500" s="42">
        <f t="shared" si="14"/>
        <v>-2.8496180543999994E-2</v>
      </c>
      <c r="I500" s="42">
        <f t="shared" si="15"/>
        <v>-1.8054399999328785E-7</v>
      </c>
    </row>
    <row r="501" spans="1:9">
      <c r="A501" t="s">
        <v>144</v>
      </c>
      <c r="B501">
        <v>7</v>
      </c>
      <c r="C501">
        <v>41</v>
      </c>
      <c r="D501">
        <v>0.37458399999999997</v>
      </c>
      <c r="E501">
        <v>-0.250587</v>
      </c>
      <c r="F501">
        <v>-0.378857</v>
      </c>
      <c r="G501">
        <v>-0.33080900000000002</v>
      </c>
      <c r="H501" s="42">
        <f t="shared" si="14"/>
        <v>-0.33080911031999999</v>
      </c>
      <c r="I501" s="42">
        <f t="shared" si="15"/>
        <v>-1.1031999996857778E-7</v>
      </c>
    </row>
    <row r="502" spans="1:9">
      <c r="A502" t="s">
        <v>144</v>
      </c>
      <c r="B502">
        <v>7</v>
      </c>
      <c r="C502">
        <v>42</v>
      </c>
      <c r="D502">
        <v>0.37458399999999997</v>
      </c>
      <c r="E502">
        <v>0.67830400000000002</v>
      </c>
      <c r="F502">
        <v>0.92278800000000005</v>
      </c>
      <c r="G502">
        <v>0.83120799999999995</v>
      </c>
      <c r="H502" s="42">
        <f t="shared" si="14"/>
        <v>0.83120820534399997</v>
      </c>
      <c r="I502" s="42">
        <f t="shared" si="15"/>
        <v>2.0534400002603093E-7</v>
      </c>
    </row>
    <row r="503" spans="1:9">
      <c r="A503" t="s">
        <v>144</v>
      </c>
      <c r="B503">
        <v>7</v>
      </c>
      <c r="C503">
        <v>43</v>
      </c>
      <c r="D503">
        <v>0.37458399999999997</v>
      </c>
      <c r="E503">
        <v>9.9246000000000001E-2</v>
      </c>
      <c r="F503">
        <v>0.140324</v>
      </c>
      <c r="G503">
        <v>0.12493700000000001</v>
      </c>
      <c r="H503" s="42">
        <f t="shared" si="14"/>
        <v>0.12493683844799999</v>
      </c>
      <c r="I503" s="42">
        <f t="shared" si="15"/>
        <v>-1.6155200001366499E-7</v>
      </c>
    </row>
    <row r="504" spans="1:9">
      <c r="A504" t="s">
        <v>144</v>
      </c>
      <c r="B504">
        <v>7</v>
      </c>
      <c r="C504">
        <v>44</v>
      </c>
      <c r="D504">
        <v>0.37458399999999997</v>
      </c>
      <c r="E504">
        <v>0.13052800000000001</v>
      </c>
      <c r="F504">
        <v>-0.34610999999999997</v>
      </c>
      <c r="G504">
        <v>-0.167569</v>
      </c>
      <c r="H504" s="42">
        <f t="shared" si="14"/>
        <v>-0.16756903140799997</v>
      </c>
      <c r="I504" s="42">
        <f t="shared" si="15"/>
        <v>-3.1407999978583234E-8</v>
      </c>
    </row>
    <row r="505" spans="1:9">
      <c r="A505" t="s">
        <v>144</v>
      </c>
      <c r="B505">
        <v>7</v>
      </c>
      <c r="C505">
        <v>45</v>
      </c>
      <c r="D505">
        <v>0.37458399999999997</v>
      </c>
      <c r="E505">
        <v>0.47352499999999997</v>
      </c>
      <c r="F505">
        <v>0.55903800000000003</v>
      </c>
      <c r="G505">
        <v>0.52700599999999997</v>
      </c>
      <c r="H505" s="42">
        <f t="shared" si="14"/>
        <v>0.527006198408</v>
      </c>
      <c r="I505" s="42">
        <f t="shared" si="15"/>
        <v>1.9840800002945969E-7</v>
      </c>
    </row>
    <row r="506" spans="1:9">
      <c r="A506" t="s">
        <v>144</v>
      </c>
      <c r="B506">
        <v>7</v>
      </c>
      <c r="C506">
        <v>46</v>
      </c>
      <c r="D506">
        <v>0.37458399999999997</v>
      </c>
      <c r="E506">
        <v>-2.3193999999999999E-2</v>
      </c>
      <c r="F506">
        <v>0.88326700000000002</v>
      </c>
      <c r="G506">
        <v>0.54372100000000001</v>
      </c>
      <c r="H506" s="42">
        <f t="shared" si="14"/>
        <v>0.54372121277600005</v>
      </c>
      <c r="I506" s="42">
        <f t="shared" si="15"/>
        <v>2.1277600004143693E-7</v>
      </c>
    </row>
    <row r="507" spans="1:9">
      <c r="A507" t="s">
        <v>144</v>
      </c>
      <c r="B507">
        <v>7</v>
      </c>
      <c r="C507">
        <v>47</v>
      </c>
      <c r="D507">
        <v>0.37458399999999997</v>
      </c>
      <c r="E507">
        <v>0.32871499999999998</v>
      </c>
      <c r="F507">
        <v>0.91430400000000001</v>
      </c>
      <c r="G507">
        <v>0.69495200000000001</v>
      </c>
      <c r="H507" s="42">
        <f t="shared" si="14"/>
        <v>0.6949517300239999</v>
      </c>
      <c r="I507" s="42">
        <f t="shared" si="15"/>
        <v>-2.6997600011124945E-7</v>
      </c>
    </row>
    <row r="508" spans="1:9">
      <c r="A508" t="s">
        <v>144</v>
      </c>
      <c r="B508">
        <v>7</v>
      </c>
      <c r="C508">
        <v>48</v>
      </c>
      <c r="D508">
        <v>0.37458399999999997</v>
      </c>
      <c r="E508">
        <v>-2.6185E-2</v>
      </c>
      <c r="F508">
        <v>-0.181646</v>
      </c>
      <c r="G508">
        <v>-0.12341299999999999</v>
      </c>
      <c r="H508" s="42">
        <f t="shared" si="14"/>
        <v>-0.12341279677599999</v>
      </c>
      <c r="I508" s="42">
        <f t="shared" si="15"/>
        <v>2.0322400000327701E-7</v>
      </c>
    </row>
    <row r="509" spans="1:9">
      <c r="A509" t="s">
        <v>144</v>
      </c>
      <c r="B509">
        <v>7</v>
      </c>
      <c r="C509">
        <v>49</v>
      </c>
      <c r="D509">
        <v>0.37458399999999997</v>
      </c>
      <c r="E509">
        <v>0.33591700000000002</v>
      </c>
      <c r="F509">
        <v>0.23657900000000001</v>
      </c>
      <c r="G509">
        <v>0.27378999999999998</v>
      </c>
      <c r="H509" s="42">
        <f t="shared" si="14"/>
        <v>0.27378942539200002</v>
      </c>
      <c r="I509" s="42">
        <f t="shared" si="15"/>
        <v>-5.7460799995912026E-7</v>
      </c>
    </row>
    <row r="510" spans="1:9">
      <c r="A510" t="s">
        <v>144</v>
      </c>
      <c r="B510" t="s">
        <v>145</v>
      </c>
      <c r="C510">
        <v>8</v>
      </c>
    </row>
    <row r="511" spans="1:9">
      <c r="A511" t="s">
        <v>144</v>
      </c>
      <c r="B511" t="s">
        <v>146</v>
      </c>
      <c r="C511">
        <v>35</v>
      </c>
    </row>
    <row r="512" spans="1:9">
      <c r="A512" t="s">
        <v>144</v>
      </c>
      <c r="B512" t="s">
        <v>147</v>
      </c>
      <c r="C512">
        <v>35</v>
      </c>
    </row>
    <row r="513" spans="1:9">
      <c r="A513" t="s">
        <v>144</v>
      </c>
      <c r="B513" t="s">
        <v>148</v>
      </c>
      <c r="C513">
        <v>0.132328</v>
      </c>
    </row>
    <row r="514" spans="1:9">
      <c r="A514" t="s">
        <v>144</v>
      </c>
      <c r="B514" t="s">
        <v>149</v>
      </c>
      <c r="C514">
        <v>0.132328</v>
      </c>
    </row>
    <row r="515" spans="1:9">
      <c r="A515" t="s">
        <v>144</v>
      </c>
      <c r="B515" t="s">
        <v>150</v>
      </c>
      <c r="C515">
        <v>-1</v>
      </c>
    </row>
    <row r="516" spans="1:9">
      <c r="A516" t="s">
        <v>144</v>
      </c>
      <c r="B516" t="s">
        <v>151</v>
      </c>
      <c r="C516">
        <v>-1</v>
      </c>
    </row>
    <row r="517" spans="1:9">
      <c r="A517" t="s">
        <v>144</v>
      </c>
      <c r="B517" t="s">
        <v>152</v>
      </c>
      <c r="C517">
        <v>46</v>
      </c>
    </row>
    <row r="518" spans="1:9">
      <c r="A518" t="s">
        <v>144</v>
      </c>
      <c r="B518" t="s">
        <v>153</v>
      </c>
      <c r="C518">
        <v>46</v>
      </c>
    </row>
    <row r="519" spans="1:9">
      <c r="A519" t="s">
        <v>144</v>
      </c>
      <c r="B519" t="s">
        <v>154</v>
      </c>
      <c r="C519">
        <v>0</v>
      </c>
    </row>
    <row r="520" spans="1:9">
      <c r="A520" t="s">
        <v>144</v>
      </c>
      <c r="B520" t="s">
        <v>155</v>
      </c>
    </row>
    <row r="521" spans="1:9">
      <c r="A521" t="s">
        <v>144</v>
      </c>
      <c r="B521" t="s">
        <v>150</v>
      </c>
      <c r="C521">
        <v>0.69148799999999999</v>
      </c>
      <c r="H521" s="38" t="s">
        <v>164</v>
      </c>
      <c r="I521" s="44">
        <f>MIN(I524:I573)</f>
        <v>-7.2128000000448722E-7</v>
      </c>
    </row>
    <row r="522" spans="1:9">
      <c r="A522" t="s">
        <v>144</v>
      </c>
      <c r="B522" t="s">
        <v>151</v>
      </c>
      <c r="C522">
        <v>0.69148799999999999</v>
      </c>
      <c r="H522" s="38" t="s">
        <v>165</v>
      </c>
      <c r="I522" s="44">
        <f>MAX(I524:I573)</f>
        <v>5.0678400009829261E-7</v>
      </c>
    </row>
    <row r="523" spans="1:9">
      <c r="A523" t="s">
        <v>144</v>
      </c>
      <c r="B523" t="s">
        <v>156</v>
      </c>
      <c r="C523" t="s">
        <v>157</v>
      </c>
      <c r="D523" t="s">
        <v>63</v>
      </c>
      <c r="E523" t="s">
        <v>158</v>
      </c>
      <c r="F523" t="s">
        <v>159</v>
      </c>
      <c r="G523" t="s">
        <v>160</v>
      </c>
      <c r="H523" s="43" t="s">
        <v>162</v>
      </c>
      <c r="I523" s="43" t="s">
        <v>163</v>
      </c>
    </row>
    <row r="524" spans="1:9">
      <c r="A524" t="s">
        <v>144</v>
      </c>
      <c r="B524">
        <v>8</v>
      </c>
      <c r="C524">
        <v>0</v>
      </c>
      <c r="D524">
        <v>0.69148799999999999</v>
      </c>
      <c r="E524">
        <v>0.153447</v>
      </c>
      <c r="F524">
        <v>-1</v>
      </c>
      <c r="G524">
        <v>0.153447</v>
      </c>
      <c r="H524" s="42">
        <f>IF(C524&lt;$C$517,E524,D524*E524 + (1 - D524)*F524)</f>
        <v>0.153447</v>
      </c>
      <c r="I524" s="42">
        <f>H524-G524</f>
        <v>0</v>
      </c>
    </row>
    <row r="525" spans="1:9">
      <c r="A525" t="s">
        <v>144</v>
      </c>
      <c r="B525">
        <v>8</v>
      </c>
      <c r="C525">
        <v>1</v>
      </c>
      <c r="D525">
        <v>0.69148799999999999</v>
      </c>
      <c r="E525">
        <v>0.71099000000000001</v>
      </c>
      <c r="F525">
        <v>-1</v>
      </c>
      <c r="G525">
        <v>0.71099000000000001</v>
      </c>
      <c r="H525" s="42">
        <f t="shared" ref="H525:H573" si="16">IF(C525&lt;$C$517,E525,D525*E525 + (1 - D525)*F525)</f>
        <v>0.71099000000000001</v>
      </c>
      <c r="I525" s="42">
        <f t="shared" ref="I525:I573" si="17">H525-G525</f>
        <v>0</v>
      </c>
    </row>
    <row r="526" spans="1:9">
      <c r="A526" t="s">
        <v>144</v>
      </c>
      <c r="B526">
        <v>8</v>
      </c>
      <c r="C526">
        <v>2</v>
      </c>
      <c r="D526">
        <v>0.69148799999999999</v>
      </c>
      <c r="E526">
        <v>-0.28638599999999997</v>
      </c>
      <c r="F526">
        <v>-1</v>
      </c>
      <c r="G526">
        <v>-0.28638599999999997</v>
      </c>
      <c r="H526" s="42">
        <f t="shared" si="16"/>
        <v>-0.28638599999999997</v>
      </c>
      <c r="I526" s="42">
        <f t="shared" si="17"/>
        <v>0</v>
      </c>
    </row>
    <row r="527" spans="1:9">
      <c r="A527" t="s">
        <v>144</v>
      </c>
      <c r="B527">
        <v>8</v>
      </c>
      <c r="C527">
        <v>3</v>
      </c>
      <c r="D527">
        <v>0.69148799999999999</v>
      </c>
      <c r="E527">
        <v>0.424757</v>
      </c>
      <c r="F527">
        <v>-1</v>
      </c>
      <c r="G527">
        <v>0.424757</v>
      </c>
      <c r="H527" s="42">
        <f t="shared" si="16"/>
        <v>0.424757</v>
      </c>
      <c r="I527" s="42">
        <f t="shared" si="17"/>
        <v>0</v>
      </c>
    </row>
    <row r="528" spans="1:9">
      <c r="A528" t="s">
        <v>144</v>
      </c>
      <c r="B528">
        <v>8</v>
      </c>
      <c r="C528">
        <v>4</v>
      </c>
      <c r="D528">
        <v>0.69148799999999999</v>
      </c>
      <c r="E528">
        <v>0.780725</v>
      </c>
      <c r="F528">
        <v>-1</v>
      </c>
      <c r="G528">
        <v>0.780725</v>
      </c>
      <c r="H528" s="42">
        <f t="shared" si="16"/>
        <v>0.780725</v>
      </c>
      <c r="I528" s="42">
        <f t="shared" si="17"/>
        <v>0</v>
      </c>
    </row>
    <row r="529" spans="1:9">
      <c r="A529" t="s">
        <v>144</v>
      </c>
      <c r="B529">
        <v>8</v>
      </c>
      <c r="C529">
        <v>5</v>
      </c>
      <c r="D529">
        <v>0.69148799999999999</v>
      </c>
      <c r="E529">
        <v>0.23358899999999999</v>
      </c>
      <c r="F529">
        <v>-1</v>
      </c>
      <c r="G529">
        <v>0.23358899999999999</v>
      </c>
      <c r="H529" s="42">
        <f t="shared" si="16"/>
        <v>0.23358899999999999</v>
      </c>
      <c r="I529" s="42">
        <f t="shared" si="17"/>
        <v>0</v>
      </c>
    </row>
    <row r="530" spans="1:9">
      <c r="A530" t="s">
        <v>144</v>
      </c>
      <c r="B530">
        <v>8</v>
      </c>
      <c r="C530">
        <v>6</v>
      </c>
      <c r="D530">
        <v>0.69148799999999999</v>
      </c>
      <c r="E530">
        <v>0.83910600000000002</v>
      </c>
      <c r="F530">
        <v>-1</v>
      </c>
      <c r="G530">
        <v>0.83910600000000002</v>
      </c>
      <c r="H530" s="42">
        <f t="shared" si="16"/>
        <v>0.83910600000000002</v>
      </c>
      <c r="I530" s="42">
        <f t="shared" si="17"/>
        <v>0</v>
      </c>
    </row>
    <row r="531" spans="1:9">
      <c r="A531" t="s">
        <v>144</v>
      </c>
      <c r="B531">
        <v>8</v>
      </c>
      <c r="C531">
        <v>7</v>
      </c>
      <c r="D531">
        <v>0.69148799999999999</v>
      </c>
      <c r="E531">
        <v>-0.618946</v>
      </c>
      <c r="F531">
        <v>-1</v>
      </c>
      <c r="G531">
        <v>-0.618946</v>
      </c>
      <c r="H531" s="42">
        <f t="shared" si="16"/>
        <v>-0.618946</v>
      </c>
      <c r="I531" s="42">
        <f t="shared" si="17"/>
        <v>0</v>
      </c>
    </row>
    <row r="532" spans="1:9">
      <c r="A532" t="s">
        <v>144</v>
      </c>
      <c r="B532">
        <v>8</v>
      </c>
      <c r="C532">
        <v>8</v>
      </c>
      <c r="D532">
        <v>0.69148799999999999</v>
      </c>
      <c r="E532">
        <v>-0.70912799999999998</v>
      </c>
      <c r="F532">
        <v>-1</v>
      </c>
      <c r="G532">
        <v>-0.70912799999999998</v>
      </c>
      <c r="H532" s="42">
        <f t="shared" si="16"/>
        <v>-0.70912799999999998</v>
      </c>
      <c r="I532" s="42">
        <f t="shared" si="17"/>
        <v>0</v>
      </c>
    </row>
    <row r="533" spans="1:9">
      <c r="A533" t="s">
        <v>144</v>
      </c>
      <c r="B533">
        <v>8</v>
      </c>
      <c r="C533">
        <v>9</v>
      </c>
      <c r="D533">
        <v>0.69148799999999999</v>
      </c>
      <c r="E533">
        <v>-4.4068999999999997E-2</v>
      </c>
      <c r="F533">
        <v>-1</v>
      </c>
      <c r="G533">
        <v>-4.4068999999999997E-2</v>
      </c>
      <c r="H533" s="42">
        <f t="shared" si="16"/>
        <v>-4.4068999999999997E-2</v>
      </c>
      <c r="I533" s="42">
        <f t="shared" si="17"/>
        <v>0</v>
      </c>
    </row>
    <row r="534" spans="1:9">
      <c r="A534" t="s">
        <v>144</v>
      </c>
      <c r="B534">
        <v>8</v>
      </c>
      <c r="C534">
        <v>10</v>
      </c>
      <c r="D534">
        <v>0.69148799999999999</v>
      </c>
      <c r="E534">
        <v>-0.67891500000000005</v>
      </c>
      <c r="F534">
        <v>-1</v>
      </c>
      <c r="G534">
        <v>-0.67891500000000005</v>
      </c>
      <c r="H534" s="42">
        <f t="shared" si="16"/>
        <v>-0.67891500000000005</v>
      </c>
      <c r="I534" s="42">
        <f t="shared" si="17"/>
        <v>0</v>
      </c>
    </row>
    <row r="535" spans="1:9">
      <c r="A535" t="s">
        <v>144</v>
      </c>
      <c r="B535">
        <v>8</v>
      </c>
      <c r="C535">
        <v>11</v>
      </c>
      <c r="D535">
        <v>0.69148799999999999</v>
      </c>
      <c r="E535">
        <v>-0.16583800000000001</v>
      </c>
      <c r="F535">
        <v>-1</v>
      </c>
      <c r="G535">
        <v>-0.16583800000000001</v>
      </c>
      <c r="H535" s="42">
        <f t="shared" si="16"/>
        <v>-0.16583800000000001</v>
      </c>
      <c r="I535" s="42">
        <f t="shared" si="17"/>
        <v>0</v>
      </c>
    </row>
    <row r="536" spans="1:9">
      <c r="A536" t="s">
        <v>144</v>
      </c>
      <c r="B536">
        <v>8</v>
      </c>
      <c r="C536">
        <v>12</v>
      </c>
      <c r="D536">
        <v>0.69148799999999999</v>
      </c>
      <c r="E536">
        <v>0.23114699999999999</v>
      </c>
      <c r="F536">
        <v>-1</v>
      </c>
      <c r="G536">
        <v>0.23114699999999999</v>
      </c>
      <c r="H536" s="42">
        <f t="shared" si="16"/>
        <v>0.23114699999999999</v>
      </c>
      <c r="I536" s="42">
        <f t="shared" si="17"/>
        <v>0</v>
      </c>
    </row>
    <row r="537" spans="1:9">
      <c r="A537" t="s">
        <v>144</v>
      </c>
      <c r="B537">
        <v>8</v>
      </c>
      <c r="C537">
        <v>13</v>
      </c>
      <c r="D537">
        <v>0.69148799999999999</v>
      </c>
      <c r="E537">
        <v>0.46992400000000001</v>
      </c>
      <c r="F537">
        <v>-1</v>
      </c>
      <c r="G537">
        <v>0.46992400000000001</v>
      </c>
      <c r="H537" s="42">
        <f t="shared" si="16"/>
        <v>0.46992400000000001</v>
      </c>
      <c r="I537" s="42">
        <f t="shared" si="17"/>
        <v>0</v>
      </c>
    </row>
    <row r="538" spans="1:9">
      <c r="A538" t="s">
        <v>144</v>
      </c>
      <c r="B538">
        <v>8</v>
      </c>
      <c r="C538">
        <v>14</v>
      </c>
      <c r="D538">
        <v>0.69148799999999999</v>
      </c>
      <c r="E538">
        <v>-1.1443999999999999E-2</v>
      </c>
      <c r="F538">
        <v>-1</v>
      </c>
      <c r="G538">
        <v>-1.1443999999999999E-2</v>
      </c>
      <c r="H538" s="42">
        <f t="shared" si="16"/>
        <v>-1.1443999999999999E-2</v>
      </c>
      <c r="I538" s="42">
        <f t="shared" si="17"/>
        <v>0</v>
      </c>
    </row>
    <row r="539" spans="1:9">
      <c r="A539" t="s">
        <v>144</v>
      </c>
      <c r="B539">
        <v>8</v>
      </c>
      <c r="C539">
        <v>15</v>
      </c>
      <c r="D539">
        <v>0.69148799999999999</v>
      </c>
      <c r="E539">
        <v>-0.23630499999999999</v>
      </c>
      <c r="F539">
        <v>-1</v>
      </c>
      <c r="G539">
        <v>-0.23630499999999999</v>
      </c>
      <c r="H539" s="42">
        <f t="shared" si="16"/>
        <v>-0.23630499999999999</v>
      </c>
      <c r="I539" s="42">
        <f t="shared" si="17"/>
        <v>0</v>
      </c>
    </row>
    <row r="540" spans="1:9">
      <c r="A540" t="s">
        <v>144</v>
      </c>
      <c r="B540">
        <v>8</v>
      </c>
      <c r="C540">
        <v>16</v>
      </c>
      <c r="D540">
        <v>0.69148799999999999</v>
      </c>
      <c r="E540">
        <v>-0.76735699999999996</v>
      </c>
      <c r="F540">
        <v>-1</v>
      </c>
      <c r="G540">
        <v>-0.76735699999999996</v>
      </c>
      <c r="H540" s="42">
        <f t="shared" si="16"/>
        <v>-0.76735699999999996</v>
      </c>
      <c r="I540" s="42">
        <f t="shared" si="17"/>
        <v>0</v>
      </c>
    </row>
    <row r="541" spans="1:9">
      <c r="A541" t="s">
        <v>144</v>
      </c>
      <c r="B541">
        <v>8</v>
      </c>
      <c r="C541">
        <v>17</v>
      </c>
      <c r="D541">
        <v>0.69148799999999999</v>
      </c>
      <c r="E541">
        <v>0.24112700000000001</v>
      </c>
      <c r="F541">
        <v>-1</v>
      </c>
      <c r="G541">
        <v>0.24112700000000001</v>
      </c>
      <c r="H541" s="42">
        <f t="shared" si="16"/>
        <v>0.24112700000000001</v>
      </c>
      <c r="I541" s="42">
        <f t="shared" si="17"/>
        <v>0</v>
      </c>
    </row>
    <row r="542" spans="1:9">
      <c r="A542" t="s">
        <v>144</v>
      </c>
      <c r="B542">
        <v>8</v>
      </c>
      <c r="C542">
        <v>18</v>
      </c>
      <c r="D542">
        <v>0.69148799999999999</v>
      </c>
      <c r="E542">
        <v>0.91451800000000005</v>
      </c>
      <c r="F542">
        <v>-1</v>
      </c>
      <c r="G542">
        <v>0.91451800000000005</v>
      </c>
      <c r="H542" s="42">
        <f t="shared" si="16"/>
        <v>0.91451800000000005</v>
      </c>
      <c r="I542" s="42">
        <f t="shared" si="17"/>
        <v>0</v>
      </c>
    </row>
    <row r="543" spans="1:9">
      <c r="A543" t="s">
        <v>144</v>
      </c>
      <c r="B543">
        <v>8</v>
      </c>
      <c r="C543">
        <v>19</v>
      </c>
      <c r="D543">
        <v>0.69148799999999999</v>
      </c>
      <c r="E543">
        <v>0.100925</v>
      </c>
      <c r="F543">
        <v>-1</v>
      </c>
      <c r="G543">
        <v>0.100925</v>
      </c>
      <c r="H543" s="42">
        <f t="shared" si="16"/>
        <v>0.100925</v>
      </c>
      <c r="I543" s="42">
        <f t="shared" si="17"/>
        <v>0</v>
      </c>
    </row>
    <row r="544" spans="1:9">
      <c r="A544" t="s">
        <v>144</v>
      </c>
      <c r="B544">
        <v>8</v>
      </c>
      <c r="C544">
        <v>20</v>
      </c>
      <c r="D544">
        <v>0.69148799999999999</v>
      </c>
      <c r="E544">
        <v>-0.88583000000000001</v>
      </c>
      <c r="F544">
        <v>-1</v>
      </c>
      <c r="G544">
        <v>-0.88583000000000001</v>
      </c>
      <c r="H544" s="42">
        <f t="shared" si="16"/>
        <v>-0.88583000000000001</v>
      </c>
      <c r="I544" s="42">
        <f t="shared" si="17"/>
        <v>0</v>
      </c>
    </row>
    <row r="545" spans="1:9">
      <c r="A545" t="s">
        <v>144</v>
      </c>
      <c r="B545">
        <v>8</v>
      </c>
      <c r="C545">
        <v>21</v>
      </c>
      <c r="D545">
        <v>0.69148799999999999</v>
      </c>
      <c r="E545">
        <v>-0.66597499999999998</v>
      </c>
      <c r="F545">
        <v>-1</v>
      </c>
      <c r="G545">
        <v>-0.66597499999999998</v>
      </c>
      <c r="H545" s="42">
        <f t="shared" si="16"/>
        <v>-0.66597499999999998</v>
      </c>
      <c r="I545" s="42">
        <f t="shared" si="17"/>
        <v>0</v>
      </c>
    </row>
    <row r="546" spans="1:9">
      <c r="A546" t="s">
        <v>144</v>
      </c>
      <c r="B546">
        <v>8</v>
      </c>
      <c r="C546">
        <v>22</v>
      </c>
      <c r="D546">
        <v>0.69148799999999999</v>
      </c>
      <c r="E546">
        <v>0.92016399999999998</v>
      </c>
      <c r="F546">
        <v>-1</v>
      </c>
      <c r="G546">
        <v>0.92016399999999998</v>
      </c>
      <c r="H546" s="42">
        <f t="shared" si="16"/>
        <v>0.92016399999999998</v>
      </c>
      <c r="I546" s="42">
        <f t="shared" si="17"/>
        <v>0</v>
      </c>
    </row>
    <row r="547" spans="1:9">
      <c r="A547" t="s">
        <v>144</v>
      </c>
      <c r="B547">
        <v>8</v>
      </c>
      <c r="C547">
        <v>23</v>
      </c>
      <c r="D547">
        <v>0.69148799999999999</v>
      </c>
      <c r="E547">
        <v>0.36832799999999999</v>
      </c>
      <c r="F547">
        <v>-1</v>
      </c>
      <c r="G547">
        <v>0.36832799999999999</v>
      </c>
      <c r="H547" s="42">
        <f t="shared" si="16"/>
        <v>0.36832799999999999</v>
      </c>
      <c r="I547" s="42">
        <f t="shared" si="17"/>
        <v>0</v>
      </c>
    </row>
    <row r="548" spans="1:9">
      <c r="A548" t="s">
        <v>144</v>
      </c>
      <c r="B548">
        <v>8</v>
      </c>
      <c r="C548">
        <v>24</v>
      </c>
      <c r="D548">
        <v>0.69148799999999999</v>
      </c>
      <c r="E548">
        <v>-0.44673000000000002</v>
      </c>
      <c r="F548">
        <v>-1</v>
      </c>
      <c r="G548">
        <v>-0.44673000000000002</v>
      </c>
      <c r="H548" s="42">
        <f t="shared" si="16"/>
        <v>-0.44673000000000002</v>
      </c>
      <c r="I548" s="42">
        <f t="shared" si="17"/>
        <v>0</v>
      </c>
    </row>
    <row r="549" spans="1:9">
      <c r="A549" t="s">
        <v>144</v>
      </c>
      <c r="B549">
        <v>8</v>
      </c>
      <c r="C549">
        <v>25</v>
      </c>
      <c r="D549">
        <v>0.69148799999999999</v>
      </c>
      <c r="E549">
        <v>-0.93172999999999995</v>
      </c>
      <c r="F549">
        <v>-1</v>
      </c>
      <c r="G549">
        <v>-0.93172999999999995</v>
      </c>
      <c r="H549" s="42">
        <f t="shared" si="16"/>
        <v>-0.93172999999999995</v>
      </c>
      <c r="I549" s="42">
        <f t="shared" si="17"/>
        <v>0</v>
      </c>
    </row>
    <row r="550" spans="1:9">
      <c r="A550" t="s">
        <v>144</v>
      </c>
      <c r="B550">
        <v>8</v>
      </c>
      <c r="C550">
        <v>26</v>
      </c>
      <c r="D550">
        <v>0.69148799999999999</v>
      </c>
      <c r="E550">
        <v>0.72160999999999997</v>
      </c>
      <c r="F550">
        <v>-1</v>
      </c>
      <c r="G550">
        <v>0.72160999999999997</v>
      </c>
      <c r="H550" s="42">
        <f t="shared" si="16"/>
        <v>0.72160999999999997</v>
      </c>
      <c r="I550" s="42">
        <f t="shared" si="17"/>
        <v>0</v>
      </c>
    </row>
    <row r="551" spans="1:9">
      <c r="A551" t="s">
        <v>144</v>
      </c>
      <c r="B551">
        <v>8</v>
      </c>
      <c r="C551">
        <v>27</v>
      </c>
      <c r="D551">
        <v>0.69148799999999999</v>
      </c>
      <c r="E551">
        <v>0.34839900000000001</v>
      </c>
      <c r="F551">
        <v>-1</v>
      </c>
      <c r="G551">
        <v>0.34839900000000001</v>
      </c>
      <c r="H551" s="42">
        <f t="shared" si="16"/>
        <v>0.34839900000000001</v>
      </c>
      <c r="I551" s="42">
        <f t="shared" si="17"/>
        <v>0</v>
      </c>
    </row>
    <row r="552" spans="1:9">
      <c r="A552" t="s">
        <v>144</v>
      </c>
      <c r="B552">
        <v>8</v>
      </c>
      <c r="C552">
        <v>28</v>
      </c>
      <c r="D552">
        <v>0.69148799999999999</v>
      </c>
      <c r="E552">
        <v>0.87200500000000003</v>
      </c>
      <c r="F552">
        <v>-1</v>
      </c>
      <c r="G552">
        <v>0.87200500000000003</v>
      </c>
      <c r="H552" s="42">
        <f t="shared" si="16"/>
        <v>0.87200500000000003</v>
      </c>
      <c r="I552" s="42">
        <f t="shared" si="17"/>
        <v>0</v>
      </c>
    </row>
    <row r="553" spans="1:9">
      <c r="A553" t="s">
        <v>144</v>
      </c>
      <c r="B553">
        <v>8</v>
      </c>
      <c r="C553">
        <v>29</v>
      </c>
      <c r="D553">
        <v>0.69148799999999999</v>
      </c>
      <c r="E553">
        <v>0.53041199999999999</v>
      </c>
      <c r="F553">
        <v>-1</v>
      </c>
      <c r="G553">
        <v>0.53041199999999999</v>
      </c>
      <c r="H553" s="42">
        <f t="shared" si="16"/>
        <v>0.53041199999999999</v>
      </c>
      <c r="I553" s="42">
        <f t="shared" si="17"/>
        <v>0</v>
      </c>
    </row>
    <row r="554" spans="1:9">
      <c r="A554" t="s">
        <v>144</v>
      </c>
      <c r="B554">
        <v>8</v>
      </c>
      <c r="C554">
        <v>30</v>
      </c>
      <c r="D554">
        <v>0.69148799999999999</v>
      </c>
      <c r="E554">
        <v>-5.463E-3</v>
      </c>
      <c r="F554">
        <v>-1</v>
      </c>
      <c r="G554">
        <v>-5.463E-3</v>
      </c>
      <c r="H554" s="42">
        <f t="shared" si="16"/>
        <v>-5.463E-3</v>
      </c>
      <c r="I554" s="42">
        <f t="shared" si="17"/>
        <v>0</v>
      </c>
    </row>
    <row r="555" spans="1:9">
      <c r="A555" t="s">
        <v>144</v>
      </c>
      <c r="B555">
        <v>8</v>
      </c>
      <c r="C555">
        <v>31</v>
      </c>
      <c r="D555">
        <v>0.69148799999999999</v>
      </c>
      <c r="E555">
        <v>0.540574</v>
      </c>
      <c r="F555">
        <v>-1</v>
      </c>
      <c r="G555">
        <v>0.540574</v>
      </c>
      <c r="H555" s="42">
        <f t="shared" si="16"/>
        <v>0.540574</v>
      </c>
      <c r="I555" s="42">
        <f t="shared" si="17"/>
        <v>0</v>
      </c>
    </row>
    <row r="556" spans="1:9">
      <c r="A556" t="s">
        <v>144</v>
      </c>
      <c r="B556">
        <v>8</v>
      </c>
      <c r="C556">
        <v>32</v>
      </c>
      <c r="D556">
        <v>0.69148799999999999</v>
      </c>
      <c r="E556">
        <v>-0.539628</v>
      </c>
      <c r="F556">
        <v>-1</v>
      </c>
      <c r="G556">
        <v>-0.539628</v>
      </c>
      <c r="H556" s="42">
        <f t="shared" si="16"/>
        <v>-0.539628</v>
      </c>
      <c r="I556" s="42">
        <f t="shared" si="17"/>
        <v>0</v>
      </c>
    </row>
    <row r="557" spans="1:9">
      <c r="A557" t="s">
        <v>144</v>
      </c>
      <c r="B557">
        <v>8</v>
      </c>
      <c r="C557">
        <v>33</v>
      </c>
      <c r="D557">
        <v>0.69148799999999999</v>
      </c>
      <c r="E557">
        <v>0.809809</v>
      </c>
      <c r="F557">
        <v>-1</v>
      </c>
      <c r="G557">
        <v>0.809809</v>
      </c>
      <c r="H557" s="42">
        <f t="shared" si="16"/>
        <v>0.809809</v>
      </c>
      <c r="I557" s="42">
        <f t="shared" si="17"/>
        <v>0</v>
      </c>
    </row>
    <row r="558" spans="1:9">
      <c r="A558" t="s">
        <v>144</v>
      </c>
      <c r="B558">
        <v>8</v>
      </c>
      <c r="C558">
        <v>34</v>
      </c>
      <c r="D558">
        <v>0.69148799999999999</v>
      </c>
      <c r="E558">
        <v>-0.40867300000000001</v>
      </c>
      <c r="F558">
        <v>-1</v>
      </c>
      <c r="G558">
        <v>-0.40867300000000001</v>
      </c>
      <c r="H558" s="42">
        <f t="shared" si="16"/>
        <v>-0.40867300000000001</v>
      </c>
      <c r="I558" s="42">
        <f t="shared" si="17"/>
        <v>0</v>
      </c>
    </row>
    <row r="559" spans="1:9">
      <c r="A559" t="s">
        <v>144</v>
      </c>
      <c r="B559">
        <v>8</v>
      </c>
      <c r="C559">
        <v>35</v>
      </c>
      <c r="D559">
        <v>0.69148799999999999</v>
      </c>
      <c r="E559">
        <v>-0.2472</v>
      </c>
      <c r="F559">
        <v>-1</v>
      </c>
      <c r="G559">
        <v>-0.2472</v>
      </c>
      <c r="H559" s="42">
        <f t="shared" si="16"/>
        <v>-0.2472</v>
      </c>
      <c r="I559" s="42">
        <f t="shared" si="17"/>
        <v>0</v>
      </c>
    </row>
    <row r="560" spans="1:9">
      <c r="A560" t="s">
        <v>144</v>
      </c>
      <c r="B560">
        <v>8</v>
      </c>
      <c r="C560">
        <v>36</v>
      </c>
      <c r="D560">
        <v>0.69148799999999999</v>
      </c>
      <c r="E560">
        <v>-0.30338500000000002</v>
      </c>
      <c r="F560">
        <v>-1</v>
      </c>
      <c r="G560">
        <v>-0.30338500000000002</v>
      </c>
      <c r="H560" s="42">
        <f t="shared" si="16"/>
        <v>-0.30338500000000002</v>
      </c>
      <c r="I560" s="42">
        <f t="shared" si="17"/>
        <v>0</v>
      </c>
    </row>
    <row r="561" spans="1:9">
      <c r="A561" t="s">
        <v>144</v>
      </c>
      <c r="B561">
        <v>8</v>
      </c>
      <c r="C561">
        <v>37</v>
      </c>
      <c r="D561">
        <v>0.69148799999999999</v>
      </c>
      <c r="E561">
        <v>0.64888500000000005</v>
      </c>
      <c r="F561">
        <v>-1</v>
      </c>
      <c r="G561">
        <v>0.64888500000000005</v>
      </c>
      <c r="H561" s="42">
        <f t="shared" si="16"/>
        <v>0.64888500000000005</v>
      </c>
      <c r="I561" s="42">
        <f t="shared" si="17"/>
        <v>0</v>
      </c>
    </row>
    <row r="562" spans="1:9">
      <c r="A562" t="s">
        <v>144</v>
      </c>
      <c r="B562">
        <v>8</v>
      </c>
      <c r="C562">
        <v>38</v>
      </c>
      <c r="D562">
        <v>0.69148799999999999</v>
      </c>
      <c r="E562">
        <v>0.60042099999999998</v>
      </c>
      <c r="F562">
        <v>-1</v>
      </c>
      <c r="G562">
        <v>0.60042099999999998</v>
      </c>
      <c r="H562" s="42">
        <f t="shared" si="16"/>
        <v>0.60042099999999998</v>
      </c>
      <c r="I562" s="42">
        <f t="shared" si="17"/>
        <v>0</v>
      </c>
    </row>
    <row r="563" spans="1:9">
      <c r="A563" t="s">
        <v>144</v>
      </c>
      <c r="B563">
        <v>8</v>
      </c>
      <c r="C563">
        <v>39</v>
      </c>
      <c r="D563">
        <v>0.69148799999999999</v>
      </c>
      <c r="E563">
        <v>-0.311747</v>
      </c>
      <c r="F563">
        <v>-1</v>
      </c>
      <c r="G563">
        <v>-0.311747</v>
      </c>
      <c r="H563" s="42">
        <f t="shared" si="16"/>
        <v>-0.311747</v>
      </c>
      <c r="I563" s="42">
        <f t="shared" si="17"/>
        <v>0</v>
      </c>
    </row>
    <row r="564" spans="1:9">
      <c r="A564" t="s">
        <v>144</v>
      </c>
      <c r="B564">
        <v>8</v>
      </c>
      <c r="C564">
        <v>40</v>
      </c>
      <c r="D564">
        <v>0.69148799999999999</v>
      </c>
      <c r="E564">
        <v>-0.13727200000000001</v>
      </c>
      <c r="F564">
        <v>-1</v>
      </c>
      <c r="G564">
        <v>-0.13727200000000001</v>
      </c>
      <c r="H564" s="42">
        <f t="shared" si="16"/>
        <v>-0.13727200000000001</v>
      </c>
      <c r="I564" s="42">
        <f t="shared" si="17"/>
        <v>0</v>
      </c>
    </row>
    <row r="565" spans="1:9">
      <c r="A565" t="s">
        <v>144</v>
      </c>
      <c r="B565">
        <v>8</v>
      </c>
      <c r="C565">
        <v>41</v>
      </c>
      <c r="D565">
        <v>0.69148799999999999</v>
      </c>
      <c r="E565">
        <v>-0.25882699999999997</v>
      </c>
      <c r="F565">
        <v>-1</v>
      </c>
      <c r="G565">
        <v>-0.25882699999999997</v>
      </c>
      <c r="H565" s="42">
        <f t="shared" si="16"/>
        <v>-0.25882699999999997</v>
      </c>
      <c r="I565" s="42">
        <f t="shared" si="17"/>
        <v>0</v>
      </c>
    </row>
    <row r="566" spans="1:9">
      <c r="A566" t="s">
        <v>144</v>
      </c>
      <c r="B566">
        <v>8</v>
      </c>
      <c r="C566">
        <v>42</v>
      </c>
      <c r="D566">
        <v>0.69148799999999999</v>
      </c>
      <c r="E566">
        <v>0.48933399999999999</v>
      </c>
      <c r="F566">
        <v>-1</v>
      </c>
      <c r="G566">
        <v>0.48933399999999999</v>
      </c>
      <c r="H566" s="42">
        <f t="shared" si="16"/>
        <v>0.48933399999999999</v>
      </c>
      <c r="I566" s="42">
        <f t="shared" si="17"/>
        <v>0</v>
      </c>
    </row>
    <row r="567" spans="1:9">
      <c r="A567" t="s">
        <v>144</v>
      </c>
      <c r="B567">
        <v>8</v>
      </c>
      <c r="C567">
        <v>43</v>
      </c>
      <c r="D567">
        <v>0.69148799999999999</v>
      </c>
      <c r="E567">
        <v>-0.98208600000000001</v>
      </c>
      <c r="F567">
        <v>-1</v>
      </c>
      <c r="G567">
        <v>-0.98208600000000001</v>
      </c>
      <c r="H567" s="42">
        <f t="shared" si="16"/>
        <v>-0.98208600000000001</v>
      </c>
      <c r="I567" s="42">
        <f t="shared" si="17"/>
        <v>0</v>
      </c>
    </row>
    <row r="568" spans="1:9">
      <c r="A568" t="s">
        <v>144</v>
      </c>
      <c r="B568">
        <v>8</v>
      </c>
      <c r="C568">
        <v>44</v>
      </c>
      <c r="D568">
        <v>0.69148799999999999</v>
      </c>
      <c r="E568">
        <v>0.905026</v>
      </c>
      <c r="F568">
        <v>-1</v>
      </c>
      <c r="G568">
        <v>0.905026</v>
      </c>
      <c r="H568" s="42">
        <f t="shared" si="16"/>
        <v>0.905026</v>
      </c>
      <c r="I568" s="42">
        <f t="shared" si="17"/>
        <v>0</v>
      </c>
    </row>
    <row r="569" spans="1:9">
      <c r="A569" t="s">
        <v>144</v>
      </c>
      <c r="B569">
        <v>8</v>
      </c>
      <c r="C569">
        <v>45</v>
      </c>
      <c r="D569">
        <v>0.69148799999999999</v>
      </c>
      <c r="E569">
        <v>0.10886</v>
      </c>
      <c r="F569">
        <v>-1</v>
      </c>
      <c r="G569">
        <v>0.10886</v>
      </c>
      <c r="H569" s="42">
        <f t="shared" si="16"/>
        <v>0.10886</v>
      </c>
      <c r="I569" s="42">
        <f t="shared" si="17"/>
        <v>0</v>
      </c>
    </row>
    <row r="570" spans="1:9">
      <c r="A570" t="s">
        <v>144</v>
      </c>
      <c r="B570">
        <v>8</v>
      </c>
      <c r="C570">
        <v>46</v>
      </c>
      <c r="D570">
        <v>0.69148799999999999</v>
      </c>
      <c r="E570">
        <v>0.55543699999999996</v>
      </c>
      <c r="F570">
        <v>-0.31800299999999998</v>
      </c>
      <c r="G570">
        <v>0.28597099999999998</v>
      </c>
      <c r="H570" s="42">
        <f t="shared" si="16"/>
        <v>0.28597027871999997</v>
      </c>
      <c r="I570" s="42">
        <f t="shared" si="17"/>
        <v>-7.2128000000448722E-7</v>
      </c>
    </row>
    <row r="571" spans="1:9">
      <c r="A571" t="s">
        <v>144</v>
      </c>
      <c r="B571">
        <v>8</v>
      </c>
      <c r="C571">
        <v>47</v>
      </c>
      <c r="D571">
        <v>0.69148799999999999</v>
      </c>
      <c r="E571">
        <v>-0.89880099999999996</v>
      </c>
      <c r="F571">
        <v>0.34055600000000003</v>
      </c>
      <c r="G571">
        <v>-0.51644500000000004</v>
      </c>
      <c r="H571" s="42">
        <f t="shared" si="16"/>
        <v>-0.51644449321599994</v>
      </c>
      <c r="I571" s="42">
        <f t="shared" si="17"/>
        <v>5.0678400009829261E-7</v>
      </c>
    </row>
    <row r="572" spans="1:9">
      <c r="A572" t="s">
        <v>144</v>
      </c>
      <c r="B572">
        <v>8</v>
      </c>
      <c r="C572">
        <v>48</v>
      </c>
      <c r="D572">
        <v>0.69148799999999999</v>
      </c>
      <c r="E572">
        <v>0.25467699999999999</v>
      </c>
      <c r="F572">
        <v>-0.40620099999999998</v>
      </c>
      <c r="G572">
        <v>5.0788E-2</v>
      </c>
      <c r="H572" s="42">
        <f t="shared" si="16"/>
        <v>5.0788206464000007E-2</v>
      </c>
      <c r="I572" s="42">
        <f t="shared" si="17"/>
        <v>2.0646400000767784E-7</v>
      </c>
    </row>
    <row r="573" spans="1:9">
      <c r="A573" t="s">
        <v>144</v>
      </c>
      <c r="B573">
        <v>8</v>
      </c>
      <c r="C573">
        <v>49</v>
      </c>
      <c r="D573">
        <v>0.69148799999999999</v>
      </c>
      <c r="E573">
        <v>0.97677499999999995</v>
      </c>
      <c r="F573">
        <v>0.63936300000000001</v>
      </c>
      <c r="G573">
        <v>0.87268000000000001</v>
      </c>
      <c r="H573" s="42">
        <f t="shared" si="16"/>
        <v>0.87267934905599998</v>
      </c>
      <c r="I573" s="42">
        <f t="shared" si="17"/>
        <v>-6.5094400003573583E-7</v>
      </c>
    </row>
    <row r="574" spans="1:9">
      <c r="A574" t="s">
        <v>144</v>
      </c>
      <c r="B574" t="s">
        <v>145</v>
      </c>
      <c r="C574">
        <v>9</v>
      </c>
    </row>
    <row r="575" spans="1:9">
      <c r="A575" t="s">
        <v>144</v>
      </c>
      <c r="B575" t="s">
        <v>146</v>
      </c>
      <c r="C575">
        <v>55</v>
      </c>
    </row>
    <row r="576" spans="1:9">
      <c r="A576" t="s">
        <v>144</v>
      </c>
      <c r="B576" t="s">
        <v>147</v>
      </c>
      <c r="C576">
        <v>55</v>
      </c>
    </row>
    <row r="577" spans="1:7">
      <c r="A577" t="s">
        <v>144</v>
      </c>
      <c r="B577" t="s">
        <v>148</v>
      </c>
      <c r="C577">
        <v>0.17896100000000001</v>
      </c>
    </row>
    <row r="578" spans="1:7">
      <c r="A578" t="s">
        <v>144</v>
      </c>
      <c r="B578" t="s">
        <v>149</v>
      </c>
      <c r="C578">
        <v>0.17896100000000001</v>
      </c>
    </row>
    <row r="579" spans="1:7">
      <c r="A579" t="s">
        <v>144</v>
      </c>
      <c r="B579" t="s">
        <v>150</v>
      </c>
      <c r="C579">
        <v>-1</v>
      </c>
    </row>
    <row r="580" spans="1:7">
      <c r="A580" t="s">
        <v>144</v>
      </c>
      <c r="B580" t="s">
        <v>151</v>
      </c>
      <c r="C580">
        <v>-1</v>
      </c>
    </row>
    <row r="581" spans="1:7">
      <c r="A581" t="s">
        <v>144</v>
      </c>
      <c r="B581" t="s">
        <v>152</v>
      </c>
      <c r="C581">
        <v>24</v>
      </c>
    </row>
    <row r="582" spans="1:7">
      <c r="A582" t="s">
        <v>144</v>
      </c>
      <c r="B582" t="s">
        <v>153</v>
      </c>
      <c r="C582">
        <v>24</v>
      </c>
    </row>
    <row r="583" spans="1:7">
      <c r="A583" t="s">
        <v>144</v>
      </c>
      <c r="B583" t="s">
        <v>154</v>
      </c>
      <c r="C583">
        <v>0</v>
      </c>
    </row>
    <row r="584" spans="1:7">
      <c r="A584" t="s">
        <v>144</v>
      </c>
      <c r="B584" t="s">
        <v>155</v>
      </c>
    </row>
    <row r="585" spans="1:7">
      <c r="A585" t="s">
        <v>144</v>
      </c>
      <c r="B585" t="s">
        <v>150</v>
      </c>
      <c r="C585">
        <v>0.87041800000000003</v>
      </c>
    </row>
    <row r="586" spans="1:7">
      <c r="A586" t="s">
        <v>144</v>
      </c>
      <c r="B586" t="s">
        <v>151</v>
      </c>
      <c r="C586">
        <v>0.87041800000000003</v>
      </c>
    </row>
    <row r="587" spans="1:7">
      <c r="A587" t="s">
        <v>144</v>
      </c>
      <c r="B587" t="s">
        <v>156</v>
      </c>
      <c r="C587" t="s">
        <v>157</v>
      </c>
      <c r="D587" t="s">
        <v>63</v>
      </c>
      <c r="E587" t="s">
        <v>158</v>
      </c>
      <c r="F587" t="s">
        <v>159</v>
      </c>
      <c r="G587" t="s">
        <v>160</v>
      </c>
    </row>
    <row r="588" spans="1:7">
      <c r="A588" t="s">
        <v>144</v>
      </c>
      <c r="B588">
        <v>9</v>
      </c>
      <c r="C588">
        <v>0</v>
      </c>
      <c r="D588">
        <v>0.87041800000000003</v>
      </c>
      <c r="E588">
        <v>0.426954</v>
      </c>
      <c r="F588">
        <v>-1</v>
      </c>
      <c r="G588">
        <v>0.426954</v>
      </c>
    </row>
    <row r="589" spans="1:7">
      <c r="A589" t="s">
        <v>144</v>
      </c>
      <c r="B589">
        <v>9</v>
      </c>
      <c r="C589">
        <v>1</v>
      </c>
      <c r="D589">
        <v>0.87041800000000003</v>
      </c>
      <c r="E589">
        <v>-0.66484600000000005</v>
      </c>
      <c r="F589">
        <v>-1</v>
      </c>
      <c r="G589">
        <v>-0.66484600000000005</v>
      </c>
    </row>
    <row r="590" spans="1:7">
      <c r="A590" t="s">
        <v>144</v>
      </c>
      <c r="B590">
        <v>9</v>
      </c>
      <c r="C590">
        <v>2</v>
      </c>
      <c r="D590">
        <v>0.87041800000000003</v>
      </c>
      <c r="E590">
        <v>-0.77123299999999995</v>
      </c>
      <c r="F590">
        <v>-1</v>
      </c>
      <c r="G590">
        <v>-0.77123299999999995</v>
      </c>
    </row>
    <row r="591" spans="1:7">
      <c r="A591" t="s">
        <v>144</v>
      </c>
      <c r="B591">
        <v>9</v>
      </c>
      <c r="C591">
        <v>3</v>
      </c>
      <c r="D591">
        <v>0.87041800000000003</v>
      </c>
      <c r="E591">
        <v>0.10650999999999999</v>
      </c>
      <c r="F591">
        <v>-1</v>
      </c>
      <c r="G591">
        <v>0.10650999999999999</v>
      </c>
    </row>
    <row r="592" spans="1:7">
      <c r="A592" t="s">
        <v>144</v>
      </c>
      <c r="B592">
        <v>9</v>
      </c>
      <c r="C592">
        <v>4</v>
      </c>
      <c r="D592">
        <v>0.87041800000000003</v>
      </c>
      <c r="E592">
        <v>-0.74987000000000004</v>
      </c>
      <c r="F592">
        <v>-1</v>
      </c>
      <c r="G592">
        <v>-0.74987000000000004</v>
      </c>
    </row>
    <row r="593" spans="1:7">
      <c r="A593" t="s">
        <v>144</v>
      </c>
      <c r="B593">
        <v>9</v>
      </c>
      <c r="C593">
        <v>5</v>
      </c>
      <c r="D593">
        <v>0.87041800000000003</v>
      </c>
      <c r="E593">
        <v>-0.174535</v>
      </c>
      <c r="F593">
        <v>-1</v>
      </c>
      <c r="G593">
        <v>-0.174535</v>
      </c>
    </row>
    <row r="594" spans="1:7">
      <c r="A594" t="s">
        <v>144</v>
      </c>
      <c r="B594">
        <v>9</v>
      </c>
      <c r="C594">
        <v>6</v>
      </c>
      <c r="D594">
        <v>0.87041800000000003</v>
      </c>
      <c r="E594">
        <v>0.74221000000000004</v>
      </c>
      <c r="F594">
        <v>-1</v>
      </c>
      <c r="G594">
        <v>0.74221000000000004</v>
      </c>
    </row>
    <row r="595" spans="1:7">
      <c r="A595" t="s">
        <v>144</v>
      </c>
      <c r="B595">
        <v>9</v>
      </c>
      <c r="C595">
        <v>7</v>
      </c>
      <c r="D595">
        <v>0.87041800000000003</v>
      </c>
      <c r="E595">
        <v>-0.87731599999999998</v>
      </c>
      <c r="F595">
        <v>-1</v>
      </c>
      <c r="G595">
        <v>-0.87731599999999998</v>
      </c>
    </row>
    <row r="596" spans="1:7">
      <c r="A596" t="s">
        <v>144</v>
      </c>
      <c r="B596">
        <v>9</v>
      </c>
      <c r="C596">
        <v>8</v>
      </c>
      <c r="D596">
        <v>0.87041800000000003</v>
      </c>
      <c r="E596">
        <v>-0.175817</v>
      </c>
      <c r="F596">
        <v>-1</v>
      </c>
      <c r="G596">
        <v>-0.175817</v>
      </c>
    </row>
    <row r="597" spans="1:7">
      <c r="A597" t="s">
        <v>144</v>
      </c>
      <c r="B597">
        <v>9</v>
      </c>
      <c r="C597">
        <v>9</v>
      </c>
      <c r="D597">
        <v>0.87041800000000003</v>
      </c>
      <c r="E597">
        <v>-0.235817</v>
      </c>
      <c r="F597">
        <v>-1</v>
      </c>
      <c r="G597">
        <v>-0.235817</v>
      </c>
    </row>
    <row r="598" spans="1:7">
      <c r="A598" t="s">
        <v>144</v>
      </c>
      <c r="B598">
        <v>9</v>
      </c>
      <c r="C598">
        <v>10</v>
      </c>
      <c r="D598">
        <v>0.87041800000000003</v>
      </c>
      <c r="E598">
        <v>-0.79574</v>
      </c>
      <c r="F598">
        <v>-1</v>
      </c>
      <c r="G598">
        <v>-0.79574</v>
      </c>
    </row>
    <row r="599" spans="1:7">
      <c r="A599" t="s">
        <v>144</v>
      </c>
      <c r="B599">
        <v>9</v>
      </c>
      <c r="C599">
        <v>11</v>
      </c>
      <c r="D599">
        <v>0.87041800000000003</v>
      </c>
      <c r="E599">
        <v>-0.95632799999999996</v>
      </c>
      <c r="F599">
        <v>-1</v>
      </c>
      <c r="G599">
        <v>-0.95632799999999996</v>
      </c>
    </row>
    <row r="600" spans="1:7">
      <c r="A600" t="s">
        <v>144</v>
      </c>
      <c r="B600">
        <v>9</v>
      </c>
      <c r="C600">
        <v>12</v>
      </c>
      <c r="D600">
        <v>0.87041800000000003</v>
      </c>
      <c r="E600">
        <v>-0.96676499999999999</v>
      </c>
      <c r="F600">
        <v>-1</v>
      </c>
      <c r="G600">
        <v>-0.96676499999999999</v>
      </c>
    </row>
    <row r="601" spans="1:7">
      <c r="A601" t="s">
        <v>144</v>
      </c>
      <c r="B601">
        <v>9</v>
      </c>
      <c r="C601">
        <v>13</v>
      </c>
      <c r="D601">
        <v>0.87041800000000003</v>
      </c>
      <c r="E601">
        <v>0.401532</v>
      </c>
      <c r="F601">
        <v>-1</v>
      </c>
      <c r="G601">
        <v>0.401532</v>
      </c>
    </row>
    <row r="602" spans="1:7">
      <c r="A602" t="s">
        <v>144</v>
      </c>
      <c r="B602">
        <v>9</v>
      </c>
      <c r="C602">
        <v>14</v>
      </c>
      <c r="D602">
        <v>0.87041800000000003</v>
      </c>
      <c r="E602">
        <v>0.66542599999999996</v>
      </c>
      <c r="F602">
        <v>-1</v>
      </c>
      <c r="G602">
        <v>0.66542599999999996</v>
      </c>
    </row>
    <row r="603" spans="1:7">
      <c r="A603" t="s">
        <v>144</v>
      </c>
      <c r="B603">
        <v>9</v>
      </c>
      <c r="C603">
        <v>15</v>
      </c>
      <c r="D603">
        <v>0.87041800000000003</v>
      </c>
      <c r="E603">
        <v>-0.76708299999999996</v>
      </c>
      <c r="F603">
        <v>-1</v>
      </c>
      <c r="G603">
        <v>-0.76708299999999996</v>
      </c>
    </row>
    <row r="604" spans="1:7">
      <c r="A604" t="s">
        <v>144</v>
      </c>
      <c r="B604">
        <v>9</v>
      </c>
      <c r="C604">
        <v>16</v>
      </c>
      <c r="D604">
        <v>0.87041800000000003</v>
      </c>
      <c r="E604">
        <v>-0.31736199999999998</v>
      </c>
      <c r="F604">
        <v>-1</v>
      </c>
      <c r="G604">
        <v>-0.31736199999999998</v>
      </c>
    </row>
    <row r="605" spans="1:7">
      <c r="A605" t="s">
        <v>144</v>
      </c>
      <c r="B605">
        <v>9</v>
      </c>
      <c r="C605">
        <v>17</v>
      </c>
      <c r="D605">
        <v>0.87041800000000003</v>
      </c>
      <c r="E605">
        <v>0.86919800000000003</v>
      </c>
      <c r="F605">
        <v>-1</v>
      </c>
      <c r="G605">
        <v>0.86919800000000003</v>
      </c>
    </row>
    <row r="606" spans="1:7">
      <c r="A606" t="s">
        <v>144</v>
      </c>
      <c r="B606">
        <v>9</v>
      </c>
      <c r="C606">
        <v>18</v>
      </c>
      <c r="D606">
        <v>0.87041800000000003</v>
      </c>
      <c r="E606">
        <v>0.136906</v>
      </c>
      <c r="F606">
        <v>-1</v>
      </c>
      <c r="G606">
        <v>0.136906</v>
      </c>
    </row>
    <row r="607" spans="1:7">
      <c r="A607" t="s">
        <v>144</v>
      </c>
      <c r="B607">
        <v>9</v>
      </c>
      <c r="C607">
        <v>19</v>
      </c>
      <c r="D607">
        <v>0.87041800000000003</v>
      </c>
      <c r="E607">
        <v>-0.45005600000000001</v>
      </c>
      <c r="F607">
        <v>-1</v>
      </c>
      <c r="G607">
        <v>-0.45005600000000001</v>
      </c>
    </row>
    <row r="608" spans="1:7">
      <c r="A608" t="s">
        <v>144</v>
      </c>
      <c r="B608">
        <v>9</v>
      </c>
      <c r="C608">
        <v>20</v>
      </c>
      <c r="D608">
        <v>0.87041800000000003</v>
      </c>
      <c r="E608">
        <v>0.124607</v>
      </c>
      <c r="F608">
        <v>-1</v>
      </c>
      <c r="G608">
        <v>0.124607</v>
      </c>
    </row>
    <row r="609" spans="1:7">
      <c r="A609" t="s">
        <v>144</v>
      </c>
      <c r="B609">
        <v>9</v>
      </c>
      <c r="C609">
        <v>21</v>
      </c>
      <c r="D609">
        <v>0.87041800000000003</v>
      </c>
      <c r="E609">
        <v>-0.40681200000000001</v>
      </c>
      <c r="F609">
        <v>-1</v>
      </c>
      <c r="G609">
        <v>-0.40681200000000001</v>
      </c>
    </row>
    <row r="610" spans="1:7">
      <c r="A610" t="s">
        <v>144</v>
      </c>
      <c r="B610">
        <v>9</v>
      </c>
      <c r="C610">
        <v>22</v>
      </c>
      <c r="D610">
        <v>0.87041800000000003</v>
      </c>
      <c r="E610">
        <v>0.37962000000000001</v>
      </c>
      <c r="F610">
        <v>-1</v>
      </c>
      <c r="G610">
        <v>0.37962000000000001</v>
      </c>
    </row>
    <row r="611" spans="1:7">
      <c r="A611" t="s">
        <v>144</v>
      </c>
      <c r="B611">
        <v>9</v>
      </c>
      <c r="C611">
        <v>23</v>
      </c>
      <c r="D611">
        <v>0.87041800000000003</v>
      </c>
      <c r="E611">
        <v>0.85091700000000003</v>
      </c>
      <c r="F611">
        <v>-1</v>
      </c>
      <c r="G611">
        <v>0.85091700000000003</v>
      </c>
    </row>
    <row r="612" spans="1:7">
      <c r="A612" t="s">
        <v>144</v>
      </c>
      <c r="B612">
        <v>9</v>
      </c>
      <c r="C612">
        <v>24</v>
      </c>
      <c r="D612">
        <v>0.87041800000000003</v>
      </c>
      <c r="E612">
        <v>0.88229000000000002</v>
      </c>
      <c r="F612">
        <v>0.943693</v>
      </c>
      <c r="G612">
        <v>0.89024700000000001</v>
      </c>
    </row>
    <row r="613" spans="1:7">
      <c r="A613" t="s">
        <v>144</v>
      </c>
      <c r="B613">
        <v>9</v>
      </c>
      <c r="C613">
        <v>25</v>
      </c>
      <c r="D613">
        <v>0.87041800000000003</v>
      </c>
      <c r="E613">
        <v>-0.40351599999999999</v>
      </c>
      <c r="F613">
        <v>0.68205800000000005</v>
      </c>
      <c r="G613">
        <v>-0.262845</v>
      </c>
    </row>
    <row r="614" spans="1:7">
      <c r="A614" t="s">
        <v>144</v>
      </c>
      <c r="B614">
        <v>9</v>
      </c>
      <c r="C614">
        <v>26</v>
      </c>
      <c r="D614">
        <v>0.87041800000000003</v>
      </c>
      <c r="E614">
        <v>-0.40403499999999998</v>
      </c>
      <c r="F614">
        <v>0.85753999999999997</v>
      </c>
      <c r="G614">
        <v>-0.24055799999999999</v>
      </c>
    </row>
    <row r="615" spans="1:7">
      <c r="A615" t="s">
        <v>144</v>
      </c>
      <c r="B615">
        <v>9</v>
      </c>
      <c r="C615">
        <v>27</v>
      </c>
      <c r="D615">
        <v>0.87041800000000003</v>
      </c>
      <c r="E615">
        <v>-0.63377799999999995</v>
      </c>
      <c r="F615">
        <v>0.96350000000000002</v>
      </c>
      <c r="G615">
        <v>-0.42680000000000001</v>
      </c>
    </row>
    <row r="616" spans="1:7">
      <c r="A616" t="s">
        <v>144</v>
      </c>
      <c r="B616">
        <v>9</v>
      </c>
      <c r="C616">
        <v>28</v>
      </c>
      <c r="D616">
        <v>0.87041800000000003</v>
      </c>
      <c r="E616">
        <v>0.70043</v>
      </c>
      <c r="F616">
        <v>0.440077</v>
      </c>
      <c r="G616">
        <v>0.66669299999999998</v>
      </c>
    </row>
    <row r="617" spans="1:7">
      <c r="A617" t="s">
        <v>144</v>
      </c>
      <c r="B617">
        <v>9</v>
      </c>
      <c r="C617">
        <v>29</v>
      </c>
      <c r="D617">
        <v>0.87041800000000003</v>
      </c>
      <c r="E617">
        <v>-4.5533999999999998E-2</v>
      </c>
      <c r="F617">
        <v>-0.50492899999999996</v>
      </c>
      <c r="G617">
        <v>-0.105063</v>
      </c>
    </row>
    <row r="618" spans="1:7">
      <c r="A618" t="s">
        <v>144</v>
      </c>
      <c r="B618">
        <v>9</v>
      </c>
      <c r="C618">
        <v>30</v>
      </c>
      <c r="D618">
        <v>0.87041800000000003</v>
      </c>
      <c r="E618">
        <v>-0.643513</v>
      </c>
      <c r="F618">
        <v>-0.66579200000000005</v>
      </c>
      <c r="G618">
        <v>-0.64639999999999997</v>
      </c>
    </row>
    <row r="619" spans="1:7">
      <c r="A619" t="s">
        <v>144</v>
      </c>
      <c r="B619">
        <v>9</v>
      </c>
      <c r="C619">
        <v>31</v>
      </c>
      <c r="D619">
        <v>0.87041800000000003</v>
      </c>
      <c r="E619">
        <v>-0.51957799999999998</v>
      </c>
      <c r="F619">
        <v>-0.68761300000000003</v>
      </c>
      <c r="G619">
        <v>-0.54135200000000006</v>
      </c>
    </row>
    <row r="620" spans="1:7">
      <c r="A620" t="s">
        <v>144</v>
      </c>
      <c r="B620">
        <v>9</v>
      </c>
      <c r="C620">
        <v>32</v>
      </c>
      <c r="D620">
        <v>0.87041800000000003</v>
      </c>
      <c r="E620">
        <v>-0.45002599999999998</v>
      </c>
      <c r="F620">
        <v>-0.45905899999999999</v>
      </c>
      <c r="G620">
        <v>-0.45119700000000001</v>
      </c>
    </row>
    <row r="621" spans="1:7">
      <c r="A621" t="s">
        <v>144</v>
      </c>
      <c r="B621">
        <v>9</v>
      </c>
      <c r="C621">
        <v>33</v>
      </c>
      <c r="D621">
        <v>0.87041800000000003</v>
      </c>
      <c r="E621">
        <v>0.61680999999999997</v>
      </c>
      <c r="F621">
        <v>-0.26892899999999997</v>
      </c>
      <c r="G621">
        <v>0.50203399999999998</v>
      </c>
    </row>
    <row r="622" spans="1:7">
      <c r="A622" t="s">
        <v>144</v>
      </c>
      <c r="B622">
        <v>9</v>
      </c>
      <c r="C622">
        <v>34</v>
      </c>
      <c r="D622">
        <v>0.87041800000000003</v>
      </c>
      <c r="E622">
        <v>0.66148899999999999</v>
      </c>
      <c r="F622">
        <v>0.58226299999999998</v>
      </c>
      <c r="G622">
        <v>0.65122199999999997</v>
      </c>
    </row>
    <row r="623" spans="1:7">
      <c r="A623" t="s">
        <v>144</v>
      </c>
      <c r="B623">
        <v>9</v>
      </c>
      <c r="C623">
        <v>35</v>
      </c>
      <c r="D623">
        <v>0.87041800000000003</v>
      </c>
      <c r="E623">
        <v>-0.64925100000000002</v>
      </c>
      <c r="F623">
        <v>-0.62703299999999995</v>
      </c>
      <c r="G623">
        <v>-0.64637199999999995</v>
      </c>
    </row>
    <row r="624" spans="1:7">
      <c r="A624" t="s">
        <v>144</v>
      </c>
      <c r="B624">
        <v>9</v>
      </c>
      <c r="C624">
        <v>36</v>
      </c>
      <c r="D624">
        <v>0.87041800000000003</v>
      </c>
      <c r="E624">
        <v>-3.2440999999999998E-2</v>
      </c>
      <c r="F624">
        <v>8.8625999999999996E-2</v>
      </c>
      <c r="G624">
        <v>-1.6753000000000001E-2</v>
      </c>
    </row>
    <row r="625" spans="1:7">
      <c r="A625" t="s">
        <v>144</v>
      </c>
      <c r="B625">
        <v>9</v>
      </c>
      <c r="C625">
        <v>37</v>
      </c>
      <c r="D625">
        <v>0.87041800000000003</v>
      </c>
      <c r="E625">
        <v>0.92483300000000002</v>
      </c>
      <c r="F625">
        <v>-8.5848999999999995E-2</v>
      </c>
      <c r="G625">
        <v>0.79386699999999999</v>
      </c>
    </row>
    <row r="626" spans="1:7">
      <c r="A626" t="s">
        <v>144</v>
      </c>
      <c r="B626">
        <v>9</v>
      </c>
      <c r="C626">
        <v>38</v>
      </c>
      <c r="D626">
        <v>0.87041800000000003</v>
      </c>
      <c r="E626">
        <v>0.98336699999999999</v>
      </c>
      <c r="F626">
        <v>0.49571199999999999</v>
      </c>
      <c r="G626">
        <v>0.92017599999999999</v>
      </c>
    </row>
    <row r="627" spans="1:7">
      <c r="A627" t="s">
        <v>144</v>
      </c>
      <c r="B627">
        <v>9</v>
      </c>
      <c r="C627">
        <v>39</v>
      </c>
      <c r="D627">
        <v>0.87041800000000003</v>
      </c>
      <c r="E627">
        <v>-7.2054000000000007E-2</v>
      </c>
      <c r="F627">
        <v>-0.72609599999999996</v>
      </c>
      <c r="G627">
        <v>-0.156806</v>
      </c>
    </row>
    <row r="628" spans="1:7">
      <c r="A628" t="s">
        <v>144</v>
      </c>
      <c r="B628">
        <v>9</v>
      </c>
      <c r="C628">
        <v>40</v>
      </c>
      <c r="D628">
        <v>0.87041800000000003</v>
      </c>
      <c r="E628">
        <v>0.773949</v>
      </c>
      <c r="F628">
        <v>-0.33573399999999998</v>
      </c>
      <c r="G628">
        <v>0.63015500000000002</v>
      </c>
    </row>
    <row r="629" spans="1:7">
      <c r="A629" t="s">
        <v>144</v>
      </c>
      <c r="B629">
        <v>9</v>
      </c>
      <c r="C629">
        <v>41</v>
      </c>
      <c r="D629">
        <v>0.87041800000000003</v>
      </c>
      <c r="E629">
        <v>-0.85143599999999997</v>
      </c>
      <c r="F629">
        <v>0.58906800000000004</v>
      </c>
      <c r="G629">
        <v>-0.66477299999999995</v>
      </c>
    </row>
    <row r="630" spans="1:7">
      <c r="A630" t="s">
        <v>144</v>
      </c>
      <c r="B630">
        <v>9</v>
      </c>
      <c r="C630">
        <v>42</v>
      </c>
      <c r="D630">
        <v>0.87041800000000003</v>
      </c>
      <c r="E630">
        <v>-5.3651999999999998E-2</v>
      </c>
      <c r="F630">
        <v>0.23935699999999999</v>
      </c>
      <c r="G630">
        <v>-1.5682999999999999E-2</v>
      </c>
    </row>
    <row r="631" spans="1:7">
      <c r="A631" t="s">
        <v>144</v>
      </c>
      <c r="B631">
        <v>9</v>
      </c>
      <c r="C631">
        <v>43</v>
      </c>
      <c r="D631">
        <v>0.87041800000000003</v>
      </c>
      <c r="E631">
        <v>-0.35892800000000002</v>
      </c>
      <c r="F631">
        <v>0.67925000000000002</v>
      </c>
      <c r="G631">
        <v>-0.22439899999999999</v>
      </c>
    </row>
    <row r="632" spans="1:7">
      <c r="A632" t="s">
        <v>144</v>
      </c>
      <c r="B632">
        <v>9</v>
      </c>
      <c r="C632">
        <v>44</v>
      </c>
      <c r="D632">
        <v>0.87041800000000003</v>
      </c>
      <c r="E632">
        <v>0.94531100000000001</v>
      </c>
      <c r="F632">
        <v>0.208533</v>
      </c>
      <c r="G632">
        <v>0.84983799999999998</v>
      </c>
    </row>
    <row r="633" spans="1:7">
      <c r="A633" t="s">
        <v>144</v>
      </c>
      <c r="B633">
        <v>9</v>
      </c>
      <c r="C633">
        <v>45</v>
      </c>
      <c r="D633">
        <v>0.87041800000000003</v>
      </c>
      <c r="E633">
        <v>2.8625999999999999E-2</v>
      </c>
      <c r="F633">
        <v>-0.67186500000000005</v>
      </c>
      <c r="G633">
        <v>-6.2143999999999998E-2</v>
      </c>
    </row>
    <row r="634" spans="1:7">
      <c r="A634" t="s">
        <v>144</v>
      </c>
      <c r="B634">
        <v>9</v>
      </c>
      <c r="C634">
        <v>46</v>
      </c>
      <c r="D634">
        <v>0.87041800000000003</v>
      </c>
      <c r="E634">
        <v>-0.31800299999999998</v>
      </c>
      <c r="F634">
        <v>-0.235481</v>
      </c>
      <c r="G634">
        <v>-0.30731000000000003</v>
      </c>
    </row>
    <row r="635" spans="1:7">
      <c r="A635" t="s">
        <v>144</v>
      </c>
      <c r="B635">
        <v>9</v>
      </c>
      <c r="C635">
        <v>47</v>
      </c>
      <c r="D635">
        <v>0.87041800000000003</v>
      </c>
      <c r="E635">
        <v>0.34055600000000003</v>
      </c>
      <c r="F635">
        <v>-0.73189499999999996</v>
      </c>
      <c r="G635">
        <v>0.20158599999999999</v>
      </c>
    </row>
    <row r="636" spans="1:7">
      <c r="A636" t="s">
        <v>144</v>
      </c>
      <c r="B636">
        <v>9</v>
      </c>
      <c r="C636">
        <v>48</v>
      </c>
      <c r="D636">
        <v>0.87041800000000003</v>
      </c>
      <c r="E636">
        <v>-0.40620099999999998</v>
      </c>
      <c r="F636">
        <v>-0.92327599999999999</v>
      </c>
      <c r="G636">
        <v>-0.47320499999999999</v>
      </c>
    </row>
    <row r="637" spans="1:7">
      <c r="A637" t="s">
        <v>144</v>
      </c>
      <c r="B637">
        <v>9</v>
      </c>
      <c r="C637">
        <v>49</v>
      </c>
      <c r="D637">
        <v>0.87041800000000003</v>
      </c>
      <c r="E637">
        <v>0.63936300000000001</v>
      </c>
      <c r="F637">
        <v>0.35065800000000003</v>
      </c>
      <c r="G637">
        <v>0.60195200000000004</v>
      </c>
    </row>
    <row r="638" spans="1:7">
      <c r="A638" t="s">
        <v>144</v>
      </c>
      <c r="B638" t="s">
        <v>145</v>
      </c>
      <c r="C638">
        <v>10</v>
      </c>
    </row>
    <row r="639" spans="1:7">
      <c r="A639" t="s">
        <v>144</v>
      </c>
      <c r="B639" t="s">
        <v>146</v>
      </c>
      <c r="C639">
        <v>36</v>
      </c>
    </row>
    <row r="640" spans="1:7">
      <c r="A640" t="s">
        <v>144</v>
      </c>
      <c r="B640" t="s">
        <v>147</v>
      </c>
      <c r="C640">
        <v>36</v>
      </c>
    </row>
    <row r="641" spans="1:7">
      <c r="A641" t="s">
        <v>144</v>
      </c>
      <c r="B641" t="s">
        <v>148</v>
      </c>
      <c r="C641">
        <v>0.69243399999999999</v>
      </c>
    </row>
    <row r="642" spans="1:7">
      <c r="A642" t="s">
        <v>144</v>
      </c>
      <c r="B642" t="s">
        <v>149</v>
      </c>
      <c r="C642">
        <v>0.69243399999999999</v>
      </c>
    </row>
    <row r="643" spans="1:7">
      <c r="A643" t="s">
        <v>144</v>
      </c>
      <c r="B643" t="s">
        <v>150</v>
      </c>
      <c r="C643">
        <v>-1</v>
      </c>
    </row>
    <row r="644" spans="1:7">
      <c r="A644" t="s">
        <v>144</v>
      </c>
      <c r="B644" t="s">
        <v>151</v>
      </c>
      <c r="C644">
        <v>-1</v>
      </c>
    </row>
    <row r="645" spans="1:7">
      <c r="A645" t="s">
        <v>144</v>
      </c>
      <c r="B645" t="s">
        <v>152</v>
      </c>
      <c r="C645">
        <v>1</v>
      </c>
    </row>
    <row r="646" spans="1:7">
      <c r="A646" t="s">
        <v>144</v>
      </c>
      <c r="B646" t="s">
        <v>153</v>
      </c>
      <c r="C646">
        <v>1</v>
      </c>
    </row>
    <row r="647" spans="1:7">
      <c r="A647" t="s">
        <v>144</v>
      </c>
      <c r="B647" t="s">
        <v>154</v>
      </c>
      <c r="C647">
        <v>0</v>
      </c>
    </row>
    <row r="648" spans="1:7">
      <c r="A648" t="s">
        <v>144</v>
      </c>
      <c r="B648" t="s">
        <v>155</v>
      </c>
    </row>
    <row r="649" spans="1:7">
      <c r="A649" t="s">
        <v>144</v>
      </c>
      <c r="B649" t="s">
        <v>150</v>
      </c>
      <c r="C649">
        <v>0.25275399999999998</v>
      </c>
    </row>
    <row r="650" spans="1:7">
      <c r="A650" t="s">
        <v>144</v>
      </c>
      <c r="B650" t="s">
        <v>151</v>
      </c>
      <c r="C650">
        <v>0.25275399999999998</v>
      </c>
    </row>
    <row r="651" spans="1:7">
      <c r="A651" t="s">
        <v>144</v>
      </c>
      <c r="B651" t="s">
        <v>156</v>
      </c>
      <c r="C651" t="s">
        <v>157</v>
      </c>
      <c r="D651" t="s">
        <v>63</v>
      </c>
      <c r="E651" t="s">
        <v>158</v>
      </c>
      <c r="F651" t="s">
        <v>159</v>
      </c>
      <c r="G651" t="s">
        <v>160</v>
      </c>
    </row>
    <row r="652" spans="1:7">
      <c r="A652" t="s">
        <v>144</v>
      </c>
      <c r="B652">
        <v>10</v>
      </c>
      <c r="C652">
        <v>0</v>
      </c>
      <c r="D652">
        <v>0.25275399999999998</v>
      </c>
      <c r="E652">
        <v>-0.32718900000000001</v>
      </c>
      <c r="F652">
        <v>-1</v>
      </c>
      <c r="G652">
        <v>-0.32718900000000001</v>
      </c>
    </row>
    <row r="653" spans="1:7">
      <c r="A653" t="s">
        <v>144</v>
      </c>
      <c r="B653">
        <v>10</v>
      </c>
      <c r="C653">
        <v>1</v>
      </c>
      <c r="D653">
        <v>0.25275399999999998</v>
      </c>
      <c r="E653">
        <v>0.99331599999999998</v>
      </c>
      <c r="F653">
        <v>0.742363</v>
      </c>
      <c r="G653">
        <v>0.80579199999999995</v>
      </c>
    </row>
    <row r="654" spans="1:7">
      <c r="A654" t="s">
        <v>144</v>
      </c>
      <c r="B654">
        <v>10</v>
      </c>
      <c r="C654">
        <v>2</v>
      </c>
      <c r="D654">
        <v>0.25275399999999998</v>
      </c>
      <c r="E654">
        <v>0.52104300000000003</v>
      </c>
      <c r="F654">
        <v>0.17902199999999999</v>
      </c>
      <c r="G654">
        <v>0.26546900000000001</v>
      </c>
    </row>
    <row r="655" spans="1:7">
      <c r="A655" t="s">
        <v>144</v>
      </c>
      <c r="B655">
        <v>10</v>
      </c>
      <c r="C655">
        <v>3</v>
      </c>
      <c r="D655">
        <v>0.25275399999999998</v>
      </c>
      <c r="E655">
        <v>0.81914699999999996</v>
      </c>
      <c r="F655">
        <v>0.78624799999999995</v>
      </c>
      <c r="G655">
        <v>0.79456400000000005</v>
      </c>
    </row>
    <row r="656" spans="1:7">
      <c r="A656" t="s">
        <v>144</v>
      </c>
      <c r="B656">
        <v>10</v>
      </c>
      <c r="C656">
        <v>4</v>
      </c>
      <c r="D656">
        <v>0.25275399999999998</v>
      </c>
      <c r="E656">
        <v>-0.22281599999999999</v>
      </c>
      <c r="F656">
        <v>-0.50666800000000001</v>
      </c>
      <c r="G656">
        <v>-0.434923</v>
      </c>
    </row>
    <row r="657" spans="1:7">
      <c r="A657" t="s">
        <v>144</v>
      </c>
      <c r="B657">
        <v>10</v>
      </c>
      <c r="C657">
        <v>5</v>
      </c>
      <c r="D657">
        <v>0.25275399999999998</v>
      </c>
      <c r="E657">
        <v>0.41126699999999999</v>
      </c>
      <c r="F657">
        <v>-0.73229200000000005</v>
      </c>
      <c r="G657">
        <v>-0.44325199999999998</v>
      </c>
    </row>
    <row r="658" spans="1:7">
      <c r="A658" t="s">
        <v>144</v>
      </c>
      <c r="B658">
        <v>10</v>
      </c>
      <c r="C658">
        <v>6</v>
      </c>
      <c r="D658">
        <v>0.25275399999999998</v>
      </c>
      <c r="E658">
        <v>0.70256700000000005</v>
      </c>
      <c r="F658">
        <v>0.41123700000000002</v>
      </c>
      <c r="G658">
        <v>0.48487200000000003</v>
      </c>
    </row>
    <row r="659" spans="1:7">
      <c r="A659" t="s">
        <v>144</v>
      </c>
      <c r="B659">
        <v>10</v>
      </c>
      <c r="C659">
        <v>7</v>
      </c>
      <c r="D659">
        <v>0.25275399999999998</v>
      </c>
      <c r="E659">
        <v>6.0700999999999998E-2</v>
      </c>
      <c r="F659">
        <v>0.111972</v>
      </c>
      <c r="G659">
        <v>9.9013000000000004E-2</v>
      </c>
    </row>
    <row r="660" spans="1:7">
      <c r="A660" t="s">
        <v>144</v>
      </c>
      <c r="B660">
        <v>10</v>
      </c>
      <c r="C660">
        <v>8</v>
      </c>
      <c r="D660">
        <v>0.25275399999999998</v>
      </c>
      <c r="E660">
        <v>-0.32270300000000002</v>
      </c>
      <c r="F660">
        <v>-0.51313799999999998</v>
      </c>
      <c r="G660">
        <v>-0.465005</v>
      </c>
    </row>
    <row r="661" spans="1:7">
      <c r="A661" t="s">
        <v>144</v>
      </c>
      <c r="B661">
        <v>10</v>
      </c>
      <c r="C661">
        <v>9</v>
      </c>
      <c r="D661">
        <v>0.25275399999999998</v>
      </c>
      <c r="E661">
        <v>0.71788700000000005</v>
      </c>
      <c r="F661">
        <v>-4.0711999999999998E-2</v>
      </c>
      <c r="G661">
        <v>0.15102699999999999</v>
      </c>
    </row>
    <row r="662" spans="1:7">
      <c r="A662" t="s">
        <v>144</v>
      </c>
      <c r="B662">
        <v>10</v>
      </c>
      <c r="C662">
        <v>10</v>
      </c>
      <c r="D662">
        <v>0.25275399999999998</v>
      </c>
      <c r="E662">
        <v>0.83263600000000004</v>
      </c>
      <c r="F662">
        <v>-0.64067499999999999</v>
      </c>
      <c r="G662">
        <v>-0.268289</v>
      </c>
    </row>
    <row r="663" spans="1:7">
      <c r="A663" t="s">
        <v>144</v>
      </c>
      <c r="B663">
        <v>10</v>
      </c>
      <c r="C663">
        <v>11</v>
      </c>
      <c r="D663">
        <v>0.25275399999999998</v>
      </c>
      <c r="E663">
        <v>0.89336800000000005</v>
      </c>
      <c r="F663">
        <v>-8.3589999999999998E-2</v>
      </c>
      <c r="G663">
        <v>0.16334000000000001</v>
      </c>
    </row>
    <row r="664" spans="1:7">
      <c r="A664" t="s">
        <v>144</v>
      </c>
      <c r="B664">
        <v>10</v>
      </c>
      <c r="C664">
        <v>12</v>
      </c>
      <c r="D664">
        <v>0.25275399999999998</v>
      </c>
      <c r="E664">
        <v>0.72756100000000001</v>
      </c>
      <c r="F664">
        <v>0.87267700000000004</v>
      </c>
      <c r="G664">
        <v>0.83599800000000002</v>
      </c>
    </row>
    <row r="665" spans="1:7">
      <c r="A665" t="s">
        <v>144</v>
      </c>
      <c r="B665">
        <v>10</v>
      </c>
      <c r="C665">
        <v>13</v>
      </c>
      <c r="D665">
        <v>0.25275399999999998</v>
      </c>
      <c r="E665">
        <v>-0.13922499999999999</v>
      </c>
      <c r="F665">
        <v>-0.88882099999999997</v>
      </c>
      <c r="G665">
        <v>-0.69935800000000004</v>
      </c>
    </row>
    <row r="666" spans="1:7">
      <c r="A666" t="s">
        <v>144</v>
      </c>
      <c r="B666">
        <v>10</v>
      </c>
      <c r="C666">
        <v>14</v>
      </c>
      <c r="D666">
        <v>0.25275399999999998</v>
      </c>
      <c r="E666">
        <v>0.82836399999999999</v>
      </c>
      <c r="F666">
        <v>0.48933399999999999</v>
      </c>
      <c r="G666">
        <v>0.57502500000000001</v>
      </c>
    </row>
    <row r="667" spans="1:7">
      <c r="A667" t="s">
        <v>144</v>
      </c>
      <c r="B667">
        <v>10</v>
      </c>
      <c r="C667">
        <v>15</v>
      </c>
      <c r="D667">
        <v>0.25275399999999998</v>
      </c>
      <c r="E667">
        <v>0.51628200000000002</v>
      </c>
      <c r="F667">
        <v>0.99493399999999999</v>
      </c>
      <c r="G667">
        <v>0.87395199999999995</v>
      </c>
    </row>
    <row r="668" spans="1:7">
      <c r="A668" t="s">
        <v>144</v>
      </c>
      <c r="B668">
        <v>10</v>
      </c>
      <c r="C668">
        <v>16</v>
      </c>
      <c r="D668">
        <v>0.25275399999999998</v>
      </c>
      <c r="E668">
        <v>0.73827299999999996</v>
      </c>
      <c r="F668">
        <v>0.487564</v>
      </c>
      <c r="G668">
        <v>0.55093199999999998</v>
      </c>
    </row>
    <row r="669" spans="1:7">
      <c r="A669" t="s">
        <v>144</v>
      </c>
      <c r="B669">
        <v>10</v>
      </c>
      <c r="C669">
        <v>17</v>
      </c>
      <c r="D669">
        <v>0.25275399999999998</v>
      </c>
      <c r="E669">
        <v>-0.95419200000000004</v>
      </c>
      <c r="F669">
        <v>-0.71831400000000001</v>
      </c>
      <c r="G669">
        <v>-0.77793299999999999</v>
      </c>
    </row>
    <row r="670" spans="1:7">
      <c r="A670" t="s">
        <v>144</v>
      </c>
      <c r="B670">
        <v>10</v>
      </c>
      <c r="C670">
        <v>18</v>
      </c>
      <c r="D670">
        <v>0.25275399999999998</v>
      </c>
      <c r="E670">
        <v>0.33259100000000003</v>
      </c>
      <c r="F670">
        <v>0.81673600000000002</v>
      </c>
      <c r="G670">
        <v>0.69436600000000004</v>
      </c>
    </row>
    <row r="671" spans="1:7">
      <c r="A671" t="s">
        <v>144</v>
      </c>
      <c r="B671">
        <v>10</v>
      </c>
      <c r="C671">
        <v>19</v>
      </c>
      <c r="D671">
        <v>0.25275399999999998</v>
      </c>
      <c r="E671">
        <v>0.91009200000000001</v>
      </c>
      <c r="F671">
        <v>0.52662699999999996</v>
      </c>
      <c r="G671">
        <v>0.62355000000000005</v>
      </c>
    </row>
    <row r="672" spans="1:7">
      <c r="A672" t="s">
        <v>144</v>
      </c>
      <c r="B672">
        <v>10</v>
      </c>
      <c r="C672">
        <v>20</v>
      </c>
      <c r="D672">
        <v>0.25275399999999998</v>
      </c>
      <c r="E672">
        <v>0.93816900000000003</v>
      </c>
      <c r="F672">
        <v>-0.99182099999999995</v>
      </c>
      <c r="G672">
        <v>-0.50400800000000001</v>
      </c>
    </row>
    <row r="673" spans="1:7">
      <c r="A673" t="s">
        <v>144</v>
      </c>
      <c r="B673">
        <v>10</v>
      </c>
      <c r="C673">
        <v>21</v>
      </c>
      <c r="D673">
        <v>0.25275399999999998</v>
      </c>
      <c r="E673">
        <v>0.232734</v>
      </c>
      <c r="F673">
        <v>0.80520000000000003</v>
      </c>
      <c r="G673">
        <v>0.66050699999999996</v>
      </c>
    </row>
    <row r="674" spans="1:7">
      <c r="A674" t="s">
        <v>144</v>
      </c>
      <c r="B674">
        <v>10</v>
      </c>
      <c r="C674">
        <v>22</v>
      </c>
      <c r="D674">
        <v>0.25275399999999998</v>
      </c>
      <c r="E674">
        <v>-0.35831800000000003</v>
      </c>
      <c r="F674">
        <v>-0.23929600000000001</v>
      </c>
      <c r="G674">
        <v>-0.26937899999999998</v>
      </c>
    </row>
    <row r="675" spans="1:7">
      <c r="A675" t="s">
        <v>144</v>
      </c>
      <c r="B675">
        <v>10</v>
      </c>
      <c r="C675">
        <v>23</v>
      </c>
      <c r="D675">
        <v>0.25275399999999998</v>
      </c>
      <c r="E675">
        <v>0.63753199999999999</v>
      </c>
      <c r="F675">
        <v>-0.42201</v>
      </c>
      <c r="G675">
        <v>-0.15420600000000001</v>
      </c>
    </row>
    <row r="676" spans="1:7">
      <c r="A676" t="s">
        <v>144</v>
      </c>
      <c r="B676">
        <v>10</v>
      </c>
      <c r="C676">
        <v>24</v>
      </c>
      <c r="D676">
        <v>0.25275399999999998</v>
      </c>
      <c r="E676">
        <v>0.39991500000000002</v>
      </c>
      <c r="F676">
        <v>-0.83300300000000005</v>
      </c>
      <c r="G676">
        <v>-0.52137800000000001</v>
      </c>
    </row>
    <row r="677" spans="1:7">
      <c r="A677" t="s">
        <v>144</v>
      </c>
      <c r="B677">
        <v>10</v>
      </c>
      <c r="C677">
        <v>25</v>
      </c>
      <c r="D677">
        <v>0.25275399999999998</v>
      </c>
      <c r="E677">
        <v>0.69939300000000004</v>
      </c>
      <c r="F677">
        <v>-0.99786399999999997</v>
      </c>
      <c r="G677">
        <v>-0.56887500000000002</v>
      </c>
    </row>
    <row r="678" spans="1:7">
      <c r="A678" t="s">
        <v>144</v>
      </c>
      <c r="B678">
        <v>10</v>
      </c>
      <c r="C678">
        <v>26</v>
      </c>
      <c r="D678">
        <v>0.25275399999999998</v>
      </c>
      <c r="E678">
        <v>5.8411999999999999E-2</v>
      </c>
      <c r="F678">
        <v>-0.77501799999999998</v>
      </c>
      <c r="G678">
        <v>-0.56436500000000001</v>
      </c>
    </row>
    <row r="679" spans="1:7">
      <c r="A679" t="s">
        <v>144</v>
      </c>
      <c r="B679">
        <v>10</v>
      </c>
      <c r="C679">
        <v>27</v>
      </c>
      <c r="D679">
        <v>0.25275399999999998</v>
      </c>
      <c r="E679">
        <v>-0.76934100000000005</v>
      </c>
      <c r="F679">
        <v>-0.28778999999999999</v>
      </c>
      <c r="G679">
        <v>-0.40950399999999998</v>
      </c>
    </row>
    <row r="680" spans="1:7">
      <c r="A680" t="s">
        <v>144</v>
      </c>
      <c r="B680">
        <v>10</v>
      </c>
      <c r="C680">
        <v>28</v>
      </c>
      <c r="D680">
        <v>0.25275399999999998</v>
      </c>
      <c r="E680">
        <v>1.7609E-2</v>
      </c>
      <c r="F680">
        <v>0.47926299999999999</v>
      </c>
      <c r="G680">
        <v>0.36257800000000001</v>
      </c>
    </row>
    <row r="681" spans="1:7">
      <c r="A681" t="s">
        <v>144</v>
      </c>
      <c r="B681">
        <v>10</v>
      </c>
      <c r="C681">
        <v>29</v>
      </c>
      <c r="D681">
        <v>0.25275399999999998</v>
      </c>
      <c r="E681">
        <v>-0.721244</v>
      </c>
      <c r="F681">
        <v>-0.58027899999999999</v>
      </c>
      <c r="G681">
        <v>-0.61590800000000001</v>
      </c>
    </row>
    <row r="682" spans="1:7">
      <c r="A682" t="s">
        <v>144</v>
      </c>
      <c r="B682">
        <v>10</v>
      </c>
      <c r="C682">
        <v>30</v>
      </c>
      <c r="D682">
        <v>0.25275399999999998</v>
      </c>
      <c r="E682">
        <v>0.61998299999999995</v>
      </c>
      <c r="F682">
        <v>0.61275100000000005</v>
      </c>
      <c r="G682">
        <v>0.61457899999999999</v>
      </c>
    </row>
    <row r="683" spans="1:7">
      <c r="A683" t="s">
        <v>144</v>
      </c>
      <c r="B683">
        <v>10</v>
      </c>
      <c r="C683">
        <v>31</v>
      </c>
      <c r="D683">
        <v>0.25275399999999998</v>
      </c>
      <c r="E683">
        <v>-0.93487399999999998</v>
      </c>
      <c r="F683">
        <v>-0.51988299999999998</v>
      </c>
      <c r="G683">
        <v>-0.62477400000000005</v>
      </c>
    </row>
    <row r="684" spans="1:7">
      <c r="A684" t="s">
        <v>144</v>
      </c>
      <c r="B684">
        <v>10</v>
      </c>
      <c r="C684">
        <v>32</v>
      </c>
      <c r="D684">
        <v>0.25275399999999998</v>
      </c>
      <c r="E684">
        <v>-0.963866</v>
      </c>
      <c r="F684">
        <v>0.75151800000000002</v>
      </c>
      <c r="G684">
        <v>0.31794800000000001</v>
      </c>
    </row>
    <row r="685" spans="1:7">
      <c r="A685" t="s">
        <v>144</v>
      </c>
      <c r="B685">
        <v>10</v>
      </c>
      <c r="C685">
        <v>33</v>
      </c>
      <c r="D685">
        <v>0.25275399999999998</v>
      </c>
      <c r="E685">
        <v>0.42143000000000003</v>
      </c>
      <c r="F685">
        <v>0.26041399999999998</v>
      </c>
      <c r="G685">
        <v>0.30111199999999999</v>
      </c>
    </row>
    <row r="686" spans="1:7">
      <c r="A686" t="s">
        <v>144</v>
      </c>
      <c r="B686">
        <v>10</v>
      </c>
      <c r="C686">
        <v>34</v>
      </c>
      <c r="D686">
        <v>0.25275399999999998</v>
      </c>
      <c r="E686">
        <v>0.28397499999999998</v>
      </c>
      <c r="F686">
        <v>7.0800000000000004E-3</v>
      </c>
      <c r="G686">
        <v>7.7066999999999997E-2</v>
      </c>
    </row>
    <row r="687" spans="1:7">
      <c r="A687" t="s">
        <v>144</v>
      </c>
      <c r="B687">
        <v>10</v>
      </c>
      <c r="C687">
        <v>35</v>
      </c>
      <c r="D687">
        <v>0.25275399999999998</v>
      </c>
      <c r="E687">
        <v>0.49809300000000001</v>
      </c>
      <c r="F687">
        <v>-0.35410599999999998</v>
      </c>
      <c r="G687">
        <v>-0.138709</v>
      </c>
    </row>
    <row r="688" spans="1:7">
      <c r="A688" t="s">
        <v>144</v>
      </c>
      <c r="B688">
        <v>10</v>
      </c>
      <c r="C688">
        <v>36</v>
      </c>
      <c r="D688">
        <v>0.25275399999999998</v>
      </c>
      <c r="E688">
        <v>0.27155400000000002</v>
      </c>
      <c r="F688">
        <v>-0.280221</v>
      </c>
      <c r="G688">
        <v>-0.14075799999999999</v>
      </c>
    </row>
    <row r="689" spans="1:7">
      <c r="A689" t="s">
        <v>144</v>
      </c>
      <c r="B689">
        <v>10</v>
      </c>
      <c r="C689">
        <v>37</v>
      </c>
      <c r="D689">
        <v>0.25275399999999998</v>
      </c>
      <c r="E689">
        <v>-0.91738600000000003</v>
      </c>
      <c r="F689">
        <v>-0.28348600000000002</v>
      </c>
      <c r="G689">
        <v>-0.44370700000000002</v>
      </c>
    </row>
    <row r="690" spans="1:7">
      <c r="A690" t="s">
        <v>144</v>
      </c>
      <c r="B690">
        <v>10</v>
      </c>
      <c r="C690">
        <v>38</v>
      </c>
      <c r="D690">
        <v>0.25275399999999998</v>
      </c>
      <c r="E690">
        <v>-0.48973100000000003</v>
      </c>
      <c r="F690">
        <v>0.29755500000000001</v>
      </c>
      <c r="G690">
        <v>9.8566000000000001E-2</v>
      </c>
    </row>
    <row r="691" spans="1:7">
      <c r="A691" t="s">
        <v>144</v>
      </c>
      <c r="B691">
        <v>10</v>
      </c>
      <c r="C691">
        <v>39</v>
      </c>
      <c r="D691">
        <v>0.25275399999999998</v>
      </c>
      <c r="E691">
        <v>-0.85818000000000005</v>
      </c>
      <c r="F691">
        <v>4.2084999999999997E-2</v>
      </c>
      <c r="G691">
        <v>-0.18546099999999999</v>
      </c>
    </row>
    <row r="692" spans="1:7">
      <c r="A692" t="s">
        <v>144</v>
      </c>
      <c r="B692">
        <v>10</v>
      </c>
      <c r="C692">
        <v>40</v>
      </c>
      <c r="D692">
        <v>0.25275399999999998</v>
      </c>
      <c r="E692">
        <v>0.54127599999999998</v>
      </c>
      <c r="F692">
        <v>-8.7741E-2</v>
      </c>
      <c r="G692">
        <v>7.1246000000000004E-2</v>
      </c>
    </row>
    <row r="693" spans="1:7">
      <c r="A693" t="s">
        <v>144</v>
      </c>
      <c r="B693">
        <v>10</v>
      </c>
      <c r="C693">
        <v>41</v>
      </c>
      <c r="D693">
        <v>0.25275399999999998</v>
      </c>
      <c r="E693">
        <v>-0.68401100000000004</v>
      </c>
      <c r="F693">
        <v>-0.67021699999999995</v>
      </c>
      <c r="G693">
        <v>-0.67370399999999997</v>
      </c>
    </row>
    <row r="694" spans="1:7">
      <c r="A694" t="s">
        <v>144</v>
      </c>
      <c r="B694">
        <v>10</v>
      </c>
      <c r="C694">
        <v>42</v>
      </c>
      <c r="D694">
        <v>0.25275399999999998</v>
      </c>
      <c r="E694">
        <v>0.14441399999999999</v>
      </c>
      <c r="F694">
        <v>5.3407000000000003E-2</v>
      </c>
      <c r="G694">
        <v>7.6410000000000006E-2</v>
      </c>
    </row>
    <row r="695" spans="1:7">
      <c r="A695" t="s">
        <v>144</v>
      </c>
      <c r="B695">
        <v>10</v>
      </c>
      <c r="C695">
        <v>43</v>
      </c>
      <c r="D695">
        <v>0.25275399999999998</v>
      </c>
      <c r="E695">
        <v>0.87536199999999997</v>
      </c>
      <c r="F695">
        <v>0.151952</v>
      </c>
      <c r="G695">
        <v>0.33479700000000001</v>
      </c>
    </row>
    <row r="696" spans="1:7">
      <c r="A696" t="s">
        <v>144</v>
      </c>
      <c r="B696">
        <v>10</v>
      </c>
      <c r="C696">
        <v>44</v>
      </c>
      <c r="D696">
        <v>0.25275399999999998</v>
      </c>
      <c r="E696">
        <v>0.77306399999999997</v>
      </c>
      <c r="F696">
        <v>0.29505300000000001</v>
      </c>
      <c r="G696">
        <v>0.41587200000000002</v>
      </c>
    </row>
    <row r="697" spans="1:7">
      <c r="A697" t="s">
        <v>144</v>
      </c>
      <c r="B697">
        <v>10</v>
      </c>
      <c r="C697">
        <v>45</v>
      </c>
      <c r="D697">
        <v>0.25275399999999998</v>
      </c>
      <c r="E697">
        <v>-4.2023999999999999E-2</v>
      </c>
      <c r="F697">
        <v>0.58006500000000005</v>
      </c>
      <c r="G697">
        <v>0.42282999999999998</v>
      </c>
    </row>
    <row r="698" spans="1:7">
      <c r="A698" t="s">
        <v>144</v>
      </c>
      <c r="B698">
        <v>10</v>
      </c>
      <c r="C698">
        <v>46</v>
      </c>
      <c r="D698">
        <v>0.25275399999999998</v>
      </c>
      <c r="E698">
        <v>-1.7701000000000001E-2</v>
      </c>
      <c r="F698">
        <v>-0.34296700000000002</v>
      </c>
      <c r="G698">
        <v>-0.26075500000000001</v>
      </c>
    </row>
    <row r="699" spans="1:7">
      <c r="A699" t="s">
        <v>144</v>
      </c>
      <c r="B699">
        <v>10</v>
      </c>
      <c r="C699">
        <v>47</v>
      </c>
      <c r="D699">
        <v>0.25275399999999998</v>
      </c>
      <c r="E699">
        <v>0.42173500000000003</v>
      </c>
      <c r="F699">
        <v>-0.99417100000000003</v>
      </c>
      <c r="G699">
        <v>-0.63629500000000005</v>
      </c>
    </row>
    <row r="700" spans="1:7">
      <c r="A700" t="s">
        <v>144</v>
      </c>
      <c r="B700">
        <v>10</v>
      </c>
      <c r="C700">
        <v>48</v>
      </c>
      <c r="D700">
        <v>0.25275399999999998</v>
      </c>
      <c r="E700">
        <v>-0.32352700000000001</v>
      </c>
      <c r="F700">
        <v>0.95394800000000002</v>
      </c>
      <c r="G700">
        <v>0.63105999999999995</v>
      </c>
    </row>
    <row r="701" spans="1:7">
      <c r="A701" t="s">
        <v>144</v>
      </c>
      <c r="B701">
        <v>10</v>
      </c>
      <c r="C701">
        <v>49</v>
      </c>
      <c r="D701">
        <v>0.25275399999999998</v>
      </c>
      <c r="E701">
        <v>0.77138600000000002</v>
      </c>
      <c r="F701">
        <v>0.79961499999999996</v>
      </c>
      <c r="G701">
        <v>0.79247999999999996</v>
      </c>
    </row>
    <row r="702" spans="1:7">
      <c r="A702" t="s">
        <v>144</v>
      </c>
      <c r="B702" t="s">
        <v>145</v>
      </c>
      <c r="C702">
        <v>11</v>
      </c>
    </row>
    <row r="703" spans="1:7">
      <c r="A703" t="s">
        <v>144</v>
      </c>
      <c r="B703" t="s">
        <v>146</v>
      </c>
      <c r="C703">
        <v>86</v>
      </c>
    </row>
    <row r="704" spans="1:7">
      <c r="A704" t="s">
        <v>144</v>
      </c>
      <c r="B704" t="s">
        <v>147</v>
      </c>
      <c r="C704">
        <v>86</v>
      </c>
    </row>
    <row r="705" spans="1:7">
      <c r="A705" t="s">
        <v>144</v>
      </c>
      <c r="B705" t="s">
        <v>148</v>
      </c>
      <c r="C705">
        <v>0.68010499999999996</v>
      </c>
    </row>
    <row r="706" spans="1:7">
      <c r="A706" t="s">
        <v>144</v>
      </c>
      <c r="B706" t="s">
        <v>149</v>
      </c>
      <c r="C706">
        <v>0.68010499999999996</v>
      </c>
    </row>
    <row r="707" spans="1:7">
      <c r="A707" t="s">
        <v>144</v>
      </c>
      <c r="B707" t="s">
        <v>150</v>
      </c>
      <c r="C707">
        <v>-1</v>
      </c>
    </row>
    <row r="708" spans="1:7">
      <c r="A708" t="s">
        <v>144</v>
      </c>
      <c r="B708" t="s">
        <v>151</v>
      </c>
      <c r="C708">
        <v>-1</v>
      </c>
    </row>
    <row r="709" spans="1:7">
      <c r="A709" t="s">
        <v>144</v>
      </c>
      <c r="B709" t="s">
        <v>152</v>
      </c>
      <c r="C709">
        <v>16</v>
      </c>
    </row>
    <row r="710" spans="1:7">
      <c r="A710" t="s">
        <v>144</v>
      </c>
      <c r="B710" t="s">
        <v>153</v>
      </c>
      <c r="C710">
        <v>16</v>
      </c>
    </row>
    <row r="711" spans="1:7">
      <c r="A711" t="s">
        <v>144</v>
      </c>
      <c r="B711" t="s">
        <v>154</v>
      </c>
      <c r="C711">
        <v>0</v>
      </c>
    </row>
    <row r="712" spans="1:7">
      <c r="A712" t="s">
        <v>144</v>
      </c>
      <c r="B712" t="s">
        <v>155</v>
      </c>
    </row>
    <row r="713" spans="1:7">
      <c r="A713" t="s">
        <v>144</v>
      </c>
      <c r="B713" t="s">
        <v>150</v>
      </c>
      <c r="C713">
        <v>0.31617200000000001</v>
      </c>
    </row>
    <row r="714" spans="1:7">
      <c r="A714" t="s">
        <v>144</v>
      </c>
      <c r="B714" t="s">
        <v>151</v>
      </c>
      <c r="C714">
        <v>0.31617200000000001</v>
      </c>
    </row>
    <row r="715" spans="1:7">
      <c r="A715" t="s">
        <v>144</v>
      </c>
      <c r="B715" t="s">
        <v>156</v>
      </c>
      <c r="C715" t="s">
        <v>157</v>
      </c>
      <c r="D715" t="s">
        <v>63</v>
      </c>
      <c r="E715" t="s">
        <v>158</v>
      </c>
      <c r="F715" t="s">
        <v>159</v>
      </c>
      <c r="G715" t="s">
        <v>160</v>
      </c>
    </row>
    <row r="716" spans="1:7">
      <c r="A716" t="s">
        <v>144</v>
      </c>
      <c r="B716">
        <v>11</v>
      </c>
      <c r="C716">
        <v>0</v>
      </c>
      <c r="D716">
        <v>0.31617200000000001</v>
      </c>
      <c r="E716">
        <v>-0.99594099999999997</v>
      </c>
      <c r="F716">
        <v>-1</v>
      </c>
      <c r="G716">
        <v>-0.99594099999999997</v>
      </c>
    </row>
    <row r="717" spans="1:7">
      <c r="A717" t="s">
        <v>144</v>
      </c>
      <c r="B717">
        <v>11</v>
      </c>
      <c r="C717">
        <v>1</v>
      </c>
      <c r="D717">
        <v>0.31617200000000001</v>
      </c>
      <c r="E717">
        <v>0.400586</v>
      </c>
      <c r="F717">
        <v>-1</v>
      </c>
      <c r="G717">
        <v>0.400586</v>
      </c>
    </row>
    <row r="718" spans="1:7">
      <c r="A718" t="s">
        <v>144</v>
      </c>
      <c r="B718">
        <v>11</v>
      </c>
      <c r="C718">
        <v>2</v>
      </c>
      <c r="D718">
        <v>0.31617200000000001</v>
      </c>
      <c r="E718">
        <v>0.77037900000000004</v>
      </c>
      <c r="F718">
        <v>-1</v>
      </c>
      <c r="G718">
        <v>0.77037900000000004</v>
      </c>
    </row>
    <row r="719" spans="1:7">
      <c r="A719" t="s">
        <v>144</v>
      </c>
      <c r="B719">
        <v>11</v>
      </c>
      <c r="C719">
        <v>3</v>
      </c>
      <c r="D719">
        <v>0.31617200000000001</v>
      </c>
      <c r="E719">
        <v>8.9510999999999993E-2</v>
      </c>
      <c r="F719">
        <v>-1</v>
      </c>
      <c r="G719">
        <v>8.9510999999999993E-2</v>
      </c>
    </row>
    <row r="720" spans="1:7">
      <c r="A720" t="s">
        <v>144</v>
      </c>
      <c r="B720">
        <v>11</v>
      </c>
      <c r="C720">
        <v>4</v>
      </c>
      <c r="D720">
        <v>0.31617200000000001</v>
      </c>
      <c r="E720">
        <v>0.85598300000000005</v>
      </c>
      <c r="F720">
        <v>-1</v>
      </c>
      <c r="G720">
        <v>0.85598300000000005</v>
      </c>
    </row>
    <row r="721" spans="1:7">
      <c r="A721" t="s">
        <v>144</v>
      </c>
      <c r="B721">
        <v>11</v>
      </c>
      <c r="C721">
        <v>5</v>
      </c>
      <c r="D721">
        <v>0.31617200000000001</v>
      </c>
      <c r="E721">
        <v>0.55442999999999998</v>
      </c>
      <c r="F721">
        <v>-1</v>
      </c>
      <c r="G721">
        <v>0.55442999999999998</v>
      </c>
    </row>
    <row r="722" spans="1:7">
      <c r="A722" t="s">
        <v>144</v>
      </c>
      <c r="B722">
        <v>11</v>
      </c>
      <c r="C722">
        <v>6</v>
      </c>
      <c r="D722">
        <v>0.31617200000000001</v>
      </c>
      <c r="E722">
        <v>-0.82906599999999997</v>
      </c>
      <c r="F722">
        <v>-1</v>
      </c>
      <c r="G722">
        <v>-0.82906599999999997</v>
      </c>
    </row>
    <row r="723" spans="1:7">
      <c r="A723" t="s">
        <v>144</v>
      </c>
      <c r="B723">
        <v>11</v>
      </c>
      <c r="C723">
        <v>7</v>
      </c>
      <c r="D723">
        <v>0.31617200000000001</v>
      </c>
      <c r="E723">
        <v>-0.264046</v>
      </c>
      <c r="F723">
        <v>-1</v>
      </c>
      <c r="G723">
        <v>-0.264046</v>
      </c>
    </row>
    <row r="724" spans="1:7">
      <c r="A724" t="s">
        <v>144</v>
      </c>
      <c r="B724">
        <v>11</v>
      </c>
      <c r="C724">
        <v>8</v>
      </c>
      <c r="D724">
        <v>0.31617200000000001</v>
      </c>
      <c r="E724">
        <v>-0.44840799999999997</v>
      </c>
      <c r="F724">
        <v>-1</v>
      </c>
      <c r="G724">
        <v>-0.44840799999999997</v>
      </c>
    </row>
    <row r="725" spans="1:7">
      <c r="A725" t="s">
        <v>144</v>
      </c>
      <c r="B725">
        <v>11</v>
      </c>
      <c r="C725">
        <v>9</v>
      </c>
      <c r="D725">
        <v>0.31617200000000001</v>
      </c>
      <c r="E725">
        <v>-0.90841400000000005</v>
      </c>
      <c r="F725">
        <v>-1</v>
      </c>
      <c r="G725">
        <v>-0.90841400000000005</v>
      </c>
    </row>
    <row r="726" spans="1:7">
      <c r="A726" t="s">
        <v>144</v>
      </c>
      <c r="B726">
        <v>11</v>
      </c>
      <c r="C726">
        <v>10</v>
      </c>
      <c r="D726">
        <v>0.31617200000000001</v>
      </c>
      <c r="E726">
        <v>0.66682900000000001</v>
      </c>
      <c r="F726">
        <v>-1</v>
      </c>
      <c r="G726">
        <v>0.66682900000000001</v>
      </c>
    </row>
    <row r="727" spans="1:7">
      <c r="A727" t="s">
        <v>144</v>
      </c>
      <c r="B727">
        <v>11</v>
      </c>
      <c r="C727">
        <v>11</v>
      </c>
      <c r="D727">
        <v>0.31617200000000001</v>
      </c>
      <c r="E727">
        <v>0.75075499999999995</v>
      </c>
      <c r="F727">
        <v>-1</v>
      </c>
      <c r="G727">
        <v>0.75075499999999995</v>
      </c>
    </row>
    <row r="728" spans="1:7">
      <c r="A728" t="s">
        <v>144</v>
      </c>
      <c r="B728">
        <v>11</v>
      </c>
      <c r="C728">
        <v>12</v>
      </c>
      <c r="D728">
        <v>0.31617200000000001</v>
      </c>
      <c r="E728">
        <v>5.0539000000000001E-2</v>
      </c>
      <c r="F728">
        <v>-1</v>
      </c>
      <c r="G728">
        <v>5.0539000000000001E-2</v>
      </c>
    </row>
    <row r="729" spans="1:7">
      <c r="A729" t="s">
        <v>144</v>
      </c>
      <c r="B729">
        <v>11</v>
      </c>
      <c r="C729">
        <v>13</v>
      </c>
      <c r="D729">
        <v>0.31617200000000001</v>
      </c>
      <c r="E729">
        <v>0.65382899999999999</v>
      </c>
      <c r="F729">
        <v>-1</v>
      </c>
      <c r="G729">
        <v>0.65382899999999999</v>
      </c>
    </row>
    <row r="730" spans="1:7">
      <c r="A730" t="s">
        <v>144</v>
      </c>
      <c r="B730">
        <v>11</v>
      </c>
      <c r="C730">
        <v>14</v>
      </c>
      <c r="D730">
        <v>0.31617200000000001</v>
      </c>
      <c r="E730">
        <v>-0.26328299999999999</v>
      </c>
      <c r="F730">
        <v>-1</v>
      </c>
      <c r="G730">
        <v>-0.26328299999999999</v>
      </c>
    </row>
    <row r="731" spans="1:7">
      <c r="A731" t="s">
        <v>144</v>
      </c>
      <c r="B731">
        <v>11</v>
      </c>
      <c r="C731">
        <v>15</v>
      </c>
      <c r="D731">
        <v>0.31617200000000001</v>
      </c>
      <c r="E731">
        <v>-0.68578099999999997</v>
      </c>
      <c r="F731">
        <v>-1</v>
      </c>
      <c r="G731">
        <v>-0.68578099999999997</v>
      </c>
    </row>
    <row r="732" spans="1:7">
      <c r="A732" t="s">
        <v>144</v>
      </c>
      <c r="B732">
        <v>11</v>
      </c>
      <c r="C732">
        <v>16</v>
      </c>
      <c r="D732">
        <v>0.31617200000000001</v>
      </c>
      <c r="E732">
        <v>-0.77095899999999995</v>
      </c>
      <c r="F732">
        <v>0.487564</v>
      </c>
      <c r="G732">
        <v>8.9653999999999998E-2</v>
      </c>
    </row>
    <row r="733" spans="1:7">
      <c r="A733" t="s">
        <v>144</v>
      </c>
      <c r="B733">
        <v>11</v>
      </c>
      <c r="C733">
        <v>17</v>
      </c>
      <c r="D733">
        <v>0.31617200000000001</v>
      </c>
      <c r="E733">
        <v>-0.71260699999999999</v>
      </c>
      <c r="F733">
        <v>-0.71831400000000001</v>
      </c>
      <c r="G733">
        <v>-0.71650999999999998</v>
      </c>
    </row>
    <row r="734" spans="1:7">
      <c r="A734" t="s">
        <v>144</v>
      </c>
      <c r="B734">
        <v>11</v>
      </c>
      <c r="C734">
        <v>18</v>
      </c>
      <c r="D734">
        <v>0.31617200000000001</v>
      </c>
      <c r="E734">
        <v>0.423261</v>
      </c>
      <c r="F734">
        <v>0.81673600000000002</v>
      </c>
      <c r="G734">
        <v>0.69233100000000003</v>
      </c>
    </row>
    <row r="735" spans="1:7">
      <c r="A735" t="s">
        <v>144</v>
      </c>
      <c r="B735">
        <v>11</v>
      </c>
      <c r="C735">
        <v>19</v>
      </c>
      <c r="D735">
        <v>0.31617200000000001</v>
      </c>
      <c r="E735">
        <v>-0.88317500000000004</v>
      </c>
      <c r="F735">
        <v>0.52662699999999996</v>
      </c>
      <c r="G735">
        <v>8.0888000000000002E-2</v>
      </c>
    </row>
    <row r="736" spans="1:7">
      <c r="A736" t="s">
        <v>144</v>
      </c>
      <c r="B736">
        <v>11</v>
      </c>
      <c r="C736">
        <v>20</v>
      </c>
      <c r="D736">
        <v>0.31617200000000001</v>
      </c>
      <c r="E736">
        <v>6.8758E-2</v>
      </c>
      <c r="F736">
        <v>-0.99182099999999995</v>
      </c>
      <c r="G736">
        <v>-0.65649599999999997</v>
      </c>
    </row>
    <row r="737" spans="1:7">
      <c r="A737" t="s">
        <v>144</v>
      </c>
      <c r="B737">
        <v>11</v>
      </c>
      <c r="C737">
        <v>21</v>
      </c>
      <c r="D737">
        <v>0.31617200000000001</v>
      </c>
      <c r="E737">
        <v>0.41297600000000001</v>
      </c>
      <c r="F737">
        <v>0.80520000000000003</v>
      </c>
      <c r="G737">
        <v>0.68118999999999996</v>
      </c>
    </row>
    <row r="738" spans="1:7">
      <c r="A738" t="s">
        <v>144</v>
      </c>
      <c r="B738">
        <v>11</v>
      </c>
      <c r="C738">
        <v>22</v>
      </c>
      <c r="D738">
        <v>0.31617200000000001</v>
      </c>
      <c r="E738">
        <v>0.85900399999999999</v>
      </c>
      <c r="F738">
        <v>-0.23929600000000001</v>
      </c>
      <c r="G738">
        <v>0.107956</v>
      </c>
    </row>
    <row r="739" spans="1:7">
      <c r="A739" t="s">
        <v>144</v>
      </c>
      <c r="B739">
        <v>11</v>
      </c>
      <c r="C739">
        <v>23</v>
      </c>
      <c r="D739">
        <v>0.31617200000000001</v>
      </c>
      <c r="E739">
        <v>0.57310700000000003</v>
      </c>
      <c r="F739">
        <v>-0.42201</v>
      </c>
      <c r="G739">
        <v>-0.10738200000000001</v>
      </c>
    </row>
    <row r="740" spans="1:7">
      <c r="A740" t="s">
        <v>144</v>
      </c>
      <c r="B740">
        <v>11</v>
      </c>
      <c r="C740">
        <v>24</v>
      </c>
      <c r="D740">
        <v>0.31617200000000001</v>
      </c>
      <c r="E740">
        <v>0.398511</v>
      </c>
      <c r="F740">
        <v>-0.83300300000000005</v>
      </c>
      <c r="G740">
        <v>-0.443633</v>
      </c>
    </row>
    <row r="741" spans="1:7">
      <c r="A741" t="s">
        <v>144</v>
      </c>
      <c r="B741">
        <v>11</v>
      </c>
      <c r="C741">
        <v>25</v>
      </c>
      <c r="D741">
        <v>0.31617200000000001</v>
      </c>
      <c r="E741">
        <v>-0.29038399999999998</v>
      </c>
      <c r="F741">
        <v>-0.99786399999999997</v>
      </c>
      <c r="G741">
        <v>-0.77417899999999995</v>
      </c>
    </row>
    <row r="742" spans="1:7">
      <c r="A742" t="s">
        <v>144</v>
      </c>
      <c r="B742">
        <v>11</v>
      </c>
      <c r="C742">
        <v>26</v>
      </c>
      <c r="D742">
        <v>0.31617200000000001</v>
      </c>
      <c r="E742">
        <v>-0.39701500000000001</v>
      </c>
      <c r="F742">
        <v>-0.77501799999999998</v>
      </c>
      <c r="G742">
        <v>-0.65550399999999998</v>
      </c>
    </row>
    <row r="743" spans="1:7">
      <c r="A743" t="s">
        <v>144</v>
      </c>
      <c r="B743">
        <v>11</v>
      </c>
      <c r="C743">
        <v>27</v>
      </c>
      <c r="D743">
        <v>0.31617200000000001</v>
      </c>
      <c r="E743">
        <v>0.265206</v>
      </c>
      <c r="F743">
        <v>-0.28778999999999999</v>
      </c>
      <c r="G743">
        <v>-0.11294800000000001</v>
      </c>
    </row>
    <row r="744" spans="1:7">
      <c r="A744" t="s">
        <v>144</v>
      </c>
      <c r="B744">
        <v>11</v>
      </c>
      <c r="C744">
        <v>28</v>
      </c>
      <c r="D744">
        <v>0.31617200000000001</v>
      </c>
      <c r="E744">
        <v>0.97940000000000005</v>
      </c>
      <c r="F744">
        <v>0.47926299999999999</v>
      </c>
      <c r="G744">
        <v>0.63739199999999996</v>
      </c>
    </row>
    <row r="745" spans="1:7">
      <c r="A745" t="s">
        <v>144</v>
      </c>
      <c r="B745">
        <v>11</v>
      </c>
      <c r="C745">
        <v>29</v>
      </c>
      <c r="D745">
        <v>0.31617200000000001</v>
      </c>
      <c r="E745">
        <v>-1.3184E-2</v>
      </c>
      <c r="F745">
        <v>-0.58027899999999999</v>
      </c>
      <c r="G745">
        <v>-0.40098</v>
      </c>
    </row>
    <row r="746" spans="1:7">
      <c r="A746" t="s">
        <v>144</v>
      </c>
      <c r="B746">
        <v>11</v>
      </c>
      <c r="C746">
        <v>30</v>
      </c>
      <c r="D746">
        <v>0.31617200000000001</v>
      </c>
      <c r="E746">
        <v>0.31034299999999998</v>
      </c>
      <c r="F746">
        <v>0.61275100000000005</v>
      </c>
      <c r="G746">
        <v>0.51713799999999999</v>
      </c>
    </row>
    <row r="747" spans="1:7">
      <c r="A747" t="s">
        <v>144</v>
      </c>
      <c r="B747">
        <v>11</v>
      </c>
      <c r="C747">
        <v>31</v>
      </c>
      <c r="D747">
        <v>0.31617200000000001</v>
      </c>
      <c r="E747">
        <v>-0.73680800000000002</v>
      </c>
      <c r="F747">
        <v>-0.51988299999999998</v>
      </c>
      <c r="G747">
        <v>-0.58846900000000002</v>
      </c>
    </row>
    <row r="748" spans="1:7">
      <c r="A748" t="s">
        <v>144</v>
      </c>
      <c r="B748">
        <v>11</v>
      </c>
      <c r="C748">
        <v>32</v>
      </c>
      <c r="D748">
        <v>0.31617200000000001</v>
      </c>
      <c r="E748">
        <v>-0.68990099999999999</v>
      </c>
      <c r="F748">
        <v>0.75151800000000002</v>
      </c>
      <c r="G748">
        <v>0.29578199999999999</v>
      </c>
    </row>
    <row r="749" spans="1:7">
      <c r="A749" t="s">
        <v>144</v>
      </c>
      <c r="B749">
        <v>11</v>
      </c>
      <c r="C749">
        <v>33</v>
      </c>
      <c r="D749">
        <v>0.31617200000000001</v>
      </c>
      <c r="E749">
        <v>-0.43345400000000001</v>
      </c>
      <c r="F749">
        <v>0.26041399999999998</v>
      </c>
      <c r="G749">
        <v>4.1033E-2</v>
      </c>
    </row>
    <row r="750" spans="1:7">
      <c r="A750" t="s">
        <v>144</v>
      </c>
      <c r="B750">
        <v>11</v>
      </c>
      <c r="C750">
        <v>34</v>
      </c>
      <c r="D750">
        <v>0.31617200000000001</v>
      </c>
      <c r="E750">
        <v>0.77547500000000003</v>
      </c>
      <c r="F750">
        <v>7.0800000000000004E-3</v>
      </c>
      <c r="G750">
        <v>0.250025</v>
      </c>
    </row>
    <row r="751" spans="1:7">
      <c r="A751" t="s">
        <v>144</v>
      </c>
      <c r="B751">
        <v>11</v>
      </c>
      <c r="C751">
        <v>35</v>
      </c>
      <c r="D751">
        <v>0.31617200000000001</v>
      </c>
      <c r="E751">
        <v>-0.146092</v>
      </c>
      <c r="F751">
        <v>-0.35410599999999998</v>
      </c>
      <c r="G751">
        <v>-0.28833799999999998</v>
      </c>
    </row>
    <row r="752" spans="1:7">
      <c r="A752" t="s">
        <v>144</v>
      </c>
      <c r="B752">
        <v>11</v>
      </c>
      <c r="C752">
        <v>36</v>
      </c>
      <c r="D752">
        <v>0.31617200000000001</v>
      </c>
      <c r="E752">
        <v>-8.7436E-2</v>
      </c>
      <c r="F752">
        <v>-0.280221</v>
      </c>
      <c r="G752">
        <v>-0.21926799999999999</v>
      </c>
    </row>
    <row r="753" spans="1:7">
      <c r="A753" t="s">
        <v>144</v>
      </c>
      <c r="B753">
        <v>11</v>
      </c>
      <c r="C753">
        <v>37</v>
      </c>
      <c r="D753">
        <v>0.31617200000000001</v>
      </c>
      <c r="E753">
        <v>-0.76271900000000004</v>
      </c>
      <c r="F753">
        <v>-0.28348600000000002</v>
      </c>
      <c r="G753">
        <v>-0.435006</v>
      </c>
    </row>
    <row r="754" spans="1:7">
      <c r="A754" t="s">
        <v>144</v>
      </c>
      <c r="B754">
        <v>11</v>
      </c>
      <c r="C754">
        <v>38</v>
      </c>
      <c r="D754">
        <v>0.31617200000000001</v>
      </c>
      <c r="E754">
        <v>0.454237</v>
      </c>
      <c r="F754">
        <v>0.29755500000000001</v>
      </c>
      <c r="G754">
        <v>0.34709400000000001</v>
      </c>
    </row>
    <row r="755" spans="1:7">
      <c r="A755" t="s">
        <v>144</v>
      </c>
      <c r="B755">
        <v>11</v>
      </c>
      <c r="C755">
        <v>39</v>
      </c>
      <c r="D755">
        <v>0.31617200000000001</v>
      </c>
      <c r="E755">
        <v>0.27069900000000002</v>
      </c>
      <c r="F755">
        <v>4.2084999999999997E-2</v>
      </c>
      <c r="G755">
        <v>0.114366</v>
      </c>
    </row>
    <row r="756" spans="1:7">
      <c r="A756" t="s">
        <v>144</v>
      </c>
      <c r="B756">
        <v>11</v>
      </c>
      <c r="C756">
        <v>40</v>
      </c>
      <c r="D756">
        <v>0.31617200000000001</v>
      </c>
      <c r="E756">
        <v>-0.55275099999999999</v>
      </c>
      <c r="F756">
        <v>-8.7741E-2</v>
      </c>
      <c r="G756">
        <v>-0.234764</v>
      </c>
    </row>
    <row r="757" spans="1:7">
      <c r="A757" t="s">
        <v>144</v>
      </c>
      <c r="B757">
        <v>11</v>
      </c>
      <c r="C757">
        <v>41</v>
      </c>
      <c r="D757">
        <v>0.31617200000000001</v>
      </c>
      <c r="E757">
        <v>-0.87289000000000005</v>
      </c>
      <c r="F757">
        <v>-0.67021699999999995</v>
      </c>
      <c r="G757">
        <v>-0.73429699999999998</v>
      </c>
    </row>
    <row r="758" spans="1:7">
      <c r="A758" t="s">
        <v>144</v>
      </c>
      <c r="B758">
        <v>11</v>
      </c>
      <c r="C758">
        <v>42</v>
      </c>
      <c r="D758">
        <v>0.31617200000000001</v>
      </c>
      <c r="E758">
        <v>-0.20108599999999999</v>
      </c>
      <c r="F758">
        <v>5.3407000000000003E-2</v>
      </c>
      <c r="G758">
        <v>-2.7056E-2</v>
      </c>
    </row>
    <row r="759" spans="1:7">
      <c r="A759" t="s">
        <v>144</v>
      </c>
      <c r="B759">
        <v>11</v>
      </c>
      <c r="C759">
        <v>43</v>
      </c>
      <c r="D759">
        <v>0.31617200000000001</v>
      </c>
      <c r="E759">
        <v>-0.87072400000000005</v>
      </c>
      <c r="F759">
        <v>0.151952</v>
      </c>
      <c r="G759">
        <v>-0.17138900000000001</v>
      </c>
    </row>
    <row r="760" spans="1:7">
      <c r="A760" t="s">
        <v>144</v>
      </c>
      <c r="B760">
        <v>11</v>
      </c>
      <c r="C760">
        <v>44</v>
      </c>
      <c r="D760">
        <v>0.31617200000000001</v>
      </c>
      <c r="E760">
        <v>0.55940400000000001</v>
      </c>
      <c r="F760">
        <v>0.29505300000000001</v>
      </c>
      <c r="G760">
        <v>0.378633</v>
      </c>
    </row>
    <row r="761" spans="1:7">
      <c r="A761" t="s">
        <v>144</v>
      </c>
      <c r="B761">
        <v>11</v>
      </c>
      <c r="C761">
        <v>45</v>
      </c>
      <c r="D761">
        <v>0.31617200000000001</v>
      </c>
      <c r="E761">
        <v>0.72179300000000002</v>
      </c>
      <c r="F761">
        <v>0.58006500000000005</v>
      </c>
      <c r="G761">
        <v>0.62487599999999999</v>
      </c>
    </row>
    <row r="762" spans="1:7">
      <c r="A762" t="s">
        <v>144</v>
      </c>
      <c r="B762">
        <v>11</v>
      </c>
      <c r="C762">
        <v>46</v>
      </c>
      <c r="D762">
        <v>0.31617200000000001</v>
      </c>
      <c r="E762">
        <v>-0.89501600000000003</v>
      </c>
      <c r="F762">
        <v>-0.34296700000000002</v>
      </c>
      <c r="G762">
        <v>-0.517509</v>
      </c>
    </row>
    <row r="763" spans="1:7">
      <c r="A763" t="s">
        <v>144</v>
      </c>
      <c r="B763">
        <v>11</v>
      </c>
      <c r="C763">
        <v>47</v>
      </c>
      <c r="D763">
        <v>0.31617200000000001</v>
      </c>
      <c r="E763">
        <v>-0.176977</v>
      </c>
      <c r="F763">
        <v>-0.99417100000000003</v>
      </c>
      <c r="G763">
        <v>-0.73579700000000003</v>
      </c>
    </row>
    <row r="764" spans="1:7">
      <c r="A764" t="s">
        <v>144</v>
      </c>
      <c r="B764">
        <v>11</v>
      </c>
      <c r="C764">
        <v>48</v>
      </c>
      <c r="D764">
        <v>0.31617200000000001</v>
      </c>
      <c r="E764">
        <v>6.8484000000000003E-2</v>
      </c>
      <c r="F764">
        <v>0.95394800000000002</v>
      </c>
      <c r="G764">
        <v>0.67398899999999995</v>
      </c>
    </row>
    <row r="765" spans="1:7">
      <c r="A765" t="s">
        <v>144</v>
      </c>
      <c r="B765">
        <v>11</v>
      </c>
      <c r="C765">
        <v>49</v>
      </c>
      <c r="D765">
        <v>0.31617200000000001</v>
      </c>
      <c r="E765">
        <v>-0.90423299999999995</v>
      </c>
      <c r="F765">
        <v>0.79961499999999996</v>
      </c>
      <c r="G765">
        <v>0.260907</v>
      </c>
    </row>
    <row r="766" spans="1:7">
      <c r="A766" t="s">
        <v>144</v>
      </c>
      <c r="B766" t="s">
        <v>145</v>
      </c>
      <c r="C766">
        <v>12</v>
      </c>
    </row>
    <row r="767" spans="1:7">
      <c r="A767" t="s">
        <v>144</v>
      </c>
      <c r="B767" t="s">
        <v>146</v>
      </c>
      <c r="C767">
        <v>25</v>
      </c>
    </row>
    <row r="768" spans="1:7">
      <c r="A768" t="s">
        <v>144</v>
      </c>
      <c r="B768" t="s">
        <v>147</v>
      </c>
      <c r="C768">
        <v>25</v>
      </c>
    </row>
    <row r="769" spans="1:7">
      <c r="A769" t="s">
        <v>144</v>
      </c>
      <c r="B769" t="s">
        <v>148</v>
      </c>
      <c r="C769">
        <v>0.140294</v>
      </c>
    </row>
    <row r="770" spans="1:7">
      <c r="A770" t="s">
        <v>144</v>
      </c>
      <c r="B770" t="s">
        <v>149</v>
      </c>
      <c r="C770">
        <v>0.140294</v>
      </c>
    </row>
    <row r="771" spans="1:7">
      <c r="A771" t="s">
        <v>144</v>
      </c>
      <c r="B771" t="s">
        <v>150</v>
      </c>
      <c r="C771">
        <v>-1</v>
      </c>
    </row>
    <row r="772" spans="1:7">
      <c r="A772" t="s">
        <v>144</v>
      </c>
      <c r="B772" t="s">
        <v>151</v>
      </c>
      <c r="C772">
        <v>-1</v>
      </c>
    </row>
    <row r="773" spans="1:7">
      <c r="A773" t="s">
        <v>144</v>
      </c>
      <c r="B773" t="s">
        <v>152</v>
      </c>
      <c r="C773">
        <v>7</v>
      </c>
    </row>
    <row r="774" spans="1:7">
      <c r="A774" t="s">
        <v>144</v>
      </c>
      <c r="B774" t="s">
        <v>153</v>
      </c>
      <c r="C774">
        <v>7</v>
      </c>
    </row>
    <row r="775" spans="1:7">
      <c r="A775" t="s">
        <v>144</v>
      </c>
      <c r="B775" t="s">
        <v>154</v>
      </c>
      <c r="C775">
        <v>0</v>
      </c>
    </row>
    <row r="776" spans="1:7">
      <c r="A776" t="s">
        <v>144</v>
      </c>
      <c r="B776" t="s">
        <v>155</v>
      </c>
    </row>
    <row r="777" spans="1:7">
      <c r="A777" t="s">
        <v>144</v>
      </c>
      <c r="B777" t="s">
        <v>150</v>
      </c>
      <c r="C777">
        <v>0.34727000000000002</v>
      </c>
    </row>
    <row r="778" spans="1:7">
      <c r="A778" t="s">
        <v>144</v>
      </c>
      <c r="B778" t="s">
        <v>151</v>
      </c>
      <c r="C778">
        <v>0.34727000000000002</v>
      </c>
    </row>
    <row r="779" spans="1:7">
      <c r="A779" t="s">
        <v>144</v>
      </c>
      <c r="B779" t="s">
        <v>156</v>
      </c>
      <c r="C779" t="s">
        <v>157</v>
      </c>
      <c r="D779" t="s">
        <v>63</v>
      </c>
      <c r="E779" t="s">
        <v>158</v>
      </c>
      <c r="F779" t="s">
        <v>159</v>
      </c>
      <c r="G779" t="s">
        <v>160</v>
      </c>
    </row>
    <row r="780" spans="1:7">
      <c r="A780" t="s">
        <v>144</v>
      </c>
      <c r="B780">
        <v>12</v>
      </c>
      <c r="C780">
        <v>0</v>
      </c>
      <c r="D780">
        <v>0.34727000000000002</v>
      </c>
      <c r="E780">
        <v>-0.77385800000000005</v>
      </c>
      <c r="F780">
        <v>-1</v>
      </c>
      <c r="G780">
        <v>-0.77385800000000005</v>
      </c>
    </row>
    <row r="781" spans="1:7">
      <c r="A781" t="s">
        <v>144</v>
      </c>
      <c r="B781">
        <v>12</v>
      </c>
      <c r="C781">
        <v>1</v>
      </c>
      <c r="D781">
        <v>0.34727000000000002</v>
      </c>
      <c r="E781">
        <v>0.289468</v>
      </c>
      <c r="F781">
        <v>-1</v>
      </c>
      <c r="G781">
        <v>0.289468</v>
      </c>
    </row>
    <row r="782" spans="1:7">
      <c r="A782" t="s">
        <v>144</v>
      </c>
      <c r="B782">
        <v>12</v>
      </c>
      <c r="C782">
        <v>2</v>
      </c>
      <c r="D782">
        <v>0.34727000000000002</v>
      </c>
      <c r="E782">
        <v>-0.78112099999999995</v>
      </c>
      <c r="F782">
        <v>-1</v>
      </c>
      <c r="G782">
        <v>-0.78112099999999995</v>
      </c>
    </row>
    <row r="783" spans="1:7">
      <c r="A783" t="s">
        <v>144</v>
      </c>
      <c r="B783">
        <v>12</v>
      </c>
      <c r="C783">
        <v>3</v>
      </c>
      <c r="D783">
        <v>0.34727000000000002</v>
      </c>
      <c r="E783">
        <v>0.49623099999999998</v>
      </c>
      <c r="F783">
        <v>-1</v>
      </c>
      <c r="G783">
        <v>0.49623099999999998</v>
      </c>
    </row>
    <row r="784" spans="1:7">
      <c r="A784" t="s">
        <v>144</v>
      </c>
      <c r="B784">
        <v>12</v>
      </c>
      <c r="C784">
        <v>4</v>
      </c>
      <c r="D784">
        <v>0.34727000000000002</v>
      </c>
      <c r="E784">
        <v>-0.205206</v>
      </c>
      <c r="F784">
        <v>-1</v>
      </c>
      <c r="G784">
        <v>-0.205206</v>
      </c>
    </row>
    <row r="785" spans="1:7">
      <c r="A785" t="s">
        <v>144</v>
      </c>
      <c r="B785">
        <v>12</v>
      </c>
      <c r="C785">
        <v>5</v>
      </c>
      <c r="D785">
        <v>0.34727000000000002</v>
      </c>
      <c r="E785">
        <v>0.98391700000000004</v>
      </c>
      <c r="F785">
        <v>-1</v>
      </c>
      <c r="G785">
        <v>0.98391700000000004</v>
      </c>
    </row>
    <row r="786" spans="1:7">
      <c r="A786" t="s">
        <v>144</v>
      </c>
      <c r="B786">
        <v>12</v>
      </c>
      <c r="C786">
        <v>6</v>
      </c>
      <c r="D786">
        <v>0.34727000000000002</v>
      </c>
      <c r="E786">
        <v>4.4588000000000003E-2</v>
      </c>
      <c r="F786">
        <v>-1</v>
      </c>
      <c r="G786">
        <v>4.4588000000000003E-2</v>
      </c>
    </row>
    <row r="787" spans="1:7">
      <c r="A787" t="s">
        <v>144</v>
      </c>
      <c r="B787">
        <v>12</v>
      </c>
      <c r="C787">
        <v>7</v>
      </c>
      <c r="D787">
        <v>0.34727000000000002</v>
      </c>
      <c r="E787">
        <v>0.31711800000000001</v>
      </c>
      <c r="F787">
        <v>-0.57988200000000001</v>
      </c>
      <c r="G787">
        <v>-0.26838099999999998</v>
      </c>
    </row>
    <row r="788" spans="1:7">
      <c r="A788" t="s">
        <v>144</v>
      </c>
      <c r="B788">
        <v>12</v>
      </c>
      <c r="C788">
        <v>8</v>
      </c>
      <c r="D788">
        <v>0.34727000000000002</v>
      </c>
      <c r="E788">
        <v>-0.59285299999999996</v>
      </c>
      <c r="F788">
        <v>-0.29673100000000002</v>
      </c>
      <c r="G788">
        <v>-0.399565</v>
      </c>
    </row>
    <row r="789" spans="1:7">
      <c r="A789" t="s">
        <v>144</v>
      </c>
      <c r="B789">
        <v>12</v>
      </c>
      <c r="C789">
        <v>9</v>
      </c>
      <c r="D789">
        <v>0.34727000000000002</v>
      </c>
      <c r="E789">
        <v>4.5777999999999999E-2</v>
      </c>
      <c r="F789">
        <v>-0.119907</v>
      </c>
      <c r="G789">
        <v>-6.2370000000000002E-2</v>
      </c>
    </row>
    <row r="790" spans="1:7">
      <c r="A790" t="s">
        <v>144</v>
      </c>
      <c r="B790">
        <v>12</v>
      </c>
      <c r="C790">
        <v>10</v>
      </c>
      <c r="D790">
        <v>0.34727000000000002</v>
      </c>
      <c r="E790">
        <v>0.963897</v>
      </c>
      <c r="F790">
        <v>0.47172500000000001</v>
      </c>
      <c r="G790">
        <v>0.64264100000000002</v>
      </c>
    </row>
    <row r="791" spans="1:7">
      <c r="A791" t="s">
        <v>144</v>
      </c>
      <c r="B791">
        <v>12</v>
      </c>
      <c r="C791">
        <v>11</v>
      </c>
      <c r="D791">
        <v>0.34727000000000002</v>
      </c>
      <c r="E791">
        <v>0.68019700000000005</v>
      </c>
      <c r="F791">
        <v>0.50324999999999998</v>
      </c>
      <c r="G791">
        <v>0.56469800000000003</v>
      </c>
    </row>
    <row r="792" spans="1:7">
      <c r="A792" t="s">
        <v>144</v>
      </c>
      <c r="B792">
        <v>12</v>
      </c>
      <c r="C792">
        <v>12</v>
      </c>
      <c r="D792">
        <v>0.34727000000000002</v>
      </c>
      <c r="E792">
        <v>0.11877799999999999</v>
      </c>
      <c r="F792">
        <v>-0.98568699999999998</v>
      </c>
      <c r="G792">
        <v>-0.60213899999999998</v>
      </c>
    </row>
    <row r="793" spans="1:7">
      <c r="A793" t="s">
        <v>144</v>
      </c>
      <c r="B793">
        <v>12</v>
      </c>
      <c r="C793">
        <v>13</v>
      </c>
      <c r="D793">
        <v>0.34727000000000002</v>
      </c>
      <c r="E793">
        <v>0.18390500000000001</v>
      </c>
      <c r="F793">
        <v>-0.80620700000000001</v>
      </c>
      <c r="G793">
        <v>-0.46237099999999998</v>
      </c>
    </row>
    <row r="794" spans="1:7">
      <c r="A794" t="s">
        <v>144</v>
      </c>
      <c r="B794">
        <v>12</v>
      </c>
      <c r="C794">
        <v>14</v>
      </c>
      <c r="D794">
        <v>0.34727000000000002</v>
      </c>
      <c r="E794">
        <v>0.55116399999999999</v>
      </c>
      <c r="F794">
        <v>-0.72173200000000004</v>
      </c>
      <c r="G794">
        <v>-0.27969300000000002</v>
      </c>
    </row>
    <row r="795" spans="1:7">
      <c r="A795" t="s">
        <v>144</v>
      </c>
      <c r="B795">
        <v>12</v>
      </c>
      <c r="C795">
        <v>15</v>
      </c>
      <c r="D795">
        <v>0.34727000000000002</v>
      </c>
      <c r="E795">
        <v>0.39045400000000002</v>
      </c>
      <c r="F795">
        <v>0.74352200000000002</v>
      </c>
      <c r="G795">
        <v>0.62091200000000002</v>
      </c>
    </row>
    <row r="796" spans="1:7">
      <c r="A796" t="s">
        <v>144</v>
      </c>
      <c r="B796">
        <v>12</v>
      </c>
      <c r="C796">
        <v>16</v>
      </c>
      <c r="D796">
        <v>0.34727000000000002</v>
      </c>
      <c r="E796">
        <v>0.28653800000000001</v>
      </c>
      <c r="F796">
        <v>-1.2024E-2</v>
      </c>
      <c r="G796">
        <v>9.1658000000000003E-2</v>
      </c>
    </row>
    <row r="797" spans="1:7">
      <c r="A797" t="s">
        <v>144</v>
      </c>
      <c r="B797">
        <v>12</v>
      </c>
      <c r="C797">
        <v>17</v>
      </c>
      <c r="D797">
        <v>0.34727000000000002</v>
      </c>
      <c r="E797">
        <v>-0.24982499999999999</v>
      </c>
      <c r="F797">
        <v>0.399426</v>
      </c>
      <c r="G797">
        <v>0.173961</v>
      </c>
    </row>
    <row r="798" spans="1:7">
      <c r="A798" t="s">
        <v>144</v>
      </c>
      <c r="B798">
        <v>12</v>
      </c>
      <c r="C798">
        <v>18</v>
      </c>
      <c r="D798">
        <v>0.34727000000000002</v>
      </c>
      <c r="E798">
        <v>-0.35294700000000001</v>
      </c>
      <c r="F798">
        <v>0.46754400000000002</v>
      </c>
      <c r="G798">
        <v>0.182612</v>
      </c>
    </row>
    <row r="799" spans="1:7">
      <c r="A799" t="s">
        <v>144</v>
      </c>
      <c r="B799">
        <v>12</v>
      </c>
      <c r="C799">
        <v>19</v>
      </c>
      <c r="D799">
        <v>0.34727000000000002</v>
      </c>
      <c r="E799">
        <v>-0.31171599999999999</v>
      </c>
      <c r="F799">
        <v>-0.94515800000000005</v>
      </c>
      <c r="G799">
        <v>-0.72518300000000002</v>
      </c>
    </row>
    <row r="800" spans="1:7">
      <c r="A800" t="s">
        <v>144</v>
      </c>
      <c r="B800">
        <v>12</v>
      </c>
      <c r="C800">
        <v>20</v>
      </c>
      <c r="D800">
        <v>0.34727000000000002</v>
      </c>
      <c r="E800">
        <v>-0.378002</v>
      </c>
      <c r="F800">
        <v>0.68459099999999995</v>
      </c>
      <c r="G800">
        <v>0.31558399999999998</v>
      </c>
    </row>
    <row r="801" spans="1:7">
      <c r="A801" t="s">
        <v>144</v>
      </c>
      <c r="B801">
        <v>12</v>
      </c>
      <c r="C801">
        <v>21</v>
      </c>
      <c r="D801">
        <v>0.34727000000000002</v>
      </c>
      <c r="E801">
        <v>-0.351024</v>
      </c>
      <c r="F801">
        <v>-0.24878700000000001</v>
      </c>
      <c r="G801">
        <v>-0.28429100000000002</v>
      </c>
    </row>
    <row r="802" spans="1:7">
      <c r="A802" t="s">
        <v>144</v>
      </c>
      <c r="B802">
        <v>12</v>
      </c>
      <c r="C802">
        <v>22</v>
      </c>
      <c r="D802">
        <v>0.34727000000000002</v>
      </c>
      <c r="E802">
        <v>0.46955799999999998</v>
      </c>
      <c r="F802">
        <v>-0.98477099999999995</v>
      </c>
      <c r="G802">
        <v>-0.47972599999999999</v>
      </c>
    </row>
    <row r="803" spans="1:7">
      <c r="A803" t="s">
        <v>144</v>
      </c>
      <c r="B803">
        <v>12</v>
      </c>
      <c r="C803">
        <v>23</v>
      </c>
      <c r="D803">
        <v>0.34727000000000002</v>
      </c>
      <c r="E803">
        <v>0.54228299999999996</v>
      </c>
      <c r="F803">
        <v>-0.78417300000000001</v>
      </c>
      <c r="G803">
        <v>-0.32353399999999999</v>
      </c>
    </row>
    <row r="804" spans="1:7">
      <c r="A804" t="s">
        <v>144</v>
      </c>
      <c r="B804">
        <v>12</v>
      </c>
      <c r="C804">
        <v>24</v>
      </c>
      <c r="D804">
        <v>0.34727000000000002</v>
      </c>
      <c r="E804">
        <v>3.5524E-2</v>
      </c>
      <c r="F804">
        <v>0.84438599999999997</v>
      </c>
      <c r="G804">
        <v>0.56349199999999999</v>
      </c>
    </row>
    <row r="805" spans="1:7">
      <c r="A805" t="s">
        <v>144</v>
      </c>
      <c r="B805">
        <v>12</v>
      </c>
      <c r="C805">
        <v>25</v>
      </c>
      <c r="D805">
        <v>0.34727000000000002</v>
      </c>
      <c r="E805">
        <v>8.9235999999999996E-2</v>
      </c>
      <c r="F805">
        <v>-0.74465199999999998</v>
      </c>
      <c r="G805">
        <v>-0.455067</v>
      </c>
    </row>
    <row r="806" spans="1:7">
      <c r="A806" t="s">
        <v>144</v>
      </c>
      <c r="B806">
        <v>12</v>
      </c>
      <c r="C806">
        <v>26</v>
      </c>
      <c r="D806">
        <v>0.34727000000000002</v>
      </c>
      <c r="E806">
        <v>0.69969800000000004</v>
      </c>
      <c r="F806">
        <v>-0.16925599999999999</v>
      </c>
      <c r="G806">
        <v>0.13250600000000001</v>
      </c>
    </row>
    <row r="807" spans="1:7">
      <c r="A807" t="s">
        <v>144</v>
      </c>
      <c r="B807">
        <v>12</v>
      </c>
      <c r="C807">
        <v>27</v>
      </c>
      <c r="D807">
        <v>0.34727000000000002</v>
      </c>
      <c r="E807">
        <v>-0.71572000000000002</v>
      </c>
      <c r="F807">
        <v>0.76857799999999998</v>
      </c>
      <c r="G807">
        <v>0.25312600000000002</v>
      </c>
    </row>
    <row r="808" spans="1:7">
      <c r="A808" t="s">
        <v>144</v>
      </c>
      <c r="B808">
        <v>12</v>
      </c>
      <c r="C808">
        <v>28</v>
      </c>
      <c r="D808">
        <v>0.34727000000000002</v>
      </c>
      <c r="E808">
        <v>0.96908499999999997</v>
      </c>
      <c r="F808">
        <v>7.1931999999999996E-2</v>
      </c>
      <c r="G808">
        <v>0.38348599999999999</v>
      </c>
    </row>
    <row r="809" spans="1:7">
      <c r="A809" t="s">
        <v>144</v>
      </c>
      <c r="B809">
        <v>12</v>
      </c>
      <c r="C809">
        <v>29</v>
      </c>
      <c r="D809">
        <v>0.34727000000000002</v>
      </c>
      <c r="E809">
        <v>-0.92385600000000001</v>
      </c>
      <c r="F809">
        <v>0.18176800000000001</v>
      </c>
      <c r="G809">
        <v>-0.202182</v>
      </c>
    </row>
    <row r="810" spans="1:7">
      <c r="A810" t="s">
        <v>144</v>
      </c>
      <c r="B810">
        <v>12</v>
      </c>
      <c r="C810">
        <v>30</v>
      </c>
      <c r="D810">
        <v>0.34727000000000002</v>
      </c>
      <c r="E810">
        <v>0.80996100000000004</v>
      </c>
      <c r="F810">
        <v>-0.30668099999999998</v>
      </c>
      <c r="G810">
        <v>8.1096000000000001E-2</v>
      </c>
    </row>
    <row r="811" spans="1:7">
      <c r="A811" t="s">
        <v>144</v>
      </c>
      <c r="B811">
        <v>12</v>
      </c>
      <c r="C811">
        <v>31</v>
      </c>
      <c r="D811">
        <v>0.34727000000000002</v>
      </c>
      <c r="E811">
        <v>0.426618</v>
      </c>
      <c r="F811">
        <v>-0.16440299999999999</v>
      </c>
      <c r="G811">
        <v>4.0841000000000002E-2</v>
      </c>
    </row>
    <row r="812" spans="1:7">
      <c r="A812" t="s">
        <v>144</v>
      </c>
      <c r="B812">
        <v>12</v>
      </c>
      <c r="C812">
        <v>32</v>
      </c>
      <c r="D812">
        <v>0.34727000000000002</v>
      </c>
      <c r="E812">
        <v>-0.788018</v>
      </c>
      <c r="F812">
        <v>-1.9196000000000001E-2</v>
      </c>
      <c r="G812">
        <v>-0.28618500000000002</v>
      </c>
    </row>
    <row r="813" spans="1:7">
      <c r="A813" t="s">
        <v>144</v>
      </c>
      <c r="B813">
        <v>12</v>
      </c>
      <c r="C813">
        <v>33</v>
      </c>
      <c r="D813">
        <v>0.34727000000000002</v>
      </c>
      <c r="E813">
        <v>-0.65993199999999996</v>
      </c>
      <c r="F813">
        <v>-0.74758100000000005</v>
      </c>
      <c r="G813">
        <v>-0.71714299999999997</v>
      </c>
    </row>
    <row r="814" spans="1:7">
      <c r="A814" t="s">
        <v>144</v>
      </c>
      <c r="B814">
        <v>12</v>
      </c>
      <c r="C814">
        <v>34</v>
      </c>
      <c r="D814">
        <v>0.34727000000000002</v>
      </c>
      <c r="E814">
        <v>0.92935000000000001</v>
      </c>
      <c r="F814">
        <v>0.96697900000000003</v>
      </c>
      <c r="G814">
        <v>0.95391099999999995</v>
      </c>
    </row>
    <row r="815" spans="1:7">
      <c r="A815" t="s">
        <v>144</v>
      </c>
      <c r="B815">
        <v>12</v>
      </c>
      <c r="C815">
        <v>35</v>
      </c>
      <c r="D815">
        <v>0.34727000000000002</v>
      </c>
      <c r="E815">
        <v>0.78145699999999996</v>
      </c>
      <c r="F815">
        <v>-4.6387999999999999E-2</v>
      </c>
      <c r="G815">
        <v>0.24109800000000001</v>
      </c>
    </row>
    <row r="816" spans="1:7">
      <c r="A816" t="s">
        <v>144</v>
      </c>
      <c r="B816">
        <v>12</v>
      </c>
      <c r="C816">
        <v>36</v>
      </c>
      <c r="D816">
        <v>0.34727000000000002</v>
      </c>
      <c r="E816">
        <v>0.95834200000000003</v>
      </c>
      <c r="F816">
        <v>0.86651199999999995</v>
      </c>
      <c r="G816">
        <v>0.89840200000000003</v>
      </c>
    </row>
    <row r="817" spans="1:7">
      <c r="A817" t="s">
        <v>144</v>
      </c>
      <c r="B817">
        <v>12</v>
      </c>
      <c r="C817">
        <v>37</v>
      </c>
      <c r="D817">
        <v>0.34727000000000002</v>
      </c>
      <c r="E817">
        <v>-6.1707999999999999E-2</v>
      </c>
      <c r="F817">
        <v>0.635548</v>
      </c>
      <c r="G817">
        <v>0.39341199999999998</v>
      </c>
    </row>
    <row r="818" spans="1:7">
      <c r="A818" t="s">
        <v>144</v>
      </c>
      <c r="B818">
        <v>12</v>
      </c>
      <c r="C818">
        <v>38</v>
      </c>
      <c r="D818">
        <v>0.34727000000000002</v>
      </c>
      <c r="E818">
        <v>6.8789000000000003E-2</v>
      </c>
      <c r="F818">
        <v>2.3834999999999999E-2</v>
      </c>
      <c r="G818">
        <v>3.9446000000000002E-2</v>
      </c>
    </row>
    <row r="819" spans="1:7">
      <c r="A819" t="s">
        <v>144</v>
      </c>
      <c r="B819">
        <v>12</v>
      </c>
      <c r="C819">
        <v>39</v>
      </c>
      <c r="D819">
        <v>0.34727000000000002</v>
      </c>
      <c r="E819">
        <v>-7.4313000000000004E-2</v>
      </c>
      <c r="F819">
        <v>0.473769</v>
      </c>
      <c r="G819">
        <v>0.28343699999999999</v>
      </c>
    </row>
    <row r="820" spans="1:7">
      <c r="A820" t="s">
        <v>144</v>
      </c>
      <c r="B820">
        <v>12</v>
      </c>
      <c r="C820">
        <v>40</v>
      </c>
      <c r="D820">
        <v>0.34727000000000002</v>
      </c>
      <c r="E820">
        <v>0.88463999999999998</v>
      </c>
      <c r="F820">
        <v>-0.90463000000000005</v>
      </c>
      <c r="G820">
        <v>-0.28327000000000002</v>
      </c>
    </row>
    <row r="821" spans="1:7">
      <c r="A821" t="s">
        <v>144</v>
      </c>
      <c r="B821">
        <v>12</v>
      </c>
      <c r="C821">
        <v>41</v>
      </c>
      <c r="D821">
        <v>0.34727000000000002</v>
      </c>
      <c r="E821">
        <v>-0.59089899999999995</v>
      </c>
      <c r="F821">
        <v>0.28333399999999997</v>
      </c>
      <c r="G821">
        <v>-2.0261000000000001E-2</v>
      </c>
    </row>
    <row r="822" spans="1:7">
      <c r="A822" t="s">
        <v>144</v>
      </c>
      <c r="B822">
        <v>12</v>
      </c>
      <c r="C822">
        <v>42</v>
      </c>
      <c r="D822">
        <v>0.34727000000000002</v>
      </c>
      <c r="E822">
        <v>-0.76589300000000005</v>
      </c>
      <c r="F822">
        <v>-0.79949300000000001</v>
      </c>
      <c r="G822">
        <v>-0.787825</v>
      </c>
    </row>
    <row r="823" spans="1:7">
      <c r="A823" t="s">
        <v>144</v>
      </c>
      <c r="B823">
        <v>12</v>
      </c>
      <c r="C823">
        <v>43</v>
      </c>
      <c r="D823">
        <v>0.34727000000000002</v>
      </c>
      <c r="E823">
        <v>-0.58772500000000005</v>
      </c>
      <c r="F823">
        <v>-0.79100899999999996</v>
      </c>
      <c r="G823">
        <v>-0.72041500000000003</v>
      </c>
    </row>
    <row r="824" spans="1:7">
      <c r="A824" t="s">
        <v>144</v>
      </c>
      <c r="B824">
        <v>12</v>
      </c>
      <c r="C824">
        <v>44</v>
      </c>
      <c r="D824">
        <v>0.34727000000000002</v>
      </c>
      <c r="E824">
        <v>0.11713</v>
      </c>
      <c r="F824">
        <v>0.24188999999999999</v>
      </c>
      <c r="G824">
        <v>0.19856399999999999</v>
      </c>
    </row>
    <row r="825" spans="1:7">
      <c r="A825" t="s">
        <v>144</v>
      </c>
      <c r="B825">
        <v>12</v>
      </c>
      <c r="C825">
        <v>45</v>
      </c>
      <c r="D825">
        <v>0.34727000000000002</v>
      </c>
      <c r="E825">
        <v>-0.26969199999999999</v>
      </c>
      <c r="F825">
        <v>-0.736259</v>
      </c>
      <c r="G825">
        <v>-0.57423400000000002</v>
      </c>
    </row>
    <row r="826" spans="1:7">
      <c r="A826" t="s">
        <v>144</v>
      </c>
      <c r="B826">
        <v>12</v>
      </c>
      <c r="C826">
        <v>46</v>
      </c>
      <c r="D826">
        <v>0.34727000000000002</v>
      </c>
      <c r="E826">
        <v>-0.85399899999999995</v>
      </c>
      <c r="F826">
        <v>0.333872</v>
      </c>
      <c r="G826">
        <v>-7.8640000000000002E-2</v>
      </c>
    </row>
    <row r="827" spans="1:7">
      <c r="A827" t="s">
        <v>144</v>
      </c>
      <c r="B827">
        <v>12</v>
      </c>
      <c r="C827">
        <v>47</v>
      </c>
      <c r="D827">
        <v>0.34727000000000002</v>
      </c>
      <c r="E827">
        <v>-0.51829599999999998</v>
      </c>
      <c r="F827">
        <v>-5.3651999999999998E-2</v>
      </c>
      <c r="G827">
        <v>-0.21500900000000001</v>
      </c>
    </row>
    <row r="828" spans="1:7">
      <c r="A828" t="s">
        <v>144</v>
      </c>
      <c r="B828">
        <v>12</v>
      </c>
      <c r="C828">
        <v>48</v>
      </c>
      <c r="D828">
        <v>0.34727000000000002</v>
      </c>
      <c r="E828">
        <v>0.68373700000000004</v>
      </c>
      <c r="F828">
        <v>0.63624999999999998</v>
      </c>
      <c r="G828">
        <v>0.65274100000000002</v>
      </c>
    </row>
    <row r="829" spans="1:7">
      <c r="A829" t="s">
        <v>144</v>
      </c>
      <c r="B829">
        <v>12</v>
      </c>
      <c r="C829">
        <v>49</v>
      </c>
      <c r="D829">
        <v>0.34727000000000002</v>
      </c>
      <c r="E829">
        <v>-0.66942400000000002</v>
      </c>
      <c r="F829">
        <v>0.13528899999999999</v>
      </c>
      <c r="G829">
        <v>-0.14416399999999999</v>
      </c>
    </row>
    <row r="830" spans="1:7">
      <c r="A830" t="s">
        <v>144</v>
      </c>
      <c r="B830" t="s">
        <v>145</v>
      </c>
      <c r="C830">
        <v>13</v>
      </c>
    </row>
    <row r="831" spans="1:7">
      <c r="A831" t="s">
        <v>144</v>
      </c>
      <c r="B831" t="s">
        <v>146</v>
      </c>
      <c r="C831">
        <v>94</v>
      </c>
    </row>
    <row r="832" spans="1:7">
      <c r="A832" t="s">
        <v>144</v>
      </c>
      <c r="B832" t="s">
        <v>147</v>
      </c>
      <c r="C832">
        <v>94</v>
      </c>
    </row>
    <row r="833" spans="1:7">
      <c r="A833" t="s">
        <v>144</v>
      </c>
      <c r="B833" t="s">
        <v>148</v>
      </c>
      <c r="C833">
        <v>0.36906</v>
      </c>
    </row>
    <row r="834" spans="1:7">
      <c r="A834" t="s">
        <v>144</v>
      </c>
      <c r="B834" t="s">
        <v>149</v>
      </c>
      <c r="C834">
        <v>0.36906</v>
      </c>
    </row>
    <row r="835" spans="1:7">
      <c r="A835" t="s">
        <v>144</v>
      </c>
      <c r="B835" t="s">
        <v>150</v>
      </c>
      <c r="C835">
        <v>-1</v>
      </c>
    </row>
    <row r="836" spans="1:7">
      <c r="A836" t="s">
        <v>144</v>
      </c>
      <c r="B836" t="s">
        <v>151</v>
      </c>
      <c r="C836">
        <v>-1</v>
      </c>
    </row>
    <row r="837" spans="1:7">
      <c r="A837" t="s">
        <v>144</v>
      </c>
      <c r="B837" t="s">
        <v>152</v>
      </c>
      <c r="C837">
        <v>10</v>
      </c>
    </row>
    <row r="838" spans="1:7">
      <c r="A838" t="s">
        <v>144</v>
      </c>
      <c r="B838" t="s">
        <v>153</v>
      </c>
      <c r="C838">
        <v>10</v>
      </c>
    </row>
    <row r="839" spans="1:7">
      <c r="A839" t="s">
        <v>144</v>
      </c>
      <c r="B839" t="s">
        <v>154</v>
      </c>
      <c r="C839">
        <v>0</v>
      </c>
    </row>
    <row r="840" spans="1:7">
      <c r="A840" t="s">
        <v>144</v>
      </c>
      <c r="B840" t="s">
        <v>155</v>
      </c>
    </row>
    <row r="841" spans="1:7">
      <c r="A841" t="s">
        <v>144</v>
      </c>
      <c r="B841" t="s">
        <v>150</v>
      </c>
      <c r="C841">
        <v>0.45277299999999998</v>
      </c>
    </row>
    <row r="842" spans="1:7">
      <c r="A842" t="s">
        <v>144</v>
      </c>
      <c r="B842" t="s">
        <v>151</v>
      </c>
      <c r="C842">
        <v>0.45277299999999998</v>
      </c>
    </row>
    <row r="843" spans="1:7">
      <c r="A843" t="s">
        <v>144</v>
      </c>
      <c r="B843" t="s">
        <v>156</v>
      </c>
      <c r="C843" t="s">
        <v>157</v>
      </c>
      <c r="D843" t="s">
        <v>63</v>
      </c>
      <c r="E843" t="s">
        <v>158</v>
      </c>
      <c r="F843" t="s">
        <v>159</v>
      </c>
      <c r="G843" t="s">
        <v>160</v>
      </c>
    </row>
    <row r="844" spans="1:7">
      <c r="A844" t="s">
        <v>144</v>
      </c>
      <c r="B844">
        <v>13</v>
      </c>
      <c r="C844">
        <v>0</v>
      </c>
      <c r="D844">
        <v>0.45277299999999998</v>
      </c>
      <c r="E844">
        <v>-0.99594099999999997</v>
      </c>
      <c r="F844">
        <v>-1</v>
      </c>
      <c r="G844">
        <v>-0.99594099999999997</v>
      </c>
    </row>
    <row r="845" spans="1:7">
      <c r="A845" t="s">
        <v>144</v>
      </c>
      <c r="B845">
        <v>13</v>
      </c>
      <c r="C845">
        <v>1</v>
      </c>
      <c r="D845">
        <v>0.45277299999999998</v>
      </c>
      <c r="E845">
        <v>0.400586</v>
      </c>
      <c r="F845">
        <v>-1</v>
      </c>
      <c r="G845">
        <v>0.400586</v>
      </c>
    </row>
    <row r="846" spans="1:7">
      <c r="A846" t="s">
        <v>144</v>
      </c>
      <c r="B846">
        <v>13</v>
      </c>
      <c r="C846">
        <v>2</v>
      </c>
      <c r="D846">
        <v>0.45277299999999998</v>
      </c>
      <c r="E846">
        <v>0.77037900000000004</v>
      </c>
      <c r="F846">
        <v>-1</v>
      </c>
      <c r="G846">
        <v>0.77037900000000004</v>
      </c>
    </row>
    <row r="847" spans="1:7">
      <c r="A847" t="s">
        <v>144</v>
      </c>
      <c r="B847">
        <v>13</v>
      </c>
      <c r="C847">
        <v>3</v>
      </c>
      <c r="D847">
        <v>0.45277299999999998</v>
      </c>
      <c r="E847">
        <v>8.9510999999999993E-2</v>
      </c>
      <c r="F847">
        <v>-1</v>
      </c>
      <c r="G847">
        <v>8.9510999999999993E-2</v>
      </c>
    </row>
    <row r="848" spans="1:7">
      <c r="A848" t="s">
        <v>144</v>
      </c>
      <c r="B848">
        <v>13</v>
      </c>
      <c r="C848">
        <v>4</v>
      </c>
      <c r="D848">
        <v>0.45277299999999998</v>
      </c>
      <c r="E848">
        <v>0.85598300000000005</v>
      </c>
      <c r="F848">
        <v>-1</v>
      </c>
      <c r="G848">
        <v>0.85598300000000005</v>
      </c>
    </row>
    <row r="849" spans="1:7">
      <c r="A849" t="s">
        <v>144</v>
      </c>
      <c r="B849">
        <v>13</v>
      </c>
      <c r="C849">
        <v>5</v>
      </c>
      <c r="D849">
        <v>0.45277299999999998</v>
      </c>
      <c r="E849">
        <v>0.55442999999999998</v>
      </c>
      <c r="F849">
        <v>-1</v>
      </c>
      <c r="G849">
        <v>0.55442999999999998</v>
      </c>
    </row>
    <row r="850" spans="1:7">
      <c r="A850" t="s">
        <v>144</v>
      </c>
      <c r="B850">
        <v>13</v>
      </c>
      <c r="C850">
        <v>6</v>
      </c>
      <c r="D850">
        <v>0.45277299999999998</v>
      </c>
      <c r="E850">
        <v>-0.82906599999999997</v>
      </c>
      <c r="F850">
        <v>-1</v>
      </c>
      <c r="G850">
        <v>-0.82906599999999997</v>
      </c>
    </row>
    <row r="851" spans="1:7">
      <c r="A851" t="s">
        <v>144</v>
      </c>
      <c r="B851">
        <v>13</v>
      </c>
      <c r="C851">
        <v>7</v>
      </c>
      <c r="D851">
        <v>0.45277299999999998</v>
      </c>
      <c r="E851">
        <v>-0.264046</v>
      </c>
      <c r="F851">
        <v>-1</v>
      </c>
      <c r="G851">
        <v>-0.264046</v>
      </c>
    </row>
    <row r="852" spans="1:7">
      <c r="A852" t="s">
        <v>144</v>
      </c>
      <c r="B852">
        <v>13</v>
      </c>
      <c r="C852">
        <v>8</v>
      </c>
      <c r="D852">
        <v>0.45277299999999998</v>
      </c>
      <c r="E852">
        <v>-0.44840799999999997</v>
      </c>
      <c r="F852">
        <v>-1</v>
      </c>
      <c r="G852">
        <v>-0.44840799999999997</v>
      </c>
    </row>
    <row r="853" spans="1:7">
      <c r="A853" t="s">
        <v>144</v>
      </c>
      <c r="B853">
        <v>13</v>
      </c>
      <c r="C853">
        <v>9</v>
      </c>
      <c r="D853">
        <v>0.45277299999999998</v>
      </c>
      <c r="E853">
        <v>-0.90841400000000005</v>
      </c>
      <c r="F853">
        <v>-1</v>
      </c>
      <c r="G853">
        <v>-0.90841400000000005</v>
      </c>
    </row>
    <row r="854" spans="1:7">
      <c r="A854" t="s">
        <v>144</v>
      </c>
      <c r="B854">
        <v>13</v>
      </c>
      <c r="C854">
        <v>10</v>
      </c>
      <c r="D854">
        <v>0.45277299999999998</v>
      </c>
      <c r="E854">
        <v>0.66682900000000001</v>
      </c>
      <c r="F854">
        <v>0.47172500000000001</v>
      </c>
      <c r="G854">
        <v>0.56006299999999998</v>
      </c>
    </row>
    <row r="855" spans="1:7">
      <c r="A855" t="s">
        <v>144</v>
      </c>
      <c r="B855">
        <v>13</v>
      </c>
      <c r="C855">
        <v>11</v>
      </c>
      <c r="D855">
        <v>0.45277299999999998</v>
      </c>
      <c r="E855">
        <v>0.75075499999999995</v>
      </c>
      <c r="F855">
        <v>0.50324999999999998</v>
      </c>
      <c r="G855">
        <v>0.61531400000000003</v>
      </c>
    </row>
    <row r="856" spans="1:7">
      <c r="A856" t="s">
        <v>144</v>
      </c>
      <c r="B856">
        <v>13</v>
      </c>
      <c r="C856">
        <v>12</v>
      </c>
      <c r="D856">
        <v>0.45277299999999998</v>
      </c>
      <c r="E856">
        <v>5.0539000000000001E-2</v>
      </c>
      <c r="F856">
        <v>-0.98568699999999998</v>
      </c>
      <c r="G856">
        <v>-0.51651199999999997</v>
      </c>
    </row>
    <row r="857" spans="1:7">
      <c r="A857" t="s">
        <v>144</v>
      </c>
      <c r="B857">
        <v>13</v>
      </c>
      <c r="C857">
        <v>13</v>
      </c>
      <c r="D857">
        <v>0.45277299999999998</v>
      </c>
      <c r="E857">
        <v>0.65382899999999999</v>
      </c>
      <c r="F857">
        <v>-0.80620700000000001</v>
      </c>
      <c r="G857">
        <v>-0.14514299999999999</v>
      </c>
    </row>
    <row r="858" spans="1:7">
      <c r="A858" t="s">
        <v>144</v>
      </c>
      <c r="B858">
        <v>13</v>
      </c>
      <c r="C858">
        <v>14</v>
      </c>
      <c r="D858">
        <v>0.45277299999999998</v>
      </c>
      <c r="E858">
        <v>-0.26328299999999999</v>
      </c>
      <c r="F858">
        <v>-0.72173200000000004</v>
      </c>
      <c r="G858">
        <v>-0.51415900000000003</v>
      </c>
    </row>
    <row r="859" spans="1:7">
      <c r="A859" t="s">
        <v>144</v>
      </c>
      <c r="B859">
        <v>13</v>
      </c>
      <c r="C859">
        <v>15</v>
      </c>
      <c r="D859">
        <v>0.45277299999999998</v>
      </c>
      <c r="E859">
        <v>-0.68578099999999997</v>
      </c>
      <c r="F859">
        <v>0.74352200000000002</v>
      </c>
      <c r="G859">
        <v>9.6373E-2</v>
      </c>
    </row>
    <row r="860" spans="1:7">
      <c r="A860" t="s">
        <v>144</v>
      </c>
      <c r="B860">
        <v>13</v>
      </c>
      <c r="C860">
        <v>16</v>
      </c>
      <c r="D860">
        <v>0.45277299999999998</v>
      </c>
      <c r="E860">
        <v>-0.77095899999999995</v>
      </c>
      <c r="F860">
        <v>-1.2024E-2</v>
      </c>
      <c r="G860">
        <v>-0.35564899999999999</v>
      </c>
    </row>
    <row r="861" spans="1:7">
      <c r="A861" t="s">
        <v>144</v>
      </c>
      <c r="B861">
        <v>13</v>
      </c>
      <c r="C861">
        <v>17</v>
      </c>
      <c r="D861">
        <v>0.45277299999999998</v>
      </c>
      <c r="E861">
        <v>-0.71260699999999999</v>
      </c>
      <c r="F861">
        <v>0.399426</v>
      </c>
      <c r="G861">
        <v>-0.104072</v>
      </c>
    </row>
    <row r="862" spans="1:7">
      <c r="A862" t="s">
        <v>144</v>
      </c>
      <c r="B862">
        <v>13</v>
      </c>
      <c r="C862">
        <v>18</v>
      </c>
      <c r="D862">
        <v>0.45277299999999998</v>
      </c>
      <c r="E862">
        <v>0.423261</v>
      </c>
      <c r="F862">
        <v>0.46754400000000002</v>
      </c>
      <c r="G862">
        <v>0.447494</v>
      </c>
    </row>
    <row r="863" spans="1:7">
      <c r="A863" t="s">
        <v>144</v>
      </c>
      <c r="B863">
        <v>13</v>
      </c>
      <c r="C863">
        <v>19</v>
      </c>
      <c r="D863">
        <v>0.45277299999999998</v>
      </c>
      <c r="E863">
        <v>-0.88317500000000004</v>
      </c>
      <c r="F863">
        <v>-0.94515800000000005</v>
      </c>
      <c r="G863">
        <v>-0.91709399999999996</v>
      </c>
    </row>
    <row r="864" spans="1:7">
      <c r="A864" t="s">
        <v>144</v>
      </c>
      <c r="B864">
        <v>13</v>
      </c>
      <c r="C864">
        <v>20</v>
      </c>
      <c r="D864">
        <v>0.45277299999999998</v>
      </c>
      <c r="E864">
        <v>6.8758E-2</v>
      </c>
      <c r="F864">
        <v>0.68459099999999995</v>
      </c>
      <c r="G864">
        <v>0.40575899999999998</v>
      </c>
    </row>
    <row r="865" spans="1:7">
      <c r="A865" t="s">
        <v>144</v>
      </c>
      <c r="B865">
        <v>13</v>
      </c>
      <c r="C865">
        <v>21</v>
      </c>
      <c r="D865">
        <v>0.45277299999999998</v>
      </c>
      <c r="E865">
        <v>0.41297600000000001</v>
      </c>
      <c r="F865">
        <v>-0.24878700000000001</v>
      </c>
      <c r="G865">
        <v>5.0840999999999997E-2</v>
      </c>
    </row>
    <row r="866" spans="1:7">
      <c r="A866" t="s">
        <v>144</v>
      </c>
      <c r="B866">
        <v>13</v>
      </c>
      <c r="C866">
        <v>22</v>
      </c>
      <c r="D866">
        <v>0.45277299999999998</v>
      </c>
      <c r="E866">
        <v>0.85900399999999999</v>
      </c>
      <c r="F866">
        <v>-0.98477099999999995</v>
      </c>
      <c r="G866">
        <v>-0.14996000000000001</v>
      </c>
    </row>
    <row r="867" spans="1:7">
      <c r="A867" t="s">
        <v>144</v>
      </c>
      <c r="B867">
        <v>13</v>
      </c>
      <c r="C867">
        <v>23</v>
      </c>
      <c r="D867">
        <v>0.45277299999999998</v>
      </c>
      <c r="E867">
        <v>0.57310700000000003</v>
      </c>
      <c r="F867">
        <v>-0.78417300000000001</v>
      </c>
      <c r="G867">
        <v>-0.16963400000000001</v>
      </c>
    </row>
    <row r="868" spans="1:7">
      <c r="A868" t="s">
        <v>144</v>
      </c>
      <c r="B868">
        <v>13</v>
      </c>
      <c r="C868">
        <v>24</v>
      </c>
      <c r="D868">
        <v>0.45277299999999998</v>
      </c>
      <c r="E868">
        <v>0.398511</v>
      </c>
      <c r="F868">
        <v>0.84438599999999997</v>
      </c>
      <c r="G868">
        <v>0.64250600000000002</v>
      </c>
    </row>
    <row r="869" spans="1:7">
      <c r="A869" t="s">
        <v>144</v>
      </c>
      <c r="B869">
        <v>13</v>
      </c>
      <c r="C869">
        <v>25</v>
      </c>
      <c r="D869">
        <v>0.45277299999999998</v>
      </c>
      <c r="E869">
        <v>-0.29038399999999998</v>
      </c>
      <c r="F869">
        <v>-0.74465199999999998</v>
      </c>
      <c r="G869">
        <v>-0.53897099999999998</v>
      </c>
    </row>
    <row r="870" spans="1:7">
      <c r="A870" t="s">
        <v>144</v>
      </c>
      <c r="B870">
        <v>13</v>
      </c>
      <c r="C870">
        <v>26</v>
      </c>
      <c r="D870">
        <v>0.45277299999999998</v>
      </c>
      <c r="E870">
        <v>-0.39701500000000001</v>
      </c>
      <c r="F870">
        <v>-0.16925599999999999</v>
      </c>
      <c r="G870">
        <v>-0.27237899999999998</v>
      </c>
    </row>
    <row r="871" spans="1:7">
      <c r="A871" t="s">
        <v>144</v>
      </c>
      <c r="B871">
        <v>13</v>
      </c>
      <c r="C871">
        <v>27</v>
      </c>
      <c r="D871">
        <v>0.45277299999999998</v>
      </c>
      <c r="E871">
        <v>0.265206</v>
      </c>
      <c r="F871">
        <v>0.76857799999999998</v>
      </c>
      <c r="G871">
        <v>0.54066499999999995</v>
      </c>
    </row>
    <row r="872" spans="1:7">
      <c r="A872" t="s">
        <v>144</v>
      </c>
      <c r="B872">
        <v>13</v>
      </c>
      <c r="C872">
        <v>28</v>
      </c>
      <c r="D872">
        <v>0.45277299999999998</v>
      </c>
      <c r="E872">
        <v>0.97940000000000005</v>
      </c>
      <c r="F872">
        <v>7.1931999999999996E-2</v>
      </c>
      <c r="G872">
        <v>0.48280899999999999</v>
      </c>
    </row>
    <row r="873" spans="1:7">
      <c r="A873" t="s">
        <v>144</v>
      </c>
      <c r="B873">
        <v>13</v>
      </c>
      <c r="C873">
        <v>29</v>
      </c>
      <c r="D873">
        <v>0.45277299999999998</v>
      </c>
      <c r="E873">
        <v>-1.3184E-2</v>
      </c>
      <c r="F873">
        <v>0.18176800000000001</v>
      </c>
      <c r="G873">
        <v>9.3498999999999999E-2</v>
      </c>
    </row>
    <row r="874" spans="1:7">
      <c r="A874" t="s">
        <v>144</v>
      </c>
      <c r="B874">
        <v>13</v>
      </c>
      <c r="C874">
        <v>30</v>
      </c>
      <c r="D874">
        <v>0.45277299999999998</v>
      </c>
      <c r="E874">
        <v>0.31034299999999998</v>
      </c>
      <c r="F874">
        <v>-0.30668099999999998</v>
      </c>
      <c r="G874">
        <v>-2.7309E-2</v>
      </c>
    </row>
    <row r="875" spans="1:7">
      <c r="A875" t="s">
        <v>144</v>
      </c>
      <c r="B875">
        <v>13</v>
      </c>
      <c r="C875">
        <v>31</v>
      </c>
      <c r="D875">
        <v>0.45277299999999998</v>
      </c>
      <c r="E875">
        <v>-0.73680800000000002</v>
      </c>
      <c r="F875">
        <v>-0.16440299999999999</v>
      </c>
      <c r="G875">
        <v>-0.42357299999999998</v>
      </c>
    </row>
    <row r="876" spans="1:7">
      <c r="A876" t="s">
        <v>144</v>
      </c>
      <c r="B876">
        <v>13</v>
      </c>
      <c r="C876">
        <v>32</v>
      </c>
      <c r="D876">
        <v>0.45277299999999998</v>
      </c>
      <c r="E876">
        <v>-0.68990099999999999</v>
      </c>
      <c r="F876">
        <v>-1.9196000000000001E-2</v>
      </c>
      <c r="G876">
        <v>-0.32287300000000002</v>
      </c>
    </row>
    <row r="877" spans="1:7">
      <c r="A877" t="s">
        <v>144</v>
      </c>
      <c r="B877">
        <v>13</v>
      </c>
      <c r="C877">
        <v>33</v>
      </c>
      <c r="D877">
        <v>0.45277299999999998</v>
      </c>
      <c r="E877">
        <v>-0.43345400000000001</v>
      </c>
      <c r="F877">
        <v>-0.74758100000000005</v>
      </c>
      <c r="G877">
        <v>-0.60535300000000003</v>
      </c>
    </row>
    <row r="878" spans="1:7">
      <c r="A878" t="s">
        <v>144</v>
      </c>
      <c r="B878">
        <v>13</v>
      </c>
      <c r="C878">
        <v>34</v>
      </c>
      <c r="D878">
        <v>0.45277299999999998</v>
      </c>
      <c r="E878">
        <v>0.77547500000000003</v>
      </c>
      <c r="F878">
        <v>0.96697900000000003</v>
      </c>
      <c r="G878">
        <v>0.88027100000000003</v>
      </c>
    </row>
    <row r="879" spans="1:7">
      <c r="A879" t="s">
        <v>144</v>
      </c>
      <c r="B879">
        <v>13</v>
      </c>
      <c r="C879">
        <v>35</v>
      </c>
      <c r="D879">
        <v>0.45277299999999998</v>
      </c>
      <c r="E879">
        <v>-0.146092</v>
      </c>
      <c r="F879">
        <v>-4.6387999999999999E-2</v>
      </c>
      <c r="G879">
        <v>-9.1531000000000001E-2</v>
      </c>
    </row>
    <row r="880" spans="1:7">
      <c r="A880" t="s">
        <v>144</v>
      </c>
      <c r="B880">
        <v>13</v>
      </c>
      <c r="C880">
        <v>36</v>
      </c>
      <c r="D880">
        <v>0.45277299999999998</v>
      </c>
      <c r="E880">
        <v>-8.7436E-2</v>
      </c>
      <c r="F880">
        <v>0.86651199999999995</v>
      </c>
      <c r="G880">
        <v>0.43459100000000001</v>
      </c>
    </row>
    <row r="881" spans="1:7">
      <c r="A881" t="s">
        <v>144</v>
      </c>
      <c r="B881">
        <v>13</v>
      </c>
      <c r="C881">
        <v>37</v>
      </c>
      <c r="D881">
        <v>0.45277299999999998</v>
      </c>
      <c r="E881">
        <v>-0.76271900000000004</v>
      </c>
      <c r="F881">
        <v>0.635548</v>
      </c>
      <c r="G881">
        <v>2.4510000000000001E-3</v>
      </c>
    </row>
    <row r="882" spans="1:7">
      <c r="A882" t="s">
        <v>144</v>
      </c>
      <c r="B882">
        <v>13</v>
      </c>
      <c r="C882">
        <v>38</v>
      </c>
      <c r="D882">
        <v>0.45277299999999998</v>
      </c>
      <c r="E882">
        <v>0.454237</v>
      </c>
      <c r="F882">
        <v>2.3834999999999999E-2</v>
      </c>
      <c r="G882">
        <v>0.21870899999999999</v>
      </c>
    </row>
    <row r="883" spans="1:7">
      <c r="A883" t="s">
        <v>144</v>
      </c>
      <c r="B883">
        <v>13</v>
      </c>
      <c r="C883">
        <v>39</v>
      </c>
      <c r="D883">
        <v>0.45277299999999998</v>
      </c>
      <c r="E883">
        <v>0.27069900000000002</v>
      </c>
      <c r="F883">
        <v>0.473769</v>
      </c>
      <c r="G883">
        <v>0.38182500000000003</v>
      </c>
    </row>
    <row r="884" spans="1:7">
      <c r="A884" t="s">
        <v>144</v>
      </c>
      <c r="B884">
        <v>13</v>
      </c>
      <c r="C884">
        <v>40</v>
      </c>
      <c r="D884">
        <v>0.45277299999999998</v>
      </c>
      <c r="E884">
        <v>-0.55275099999999999</v>
      </c>
      <c r="F884">
        <v>-0.90463000000000005</v>
      </c>
      <c r="G884">
        <v>-0.745309</v>
      </c>
    </row>
    <row r="885" spans="1:7">
      <c r="A885" t="s">
        <v>144</v>
      </c>
      <c r="B885">
        <v>13</v>
      </c>
      <c r="C885">
        <v>41</v>
      </c>
      <c r="D885">
        <v>0.45277299999999998</v>
      </c>
      <c r="E885">
        <v>-0.87289000000000005</v>
      </c>
      <c r="F885">
        <v>0.28333399999999997</v>
      </c>
      <c r="G885">
        <v>-0.240173</v>
      </c>
    </row>
    <row r="886" spans="1:7">
      <c r="A886" t="s">
        <v>144</v>
      </c>
      <c r="B886">
        <v>13</v>
      </c>
      <c r="C886">
        <v>42</v>
      </c>
      <c r="D886">
        <v>0.45277299999999998</v>
      </c>
      <c r="E886">
        <v>-0.20108599999999999</v>
      </c>
      <c r="F886">
        <v>-0.79949300000000001</v>
      </c>
      <c r="G886">
        <v>-0.52855099999999999</v>
      </c>
    </row>
    <row r="887" spans="1:7">
      <c r="A887" t="s">
        <v>144</v>
      </c>
      <c r="B887">
        <v>13</v>
      </c>
      <c r="C887">
        <v>43</v>
      </c>
      <c r="D887">
        <v>0.45277299999999998</v>
      </c>
      <c r="E887">
        <v>-0.87072400000000005</v>
      </c>
      <c r="F887">
        <v>-0.79100899999999996</v>
      </c>
      <c r="G887">
        <v>-0.827102</v>
      </c>
    </row>
    <row r="888" spans="1:7">
      <c r="A888" t="s">
        <v>144</v>
      </c>
      <c r="B888">
        <v>13</v>
      </c>
      <c r="C888">
        <v>44</v>
      </c>
      <c r="D888">
        <v>0.45277299999999998</v>
      </c>
      <c r="E888">
        <v>0.55940400000000001</v>
      </c>
      <c r="F888">
        <v>0.24188999999999999</v>
      </c>
      <c r="G888">
        <v>0.38565199999999999</v>
      </c>
    </row>
    <row r="889" spans="1:7">
      <c r="A889" t="s">
        <v>144</v>
      </c>
      <c r="B889">
        <v>13</v>
      </c>
      <c r="C889">
        <v>45</v>
      </c>
      <c r="D889">
        <v>0.45277299999999998</v>
      </c>
      <c r="E889">
        <v>0.72179300000000002</v>
      </c>
      <c r="F889">
        <v>-0.736259</v>
      </c>
      <c r="G889">
        <v>-7.6092999999999994E-2</v>
      </c>
    </row>
    <row r="890" spans="1:7">
      <c r="A890" t="s">
        <v>144</v>
      </c>
      <c r="B890">
        <v>13</v>
      </c>
      <c r="C890">
        <v>46</v>
      </c>
      <c r="D890">
        <v>0.45277299999999998</v>
      </c>
      <c r="E890">
        <v>-0.89501600000000003</v>
      </c>
      <c r="F890">
        <v>0.333872</v>
      </c>
      <c r="G890">
        <v>-0.22253500000000001</v>
      </c>
    </row>
    <row r="891" spans="1:7">
      <c r="A891" t="s">
        <v>144</v>
      </c>
      <c r="B891">
        <v>13</v>
      </c>
      <c r="C891">
        <v>47</v>
      </c>
      <c r="D891">
        <v>0.45277299999999998</v>
      </c>
      <c r="E891">
        <v>-0.176977</v>
      </c>
      <c r="F891">
        <v>-5.3651999999999998E-2</v>
      </c>
      <c r="G891">
        <v>-0.10949</v>
      </c>
    </row>
    <row r="892" spans="1:7">
      <c r="A892" t="s">
        <v>144</v>
      </c>
      <c r="B892">
        <v>13</v>
      </c>
      <c r="C892">
        <v>48</v>
      </c>
      <c r="D892">
        <v>0.45277299999999998</v>
      </c>
      <c r="E892">
        <v>6.8484000000000003E-2</v>
      </c>
      <c r="F892">
        <v>0.63624999999999998</v>
      </c>
      <c r="G892">
        <v>0.37918099999999999</v>
      </c>
    </row>
    <row r="893" spans="1:7">
      <c r="A893" t="s">
        <v>144</v>
      </c>
      <c r="B893">
        <v>13</v>
      </c>
      <c r="C893">
        <v>49</v>
      </c>
      <c r="D893">
        <v>0.45277299999999998</v>
      </c>
      <c r="E893">
        <v>-0.90423299999999995</v>
      </c>
      <c r="F893">
        <v>0.13528899999999999</v>
      </c>
      <c r="G893">
        <v>-0.33537800000000001</v>
      </c>
    </row>
    <row r="894" spans="1:7">
      <c r="A894" t="s">
        <v>144</v>
      </c>
      <c r="B894" t="s">
        <v>145</v>
      </c>
      <c r="C894">
        <v>14</v>
      </c>
    </row>
    <row r="895" spans="1:7">
      <c r="A895" t="s">
        <v>144</v>
      </c>
      <c r="B895" t="s">
        <v>146</v>
      </c>
      <c r="C895">
        <v>74</v>
      </c>
    </row>
    <row r="896" spans="1:7">
      <c r="A896" t="s">
        <v>144</v>
      </c>
      <c r="B896" t="s">
        <v>147</v>
      </c>
      <c r="C896">
        <v>74</v>
      </c>
    </row>
    <row r="897" spans="1:7">
      <c r="A897" t="s">
        <v>144</v>
      </c>
      <c r="B897" t="s">
        <v>148</v>
      </c>
      <c r="C897">
        <v>0.30793199999999998</v>
      </c>
    </row>
    <row r="898" spans="1:7">
      <c r="A898" t="s">
        <v>144</v>
      </c>
      <c r="B898" t="s">
        <v>149</v>
      </c>
      <c r="C898">
        <v>0.30793199999999998</v>
      </c>
    </row>
    <row r="899" spans="1:7">
      <c r="A899" t="s">
        <v>144</v>
      </c>
      <c r="B899" t="s">
        <v>150</v>
      </c>
      <c r="C899">
        <v>-1</v>
      </c>
    </row>
    <row r="900" spans="1:7">
      <c r="A900" t="s">
        <v>144</v>
      </c>
      <c r="B900" t="s">
        <v>151</v>
      </c>
      <c r="C900">
        <v>-1</v>
      </c>
    </row>
    <row r="901" spans="1:7">
      <c r="A901" t="s">
        <v>144</v>
      </c>
      <c r="B901" t="s">
        <v>152</v>
      </c>
      <c r="C901">
        <v>25</v>
      </c>
    </row>
    <row r="902" spans="1:7">
      <c r="A902" t="s">
        <v>144</v>
      </c>
      <c r="B902" t="s">
        <v>153</v>
      </c>
      <c r="C902">
        <v>25</v>
      </c>
    </row>
    <row r="903" spans="1:7">
      <c r="A903" t="s">
        <v>144</v>
      </c>
      <c r="B903" t="s">
        <v>154</v>
      </c>
      <c r="C903">
        <v>0</v>
      </c>
    </row>
    <row r="904" spans="1:7">
      <c r="A904" t="s">
        <v>144</v>
      </c>
      <c r="B904" t="s">
        <v>155</v>
      </c>
    </row>
    <row r="905" spans="1:7">
      <c r="A905" t="s">
        <v>144</v>
      </c>
      <c r="B905" t="s">
        <v>150</v>
      </c>
      <c r="C905">
        <v>0.93935999999999997</v>
      </c>
    </row>
    <row r="906" spans="1:7">
      <c r="A906" t="s">
        <v>144</v>
      </c>
      <c r="B906" t="s">
        <v>151</v>
      </c>
      <c r="C906">
        <v>0.93935999999999997</v>
      </c>
    </row>
    <row r="907" spans="1:7">
      <c r="A907" t="s">
        <v>144</v>
      </c>
      <c r="B907" t="s">
        <v>156</v>
      </c>
      <c r="C907" t="s">
        <v>157</v>
      </c>
      <c r="D907" t="s">
        <v>63</v>
      </c>
      <c r="E907" t="s">
        <v>158</v>
      </c>
      <c r="F907" t="s">
        <v>159</v>
      </c>
      <c r="G907" t="s">
        <v>160</v>
      </c>
    </row>
    <row r="908" spans="1:7">
      <c r="A908" t="s">
        <v>144</v>
      </c>
      <c r="B908">
        <v>14</v>
      </c>
      <c r="C908">
        <v>0</v>
      </c>
      <c r="D908">
        <v>0.93935999999999997</v>
      </c>
      <c r="E908">
        <v>-0.78780499999999998</v>
      </c>
      <c r="F908">
        <v>-1</v>
      </c>
      <c r="G908">
        <v>-0.78780499999999998</v>
      </c>
    </row>
    <row r="909" spans="1:7">
      <c r="A909" t="s">
        <v>144</v>
      </c>
      <c r="B909">
        <v>14</v>
      </c>
      <c r="C909">
        <v>1</v>
      </c>
      <c r="D909">
        <v>0.93935999999999997</v>
      </c>
      <c r="E909">
        <v>-0.74898500000000001</v>
      </c>
      <c r="F909">
        <v>-1</v>
      </c>
      <c r="G909">
        <v>-0.74898500000000001</v>
      </c>
    </row>
    <row r="910" spans="1:7">
      <c r="A910" t="s">
        <v>144</v>
      </c>
      <c r="B910">
        <v>14</v>
      </c>
      <c r="C910">
        <v>2</v>
      </c>
      <c r="D910">
        <v>0.93935999999999997</v>
      </c>
      <c r="E910">
        <v>-0.85305299999999995</v>
      </c>
      <c r="F910">
        <v>-1</v>
      </c>
      <c r="G910">
        <v>-0.85305299999999995</v>
      </c>
    </row>
    <row r="911" spans="1:7">
      <c r="A911" t="s">
        <v>144</v>
      </c>
      <c r="B911">
        <v>14</v>
      </c>
      <c r="C911">
        <v>3</v>
      </c>
      <c r="D911">
        <v>0.93935999999999997</v>
      </c>
      <c r="E911">
        <v>0.93652100000000005</v>
      </c>
      <c r="F911">
        <v>-1</v>
      </c>
      <c r="G911">
        <v>0.93652100000000005</v>
      </c>
    </row>
    <row r="912" spans="1:7">
      <c r="A912" t="s">
        <v>144</v>
      </c>
      <c r="B912">
        <v>14</v>
      </c>
      <c r="C912">
        <v>4</v>
      </c>
      <c r="D912">
        <v>0.93935999999999997</v>
      </c>
      <c r="E912">
        <v>-0.60918000000000005</v>
      </c>
      <c r="F912">
        <v>-1</v>
      </c>
      <c r="G912">
        <v>-0.60918000000000005</v>
      </c>
    </row>
    <row r="913" spans="1:7">
      <c r="A913" t="s">
        <v>144</v>
      </c>
      <c r="B913">
        <v>14</v>
      </c>
      <c r="C913">
        <v>5</v>
      </c>
      <c r="D913">
        <v>0.93935999999999997</v>
      </c>
      <c r="E913">
        <v>0.33524599999999999</v>
      </c>
      <c r="F913">
        <v>-1</v>
      </c>
      <c r="G913">
        <v>0.33524599999999999</v>
      </c>
    </row>
    <row r="914" spans="1:7">
      <c r="A914" t="s">
        <v>144</v>
      </c>
      <c r="B914">
        <v>14</v>
      </c>
      <c r="C914">
        <v>6</v>
      </c>
      <c r="D914">
        <v>0.93935999999999997</v>
      </c>
      <c r="E914">
        <v>0.328318</v>
      </c>
      <c r="F914">
        <v>-1</v>
      </c>
      <c r="G914">
        <v>0.328318</v>
      </c>
    </row>
    <row r="915" spans="1:7">
      <c r="A915" t="s">
        <v>144</v>
      </c>
      <c r="B915">
        <v>14</v>
      </c>
      <c r="C915">
        <v>7</v>
      </c>
      <c r="D915">
        <v>0.93935999999999997</v>
      </c>
      <c r="E915">
        <v>8.2583000000000004E-2</v>
      </c>
      <c r="F915">
        <v>-1</v>
      </c>
      <c r="G915">
        <v>8.2583000000000004E-2</v>
      </c>
    </row>
    <row r="916" spans="1:7">
      <c r="A916" t="s">
        <v>144</v>
      </c>
      <c r="B916">
        <v>14</v>
      </c>
      <c r="C916">
        <v>8</v>
      </c>
      <c r="D916">
        <v>0.93935999999999997</v>
      </c>
      <c r="E916">
        <v>0.44294600000000001</v>
      </c>
      <c r="F916">
        <v>-1</v>
      </c>
      <c r="G916">
        <v>0.44294600000000001</v>
      </c>
    </row>
    <row r="917" spans="1:7">
      <c r="A917" t="s">
        <v>144</v>
      </c>
      <c r="B917">
        <v>14</v>
      </c>
      <c r="C917">
        <v>9</v>
      </c>
      <c r="D917">
        <v>0.93935999999999997</v>
      </c>
      <c r="E917">
        <v>-0.83715300000000004</v>
      </c>
      <c r="F917">
        <v>-1</v>
      </c>
      <c r="G917">
        <v>-0.83715300000000004</v>
      </c>
    </row>
    <row r="918" spans="1:7">
      <c r="A918" t="s">
        <v>144</v>
      </c>
      <c r="B918">
        <v>14</v>
      </c>
      <c r="C918">
        <v>10</v>
      </c>
      <c r="D918">
        <v>0.93935999999999997</v>
      </c>
      <c r="E918">
        <v>0.77983899999999995</v>
      </c>
      <c r="F918">
        <v>-1</v>
      </c>
      <c r="G918">
        <v>0.77983899999999995</v>
      </c>
    </row>
    <row r="919" spans="1:7">
      <c r="A919" t="s">
        <v>144</v>
      </c>
      <c r="B919">
        <v>14</v>
      </c>
      <c r="C919">
        <v>11</v>
      </c>
      <c r="D919">
        <v>0.93935999999999997</v>
      </c>
      <c r="E919">
        <v>0.13477</v>
      </c>
      <c r="F919">
        <v>-1</v>
      </c>
      <c r="G919">
        <v>0.13477</v>
      </c>
    </row>
    <row r="920" spans="1:7">
      <c r="A920" t="s">
        <v>144</v>
      </c>
      <c r="B920">
        <v>14</v>
      </c>
      <c r="C920">
        <v>12</v>
      </c>
      <c r="D920">
        <v>0.93935999999999997</v>
      </c>
      <c r="E920">
        <v>-1.4801E-2</v>
      </c>
      <c r="F920">
        <v>-1</v>
      </c>
      <c r="G920">
        <v>-1.4801E-2</v>
      </c>
    </row>
    <row r="921" spans="1:7">
      <c r="A921" t="s">
        <v>144</v>
      </c>
      <c r="B921">
        <v>14</v>
      </c>
      <c r="C921">
        <v>13</v>
      </c>
      <c r="D921">
        <v>0.93935999999999997</v>
      </c>
      <c r="E921">
        <v>-0.73122299999999996</v>
      </c>
      <c r="F921">
        <v>-1</v>
      </c>
      <c r="G921">
        <v>-0.73122299999999996</v>
      </c>
    </row>
    <row r="922" spans="1:7">
      <c r="A922" t="s">
        <v>144</v>
      </c>
      <c r="B922">
        <v>14</v>
      </c>
      <c r="C922">
        <v>14</v>
      </c>
      <c r="D922">
        <v>0.93935999999999997</v>
      </c>
      <c r="E922">
        <v>-4.5469999999999998E-3</v>
      </c>
      <c r="F922">
        <v>-1</v>
      </c>
      <c r="G922">
        <v>-4.5469999999999998E-3</v>
      </c>
    </row>
    <row r="923" spans="1:7">
      <c r="A923" t="s">
        <v>144</v>
      </c>
      <c r="B923">
        <v>14</v>
      </c>
      <c r="C923">
        <v>15</v>
      </c>
      <c r="D923">
        <v>0.93935999999999997</v>
      </c>
      <c r="E923">
        <v>0.83681799999999995</v>
      </c>
      <c r="F923">
        <v>-1</v>
      </c>
      <c r="G923">
        <v>0.83681799999999995</v>
      </c>
    </row>
    <row r="924" spans="1:7">
      <c r="A924" t="s">
        <v>144</v>
      </c>
      <c r="B924">
        <v>14</v>
      </c>
      <c r="C924">
        <v>16</v>
      </c>
      <c r="D924">
        <v>0.93935999999999997</v>
      </c>
      <c r="E924">
        <v>0.15118899999999999</v>
      </c>
      <c r="F924">
        <v>-1</v>
      </c>
      <c r="G924">
        <v>0.15118899999999999</v>
      </c>
    </row>
    <row r="925" spans="1:7">
      <c r="A925" t="s">
        <v>144</v>
      </c>
      <c r="B925">
        <v>14</v>
      </c>
      <c r="C925">
        <v>17</v>
      </c>
      <c r="D925">
        <v>0.93935999999999997</v>
      </c>
      <c r="E925">
        <v>-0.65047200000000005</v>
      </c>
      <c r="F925">
        <v>-1</v>
      </c>
      <c r="G925">
        <v>-0.65047200000000005</v>
      </c>
    </row>
    <row r="926" spans="1:7">
      <c r="A926" t="s">
        <v>144</v>
      </c>
      <c r="B926">
        <v>14</v>
      </c>
      <c r="C926">
        <v>18</v>
      </c>
      <c r="D926">
        <v>0.93935999999999997</v>
      </c>
      <c r="E926">
        <v>-0.45692300000000002</v>
      </c>
      <c r="F926">
        <v>-1</v>
      </c>
      <c r="G926">
        <v>-0.45692300000000002</v>
      </c>
    </row>
    <row r="927" spans="1:7">
      <c r="A927" t="s">
        <v>144</v>
      </c>
      <c r="B927">
        <v>14</v>
      </c>
      <c r="C927">
        <v>19</v>
      </c>
      <c r="D927">
        <v>0.93935999999999997</v>
      </c>
      <c r="E927">
        <v>9.8514000000000004E-2</v>
      </c>
      <c r="F927">
        <v>-1</v>
      </c>
      <c r="G927">
        <v>9.8514000000000004E-2</v>
      </c>
    </row>
    <row r="928" spans="1:7">
      <c r="A928" t="s">
        <v>144</v>
      </c>
      <c r="B928">
        <v>14</v>
      </c>
      <c r="C928">
        <v>20</v>
      </c>
      <c r="D928">
        <v>0.93935999999999997</v>
      </c>
      <c r="E928">
        <v>-0.42375000000000002</v>
      </c>
      <c r="F928">
        <v>-1</v>
      </c>
      <c r="G928">
        <v>-0.42375000000000002</v>
      </c>
    </row>
    <row r="929" spans="1:7">
      <c r="A929" t="s">
        <v>144</v>
      </c>
      <c r="B929">
        <v>14</v>
      </c>
      <c r="C929">
        <v>21</v>
      </c>
      <c r="D929">
        <v>0.93935999999999997</v>
      </c>
      <c r="E929">
        <v>0.184973</v>
      </c>
      <c r="F929">
        <v>-1</v>
      </c>
      <c r="G929">
        <v>0.184973</v>
      </c>
    </row>
    <row r="930" spans="1:7">
      <c r="A930" t="s">
        <v>144</v>
      </c>
      <c r="B930">
        <v>14</v>
      </c>
      <c r="C930">
        <v>22</v>
      </c>
      <c r="D930">
        <v>0.93935999999999997</v>
      </c>
      <c r="E930">
        <v>-0.45567200000000002</v>
      </c>
      <c r="F930">
        <v>-1</v>
      </c>
      <c r="G930">
        <v>-0.45567200000000002</v>
      </c>
    </row>
    <row r="931" spans="1:7">
      <c r="A931" t="s">
        <v>144</v>
      </c>
      <c r="B931">
        <v>14</v>
      </c>
      <c r="C931">
        <v>23</v>
      </c>
      <c r="D931">
        <v>0.93935999999999997</v>
      </c>
      <c r="E931">
        <v>0.85924900000000004</v>
      </c>
      <c r="F931">
        <v>-1</v>
      </c>
      <c r="G931">
        <v>0.85924900000000004</v>
      </c>
    </row>
    <row r="932" spans="1:7">
      <c r="A932" t="s">
        <v>144</v>
      </c>
      <c r="B932">
        <v>14</v>
      </c>
      <c r="C932">
        <v>24</v>
      </c>
      <c r="D932">
        <v>0.93935999999999997</v>
      </c>
      <c r="E932">
        <v>-0.91885099999999997</v>
      </c>
      <c r="F932">
        <v>-1</v>
      </c>
      <c r="G932">
        <v>-0.91885099999999997</v>
      </c>
    </row>
    <row r="933" spans="1:7">
      <c r="A933" t="s">
        <v>144</v>
      </c>
      <c r="B933">
        <v>14</v>
      </c>
      <c r="C933">
        <v>25</v>
      </c>
      <c r="D933">
        <v>0.93935999999999997</v>
      </c>
      <c r="E933">
        <v>0.80779400000000001</v>
      </c>
      <c r="F933">
        <v>-0.59456200000000003</v>
      </c>
      <c r="G933">
        <v>0.72275500000000004</v>
      </c>
    </row>
    <row r="934" spans="1:7">
      <c r="A934" t="s">
        <v>144</v>
      </c>
      <c r="B934">
        <v>14</v>
      </c>
      <c r="C934">
        <v>26</v>
      </c>
      <c r="D934">
        <v>0.93935999999999997</v>
      </c>
      <c r="E934">
        <v>-0.51606799999999997</v>
      </c>
      <c r="F934">
        <v>-0.103702</v>
      </c>
      <c r="G934">
        <v>-0.491062</v>
      </c>
    </row>
    <row r="935" spans="1:7">
      <c r="A935" t="s">
        <v>144</v>
      </c>
      <c r="B935">
        <v>14</v>
      </c>
      <c r="C935">
        <v>27</v>
      </c>
      <c r="D935">
        <v>0.93935999999999997</v>
      </c>
      <c r="E935">
        <v>7.5899999999999995E-2</v>
      </c>
      <c r="F935">
        <v>0.12939800000000001</v>
      </c>
      <c r="G935">
        <v>7.9144000000000006E-2</v>
      </c>
    </row>
    <row r="936" spans="1:7">
      <c r="A936" t="s">
        <v>144</v>
      </c>
      <c r="B936">
        <v>14</v>
      </c>
      <c r="C936">
        <v>28</v>
      </c>
      <c r="D936">
        <v>0.93935999999999997</v>
      </c>
      <c r="E936">
        <v>0.13223699999999999</v>
      </c>
      <c r="F936">
        <v>0.32422899999999999</v>
      </c>
      <c r="G936">
        <v>0.14387900000000001</v>
      </c>
    </row>
    <row r="937" spans="1:7">
      <c r="A937" t="s">
        <v>144</v>
      </c>
      <c r="B937">
        <v>14</v>
      </c>
      <c r="C937">
        <v>29</v>
      </c>
      <c r="D937">
        <v>0.93935999999999997</v>
      </c>
      <c r="E937">
        <v>-0.92568700000000004</v>
      </c>
      <c r="F937">
        <v>-0.50205999999999995</v>
      </c>
      <c r="G937">
        <v>-0.89999899999999999</v>
      </c>
    </row>
    <row r="938" spans="1:7">
      <c r="A938" t="s">
        <v>144</v>
      </c>
      <c r="B938">
        <v>14</v>
      </c>
      <c r="C938">
        <v>30</v>
      </c>
      <c r="D938">
        <v>0.93935999999999997</v>
      </c>
      <c r="E938">
        <v>0.80666499999999997</v>
      </c>
      <c r="F938">
        <v>0.70732700000000004</v>
      </c>
      <c r="G938">
        <v>0.80064100000000005</v>
      </c>
    </row>
    <row r="939" spans="1:7">
      <c r="A939" t="s">
        <v>144</v>
      </c>
      <c r="B939">
        <v>14</v>
      </c>
      <c r="C939">
        <v>31</v>
      </c>
      <c r="D939">
        <v>0.93935999999999997</v>
      </c>
      <c r="E939">
        <v>0.83657300000000001</v>
      </c>
      <c r="F939">
        <v>-6.3813999999999996E-2</v>
      </c>
      <c r="G939">
        <v>0.78197399999999995</v>
      </c>
    </row>
    <row r="940" spans="1:7">
      <c r="A940" t="s">
        <v>144</v>
      </c>
      <c r="B940">
        <v>14</v>
      </c>
      <c r="C940">
        <v>32</v>
      </c>
      <c r="D940">
        <v>0.93935999999999997</v>
      </c>
      <c r="E940">
        <v>-0.98846400000000001</v>
      </c>
      <c r="F940">
        <v>0.45484799999999997</v>
      </c>
      <c r="G940">
        <v>-0.90094099999999999</v>
      </c>
    </row>
    <row r="941" spans="1:7">
      <c r="A941" t="s">
        <v>144</v>
      </c>
      <c r="B941">
        <v>14</v>
      </c>
      <c r="C941">
        <v>33</v>
      </c>
      <c r="D941">
        <v>0.93935999999999997</v>
      </c>
      <c r="E941">
        <v>-5.4871999999999997E-2</v>
      </c>
      <c r="F941">
        <v>0.99273699999999998</v>
      </c>
      <c r="G941">
        <v>8.6549999999999995E-3</v>
      </c>
    </row>
    <row r="942" spans="1:7">
      <c r="A942" t="s">
        <v>144</v>
      </c>
      <c r="B942">
        <v>14</v>
      </c>
      <c r="C942">
        <v>34</v>
      </c>
      <c r="D942">
        <v>0.93935999999999997</v>
      </c>
      <c r="E942">
        <v>0.73158999999999996</v>
      </c>
      <c r="F942">
        <v>-0.41199999999999998</v>
      </c>
      <c r="G942">
        <v>0.662242</v>
      </c>
    </row>
    <row r="943" spans="1:7">
      <c r="A943" t="s">
        <v>144</v>
      </c>
      <c r="B943">
        <v>14</v>
      </c>
      <c r="C943">
        <v>35</v>
      </c>
      <c r="D943">
        <v>0.93935999999999997</v>
      </c>
      <c r="E943">
        <v>-0.59837600000000002</v>
      </c>
      <c r="F943">
        <v>-8.3041000000000004E-2</v>
      </c>
      <c r="G943">
        <v>-0.56712600000000002</v>
      </c>
    </row>
    <row r="944" spans="1:7">
      <c r="A944" t="s">
        <v>144</v>
      </c>
      <c r="B944">
        <v>14</v>
      </c>
      <c r="C944">
        <v>36</v>
      </c>
      <c r="D944">
        <v>0.93935999999999997</v>
      </c>
      <c r="E944">
        <v>-0.98544299999999996</v>
      </c>
      <c r="F944">
        <v>0.42399399999999998</v>
      </c>
      <c r="G944">
        <v>-0.89997400000000005</v>
      </c>
    </row>
    <row r="945" spans="1:7">
      <c r="A945" t="s">
        <v>144</v>
      </c>
      <c r="B945">
        <v>14</v>
      </c>
      <c r="C945">
        <v>37</v>
      </c>
      <c r="D945">
        <v>0.93935999999999997</v>
      </c>
      <c r="E945">
        <v>0.121921</v>
      </c>
      <c r="F945">
        <v>0.20899100000000001</v>
      </c>
      <c r="G945">
        <v>0.12720100000000001</v>
      </c>
    </row>
    <row r="946" spans="1:7">
      <c r="A946" t="s">
        <v>144</v>
      </c>
      <c r="B946">
        <v>14</v>
      </c>
      <c r="C946">
        <v>38</v>
      </c>
      <c r="D946">
        <v>0.93935999999999997</v>
      </c>
      <c r="E946">
        <v>-0.63744000000000001</v>
      </c>
      <c r="F946">
        <v>-0.75786600000000004</v>
      </c>
      <c r="G946">
        <v>-0.64474299999999996</v>
      </c>
    </row>
    <row r="947" spans="1:7">
      <c r="A947" t="s">
        <v>144</v>
      </c>
      <c r="B947">
        <v>14</v>
      </c>
      <c r="C947">
        <v>39</v>
      </c>
      <c r="D947">
        <v>0.93935999999999997</v>
      </c>
      <c r="E947">
        <v>-0.55113400000000001</v>
      </c>
      <c r="F947">
        <v>0.36817499999999997</v>
      </c>
      <c r="G947">
        <v>-0.49538700000000002</v>
      </c>
    </row>
    <row r="948" spans="1:7">
      <c r="A948" t="s">
        <v>144</v>
      </c>
      <c r="B948">
        <v>14</v>
      </c>
      <c r="C948">
        <v>40</v>
      </c>
      <c r="D948">
        <v>0.93935999999999997</v>
      </c>
      <c r="E948">
        <v>-0.46394200000000002</v>
      </c>
      <c r="F948">
        <v>-0.74446900000000005</v>
      </c>
      <c r="G948">
        <v>-0.48095399999999999</v>
      </c>
    </row>
    <row r="949" spans="1:7">
      <c r="A949" t="s">
        <v>144</v>
      </c>
      <c r="B949">
        <v>14</v>
      </c>
      <c r="C949">
        <v>41</v>
      </c>
      <c r="D949">
        <v>0.93935999999999997</v>
      </c>
      <c r="E949">
        <v>0.88943099999999997</v>
      </c>
      <c r="F949">
        <v>-0.71147800000000005</v>
      </c>
      <c r="G949">
        <v>0.79235199999999995</v>
      </c>
    </row>
    <row r="950" spans="1:7">
      <c r="A950" t="s">
        <v>144</v>
      </c>
      <c r="B950">
        <v>14</v>
      </c>
      <c r="C950">
        <v>42</v>
      </c>
      <c r="D950">
        <v>0.93935999999999997</v>
      </c>
      <c r="E950">
        <v>-0.64537500000000003</v>
      </c>
      <c r="F950">
        <v>0.29780000000000001</v>
      </c>
      <c r="G950">
        <v>-0.58818099999999995</v>
      </c>
    </row>
    <row r="951" spans="1:7">
      <c r="A951" t="s">
        <v>144</v>
      </c>
      <c r="B951">
        <v>14</v>
      </c>
      <c r="C951">
        <v>43</v>
      </c>
      <c r="D951">
        <v>0.93935999999999997</v>
      </c>
      <c r="E951">
        <v>-0.10544100000000001</v>
      </c>
      <c r="F951">
        <v>-0.46565099999999998</v>
      </c>
      <c r="G951">
        <v>-0.12728500000000001</v>
      </c>
    </row>
    <row r="952" spans="1:7">
      <c r="A952" t="s">
        <v>144</v>
      </c>
      <c r="B952">
        <v>14</v>
      </c>
      <c r="C952">
        <v>44</v>
      </c>
      <c r="D952">
        <v>0.93935999999999997</v>
      </c>
      <c r="E952">
        <v>2.2279999999999999E-3</v>
      </c>
      <c r="F952">
        <v>-0.46726899999999999</v>
      </c>
      <c r="G952">
        <v>-2.6242999999999999E-2</v>
      </c>
    </row>
    <row r="953" spans="1:7">
      <c r="A953" t="s">
        <v>144</v>
      </c>
      <c r="B953">
        <v>14</v>
      </c>
      <c r="C953">
        <v>45</v>
      </c>
      <c r="D953">
        <v>0.93935999999999997</v>
      </c>
      <c r="E953">
        <v>0.50678999999999996</v>
      </c>
      <c r="F953">
        <v>-0.15454599999999999</v>
      </c>
      <c r="G953">
        <v>0.46668700000000002</v>
      </c>
    </row>
    <row r="954" spans="1:7">
      <c r="A954" t="s">
        <v>144</v>
      </c>
      <c r="B954">
        <v>14</v>
      </c>
      <c r="C954">
        <v>46</v>
      </c>
      <c r="D954">
        <v>0.93935999999999997</v>
      </c>
      <c r="E954">
        <v>-0.60808099999999998</v>
      </c>
      <c r="F954">
        <v>-0.67955600000000005</v>
      </c>
      <c r="G954">
        <v>-0.61241500000000004</v>
      </c>
    </row>
    <row r="955" spans="1:7">
      <c r="A955" t="s">
        <v>144</v>
      </c>
      <c r="B955">
        <v>14</v>
      </c>
      <c r="C955">
        <v>47</v>
      </c>
      <c r="D955">
        <v>0.93935999999999997</v>
      </c>
      <c r="E955">
        <v>-0.506027</v>
      </c>
      <c r="F955">
        <v>-2.5575000000000001E-2</v>
      </c>
      <c r="G955">
        <v>-0.47689300000000001</v>
      </c>
    </row>
    <row r="956" spans="1:7">
      <c r="A956" t="s">
        <v>144</v>
      </c>
      <c r="B956">
        <v>14</v>
      </c>
      <c r="C956">
        <v>48</v>
      </c>
      <c r="D956">
        <v>0.93935999999999997</v>
      </c>
      <c r="E956">
        <v>-0.93554499999999996</v>
      </c>
      <c r="F956">
        <v>-0.82616699999999998</v>
      </c>
      <c r="G956">
        <v>-0.92891199999999996</v>
      </c>
    </row>
    <row r="957" spans="1:7">
      <c r="A957" t="s">
        <v>144</v>
      </c>
      <c r="B957">
        <v>14</v>
      </c>
      <c r="C957">
        <v>49</v>
      </c>
      <c r="D957">
        <v>0.93935999999999997</v>
      </c>
      <c r="E957">
        <v>-0.18607099999999999</v>
      </c>
      <c r="F957">
        <v>8.7344000000000005E-2</v>
      </c>
      <c r="G957">
        <v>-0.169491</v>
      </c>
    </row>
    <row r="958" spans="1:7">
      <c r="A958" t="s">
        <v>144</v>
      </c>
      <c r="B958" t="s">
        <v>145</v>
      </c>
      <c r="C958">
        <v>15</v>
      </c>
    </row>
    <row r="959" spans="1:7">
      <c r="A959" t="s">
        <v>144</v>
      </c>
      <c r="B959" t="s">
        <v>146</v>
      </c>
      <c r="C959">
        <v>70</v>
      </c>
    </row>
    <row r="960" spans="1:7">
      <c r="A960" t="s">
        <v>144</v>
      </c>
      <c r="B960" t="s">
        <v>147</v>
      </c>
      <c r="C960">
        <v>70</v>
      </c>
    </row>
    <row r="961" spans="1:7">
      <c r="A961" t="s">
        <v>144</v>
      </c>
      <c r="B961" t="s">
        <v>148</v>
      </c>
      <c r="C961">
        <v>0.21390400000000001</v>
      </c>
    </row>
    <row r="962" spans="1:7">
      <c r="A962" t="s">
        <v>144</v>
      </c>
      <c r="B962" t="s">
        <v>149</v>
      </c>
      <c r="C962">
        <v>0.21390400000000001</v>
      </c>
    </row>
    <row r="963" spans="1:7">
      <c r="A963" t="s">
        <v>144</v>
      </c>
      <c r="B963" t="s">
        <v>150</v>
      </c>
      <c r="C963">
        <v>-1</v>
      </c>
    </row>
    <row r="964" spans="1:7">
      <c r="A964" t="s">
        <v>144</v>
      </c>
      <c r="B964" t="s">
        <v>151</v>
      </c>
      <c r="C964">
        <v>-1</v>
      </c>
    </row>
    <row r="965" spans="1:7">
      <c r="A965" t="s">
        <v>144</v>
      </c>
      <c r="B965" t="s">
        <v>152</v>
      </c>
      <c r="C965">
        <v>14</v>
      </c>
    </row>
    <row r="966" spans="1:7">
      <c r="A966" t="s">
        <v>144</v>
      </c>
      <c r="B966" t="s">
        <v>153</v>
      </c>
      <c r="C966">
        <v>14</v>
      </c>
    </row>
    <row r="967" spans="1:7">
      <c r="A967" t="s">
        <v>144</v>
      </c>
      <c r="B967" t="s">
        <v>154</v>
      </c>
      <c r="C967">
        <v>0</v>
      </c>
    </row>
    <row r="968" spans="1:7">
      <c r="A968" t="s">
        <v>144</v>
      </c>
      <c r="B968" t="s">
        <v>155</v>
      </c>
    </row>
    <row r="969" spans="1:7">
      <c r="A969" t="s">
        <v>144</v>
      </c>
      <c r="B969" t="s">
        <v>150</v>
      </c>
      <c r="C969">
        <v>0.59401199999999998</v>
      </c>
    </row>
    <row r="970" spans="1:7">
      <c r="A970" t="s">
        <v>144</v>
      </c>
      <c r="B970" t="s">
        <v>151</v>
      </c>
      <c r="C970">
        <v>0.59401199999999998</v>
      </c>
    </row>
    <row r="971" spans="1:7">
      <c r="A971" t="s">
        <v>144</v>
      </c>
      <c r="B971" t="s">
        <v>156</v>
      </c>
      <c r="C971" t="s">
        <v>157</v>
      </c>
      <c r="D971" t="s">
        <v>63</v>
      </c>
      <c r="E971" t="s">
        <v>158</v>
      </c>
      <c r="F971" t="s">
        <v>159</v>
      </c>
      <c r="G971" t="s">
        <v>160</v>
      </c>
    </row>
    <row r="972" spans="1:7">
      <c r="A972" t="s">
        <v>144</v>
      </c>
      <c r="B972">
        <v>15</v>
      </c>
      <c r="C972">
        <v>0</v>
      </c>
      <c r="D972">
        <v>0.59401199999999998</v>
      </c>
      <c r="E972">
        <v>-0.267098</v>
      </c>
      <c r="F972">
        <v>-1</v>
      </c>
      <c r="G972">
        <v>-0.267098</v>
      </c>
    </row>
    <row r="973" spans="1:7">
      <c r="A973" t="s">
        <v>144</v>
      </c>
      <c r="B973">
        <v>15</v>
      </c>
      <c r="C973">
        <v>1</v>
      </c>
      <c r="D973">
        <v>0.59401199999999998</v>
      </c>
      <c r="E973">
        <v>0.56114399999999998</v>
      </c>
      <c r="F973">
        <v>-1</v>
      </c>
      <c r="G973">
        <v>0.56114399999999998</v>
      </c>
    </row>
    <row r="974" spans="1:7">
      <c r="A974" t="s">
        <v>144</v>
      </c>
      <c r="B974">
        <v>15</v>
      </c>
      <c r="C974">
        <v>2</v>
      </c>
      <c r="D974">
        <v>0.59401199999999998</v>
      </c>
      <c r="E974">
        <v>-0.28070899999999999</v>
      </c>
      <c r="F974">
        <v>-1</v>
      </c>
      <c r="G974">
        <v>-0.28070899999999999</v>
      </c>
    </row>
    <row r="975" spans="1:7">
      <c r="A975" t="s">
        <v>144</v>
      </c>
      <c r="B975">
        <v>15</v>
      </c>
      <c r="C975">
        <v>3</v>
      </c>
      <c r="D975">
        <v>0.59401199999999998</v>
      </c>
      <c r="E975">
        <v>0.54429799999999995</v>
      </c>
      <c r="F975">
        <v>-1</v>
      </c>
      <c r="G975">
        <v>0.54429799999999995</v>
      </c>
    </row>
    <row r="976" spans="1:7">
      <c r="A976" t="s">
        <v>144</v>
      </c>
      <c r="B976">
        <v>15</v>
      </c>
      <c r="C976">
        <v>4</v>
      </c>
      <c r="D976">
        <v>0.59401199999999998</v>
      </c>
      <c r="E976">
        <v>-0.165349</v>
      </c>
      <c r="F976">
        <v>-1</v>
      </c>
      <c r="G976">
        <v>-0.165349</v>
      </c>
    </row>
    <row r="977" spans="1:7">
      <c r="A977" t="s">
        <v>144</v>
      </c>
      <c r="B977">
        <v>15</v>
      </c>
      <c r="C977">
        <v>5</v>
      </c>
      <c r="D977">
        <v>0.59401199999999998</v>
      </c>
      <c r="E977">
        <v>0.43519400000000003</v>
      </c>
      <c r="F977">
        <v>-1</v>
      </c>
      <c r="G977">
        <v>0.43519400000000003</v>
      </c>
    </row>
    <row r="978" spans="1:7">
      <c r="A978" t="s">
        <v>144</v>
      </c>
      <c r="B978">
        <v>15</v>
      </c>
      <c r="C978">
        <v>6</v>
      </c>
      <c r="D978">
        <v>0.59401199999999998</v>
      </c>
      <c r="E978">
        <v>0.95837300000000003</v>
      </c>
      <c r="F978">
        <v>-1</v>
      </c>
      <c r="G978">
        <v>0.95837300000000003</v>
      </c>
    </row>
    <row r="979" spans="1:7">
      <c r="A979" t="s">
        <v>144</v>
      </c>
      <c r="B979">
        <v>15</v>
      </c>
      <c r="C979">
        <v>7</v>
      </c>
      <c r="D979">
        <v>0.59401199999999998</v>
      </c>
      <c r="E979">
        <v>-0.27338499999999999</v>
      </c>
      <c r="F979">
        <v>-1</v>
      </c>
      <c r="G979">
        <v>-0.27338499999999999</v>
      </c>
    </row>
    <row r="980" spans="1:7">
      <c r="A980" t="s">
        <v>144</v>
      </c>
      <c r="B980">
        <v>15</v>
      </c>
      <c r="C980">
        <v>8</v>
      </c>
      <c r="D980">
        <v>0.59401199999999998</v>
      </c>
      <c r="E980">
        <v>0.35254999999999997</v>
      </c>
      <c r="F980">
        <v>-1</v>
      </c>
      <c r="G980">
        <v>0.35254999999999997</v>
      </c>
    </row>
    <row r="981" spans="1:7">
      <c r="A981" t="s">
        <v>144</v>
      </c>
      <c r="B981">
        <v>15</v>
      </c>
      <c r="C981">
        <v>9</v>
      </c>
      <c r="D981">
        <v>0.59401199999999998</v>
      </c>
      <c r="E981">
        <v>0.32682299999999997</v>
      </c>
      <c r="F981">
        <v>-1</v>
      </c>
      <c r="G981">
        <v>0.32682299999999997</v>
      </c>
    </row>
    <row r="982" spans="1:7">
      <c r="A982" t="s">
        <v>144</v>
      </c>
      <c r="B982">
        <v>15</v>
      </c>
      <c r="C982">
        <v>10</v>
      </c>
      <c r="D982">
        <v>0.59401199999999998</v>
      </c>
      <c r="E982">
        <v>4.9501000000000003E-2</v>
      </c>
      <c r="F982">
        <v>-1</v>
      </c>
      <c r="G982">
        <v>4.9501000000000003E-2</v>
      </c>
    </row>
    <row r="983" spans="1:7">
      <c r="A983" t="s">
        <v>144</v>
      </c>
      <c r="B983">
        <v>15</v>
      </c>
      <c r="C983">
        <v>11</v>
      </c>
      <c r="D983">
        <v>0.59401199999999998</v>
      </c>
      <c r="E983">
        <v>-0.52021799999999996</v>
      </c>
      <c r="F983">
        <v>-1</v>
      </c>
      <c r="G983">
        <v>-0.52021799999999996</v>
      </c>
    </row>
    <row r="984" spans="1:7">
      <c r="A984" t="s">
        <v>144</v>
      </c>
      <c r="B984">
        <v>15</v>
      </c>
      <c r="C984">
        <v>12</v>
      </c>
      <c r="D984">
        <v>0.59401199999999998</v>
      </c>
      <c r="E984">
        <v>0.86471100000000001</v>
      </c>
      <c r="F984">
        <v>-1</v>
      </c>
      <c r="G984">
        <v>0.86471100000000001</v>
      </c>
    </row>
    <row r="985" spans="1:7">
      <c r="A985" t="s">
        <v>144</v>
      </c>
      <c r="B985">
        <v>15</v>
      </c>
      <c r="C985">
        <v>13</v>
      </c>
      <c r="D985">
        <v>0.59401199999999998</v>
      </c>
      <c r="E985">
        <v>-0.63090900000000005</v>
      </c>
      <c r="F985">
        <v>-1</v>
      </c>
      <c r="G985">
        <v>-0.63090900000000005</v>
      </c>
    </row>
    <row r="986" spans="1:7">
      <c r="A986" t="s">
        <v>144</v>
      </c>
      <c r="B986">
        <v>15</v>
      </c>
      <c r="C986">
        <v>14</v>
      </c>
      <c r="D986">
        <v>0.59401199999999998</v>
      </c>
      <c r="E986">
        <v>0.74071500000000001</v>
      </c>
      <c r="F986">
        <v>0.155858</v>
      </c>
      <c r="G986">
        <v>0.50327</v>
      </c>
    </row>
    <row r="987" spans="1:7">
      <c r="A987" t="s">
        <v>144</v>
      </c>
      <c r="B987">
        <v>15</v>
      </c>
      <c r="C987">
        <v>15</v>
      </c>
      <c r="D987">
        <v>0.59401199999999998</v>
      </c>
      <c r="E987">
        <v>-0.65871100000000005</v>
      </c>
      <c r="F987">
        <v>-0.15268399999999999</v>
      </c>
      <c r="G987">
        <v>-0.45327099999999998</v>
      </c>
    </row>
    <row r="988" spans="1:7">
      <c r="A988" t="s">
        <v>144</v>
      </c>
      <c r="B988">
        <v>15</v>
      </c>
      <c r="C988">
        <v>16</v>
      </c>
      <c r="D988">
        <v>0.59401199999999998</v>
      </c>
      <c r="E988">
        <v>-0.324961</v>
      </c>
      <c r="F988">
        <v>-0.28193000000000001</v>
      </c>
      <c r="G988">
        <v>-0.30749100000000001</v>
      </c>
    </row>
    <row r="989" spans="1:7">
      <c r="A989" t="s">
        <v>144</v>
      </c>
      <c r="B989">
        <v>15</v>
      </c>
      <c r="C989">
        <v>17</v>
      </c>
      <c r="D989">
        <v>0.59401199999999998</v>
      </c>
      <c r="E989">
        <v>-0.275613</v>
      </c>
      <c r="F989">
        <v>0.74651299999999998</v>
      </c>
      <c r="G989">
        <v>0.13935800000000001</v>
      </c>
    </row>
    <row r="990" spans="1:7">
      <c r="A990" t="s">
        <v>144</v>
      </c>
      <c r="B990">
        <v>15</v>
      </c>
      <c r="C990">
        <v>18</v>
      </c>
      <c r="D990">
        <v>0.59401199999999998</v>
      </c>
      <c r="E990">
        <v>-0.26831899999999997</v>
      </c>
      <c r="F990">
        <v>0.54817300000000002</v>
      </c>
      <c r="G990">
        <v>6.3167000000000001E-2</v>
      </c>
    </row>
    <row r="991" spans="1:7">
      <c r="A991" t="s">
        <v>144</v>
      </c>
      <c r="B991">
        <v>15</v>
      </c>
      <c r="C991">
        <v>19</v>
      </c>
      <c r="D991">
        <v>0.59401199999999998</v>
      </c>
      <c r="E991">
        <v>0.76213900000000001</v>
      </c>
      <c r="F991">
        <v>0.54100199999999998</v>
      </c>
      <c r="G991">
        <v>0.67235999999999996</v>
      </c>
    </row>
    <row r="992" spans="1:7">
      <c r="A992" t="s">
        <v>144</v>
      </c>
      <c r="B992">
        <v>15</v>
      </c>
      <c r="C992">
        <v>20</v>
      </c>
      <c r="D992">
        <v>0.59401199999999998</v>
      </c>
      <c r="E992">
        <v>-0.90047900000000003</v>
      </c>
      <c r="F992">
        <v>-0.199072</v>
      </c>
      <c r="G992">
        <v>-0.61571699999999996</v>
      </c>
    </row>
    <row r="993" spans="1:7">
      <c r="A993" t="s">
        <v>144</v>
      </c>
      <c r="B993">
        <v>15</v>
      </c>
      <c r="C993">
        <v>21</v>
      </c>
      <c r="D993">
        <v>0.59401199999999998</v>
      </c>
      <c r="E993">
        <v>-0.33576499999999998</v>
      </c>
      <c r="F993">
        <v>0.12845200000000001</v>
      </c>
      <c r="G993">
        <v>-0.14729800000000001</v>
      </c>
    </row>
    <row r="994" spans="1:7">
      <c r="A994" t="s">
        <v>144</v>
      </c>
      <c r="B994">
        <v>15</v>
      </c>
      <c r="C994">
        <v>22</v>
      </c>
      <c r="D994">
        <v>0.59401199999999998</v>
      </c>
      <c r="E994">
        <v>-0.43833699999999998</v>
      </c>
      <c r="F994">
        <v>8.9328000000000005E-2</v>
      </c>
      <c r="G994">
        <v>-0.22411200000000001</v>
      </c>
    </row>
    <row r="995" spans="1:7">
      <c r="A995" t="s">
        <v>144</v>
      </c>
      <c r="B995">
        <v>15</v>
      </c>
      <c r="C995">
        <v>23</v>
      </c>
      <c r="D995">
        <v>0.59401199999999998</v>
      </c>
      <c r="E995">
        <v>0.27884799999999998</v>
      </c>
      <c r="F995">
        <v>-0.92086500000000004</v>
      </c>
      <c r="G995">
        <v>-0.20822099999999999</v>
      </c>
    </row>
    <row r="996" spans="1:7">
      <c r="A996" t="s">
        <v>144</v>
      </c>
      <c r="B996">
        <v>15</v>
      </c>
      <c r="C996">
        <v>24</v>
      </c>
      <c r="D996">
        <v>0.59401199999999998</v>
      </c>
      <c r="E996">
        <v>-0.38447199999999998</v>
      </c>
      <c r="F996">
        <v>0.40418700000000002</v>
      </c>
      <c r="G996">
        <v>-6.4285999999999996E-2</v>
      </c>
    </row>
    <row r="997" spans="1:7">
      <c r="A997" t="s">
        <v>144</v>
      </c>
      <c r="B997">
        <v>15</v>
      </c>
      <c r="C997">
        <v>25</v>
      </c>
      <c r="D997">
        <v>0.59401199999999998</v>
      </c>
      <c r="E997">
        <v>-0.77102000000000004</v>
      </c>
      <c r="F997">
        <v>0.88283900000000004</v>
      </c>
      <c r="G997">
        <v>-9.9572999999999995E-2</v>
      </c>
    </row>
    <row r="998" spans="1:7">
      <c r="A998" t="s">
        <v>144</v>
      </c>
      <c r="B998">
        <v>15</v>
      </c>
      <c r="C998">
        <v>26</v>
      </c>
      <c r="D998">
        <v>0.59401199999999998</v>
      </c>
      <c r="E998">
        <v>0.27057700000000001</v>
      </c>
      <c r="F998">
        <v>0.50660700000000003</v>
      </c>
      <c r="G998">
        <v>0.36640200000000001</v>
      </c>
    </row>
    <row r="999" spans="1:7">
      <c r="A999" t="s">
        <v>144</v>
      </c>
      <c r="B999">
        <v>15</v>
      </c>
      <c r="C999">
        <v>27</v>
      </c>
      <c r="D999">
        <v>0.59401199999999998</v>
      </c>
      <c r="E999">
        <v>0.83318599999999998</v>
      </c>
      <c r="F999">
        <v>-0.40748299999999998</v>
      </c>
      <c r="G999">
        <v>0.32948899999999998</v>
      </c>
    </row>
    <row r="1000" spans="1:7">
      <c r="A1000" t="s">
        <v>144</v>
      </c>
      <c r="B1000">
        <v>15</v>
      </c>
      <c r="C1000">
        <v>28</v>
      </c>
      <c r="D1000">
        <v>0.59401199999999998</v>
      </c>
      <c r="E1000">
        <v>0.40339399999999997</v>
      </c>
      <c r="F1000">
        <v>-6.7933999999999994E-2</v>
      </c>
      <c r="G1000">
        <v>0.21204000000000001</v>
      </c>
    </row>
    <row r="1001" spans="1:7">
      <c r="A1001" t="s">
        <v>144</v>
      </c>
      <c r="B1001">
        <v>15</v>
      </c>
      <c r="C1001">
        <v>29</v>
      </c>
      <c r="D1001">
        <v>0.59401199999999998</v>
      </c>
      <c r="E1001">
        <v>-0.289163</v>
      </c>
      <c r="F1001">
        <v>0.74065400000000003</v>
      </c>
      <c r="G1001">
        <v>0.12892999999999999</v>
      </c>
    </row>
    <row r="1002" spans="1:7">
      <c r="A1002" t="s">
        <v>144</v>
      </c>
      <c r="B1002">
        <v>15</v>
      </c>
      <c r="C1002">
        <v>30</v>
      </c>
      <c r="D1002">
        <v>0.59401199999999998</v>
      </c>
      <c r="E1002">
        <v>0.76848700000000003</v>
      </c>
      <c r="F1002">
        <v>-0.13766900000000001</v>
      </c>
      <c r="G1002">
        <v>0.40059899999999998</v>
      </c>
    </row>
    <row r="1003" spans="1:7">
      <c r="A1003" t="s">
        <v>144</v>
      </c>
      <c r="B1003">
        <v>15</v>
      </c>
      <c r="C1003">
        <v>31</v>
      </c>
      <c r="D1003">
        <v>0.59401199999999998</v>
      </c>
      <c r="E1003">
        <v>0.15106700000000001</v>
      </c>
      <c r="F1003">
        <v>-0.86050000000000004</v>
      </c>
      <c r="G1003">
        <v>-0.25961699999999999</v>
      </c>
    </row>
    <row r="1004" spans="1:7">
      <c r="A1004" t="s">
        <v>144</v>
      </c>
      <c r="B1004">
        <v>15</v>
      </c>
      <c r="C1004">
        <v>32</v>
      </c>
      <c r="D1004">
        <v>0.59401199999999998</v>
      </c>
      <c r="E1004">
        <v>-0.74877199999999999</v>
      </c>
      <c r="F1004">
        <v>-0.309305</v>
      </c>
      <c r="G1004">
        <v>-0.57035400000000003</v>
      </c>
    </row>
    <row r="1005" spans="1:7">
      <c r="A1005" t="s">
        <v>144</v>
      </c>
      <c r="B1005">
        <v>15</v>
      </c>
      <c r="C1005">
        <v>33</v>
      </c>
      <c r="D1005">
        <v>0.59401199999999998</v>
      </c>
      <c r="E1005">
        <v>-0.33460499999999999</v>
      </c>
      <c r="F1005">
        <v>-0.218329</v>
      </c>
      <c r="G1005">
        <v>-0.28739900000000002</v>
      </c>
    </row>
    <row r="1006" spans="1:7">
      <c r="A1006" t="s">
        <v>144</v>
      </c>
      <c r="B1006">
        <v>15</v>
      </c>
      <c r="C1006">
        <v>34</v>
      </c>
      <c r="D1006">
        <v>0.59401199999999998</v>
      </c>
      <c r="E1006">
        <v>-0.81350100000000003</v>
      </c>
      <c r="F1006">
        <v>0.63774500000000001</v>
      </c>
      <c r="G1006">
        <v>-0.22431300000000001</v>
      </c>
    </row>
    <row r="1007" spans="1:7">
      <c r="A1007" t="s">
        <v>144</v>
      </c>
      <c r="B1007">
        <v>15</v>
      </c>
      <c r="C1007">
        <v>35</v>
      </c>
      <c r="D1007">
        <v>0.59401199999999998</v>
      </c>
      <c r="E1007">
        <v>-0.11096499999999999</v>
      </c>
      <c r="F1007">
        <v>0.24704699999999999</v>
      </c>
      <c r="G1007">
        <v>3.4382999999999997E-2</v>
      </c>
    </row>
    <row r="1008" spans="1:7">
      <c r="A1008" t="s">
        <v>144</v>
      </c>
      <c r="B1008">
        <v>15</v>
      </c>
      <c r="C1008">
        <v>36</v>
      </c>
      <c r="D1008">
        <v>0.59401199999999998</v>
      </c>
      <c r="E1008">
        <v>-0.83437600000000001</v>
      </c>
      <c r="F1008">
        <v>-0.46522400000000003</v>
      </c>
      <c r="G1008">
        <v>-0.68450500000000003</v>
      </c>
    </row>
    <row r="1009" spans="1:7">
      <c r="A1009" t="s">
        <v>144</v>
      </c>
      <c r="B1009">
        <v>15</v>
      </c>
      <c r="C1009">
        <v>37</v>
      </c>
      <c r="D1009">
        <v>0.59401199999999998</v>
      </c>
      <c r="E1009">
        <v>0.20127</v>
      </c>
      <c r="F1009">
        <v>4.3305999999999997E-2</v>
      </c>
      <c r="G1009">
        <v>0.13713800000000001</v>
      </c>
    </row>
    <row r="1010" spans="1:7">
      <c r="A1010" t="s">
        <v>144</v>
      </c>
      <c r="B1010">
        <v>15</v>
      </c>
      <c r="C1010">
        <v>38</v>
      </c>
      <c r="D1010">
        <v>0.59401199999999998</v>
      </c>
      <c r="E1010">
        <v>-0.184637</v>
      </c>
      <c r="F1010">
        <v>-0.81154800000000005</v>
      </c>
      <c r="G1010">
        <v>-0.43915500000000002</v>
      </c>
    </row>
    <row r="1011" spans="1:7">
      <c r="A1011" t="s">
        <v>144</v>
      </c>
      <c r="B1011">
        <v>15</v>
      </c>
      <c r="C1011">
        <v>39</v>
      </c>
      <c r="D1011">
        <v>0.59401199999999998</v>
      </c>
      <c r="E1011">
        <v>-0.91958399999999996</v>
      </c>
      <c r="F1011">
        <v>0.13003899999999999</v>
      </c>
      <c r="G1011">
        <v>-0.49345</v>
      </c>
    </row>
    <row r="1012" spans="1:7">
      <c r="A1012" t="s">
        <v>144</v>
      </c>
      <c r="B1012">
        <v>15</v>
      </c>
      <c r="C1012">
        <v>40</v>
      </c>
      <c r="D1012">
        <v>0.59401199999999998</v>
      </c>
      <c r="E1012">
        <v>0.278115</v>
      </c>
      <c r="F1012">
        <v>0.48499999999999999</v>
      </c>
      <c r="G1012">
        <v>0.36210799999999999</v>
      </c>
    </row>
    <row r="1013" spans="1:7">
      <c r="A1013" t="s">
        <v>144</v>
      </c>
      <c r="B1013">
        <v>15</v>
      </c>
      <c r="C1013">
        <v>41</v>
      </c>
      <c r="D1013">
        <v>0.59401199999999998</v>
      </c>
      <c r="E1013">
        <v>-0.27121800000000001</v>
      </c>
      <c r="F1013">
        <v>-0.70488600000000001</v>
      </c>
      <c r="G1013">
        <v>-0.44728200000000001</v>
      </c>
    </row>
    <row r="1014" spans="1:7">
      <c r="A1014" t="s">
        <v>144</v>
      </c>
      <c r="B1014">
        <v>15</v>
      </c>
      <c r="C1014">
        <v>42</v>
      </c>
      <c r="D1014">
        <v>0.59401199999999998</v>
      </c>
      <c r="E1014">
        <v>0.70314600000000005</v>
      </c>
      <c r="F1014">
        <v>0.57035999999999998</v>
      </c>
      <c r="G1014">
        <v>0.64923699999999995</v>
      </c>
    </row>
    <row r="1015" spans="1:7">
      <c r="A1015" t="s">
        <v>144</v>
      </c>
      <c r="B1015">
        <v>15</v>
      </c>
      <c r="C1015">
        <v>43</v>
      </c>
      <c r="D1015">
        <v>0.59401199999999998</v>
      </c>
      <c r="E1015">
        <v>0.412549</v>
      </c>
      <c r="F1015">
        <v>-0.28153299999999998</v>
      </c>
      <c r="G1015">
        <v>0.13075999999999999</v>
      </c>
    </row>
    <row r="1016" spans="1:7">
      <c r="A1016" t="s">
        <v>144</v>
      </c>
      <c r="B1016">
        <v>15</v>
      </c>
      <c r="C1016">
        <v>44</v>
      </c>
      <c r="D1016">
        <v>0.59401199999999998</v>
      </c>
      <c r="E1016">
        <v>-0.60927200000000004</v>
      </c>
      <c r="F1016">
        <v>0.449934</v>
      </c>
      <c r="G1016">
        <v>-0.17924699999999999</v>
      </c>
    </row>
    <row r="1017" spans="1:7">
      <c r="A1017" t="s">
        <v>144</v>
      </c>
      <c r="B1017">
        <v>15</v>
      </c>
      <c r="C1017">
        <v>45</v>
      </c>
      <c r="D1017">
        <v>0.59401199999999998</v>
      </c>
      <c r="E1017">
        <v>-0.37781900000000002</v>
      </c>
      <c r="F1017">
        <v>0.129887</v>
      </c>
      <c r="G1017">
        <v>-0.17169699999999999</v>
      </c>
    </row>
    <row r="1018" spans="1:7">
      <c r="A1018" t="s">
        <v>144</v>
      </c>
      <c r="B1018">
        <v>15</v>
      </c>
      <c r="C1018">
        <v>46</v>
      </c>
      <c r="D1018">
        <v>0.59401199999999998</v>
      </c>
      <c r="E1018">
        <v>-0.50169399999999997</v>
      </c>
      <c r="F1018">
        <v>-1.413E-2</v>
      </c>
      <c r="G1018">
        <v>-0.30374899999999999</v>
      </c>
    </row>
    <row r="1019" spans="1:7">
      <c r="A1019" t="s">
        <v>144</v>
      </c>
      <c r="B1019">
        <v>15</v>
      </c>
      <c r="C1019">
        <v>47</v>
      </c>
      <c r="D1019">
        <v>0.59401199999999998</v>
      </c>
      <c r="E1019">
        <v>-0.48045300000000002</v>
      </c>
      <c r="F1019">
        <v>-0.42100300000000002</v>
      </c>
      <c r="G1019">
        <v>-0.45631699999999997</v>
      </c>
    </row>
    <row r="1020" spans="1:7">
      <c r="A1020" t="s">
        <v>144</v>
      </c>
      <c r="B1020">
        <v>15</v>
      </c>
      <c r="C1020">
        <v>48</v>
      </c>
      <c r="D1020">
        <v>0.59401199999999998</v>
      </c>
      <c r="E1020">
        <v>-0.100314</v>
      </c>
      <c r="F1020">
        <v>-0.21778</v>
      </c>
      <c r="G1020">
        <v>-0.148004</v>
      </c>
    </row>
    <row r="1021" spans="1:7">
      <c r="A1021" t="s">
        <v>144</v>
      </c>
      <c r="B1021">
        <v>15</v>
      </c>
      <c r="C1021">
        <v>49</v>
      </c>
      <c r="D1021">
        <v>0.59401199999999998</v>
      </c>
      <c r="E1021">
        <v>-0.29395399999999999</v>
      </c>
      <c r="F1021">
        <v>0.48368800000000001</v>
      </c>
      <c r="G1021">
        <v>2.1759000000000001E-2</v>
      </c>
    </row>
    <row r="1022" spans="1:7">
      <c r="A1022" t="s">
        <v>144</v>
      </c>
      <c r="B1022" t="s">
        <v>145</v>
      </c>
      <c r="C1022">
        <v>16</v>
      </c>
    </row>
    <row r="1023" spans="1:7">
      <c r="A1023" t="s">
        <v>144</v>
      </c>
      <c r="B1023" t="s">
        <v>146</v>
      </c>
      <c r="C1023">
        <v>51</v>
      </c>
    </row>
    <row r="1024" spans="1:7">
      <c r="A1024" t="s">
        <v>144</v>
      </c>
      <c r="B1024" t="s">
        <v>147</v>
      </c>
      <c r="C1024">
        <v>51</v>
      </c>
    </row>
    <row r="1025" spans="1:7">
      <c r="A1025" t="s">
        <v>144</v>
      </c>
      <c r="B1025" t="s">
        <v>148</v>
      </c>
      <c r="C1025">
        <v>0.43314900000000001</v>
      </c>
    </row>
    <row r="1026" spans="1:7">
      <c r="A1026" t="s">
        <v>144</v>
      </c>
      <c r="B1026" t="s">
        <v>149</v>
      </c>
      <c r="C1026">
        <v>0.43314900000000001</v>
      </c>
    </row>
    <row r="1027" spans="1:7">
      <c r="A1027" t="s">
        <v>144</v>
      </c>
      <c r="B1027" t="s">
        <v>150</v>
      </c>
      <c r="C1027">
        <v>-1</v>
      </c>
    </row>
    <row r="1028" spans="1:7">
      <c r="A1028" t="s">
        <v>144</v>
      </c>
      <c r="B1028" t="s">
        <v>151</v>
      </c>
      <c r="C1028">
        <v>-1</v>
      </c>
    </row>
    <row r="1029" spans="1:7">
      <c r="A1029" t="s">
        <v>144</v>
      </c>
      <c r="B1029" t="s">
        <v>152</v>
      </c>
      <c r="C1029">
        <v>41</v>
      </c>
    </row>
    <row r="1030" spans="1:7">
      <c r="A1030" t="s">
        <v>144</v>
      </c>
      <c r="B1030" t="s">
        <v>153</v>
      </c>
      <c r="C1030">
        <v>41</v>
      </c>
    </row>
    <row r="1031" spans="1:7">
      <c r="A1031" t="s">
        <v>144</v>
      </c>
      <c r="B1031" t="s">
        <v>154</v>
      </c>
      <c r="C1031">
        <v>0</v>
      </c>
    </row>
    <row r="1032" spans="1:7">
      <c r="A1032" t="s">
        <v>144</v>
      </c>
      <c r="B1032" t="s">
        <v>155</v>
      </c>
    </row>
    <row r="1033" spans="1:7">
      <c r="A1033" t="s">
        <v>144</v>
      </c>
      <c r="B1033" t="s">
        <v>150</v>
      </c>
      <c r="C1033">
        <v>0.89623699999999995</v>
      </c>
    </row>
    <row r="1034" spans="1:7">
      <c r="A1034" t="s">
        <v>144</v>
      </c>
      <c r="B1034" t="s">
        <v>151</v>
      </c>
      <c r="C1034">
        <v>0.89623699999999995</v>
      </c>
    </row>
    <row r="1035" spans="1:7">
      <c r="A1035" t="s">
        <v>144</v>
      </c>
      <c r="B1035" t="s">
        <v>156</v>
      </c>
      <c r="C1035" t="s">
        <v>157</v>
      </c>
      <c r="D1035" t="s">
        <v>63</v>
      </c>
      <c r="E1035" t="s">
        <v>158</v>
      </c>
      <c r="F1035" t="s">
        <v>159</v>
      </c>
      <c r="G1035" t="s">
        <v>160</v>
      </c>
    </row>
    <row r="1036" spans="1:7">
      <c r="A1036" t="s">
        <v>144</v>
      </c>
      <c r="B1036">
        <v>16</v>
      </c>
      <c r="C1036">
        <v>0</v>
      </c>
      <c r="D1036">
        <v>0.89623699999999995</v>
      </c>
      <c r="E1036">
        <v>0.306589</v>
      </c>
      <c r="F1036">
        <v>-1</v>
      </c>
      <c r="G1036">
        <v>0.306589</v>
      </c>
    </row>
    <row r="1037" spans="1:7">
      <c r="A1037" t="s">
        <v>144</v>
      </c>
      <c r="B1037">
        <v>16</v>
      </c>
      <c r="C1037">
        <v>1</v>
      </c>
      <c r="D1037">
        <v>0.89623699999999995</v>
      </c>
      <c r="E1037">
        <v>0.27494099999999999</v>
      </c>
      <c r="F1037">
        <v>-1</v>
      </c>
      <c r="G1037">
        <v>0.27494099999999999</v>
      </c>
    </row>
    <row r="1038" spans="1:7">
      <c r="A1038" t="s">
        <v>144</v>
      </c>
      <c r="B1038">
        <v>16</v>
      </c>
      <c r="C1038">
        <v>2</v>
      </c>
      <c r="D1038">
        <v>0.89623699999999995</v>
      </c>
      <c r="E1038">
        <v>0.52394200000000002</v>
      </c>
      <c r="F1038">
        <v>-1</v>
      </c>
      <c r="G1038">
        <v>0.52394200000000002</v>
      </c>
    </row>
    <row r="1039" spans="1:7">
      <c r="A1039" t="s">
        <v>144</v>
      </c>
      <c r="B1039">
        <v>16</v>
      </c>
      <c r="C1039">
        <v>3</v>
      </c>
      <c r="D1039">
        <v>0.89623699999999995</v>
      </c>
      <c r="E1039">
        <v>0.449965</v>
      </c>
      <c r="F1039">
        <v>-1</v>
      </c>
      <c r="G1039">
        <v>0.449965</v>
      </c>
    </row>
    <row r="1040" spans="1:7">
      <c r="A1040" t="s">
        <v>144</v>
      </c>
      <c r="B1040">
        <v>16</v>
      </c>
      <c r="C1040">
        <v>4</v>
      </c>
      <c r="D1040">
        <v>0.89623699999999995</v>
      </c>
      <c r="E1040">
        <v>-0.85894300000000001</v>
      </c>
      <c r="F1040">
        <v>-1</v>
      </c>
      <c r="G1040">
        <v>-0.85894300000000001</v>
      </c>
    </row>
    <row r="1041" spans="1:7">
      <c r="A1041" t="s">
        <v>144</v>
      </c>
      <c r="B1041">
        <v>16</v>
      </c>
      <c r="C1041">
        <v>5</v>
      </c>
      <c r="D1041">
        <v>0.89623699999999995</v>
      </c>
      <c r="E1041">
        <v>0.40437000000000001</v>
      </c>
      <c r="F1041">
        <v>-1</v>
      </c>
      <c r="G1041">
        <v>0.40437000000000001</v>
      </c>
    </row>
    <row r="1042" spans="1:7">
      <c r="A1042" t="s">
        <v>144</v>
      </c>
      <c r="B1042">
        <v>16</v>
      </c>
      <c r="C1042">
        <v>6</v>
      </c>
      <c r="D1042">
        <v>0.89623699999999995</v>
      </c>
      <c r="E1042">
        <v>-0.818079</v>
      </c>
      <c r="F1042">
        <v>-1</v>
      </c>
      <c r="G1042">
        <v>-0.818079</v>
      </c>
    </row>
    <row r="1043" spans="1:7">
      <c r="A1043" t="s">
        <v>144</v>
      </c>
      <c r="B1043">
        <v>16</v>
      </c>
      <c r="C1043">
        <v>7</v>
      </c>
      <c r="D1043">
        <v>0.89623699999999995</v>
      </c>
      <c r="E1043">
        <v>0.58809199999999995</v>
      </c>
      <c r="F1043">
        <v>-1</v>
      </c>
      <c r="G1043">
        <v>0.58809199999999995</v>
      </c>
    </row>
    <row r="1044" spans="1:7">
      <c r="A1044" t="s">
        <v>144</v>
      </c>
      <c r="B1044">
        <v>16</v>
      </c>
      <c r="C1044">
        <v>8</v>
      </c>
      <c r="D1044">
        <v>0.89623699999999995</v>
      </c>
      <c r="E1044">
        <v>0.47499000000000002</v>
      </c>
      <c r="F1044">
        <v>-1</v>
      </c>
      <c r="G1044">
        <v>0.47499000000000002</v>
      </c>
    </row>
    <row r="1045" spans="1:7">
      <c r="A1045" t="s">
        <v>144</v>
      </c>
      <c r="B1045">
        <v>16</v>
      </c>
      <c r="C1045">
        <v>9</v>
      </c>
      <c r="D1045">
        <v>0.89623699999999995</v>
      </c>
      <c r="E1045">
        <v>-0.88402999999999998</v>
      </c>
      <c r="F1045">
        <v>-1</v>
      </c>
      <c r="G1045">
        <v>-0.88402999999999998</v>
      </c>
    </row>
    <row r="1046" spans="1:7">
      <c r="A1046" t="s">
        <v>144</v>
      </c>
      <c r="B1046">
        <v>16</v>
      </c>
      <c r="C1046">
        <v>10</v>
      </c>
      <c r="D1046">
        <v>0.89623699999999995</v>
      </c>
      <c r="E1046">
        <v>-0.75350200000000001</v>
      </c>
      <c r="F1046">
        <v>-1</v>
      </c>
      <c r="G1046">
        <v>-0.75350200000000001</v>
      </c>
    </row>
    <row r="1047" spans="1:7">
      <c r="A1047" t="s">
        <v>144</v>
      </c>
      <c r="B1047">
        <v>16</v>
      </c>
      <c r="C1047">
        <v>11</v>
      </c>
      <c r="D1047">
        <v>0.89623699999999995</v>
      </c>
      <c r="E1047">
        <v>-0.40357700000000002</v>
      </c>
      <c r="F1047">
        <v>-1</v>
      </c>
      <c r="G1047">
        <v>-0.40357700000000002</v>
      </c>
    </row>
    <row r="1048" spans="1:7">
      <c r="A1048" t="s">
        <v>144</v>
      </c>
      <c r="B1048">
        <v>16</v>
      </c>
      <c r="C1048">
        <v>12</v>
      </c>
      <c r="D1048">
        <v>0.89623699999999995</v>
      </c>
      <c r="E1048">
        <v>0.83709199999999995</v>
      </c>
      <c r="F1048">
        <v>-1</v>
      </c>
      <c r="G1048">
        <v>0.83709199999999995</v>
      </c>
    </row>
    <row r="1049" spans="1:7">
      <c r="A1049" t="s">
        <v>144</v>
      </c>
      <c r="B1049">
        <v>16</v>
      </c>
      <c r="C1049">
        <v>13</v>
      </c>
      <c r="D1049">
        <v>0.89623699999999995</v>
      </c>
      <c r="E1049">
        <v>0.424848</v>
      </c>
      <c r="F1049">
        <v>-1</v>
      </c>
      <c r="G1049">
        <v>0.424848</v>
      </c>
    </row>
    <row r="1050" spans="1:7">
      <c r="A1050" t="s">
        <v>144</v>
      </c>
      <c r="B1050">
        <v>16</v>
      </c>
      <c r="C1050">
        <v>14</v>
      </c>
      <c r="D1050">
        <v>0.89623699999999995</v>
      </c>
      <c r="E1050">
        <v>0.862209</v>
      </c>
      <c r="F1050">
        <v>-1</v>
      </c>
      <c r="G1050">
        <v>0.862209</v>
      </c>
    </row>
    <row r="1051" spans="1:7">
      <c r="A1051" t="s">
        <v>144</v>
      </c>
      <c r="B1051">
        <v>16</v>
      </c>
      <c r="C1051">
        <v>15</v>
      </c>
      <c r="D1051">
        <v>0.89623699999999995</v>
      </c>
      <c r="E1051">
        <v>-0.87951299999999999</v>
      </c>
      <c r="F1051">
        <v>-1</v>
      </c>
      <c r="G1051">
        <v>-0.87951299999999999</v>
      </c>
    </row>
    <row r="1052" spans="1:7">
      <c r="A1052" t="s">
        <v>144</v>
      </c>
      <c r="B1052">
        <v>16</v>
      </c>
      <c r="C1052">
        <v>16</v>
      </c>
      <c r="D1052">
        <v>0.89623699999999995</v>
      </c>
      <c r="E1052">
        <v>-0.55049300000000001</v>
      </c>
      <c r="F1052">
        <v>-1</v>
      </c>
      <c r="G1052">
        <v>-0.55049300000000001</v>
      </c>
    </row>
    <row r="1053" spans="1:7">
      <c r="A1053" t="s">
        <v>144</v>
      </c>
      <c r="B1053">
        <v>16</v>
      </c>
      <c r="C1053">
        <v>17</v>
      </c>
      <c r="D1053">
        <v>0.89623699999999995</v>
      </c>
      <c r="E1053">
        <v>-0.29471700000000001</v>
      </c>
      <c r="F1053">
        <v>-1</v>
      </c>
      <c r="G1053">
        <v>-0.29471700000000001</v>
      </c>
    </row>
    <row r="1054" spans="1:7">
      <c r="A1054" t="s">
        <v>144</v>
      </c>
      <c r="B1054">
        <v>16</v>
      </c>
      <c r="C1054">
        <v>18</v>
      </c>
      <c r="D1054">
        <v>0.89623699999999995</v>
      </c>
      <c r="E1054">
        <v>0.93707099999999999</v>
      </c>
      <c r="F1054">
        <v>-1</v>
      </c>
      <c r="G1054">
        <v>0.93707099999999999</v>
      </c>
    </row>
    <row r="1055" spans="1:7">
      <c r="A1055" t="s">
        <v>144</v>
      </c>
      <c r="B1055">
        <v>16</v>
      </c>
      <c r="C1055">
        <v>19</v>
      </c>
      <c r="D1055">
        <v>0.89623699999999995</v>
      </c>
      <c r="E1055">
        <v>0.59666699999999995</v>
      </c>
      <c r="F1055">
        <v>-1</v>
      </c>
      <c r="G1055">
        <v>0.59666699999999995</v>
      </c>
    </row>
    <row r="1056" spans="1:7">
      <c r="A1056" t="s">
        <v>144</v>
      </c>
      <c r="B1056">
        <v>16</v>
      </c>
      <c r="C1056">
        <v>20</v>
      </c>
      <c r="D1056">
        <v>0.89623699999999995</v>
      </c>
      <c r="E1056">
        <v>-0.85048999999999997</v>
      </c>
      <c r="F1056">
        <v>-1</v>
      </c>
      <c r="G1056">
        <v>-0.85048999999999997</v>
      </c>
    </row>
    <row r="1057" spans="1:7">
      <c r="A1057" t="s">
        <v>144</v>
      </c>
      <c r="B1057">
        <v>16</v>
      </c>
      <c r="C1057">
        <v>21</v>
      </c>
      <c r="D1057">
        <v>0.89623699999999995</v>
      </c>
      <c r="E1057">
        <v>0.68138699999999996</v>
      </c>
      <c r="F1057">
        <v>-1</v>
      </c>
      <c r="G1057">
        <v>0.68138699999999996</v>
      </c>
    </row>
    <row r="1058" spans="1:7">
      <c r="A1058" t="s">
        <v>144</v>
      </c>
      <c r="B1058">
        <v>16</v>
      </c>
      <c r="C1058">
        <v>22</v>
      </c>
      <c r="D1058">
        <v>0.89623699999999995</v>
      </c>
      <c r="E1058">
        <v>0.30124800000000002</v>
      </c>
      <c r="F1058">
        <v>-1</v>
      </c>
      <c r="G1058">
        <v>0.30124800000000002</v>
      </c>
    </row>
    <row r="1059" spans="1:7">
      <c r="A1059" t="s">
        <v>144</v>
      </c>
      <c r="B1059">
        <v>16</v>
      </c>
      <c r="C1059">
        <v>23</v>
      </c>
      <c r="D1059">
        <v>0.89623699999999995</v>
      </c>
      <c r="E1059">
        <v>0.15948999999999999</v>
      </c>
      <c r="F1059">
        <v>-1</v>
      </c>
      <c r="G1059">
        <v>0.15948999999999999</v>
      </c>
    </row>
    <row r="1060" spans="1:7">
      <c r="A1060" t="s">
        <v>144</v>
      </c>
      <c r="B1060">
        <v>16</v>
      </c>
      <c r="C1060">
        <v>24</v>
      </c>
      <c r="D1060">
        <v>0.89623699999999995</v>
      </c>
      <c r="E1060">
        <v>-0.43436999999999998</v>
      </c>
      <c r="F1060">
        <v>-1</v>
      </c>
      <c r="G1060">
        <v>-0.43436999999999998</v>
      </c>
    </row>
    <row r="1061" spans="1:7">
      <c r="A1061" t="s">
        <v>144</v>
      </c>
      <c r="B1061">
        <v>16</v>
      </c>
      <c r="C1061">
        <v>25</v>
      </c>
      <c r="D1061">
        <v>0.89623699999999995</v>
      </c>
      <c r="E1061">
        <v>0.181036</v>
      </c>
      <c r="F1061">
        <v>-1</v>
      </c>
      <c r="G1061">
        <v>0.181036</v>
      </c>
    </row>
    <row r="1062" spans="1:7">
      <c r="A1062" t="s">
        <v>144</v>
      </c>
      <c r="B1062">
        <v>16</v>
      </c>
      <c r="C1062">
        <v>26</v>
      </c>
      <c r="D1062">
        <v>0.89623699999999995</v>
      </c>
      <c r="E1062">
        <v>0.20294799999999999</v>
      </c>
      <c r="F1062">
        <v>-1</v>
      </c>
      <c r="G1062">
        <v>0.20294799999999999</v>
      </c>
    </row>
    <row r="1063" spans="1:7">
      <c r="A1063" t="s">
        <v>144</v>
      </c>
      <c r="B1063">
        <v>16</v>
      </c>
      <c r="C1063">
        <v>27</v>
      </c>
      <c r="D1063">
        <v>0.89623699999999995</v>
      </c>
      <c r="E1063">
        <v>-0.74669600000000003</v>
      </c>
      <c r="F1063">
        <v>-1</v>
      </c>
      <c r="G1063">
        <v>-0.74669600000000003</v>
      </c>
    </row>
    <row r="1064" spans="1:7">
      <c r="A1064" t="s">
        <v>144</v>
      </c>
      <c r="B1064">
        <v>16</v>
      </c>
      <c r="C1064">
        <v>28</v>
      </c>
      <c r="D1064">
        <v>0.89623699999999995</v>
      </c>
      <c r="E1064">
        <v>0.41856100000000002</v>
      </c>
      <c r="F1064">
        <v>-1</v>
      </c>
      <c r="G1064">
        <v>0.41856100000000002</v>
      </c>
    </row>
    <row r="1065" spans="1:7">
      <c r="A1065" t="s">
        <v>144</v>
      </c>
      <c r="B1065">
        <v>16</v>
      </c>
      <c r="C1065">
        <v>29</v>
      </c>
      <c r="D1065">
        <v>0.89623699999999995</v>
      </c>
      <c r="E1065">
        <v>-0.41142000000000001</v>
      </c>
      <c r="F1065">
        <v>-1</v>
      </c>
      <c r="G1065">
        <v>-0.41142000000000001</v>
      </c>
    </row>
    <row r="1066" spans="1:7">
      <c r="A1066" t="s">
        <v>144</v>
      </c>
      <c r="B1066">
        <v>16</v>
      </c>
      <c r="C1066">
        <v>30</v>
      </c>
      <c r="D1066">
        <v>0.89623699999999995</v>
      </c>
      <c r="E1066">
        <v>0.33478799999999997</v>
      </c>
      <c r="F1066">
        <v>-1</v>
      </c>
      <c r="G1066">
        <v>0.33478799999999997</v>
      </c>
    </row>
    <row r="1067" spans="1:7">
      <c r="A1067" t="s">
        <v>144</v>
      </c>
      <c r="B1067">
        <v>16</v>
      </c>
      <c r="C1067">
        <v>31</v>
      </c>
      <c r="D1067">
        <v>0.89623699999999995</v>
      </c>
      <c r="E1067">
        <v>-0.78713299999999997</v>
      </c>
      <c r="F1067">
        <v>-1</v>
      </c>
      <c r="G1067">
        <v>-0.78713299999999997</v>
      </c>
    </row>
    <row r="1068" spans="1:7">
      <c r="A1068" t="s">
        <v>144</v>
      </c>
      <c r="B1068">
        <v>16</v>
      </c>
      <c r="C1068">
        <v>32</v>
      </c>
      <c r="D1068">
        <v>0.89623699999999995</v>
      </c>
      <c r="E1068">
        <v>0.42048400000000002</v>
      </c>
      <c r="F1068">
        <v>-1</v>
      </c>
      <c r="G1068">
        <v>0.42048400000000002</v>
      </c>
    </row>
    <row r="1069" spans="1:7">
      <c r="A1069" t="s">
        <v>144</v>
      </c>
      <c r="B1069">
        <v>16</v>
      </c>
      <c r="C1069">
        <v>33</v>
      </c>
      <c r="D1069">
        <v>0.89623699999999995</v>
      </c>
      <c r="E1069">
        <v>-0.75017500000000004</v>
      </c>
      <c r="F1069">
        <v>-1</v>
      </c>
      <c r="G1069">
        <v>-0.75017500000000004</v>
      </c>
    </row>
    <row r="1070" spans="1:7">
      <c r="A1070" t="s">
        <v>144</v>
      </c>
      <c r="B1070">
        <v>16</v>
      </c>
      <c r="C1070">
        <v>34</v>
      </c>
      <c r="D1070">
        <v>0.89623699999999995</v>
      </c>
      <c r="E1070">
        <v>-0.47837800000000003</v>
      </c>
      <c r="F1070">
        <v>-1</v>
      </c>
      <c r="G1070">
        <v>-0.47837800000000003</v>
      </c>
    </row>
    <row r="1071" spans="1:7">
      <c r="A1071" t="s">
        <v>144</v>
      </c>
      <c r="B1071">
        <v>16</v>
      </c>
      <c r="C1071">
        <v>35</v>
      </c>
      <c r="D1071">
        <v>0.89623699999999995</v>
      </c>
      <c r="E1071">
        <v>-0.760521</v>
      </c>
      <c r="F1071">
        <v>-1</v>
      </c>
      <c r="G1071">
        <v>-0.760521</v>
      </c>
    </row>
    <row r="1072" spans="1:7">
      <c r="A1072" t="s">
        <v>144</v>
      </c>
      <c r="B1072">
        <v>16</v>
      </c>
      <c r="C1072">
        <v>36</v>
      </c>
      <c r="D1072">
        <v>0.89623699999999995</v>
      </c>
      <c r="E1072">
        <v>-0.76580099999999995</v>
      </c>
      <c r="F1072">
        <v>-1</v>
      </c>
      <c r="G1072">
        <v>-0.76580099999999995</v>
      </c>
    </row>
    <row r="1073" spans="1:7">
      <c r="A1073" t="s">
        <v>144</v>
      </c>
      <c r="B1073">
        <v>16</v>
      </c>
      <c r="C1073">
        <v>37</v>
      </c>
      <c r="D1073">
        <v>0.89623699999999995</v>
      </c>
      <c r="E1073">
        <v>-0.19809599999999999</v>
      </c>
      <c r="F1073">
        <v>-1</v>
      </c>
      <c r="G1073">
        <v>-0.19809599999999999</v>
      </c>
    </row>
    <row r="1074" spans="1:7">
      <c r="A1074" t="s">
        <v>144</v>
      </c>
      <c r="B1074">
        <v>16</v>
      </c>
      <c r="C1074">
        <v>38</v>
      </c>
      <c r="D1074">
        <v>0.89623699999999995</v>
      </c>
      <c r="E1074">
        <v>0.27378200000000003</v>
      </c>
      <c r="F1074">
        <v>-1</v>
      </c>
      <c r="G1074">
        <v>0.27378200000000003</v>
      </c>
    </row>
    <row r="1075" spans="1:7">
      <c r="A1075" t="s">
        <v>144</v>
      </c>
      <c r="B1075">
        <v>16</v>
      </c>
      <c r="C1075">
        <v>39</v>
      </c>
      <c r="D1075">
        <v>0.89623699999999995</v>
      </c>
      <c r="E1075">
        <v>0.123325</v>
      </c>
      <c r="F1075">
        <v>-1</v>
      </c>
      <c r="G1075">
        <v>0.123325</v>
      </c>
    </row>
    <row r="1076" spans="1:7">
      <c r="A1076" t="s">
        <v>144</v>
      </c>
      <c r="B1076">
        <v>16</v>
      </c>
      <c r="C1076">
        <v>40</v>
      </c>
      <c r="D1076">
        <v>0.89623699999999995</v>
      </c>
      <c r="E1076">
        <v>-0.82027600000000001</v>
      </c>
      <c r="F1076">
        <v>-1</v>
      </c>
      <c r="G1076">
        <v>-0.82027600000000001</v>
      </c>
    </row>
    <row r="1077" spans="1:7">
      <c r="A1077" t="s">
        <v>144</v>
      </c>
      <c r="B1077">
        <v>16</v>
      </c>
      <c r="C1077">
        <v>41</v>
      </c>
      <c r="D1077">
        <v>0.89623699999999995</v>
      </c>
      <c r="E1077">
        <v>-0.367504</v>
      </c>
      <c r="F1077">
        <v>0.241981</v>
      </c>
      <c r="G1077">
        <v>-0.30426199999999998</v>
      </c>
    </row>
    <row r="1078" spans="1:7">
      <c r="A1078" t="s">
        <v>144</v>
      </c>
      <c r="B1078">
        <v>16</v>
      </c>
      <c r="C1078">
        <v>42</v>
      </c>
      <c r="D1078">
        <v>0.89623699999999995</v>
      </c>
      <c r="E1078">
        <v>0.114231</v>
      </c>
      <c r="F1078">
        <v>-3.0609999999999998E-2</v>
      </c>
      <c r="G1078">
        <v>9.9201999999999999E-2</v>
      </c>
    </row>
    <row r="1079" spans="1:7">
      <c r="A1079" t="s">
        <v>144</v>
      </c>
      <c r="B1079">
        <v>16</v>
      </c>
      <c r="C1079">
        <v>43</v>
      </c>
      <c r="D1079">
        <v>0.89623699999999995</v>
      </c>
      <c r="E1079">
        <v>-0.35950799999999999</v>
      </c>
      <c r="F1079">
        <v>-5.1728999999999997E-2</v>
      </c>
      <c r="G1079">
        <v>-0.32757199999999997</v>
      </c>
    </row>
    <row r="1080" spans="1:7">
      <c r="A1080" t="s">
        <v>144</v>
      </c>
      <c r="B1080">
        <v>16</v>
      </c>
      <c r="C1080">
        <v>44</v>
      </c>
      <c r="D1080">
        <v>0.89623699999999995</v>
      </c>
      <c r="E1080">
        <v>0.44685200000000003</v>
      </c>
      <c r="F1080">
        <v>0.963561</v>
      </c>
      <c r="G1080">
        <v>0.500467</v>
      </c>
    </row>
    <row r="1081" spans="1:7">
      <c r="A1081" t="s">
        <v>144</v>
      </c>
      <c r="B1081">
        <v>16</v>
      </c>
      <c r="C1081">
        <v>45</v>
      </c>
      <c r="D1081">
        <v>0.89623699999999995</v>
      </c>
      <c r="E1081">
        <v>-0.59532499999999999</v>
      </c>
      <c r="F1081">
        <v>-0.35505199999999998</v>
      </c>
      <c r="G1081">
        <v>-0.57039300000000004</v>
      </c>
    </row>
    <row r="1082" spans="1:7">
      <c r="A1082" t="s">
        <v>144</v>
      </c>
      <c r="B1082">
        <v>16</v>
      </c>
      <c r="C1082">
        <v>46</v>
      </c>
      <c r="D1082">
        <v>0.89623699999999995</v>
      </c>
      <c r="E1082">
        <v>0.16550200000000001</v>
      </c>
      <c r="F1082">
        <v>0.76842600000000005</v>
      </c>
      <c r="G1082">
        <v>0.22806299999999999</v>
      </c>
    </row>
    <row r="1083" spans="1:7">
      <c r="A1083" t="s">
        <v>144</v>
      </c>
      <c r="B1083">
        <v>16</v>
      </c>
      <c r="C1083">
        <v>47</v>
      </c>
      <c r="D1083">
        <v>0.89623699999999995</v>
      </c>
      <c r="E1083">
        <v>0.15613299999999999</v>
      </c>
      <c r="F1083">
        <v>0.50035099999999999</v>
      </c>
      <c r="G1083">
        <v>0.19184999999999999</v>
      </c>
    </row>
    <row r="1084" spans="1:7">
      <c r="A1084" t="s">
        <v>144</v>
      </c>
      <c r="B1084">
        <v>16</v>
      </c>
      <c r="C1084">
        <v>48</v>
      </c>
      <c r="D1084">
        <v>0.89623699999999995</v>
      </c>
      <c r="E1084">
        <v>0.58772500000000005</v>
      </c>
      <c r="F1084">
        <v>0.230293</v>
      </c>
      <c r="G1084">
        <v>0.55063700000000004</v>
      </c>
    </row>
    <row r="1085" spans="1:7">
      <c r="A1085" t="s">
        <v>144</v>
      </c>
      <c r="B1085">
        <v>16</v>
      </c>
      <c r="C1085">
        <v>49</v>
      </c>
      <c r="D1085">
        <v>0.89623699999999995</v>
      </c>
      <c r="E1085">
        <v>0.181585</v>
      </c>
      <c r="F1085">
        <v>0.39887699999999998</v>
      </c>
      <c r="G1085">
        <v>0.20413200000000001</v>
      </c>
    </row>
    <row r="1086" spans="1:7">
      <c r="A1086" t="s">
        <v>144</v>
      </c>
      <c r="B1086" t="s">
        <v>145</v>
      </c>
      <c r="C1086">
        <v>17</v>
      </c>
    </row>
    <row r="1087" spans="1:7">
      <c r="A1087" t="s">
        <v>144</v>
      </c>
      <c r="B1087" t="s">
        <v>146</v>
      </c>
      <c r="C1087">
        <v>92</v>
      </c>
    </row>
    <row r="1088" spans="1:7">
      <c r="A1088" t="s">
        <v>144</v>
      </c>
      <c r="B1088" t="s">
        <v>147</v>
      </c>
      <c r="C1088">
        <v>92</v>
      </c>
    </row>
    <row r="1089" spans="1:7">
      <c r="A1089" t="s">
        <v>144</v>
      </c>
      <c r="B1089" t="s">
        <v>148</v>
      </c>
      <c r="C1089">
        <v>0.55922099999999997</v>
      </c>
    </row>
    <row r="1090" spans="1:7">
      <c r="A1090" t="s">
        <v>144</v>
      </c>
      <c r="B1090" t="s">
        <v>149</v>
      </c>
      <c r="C1090">
        <v>0.55922099999999997</v>
      </c>
    </row>
    <row r="1091" spans="1:7">
      <c r="A1091" t="s">
        <v>144</v>
      </c>
      <c r="B1091" t="s">
        <v>150</v>
      </c>
      <c r="C1091">
        <v>-1</v>
      </c>
    </row>
    <row r="1092" spans="1:7">
      <c r="A1092" t="s">
        <v>144</v>
      </c>
      <c r="B1092" t="s">
        <v>151</v>
      </c>
      <c r="C1092">
        <v>-1</v>
      </c>
    </row>
    <row r="1093" spans="1:7">
      <c r="A1093" t="s">
        <v>144</v>
      </c>
      <c r="B1093" t="s">
        <v>152</v>
      </c>
      <c r="C1093">
        <v>11</v>
      </c>
    </row>
    <row r="1094" spans="1:7">
      <c r="A1094" t="s">
        <v>144</v>
      </c>
      <c r="B1094" t="s">
        <v>153</v>
      </c>
      <c r="C1094">
        <v>11</v>
      </c>
    </row>
    <row r="1095" spans="1:7">
      <c r="A1095" t="s">
        <v>144</v>
      </c>
      <c r="B1095" t="s">
        <v>154</v>
      </c>
      <c r="C1095">
        <v>0</v>
      </c>
    </row>
    <row r="1096" spans="1:7">
      <c r="A1096" t="s">
        <v>144</v>
      </c>
      <c r="B1096" t="s">
        <v>155</v>
      </c>
    </row>
    <row r="1097" spans="1:7">
      <c r="A1097" t="s">
        <v>144</v>
      </c>
      <c r="B1097" t="s">
        <v>150</v>
      </c>
      <c r="C1097">
        <v>0.69283099999999997</v>
      </c>
    </row>
    <row r="1098" spans="1:7">
      <c r="A1098" t="s">
        <v>144</v>
      </c>
      <c r="B1098" t="s">
        <v>151</v>
      </c>
      <c r="C1098">
        <v>0.69283099999999997</v>
      </c>
    </row>
    <row r="1099" spans="1:7">
      <c r="A1099" t="s">
        <v>144</v>
      </c>
      <c r="B1099" t="s">
        <v>156</v>
      </c>
      <c r="C1099" t="s">
        <v>157</v>
      </c>
      <c r="D1099" t="s">
        <v>63</v>
      </c>
      <c r="E1099" t="s">
        <v>158</v>
      </c>
      <c r="F1099" t="s">
        <v>159</v>
      </c>
      <c r="G1099" t="s">
        <v>160</v>
      </c>
    </row>
    <row r="1100" spans="1:7">
      <c r="A1100" t="s">
        <v>144</v>
      </c>
      <c r="B1100">
        <v>17</v>
      </c>
      <c r="C1100">
        <v>0</v>
      </c>
      <c r="D1100">
        <v>0.69283099999999997</v>
      </c>
      <c r="E1100">
        <v>-0.108158</v>
      </c>
      <c r="F1100">
        <v>-1</v>
      </c>
      <c r="G1100">
        <v>-0.108158</v>
      </c>
    </row>
    <row r="1101" spans="1:7">
      <c r="A1101" t="s">
        <v>144</v>
      </c>
      <c r="B1101">
        <v>17</v>
      </c>
      <c r="C1101">
        <v>1</v>
      </c>
      <c r="D1101">
        <v>0.69283099999999997</v>
      </c>
      <c r="E1101">
        <v>-0.32804299999999997</v>
      </c>
      <c r="F1101">
        <v>-1</v>
      </c>
      <c r="G1101">
        <v>-0.32804299999999997</v>
      </c>
    </row>
    <row r="1102" spans="1:7">
      <c r="A1102" t="s">
        <v>144</v>
      </c>
      <c r="B1102">
        <v>17</v>
      </c>
      <c r="C1102">
        <v>2</v>
      </c>
      <c r="D1102">
        <v>0.69283099999999997</v>
      </c>
      <c r="E1102">
        <v>-0.96826100000000004</v>
      </c>
      <c r="F1102">
        <v>-1</v>
      </c>
      <c r="G1102">
        <v>-0.96826100000000004</v>
      </c>
    </row>
    <row r="1103" spans="1:7">
      <c r="A1103" t="s">
        <v>144</v>
      </c>
      <c r="B1103">
        <v>17</v>
      </c>
      <c r="C1103">
        <v>3</v>
      </c>
      <c r="D1103">
        <v>0.69283099999999997</v>
      </c>
      <c r="E1103">
        <v>0.87252399999999997</v>
      </c>
      <c r="F1103">
        <v>-1</v>
      </c>
      <c r="G1103">
        <v>0.87252399999999997</v>
      </c>
    </row>
    <row r="1104" spans="1:7">
      <c r="A1104" t="s">
        <v>144</v>
      </c>
      <c r="B1104">
        <v>17</v>
      </c>
      <c r="C1104">
        <v>4</v>
      </c>
      <c r="D1104">
        <v>0.69283099999999997</v>
      </c>
      <c r="E1104">
        <v>1.6265999999999999E-2</v>
      </c>
      <c r="F1104">
        <v>-1</v>
      </c>
      <c r="G1104">
        <v>1.6265999999999999E-2</v>
      </c>
    </row>
    <row r="1105" spans="1:7">
      <c r="A1105" t="s">
        <v>144</v>
      </c>
      <c r="B1105">
        <v>17</v>
      </c>
      <c r="C1105">
        <v>5</v>
      </c>
      <c r="D1105">
        <v>0.69283099999999997</v>
      </c>
      <c r="E1105">
        <v>-0.86129299999999998</v>
      </c>
      <c r="F1105">
        <v>-1</v>
      </c>
      <c r="G1105">
        <v>-0.86129299999999998</v>
      </c>
    </row>
    <row r="1106" spans="1:7">
      <c r="A1106" t="s">
        <v>144</v>
      </c>
      <c r="B1106">
        <v>17</v>
      </c>
      <c r="C1106">
        <v>6</v>
      </c>
      <c r="D1106">
        <v>0.69283099999999997</v>
      </c>
      <c r="E1106">
        <v>0.96279800000000004</v>
      </c>
      <c r="F1106">
        <v>-1</v>
      </c>
      <c r="G1106">
        <v>0.96279800000000004</v>
      </c>
    </row>
    <row r="1107" spans="1:7">
      <c r="A1107" t="s">
        <v>144</v>
      </c>
      <c r="B1107">
        <v>17</v>
      </c>
      <c r="C1107">
        <v>7</v>
      </c>
      <c r="D1107">
        <v>0.69283099999999997</v>
      </c>
      <c r="E1107">
        <v>0.15884899999999999</v>
      </c>
      <c r="F1107">
        <v>-1</v>
      </c>
      <c r="G1107">
        <v>0.15884899999999999</v>
      </c>
    </row>
    <row r="1108" spans="1:7">
      <c r="A1108" t="s">
        <v>144</v>
      </c>
      <c r="B1108">
        <v>17</v>
      </c>
      <c r="C1108">
        <v>8</v>
      </c>
      <c r="D1108">
        <v>0.69283099999999997</v>
      </c>
      <c r="E1108">
        <v>-0.81560699999999997</v>
      </c>
      <c r="F1108">
        <v>-1</v>
      </c>
      <c r="G1108">
        <v>-0.81560699999999997</v>
      </c>
    </row>
    <row r="1109" spans="1:7">
      <c r="A1109" t="s">
        <v>144</v>
      </c>
      <c r="B1109">
        <v>17</v>
      </c>
      <c r="C1109">
        <v>9</v>
      </c>
      <c r="D1109">
        <v>0.69283099999999997</v>
      </c>
      <c r="E1109">
        <v>-0.883602</v>
      </c>
      <c r="F1109">
        <v>-1</v>
      </c>
      <c r="G1109">
        <v>-0.883602</v>
      </c>
    </row>
    <row r="1110" spans="1:7">
      <c r="A1110" t="s">
        <v>144</v>
      </c>
      <c r="B1110">
        <v>17</v>
      </c>
      <c r="C1110">
        <v>10</v>
      </c>
      <c r="D1110">
        <v>0.69283099999999997</v>
      </c>
      <c r="E1110">
        <v>-7.0925000000000002E-2</v>
      </c>
      <c r="F1110">
        <v>-1</v>
      </c>
      <c r="G1110">
        <v>-7.0925000000000002E-2</v>
      </c>
    </row>
    <row r="1111" spans="1:7">
      <c r="A1111" t="s">
        <v>144</v>
      </c>
      <c r="B1111">
        <v>17</v>
      </c>
      <c r="C1111">
        <v>11</v>
      </c>
      <c r="D1111">
        <v>0.69283099999999997</v>
      </c>
      <c r="E1111">
        <v>0.37717800000000001</v>
      </c>
      <c r="F1111">
        <v>-1.6754999999999999E-2</v>
      </c>
      <c r="G1111">
        <v>0.25617400000000001</v>
      </c>
    </row>
    <row r="1112" spans="1:7">
      <c r="A1112" t="s">
        <v>144</v>
      </c>
      <c r="B1112">
        <v>17</v>
      </c>
      <c r="C1112">
        <v>12</v>
      </c>
      <c r="D1112">
        <v>0.69283099999999997</v>
      </c>
      <c r="E1112">
        <v>-0.68755100000000002</v>
      </c>
      <c r="F1112">
        <v>-0.48204000000000002</v>
      </c>
      <c r="G1112">
        <v>-0.62442500000000001</v>
      </c>
    </row>
    <row r="1113" spans="1:7">
      <c r="A1113" t="s">
        <v>144</v>
      </c>
      <c r="B1113">
        <v>17</v>
      </c>
      <c r="C1113">
        <v>13</v>
      </c>
      <c r="D1113">
        <v>0.69283099999999997</v>
      </c>
      <c r="E1113">
        <v>0.22272400000000001</v>
      </c>
      <c r="F1113">
        <v>0.64619899999999997</v>
      </c>
      <c r="G1113">
        <v>0.352802</v>
      </c>
    </row>
    <row r="1114" spans="1:7">
      <c r="A1114" t="s">
        <v>144</v>
      </c>
      <c r="B1114">
        <v>17</v>
      </c>
      <c r="C1114">
        <v>14</v>
      </c>
      <c r="D1114">
        <v>0.69283099999999997</v>
      </c>
      <c r="E1114">
        <v>-0.50053400000000003</v>
      </c>
      <c r="F1114">
        <v>-0.13696700000000001</v>
      </c>
      <c r="G1114">
        <v>-0.38885799999999998</v>
      </c>
    </row>
    <row r="1115" spans="1:7">
      <c r="A1115" t="s">
        <v>144</v>
      </c>
      <c r="B1115">
        <v>17</v>
      </c>
      <c r="C1115">
        <v>15</v>
      </c>
      <c r="D1115">
        <v>0.69283099999999997</v>
      </c>
      <c r="E1115">
        <v>0.218116</v>
      </c>
      <c r="F1115">
        <v>0.67766400000000004</v>
      </c>
      <c r="G1115">
        <v>0.35927500000000001</v>
      </c>
    </row>
    <row r="1116" spans="1:7">
      <c r="A1116" t="s">
        <v>144</v>
      </c>
      <c r="B1116">
        <v>17</v>
      </c>
      <c r="C1116">
        <v>16</v>
      </c>
      <c r="D1116">
        <v>0.69283099999999997</v>
      </c>
      <c r="E1116">
        <v>-0.230598</v>
      </c>
      <c r="F1116">
        <v>-0.69270900000000002</v>
      </c>
      <c r="G1116">
        <v>-0.37254399999999999</v>
      </c>
    </row>
    <row r="1117" spans="1:7">
      <c r="A1117" t="s">
        <v>144</v>
      </c>
      <c r="B1117">
        <v>17</v>
      </c>
      <c r="C1117">
        <v>17</v>
      </c>
      <c r="D1117">
        <v>0.69283099999999997</v>
      </c>
      <c r="E1117">
        <v>0.71050100000000005</v>
      </c>
      <c r="F1117">
        <v>-0.48399300000000001</v>
      </c>
      <c r="G1117">
        <v>0.34359000000000001</v>
      </c>
    </row>
    <row r="1118" spans="1:7">
      <c r="A1118" t="s">
        <v>144</v>
      </c>
      <c r="B1118">
        <v>17</v>
      </c>
      <c r="C1118">
        <v>18</v>
      </c>
      <c r="D1118">
        <v>0.69283099999999997</v>
      </c>
      <c r="E1118">
        <v>-0.74562799999999996</v>
      </c>
      <c r="F1118">
        <v>0.35727999999999999</v>
      </c>
      <c r="G1118">
        <v>-0.40684900000000002</v>
      </c>
    </row>
    <row r="1119" spans="1:7">
      <c r="A1119" t="s">
        <v>144</v>
      </c>
      <c r="B1119">
        <v>17</v>
      </c>
      <c r="C1119">
        <v>19</v>
      </c>
      <c r="D1119">
        <v>0.69283099999999997</v>
      </c>
      <c r="E1119">
        <v>0.19858400000000001</v>
      </c>
      <c r="F1119">
        <v>0.61088900000000002</v>
      </c>
      <c r="G1119">
        <v>0.32523099999999999</v>
      </c>
    </row>
    <row r="1120" spans="1:7">
      <c r="A1120" t="s">
        <v>144</v>
      </c>
      <c r="B1120">
        <v>17</v>
      </c>
      <c r="C1120">
        <v>20</v>
      </c>
      <c r="D1120">
        <v>0.69283099999999997</v>
      </c>
      <c r="E1120">
        <v>0.72994199999999998</v>
      </c>
      <c r="F1120">
        <v>9.7720000000000001E-2</v>
      </c>
      <c r="G1120">
        <v>0.53574299999999997</v>
      </c>
    </row>
    <row r="1121" spans="1:7">
      <c r="A1121" t="s">
        <v>144</v>
      </c>
      <c r="B1121">
        <v>17</v>
      </c>
      <c r="C1121">
        <v>21</v>
      </c>
      <c r="D1121">
        <v>0.69283099999999997</v>
      </c>
      <c r="E1121">
        <v>0.60853900000000005</v>
      </c>
      <c r="F1121">
        <v>-0.26187899999999997</v>
      </c>
      <c r="G1121">
        <v>0.34117399999999998</v>
      </c>
    </row>
    <row r="1122" spans="1:7">
      <c r="A1122" t="s">
        <v>144</v>
      </c>
      <c r="B1122">
        <v>17</v>
      </c>
      <c r="C1122">
        <v>22</v>
      </c>
      <c r="D1122">
        <v>0.69283099999999997</v>
      </c>
      <c r="E1122">
        <v>0.41856100000000002</v>
      </c>
      <c r="F1122">
        <v>0.25467699999999999</v>
      </c>
      <c r="G1122">
        <v>0.36822100000000002</v>
      </c>
    </row>
    <row r="1123" spans="1:7">
      <c r="A1123" t="s">
        <v>144</v>
      </c>
      <c r="B1123">
        <v>17</v>
      </c>
      <c r="C1123">
        <v>23</v>
      </c>
      <c r="D1123">
        <v>0.69283099999999997</v>
      </c>
      <c r="E1123">
        <v>-0.15006</v>
      </c>
      <c r="F1123">
        <v>-8.2185999999999995E-2</v>
      </c>
      <c r="G1123">
        <v>-0.12921099999999999</v>
      </c>
    </row>
    <row r="1124" spans="1:7">
      <c r="A1124" t="s">
        <v>144</v>
      </c>
      <c r="B1124">
        <v>17</v>
      </c>
      <c r="C1124">
        <v>24</v>
      </c>
      <c r="D1124">
        <v>0.69283099999999997</v>
      </c>
      <c r="E1124">
        <v>0.55183599999999999</v>
      </c>
      <c r="F1124">
        <v>0.846858</v>
      </c>
      <c r="G1124">
        <v>0.64245699999999994</v>
      </c>
    </row>
    <row r="1125" spans="1:7">
      <c r="A1125" t="s">
        <v>144</v>
      </c>
      <c r="B1125">
        <v>17</v>
      </c>
      <c r="C1125">
        <v>25</v>
      </c>
      <c r="D1125">
        <v>0.69283099999999997</v>
      </c>
      <c r="E1125">
        <v>-0.159001</v>
      </c>
      <c r="F1125">
        <v>0.14755699999999999</v>
      </c>
      <c r="G1125">
        <v>-6.4836000000000005E-2</v>
      </c>
    </row>
    <row r="1126" spans="1:7">
      <c r="A1126" t="s">
        <v>144</v>
      </c>
      <c r="B1126">
        <v>17</v>
      </c>
      <c r="C1126">
        <v>26</v>
      </c>
      <c r="D1126">
        <v>0.69283099999999997</v>
      </c>
      <c r="E1126">
        <v>-0.207007</v>
      </c>
      <c r="F1126">
        <v>0.72106099999999995</v>
      </c>
      <c r="G1126">
        <v>7.8065999999999997E-2</v>
      </c>
    </row>
    <row r="1127" spans="1:7">
      <c r="A1127" t="s">
        <v>144</v>
      </c>
      <c r="B1127">
        <v>17</v>
      </c>
      <c r="C1127">
        <v>27</v>
      </c>
      <c r="D1127">
        <v>0.69283099999999997</v>
      </c>
      <c r="E1127">
        <v>-0.83199599999999996</v>
      </c>
      <c r="F1127">
        <v>0.56453100000000001</v>
      </c>
      <c r="G1127">
        <v>-0.403026</v>
      </c>
    </row>
    <row r="1128" spans="1:7">
      <c r="A1128" t="s">
        <v>144</v>
      </c>
      <c r="B1128">
        <v>17</v>
      </c>
      <c r="C1128">
        <v>28</v>
      </c>
      <c r="D1128">
        <v>0.69283099999999997</v>
      </c>
      <c r="E1128">
        <v>-0.66332000000000002</v>
      </c>
      <c r="F1128">
        <v>-0.20413799999999999</v>
      </c>
      <c r="G1128">
        <v>-0.52227400000000002</v>
      </c>
    </row>
    <row r="1129" spans="1:7">
      <c r="A1129" t="s">
        <v>144</v>
      </c>
      <c r="B1129">
        <v>17</v>
      </c>
      <c r="C1129">
        <v>29</v>
      </c>
      <c r="D1129">
        <v>0.69283099999999997</v>
      </c>
      <c r="E1129">
        <v>-0.26050600000000002</v>
      </c>
      <c r="F1129">
        <v>-0.58815300000000004</v>
      </c>
      <c r="G1129">
        <v>-0.361149</v>
      </c>
    </row>
    <row r="1130" spans="1:7">
      <c r="A1130" t="s">
        <v>144</v>
      </c>
      <c r="B1130">
        <v>17</v>
      </c>
      <c r="C1130">
        <v>30</v>
      </c>
      <c r="D1130">
        <v>0.69283099999999997</v>
      </c>
      <c r="E1130">
        <v>-0.95605300000000004</v>
      </c>
      <c r="F1130">
        <v>0.41319</v>
      </c>
      <c r="G1130">
        <v>-0.53546400000000005</v>
      </c>
    </row>
    <row r="1131" spans="1:7">
      <c r="A1131" t="s">
        <v>144</v>
      </c>
      <c r="B1131">
        <v>17</v>
      </c>
      <c r="C1131">
        <v>31</v>
      </c>
      <c r="D1131">
        <v>0.69283099999999997</v>
      </c>
      <c r="E1131">
        <v>-0.66975899999999999</v>
      </c>
      <c r="F1131">
        <v>-0.66374699999999998</v>
      </c>
      <c r="G1131">
        <v>-0.66791199999999995</v>
      </c>
    </row>
    <row r="1132" spans="1:7">
      <c r="A1132" t="s">
        <v>144</v>
      </c>
      <c r="B1132">
        <v>17</v>
      </c>
      <c r="C1132">
        <v>32</v>
      </c>
      <c r="D1132">
        <v>0.69283099999999997</v>
      </c>
      <c r="E1132">
        <v>-0.27668100000000001</v>
      </c>
      <c r="F1132">
        <v>0.88015399999999999</v>
      </c>
      <c r="G1132">
        <v>7.8662999999999997E-2</v>
      </c>
    </row>
    <row r="1133" spans="1:7">
      <c r="A1133" t="s">
        <v>144</v>
      </c>
      <c r="B1133">
        <v>17</v>
      </c>
      <c r="C1133">
        <v>33</v>
      </c>
      <c r="D1133">
        <v>0.69283099999999997</v>
      </c>
      <c r="E1133">
        <v>-0.26877699999999999</v>
      </c>
      <c r="F1133">
        <v>-0.29844100000000001</v>
      </c>
      <c r="G1133">
        <v>-0.27788800000000002</v>
      </c>
    </row>
    <row r="1134" spans="1:7">
      <c r="A1134" t="s">
        <v>144</v>
      </c>
      <c r="B1134">
        <v>17</v>
      </c>
      <c r="C1134">
        <v>34</v>
      </c>
      <c r="D1134">
        <v>0.69283099999999997</v>
      </c>
      <c r="E1134">
        <v>-0.874996</v>
      </c>
      <c r="F1134">
        <v>0.64711399999999997</v>
      </c>
      <c r="G1134">
        <v>-0.40745100000000001</v>
      </c>
    </row>
    <row r="1135" spans="1:7">
      <c r="A1135" t="s">
        <v>144</v>
      </c>
      <c r="B1135">
        <v>17</v>
      </c>
      <c r="C1135">
        <v>35</v>
      </c>
      <c r="D1135">
        <v>0.69283099999999997</v>
      </c>
      <c r="E1135">
        <v>0.61836599999999997</v>
      </c>
      <c r="F1135">
        <v>-0.169378</v>
      </c>
      <c r="G1135">
        <v>0.37639600000000001</v>
      </c>
    </row>
    <row r="1136" spans="1:7">
      <c r="A1136" t="s">
        <v>144</v>
      </c>
      <c r="B1136">
        <v>17</v>
      </c>
      <c r="C1136">
        <v>36</v>
      </c>
      <c r="D1136">
        <v>0.69283099999999997</v>
      </c>
      <c r="E1136">
        <v>-0.61897599999999997</v>
      </c>
      <c r="F1136">
        <v>-0.48872300000000002</v>
      </c>
      <c r="G1136">
        <v>-0.57896700000000001</v>
      </c>
    </row>
    <row r="1137" spans="1:7">
      <c r="A1137" t="s">
        <v>144</v>
      </c>
      <c r="B1137">
        <v>17</v>
      </c>
      <c r="C1137">
        <v>37</v>
      </c>
      <c r="D1137">
        <v>0.69283099999999997</v>
      </c>
      <c r="E1137">
        <v>-0.92251300000000003</v>
      </c>
      <c r="F1137">
        <v>0.37418699999999999</v>
      </c>
      <c r="G1137">
        <v>-0.52420699999999998</v>
      </c>
    </row>
    <row r="1138" spans="1:7">
      <c r="A1138" t="s">
        <v>144</v>
      </c>
      <c r="B1138">
        <v>17</v>
      </c>
      <c r="C1138">
        <v>38</v>
      </c>
      <c r="D1138">
        <v>0.69283099999999997</v>
      </c>
      <c r="E1138">
        <v>0.86971600000000004</v>
      </c>
      <c r="F1138">
        <v>-0.41764600000000002</v>
      </c>
      <c r="G1138">
        <v>0.47427900000000001</v>
      </c>
    </row>
    <row r="1139" spans="1:7">
      <c r="A1139" t="s">
        <v>144</v>
      </c>
      <c r="B1139">
        <v>17</v>
      </c>
      <c r="C1139">
        <v>39</v>
      </c>
      <c r="D1139">
        <v>0.69283099999999997</v>
      </c>
      <c r="E1139">
        <v>0.150334</v>
      </c>
      <c r="F1139">
        <v>-0.23053699999999999</v>
      </c>
      <c r="G1139">
        <v>3.3341999999999997E-2</v>
      </c>
    </row>
    <row r="1140" spans="1:7">
      <c r="A1140" t="s">
        <v>144</v>
      </c>
      <c r="B1140">
        <v>17</v>
      </c>
      <c r="C1140">
        <v>40</v>
      </c>
      <c r="D1140">
        <v>0.69283099999999997</v>
      </c>
      <c r="E1140">
        <v>-0.82653299999999996</v>
      </c>
      <c r="F1140">
        <v>0.12933700000000001</v>
      </c>
      <c r="G1140">
        <v>-0.53291900000000003</v>
      </c>
    </row>
    <row r="1141" spans="1:7">
      <c r="A1141" t="s">
        <v>144</v>
      </c>
      <c r="B1141">
        <v>17</v>
      </c>
      <c r="C1141">
        <v>41</v>
      </c>
      <c r="D1141">
        <v>0.69283099999999997</v>
      </c>
      <c r="E1141">
        <v>0.39402399999999999</v>
      </c>
      <c r="F1141">
        <v>0.53047299999999997</v>
      </c>
      <c r="G1141">
        <v>0.43593700000000002</v>
      </c>
    </row>
    <row r="1142" spans="1:7">
      <c r="A1142" t="s">
        <v>144</v>
      </c>
      <c r="B1142">
        <v>17</v>
      </c>
      <c r="C1142">
        <v>42</v>
      </c>
      <c r="D1142">
        <v>0.69283099999999997</v>
      </c>
      <c r="E1142">
        <v>0.99945099999999998</v>
      </c>
      <c r="F1142">
        <v>0.54301600000000005</v>
      </c>
      <c r="G1142">
        <v>0.85924800000000001</v>
      </c>
    </row>
    <row r="1143" spans="1:7">
      <c r="A1143" t="s">
        <v>144</v>
      </c>
      <c r="B1143">
        <v>17</v>
      </c>
      <c r="C1143">
        <v>43</v>
      </c>
      <c r="D1143">
        <v>0.69283099999999997</v>
      </c>
      <c r="E1143">
        <v>0.36936600000000003</v>
      </c>
      <c r="F1143">
        <v>0.65654500000000005</v>
      </c>
      <c r="G1143">
        <v>0.45757799999999998</v>
      </c>
    </row>
    <row r="1144" spans="1:7">
      <c r="A1144" t="s">
        <v>144</v>
      </c>
      <c r="B1144">
        <v>17</v>
      </c>
      <c r="C1144">
        <v>44</v>
      </c>
      <c r="D1144">
        <v>0.69283099999999997</v>
      </c>
      <c r="E1144">
        <v>0.964507</v>
      </c>
      <c r="F1144">
        <v>9.3936000000000006E-2</v>
      </c>
      <c r="G1144">
        <v>0.69709500000000002</v>
      </c>
    </row>
    <row r="1145" spans="1:7">
      <c r="A1145" t="s">
        <v>144</v>
      </c>
      <c r="B1145">
        <v>17</v>
      </c>
      <c r="C1145">
        <v>45</v>
      </c>
      <c r="D1145">
        <v>0.69283099999999997</v>
      </c>
      <c r="E1145">
        <v>0.46525499999999997</v>
      </c>
      <c r="F1145">
        <v>-0.46488800000000002</v>
      </c>
      <c r="G1145">
        <v>0.17954400000000001</v>
      </c>
    </row>
    <row r="1146" spans="1:7">
      <c r="A1146" t="s">
        <v>144</v>
      </c>
      <c r="B1146">
        <v>17</v>
      </c>
      <c r="C1146">
        <v>46</v>
      </c>
      <c r="D1146">
        <v>0.69283099999999997</v>
      </c>
      <c r="E1146">
        <v>5.8869999999999999E-2</v>
      </c>
      <c r="F1146">
        <v>0.93441600000000002</v>
      </c>
      <c r="G1146">
        <v>0.32780999999999999</v>
      </c>
    </row>
    <row r="1147" spans="1:7">
      <c r="A1147" t="s">
        <v>144</v>
      </c>
      <c r="B1147">
        <v>17</v>
      </c>
      <c r="C1147">
        <v>47</v>
      </c>
      <c r="D1147">
        <v>0.69283099999999997</v>
      </c>
      <c r="E1147">
        <v>0.24823799999999999</v>
      </c>
      <c r="F1147">
        <v>-0.34278399999999998</v>
      </c>
      <c r="G1147">
        <v>6.6694000000000003E-2</v>
      </c>
    </row>
    <row r="1148" spans="1:7">
      <c r="A1148" t="s">
        <v>144</v>
      </c>
      <c r="B1148">
        <v>17</v>
      </c>
      <c r="C1148">
        <v>48</v>
      </c>
      <c r="D1148">
        <v>0.69283099999999997</v>
      </c>
      <c r="E1148">
        <v>-0.17142199999999999</v>
      </c>
      <c r="F1148">
        <v>-0.69893499999999997</v>
      </c>
      <c r="G1148">
        <v>-0.33345799999999998</v>
      </c>
    </row>
    <row r="1149" spans="1:7">
      <c r="A1149" t="s">
        <v>144</v>
      </c>
      <c r="B1149">
        <v>17</v>
      </c>
      <c r="C1149">
        <v>49</v>
      </c>
      <c r="D1149">
        <v>0.69283099999999997</v>
      </c>
      <c r="E1149">
        <v>0.82836399999999999</v>
      </c>
      <c r="F1149">
        <v>-0.34580499999999997</v>
      </c>
      <c r="G1149">
        <v>0.467696</v>
      </c>
    </row>
    <row r="1150" spans="1:7">
      <c r="A1150" t="s">
        <v>144</v>
      </c>
      <c r="B1150" t="s">
        <v>145</v>
      </c>
      <c r="C1150">
        <v>18</v>
      </c>
    </row>
    <row r="1151" spans="1:7">
      <c r="A1151" t="s">
        <v>144</v>
      </c>
      <c r="B1151" t="s">
        <v>146</v>
      </c>
      <c r="C1151">
        <v>91</v>
      </c>
    </row>
    <row r="1152" spans="1:7">
      <c r="A1152" t="s">
        <v>144</v>
      </c>
      <c r="B1152" t="s">
        <v>147</v>
      </c>
      <c r="C1152">
        <v>91</v>
      </c>
    </row>
    <row r="1153" spans="1:7">
      <c r="A1153" t="s">
        <v>144</v>
      </c>
      <c r="B1153" t="s">
        <v>148</v>
      </c>
      <c r="C1153">
        <v>0.75740799999999997</v>
      </c>
    </row>
    <row r="1154" spans="1:7">
      <c r="A1154" t="s">
        <v>144</v>
      </c>
      <c r="B1154" t="s">
        <v>149</v>
      </c>
      <c r="C1154">
        <v>0.75740799999999997</v>
      </c>
    </row>
    <row r="1155" spans="1:7">
      <c r="A1155" t="s">
        <v>144</v>
      </c>
      <c r="B1155" t="s">
        <v>150</v>
      </c>
      <c r="C1155">
        <v>-1</v>
      </c>
    </row>
    <row r="1156" spans="1:7">
      <c r="A1156" t="s">
        <v>144</v>
      </c>
      <c r="B1156" t="s">
        <v>151</v>
      </c>
      <c r="C1156">
        <v>-1</v>
      </c>
    </row>
    <row r="1157" spans="1:7">
      <c r="A1157" t="s">
        <v>144</v>
      </c>
      <c r="B1157" t="s">
        <v>152</v>
      </c>
      <c r="C1157">
        <v>19</v>
      </c>
    </row>
    <row r="1158" spans="1:7">
      <c r="A1158" t="s">
        <v>144</v>
      </c>
      <c r="B1158" t="s">
        <v>153</v>
      </c>
      <c r="C1158">
        <v>19</v>
      </c>
    </row>
    <row r="1159" spans="1:7">
      <c r="A1159" t="s">
        <v>144</v>
      </c>
      <c r="B1159" t="s">
        <v>154</v>
      </c>
      <c r="C1159">
        <v>0</v>
      </c>
    </row>
    <row r="1160" spans="1:7">
      <c r="A1160" t="s">
        <v>144</v>
      </c>
      <c r="B1160" t="s">
        <v>161</v>
      </c>
    </row>
    <row r="1161" spans="1:7">
      <c r="A1161" t="s">
        <v>144</v>
      </c>
      <c r="B1161">
        <v>18</v>
      </c>
      <c r="C1161">
        <v>0</v>
      </c>
      <c r="D1161">
        <v>-1</v>
      </c>
      <c r="E1161">
        <v>-0.59340199999999999</v>
      </c>
      <c r="F1161">
        <v>-1</v>
      </c>
      <c r="G1161">
        <v>-0.59340199999999999</v>
      </c>
    </row>
    <row r="1162" spans="1:7">
      <c r="A1162" t="s">
        <v>144</v>
      </c>
      <c r="B1162">
        <v>18</v>
      </c>
      <c r="C1162">
        <v>1</v>
      </c>
      <c r="D1162">
        <v>-1</v>
      </c>
      <c r="E1162">
        <v>-0.44727899999999998</v>
      </c>
      <c r="F1162">
        <v>-1</v>
      </c>
      <c r="G1162">
        <v>-0.44727899999999998</v>
      </c>
    </row>
    <row r="1163" spans="1:7">
      <c r="A1163" t="s">
        <v>144</v>
      </c>
      <c r="B1163">
        <v>18</v>
      </c>
      <c r="C1163">
        <v>2</v>
      </c>
      <c r="D1163">
        <v>-1</v>
      </c>
      <c r="E1163">
        <v>-0.50425699999999996</v>
      </c>
      <c r="F1163">
        <v>-1</v>
      </c>
      <c r="G1163">
        <v>-0.50425699999999996</v>
      </c>
    </row>
    <row r="1164" spans="1:7">
      <c r="A1164" t="s">
        <v>144</v>
      </c>
      <c r="B1164">
        <v>18</v>
      </c>
      <c r="C1164">
        <v>3</v>
      </c>
      <c r="D1164">
        <v>-1</v>
      </c>
      <c r="E1164">
        <v>-0.119602</v>
      </c>
      <c r="F1164">
        <v>-1</v>
      </c>
      <c r="G1164">
        <v>-0.119602</v>
      </c>
    </row>
    <row r="1165" spans="1:7">
      <c r="A1165" t="s">
        <v>144</v>
      </c>
      <c r="B1165">
        <v>18</v>
      </c>
      <c r="C1165">
        <v>4</v>
      </c>
      <c r="D1165">
        <v>-1</v>
      </c>
      <c r="E1165">
        <v>-0.36658800000000002</v>
      </c>
      <c r="F1165">
        <v>-1</v>
      </c>
      <c r="G1165">
        <v>-0.36658800000000002</v>
      </c>
    </row>
    <row r="1166" spans="1:7">
      <c r="A1166" t="s">
        <v>144</v>
      </c>
      <c r="B1166">
        <v>18</v>
      </c>
      <c r="C1166">
        <v>5</v>
      </c>
      <c r="D1166">
        <v>-1</v>
      </c>
      <c r="E1166">
        <v>-3.4700000000000002E-2</v>
      </c>
      <c r="F1166">
        <v>-1</v>
      </c>
      <c r="G1166">
        <v>-3.4700000000000002E-2</v>
      </c>
    </row>
    <row r="1167" spans="1:7">
      <c r="A1167" t="s">
        <v>144</v>
      </c>
      <c r="B1167">
        <v>18</v>
      </c>
      <c r="C1167">
        <v>6</v>
      </c>
      <c r="D1167">
        <v>-1</v>
      </c>
      <c r="E1167">
        <v>0.65443899999999999</v>
      </c>
      <c r="F1167">
        <v>-1</v>
      </c>
      <c r="G1167">
        <v>0.65443899999999999</v>
      </c>
    </row>
    <row r="1168" spans="1:7">
      <c r="A1168" t="s">
        <v>144</v>
      </c>
      <c r="B1168">
        <v>18</v>
      </c>
      <c r="C1168">
        <v>7</v>
      </c>
      <c r="D1168">
        <v>-1</v>
      </c>
      <c r="E1168">
        <v>-6.9430000000000006E-2</v>
      </c>
      <c r="F1168">
        <v>-1</v>
      </c>
      <c r="G1168">
        <v>-6.9430000000000006E-2</v>
      </c>
    </row>
    <row r="1169" spans="1:7">
      <c r="A1169" t="s">
        <v>144</v>
      </c>
      <c r="B1169">
        <v>18</v>
      </c>
      <c r="C1169">
        <v>8</v>
      </c>
      <c r="D1169">
        <v>-1</v>
      </c>
      <c r="E1169">
        <v>0.75258599999999998</v>
      </c>
      <c r="F1169">
        <v>-1</v>
      </c>
      <c r="G1169">
        <v>0.75258599999999998</v>
      </c>
    </row>
    <row r="1170" spans="1:7">
      <c r="A1170" t="s">
        <v>144</v>
      </c>
      <c r="B1170">
        <v>18</v>
      </c>
      <c r="C1170">
        <v>9</v>
      </c>
      <c r="D1170">
        <v>-1</v>
      </c>
      <c r="E1170">
        <v>-0.12515599999999999</v>
      </c>
      <c r="F1170">
        <v>-1</v>
      </c>
      <c r="G1170">
        <v>-0.12515599999999999</v>
      </c>
    </row>
    <row r="1171" spans="1:7">
      <c r="A1171" t="s">
        <v>144</v>
      </c>
      <c r="B1171">
        <v>18</v>
      </c>
      <c r="C1171">
        <v>10</v>
      </c>
      <c r="D1171">
        <v>-1</v>
      </c>
      <c r="E1171">
        <v>-0.71980999999999995</v>
      </c>
      <c r="F1171">
        <v>-1</v>
      </c>
      <c r="G1171">
        <v>-0.71980999999999995</v>
      </c>
    </row>
    <row r="1172" spans="1:7">
      <c r="A1172" t="s">
        <v>144</v>
      </c>
      <c r="B1172">
        <v>18</v>
      </c>
      <c r="C1172">
        <v>11</v>
      </c>
      <c r="D1172">
        <v>-1</v>
      </c>
      <c r="E1172">
        <v>0.24759700000000001</v>
      </c>
      <c r="F1172">
        <v>-1</v>
      </c>
      <c r="G1172">
        <v>0.24759700000000001</v>
      </c>
    </row>
    <row r="1173" spans="1:7">
      <c r="A1173" t="s">
        <v>144</v>
      </c>
      <c r="B1173">
        <v>18</v>
      </c>
      <c r="C1173">
        <v>12</v>
      </c>
      <c r="D1173">
        <v>-1</v>
      </c>
      <c r="E1173">
        <v>0.61668800000000001</v>
      </c>
      <c r="F1173">
        <v>-1</v>
      </c>
      <c r="G1173">
        <v>0.61668800000000001</v>
      </c>
    </row>
    <row r="1174" spans="1:7">
      <c r="A1174" t="s">
        <v>144</v>
      </c>
      <c r="B1174">
        <v>18</v>
      </c>
      <c r="C1174">
        <v>13</v>
      </c>
      <c r="D1174">
        <v>-1</v>
      </c>
      <c r="E1174">
        <v>0.82653299999999996</v>
      </c>
      <c r="F1174">
        <v>-1</v>
      </c>
      <c r="G1174">
        <v>0.82653299999999996</v>
      </c>
    </row>
    <row r="1175" spans="1:7">
      <c r="A1175" t="s">
        <v>144</v>
      </c>
      <c r="B1175">
        <v>18</v>
      </c>
      <c r="C1175">
        <v>14</v>
      </c>
      <c r="D1175">
        <v>-1</v>
      </c>
      <c r="E1175">
        <v>0.554033</v>
      </c>
      <c r="F1175">
        <v>-1</v>
      </c>
      <c r="G1175">
        <v>0.554033</v>
      </c>
    </row>
    <row r="1176" spans="1:7">
      <c r="A1176" t="s">
        <v>144</v>
      </c>
      <c r="B1176">
        <v>18</v>
      </c>
      <c r="C1176">
        <v>15</v>
      </c>
      <c r="D1176">
        <v>-1</v>
      </c>
      <c r="E1176">
        <v>0.28202199999999999</v>
      </c>
      <c r="F1176">
        <v>-1</v>
      </c>
      <c r="G1176">
        <v>0.28202199999999999</v>
      </c>
    </row>
    <row r="1177" spans="1:7">
      <c r="A1177" t="s">
        <v>144</v>
      </c>
      <c r="B1177">
        <v>18</v>
      </c>
      <c r="C1177">
        <v>16</v>
      </c>
      <c r="D1177">
        <v>-1</v>
      </c>
      <c r="E1177">
        <v>-0.118259</v>
      </c>
      <c r="F1177">
        <v>-1</v>
      </c>
      <c r="G1177">
        <v>-0.118259</v>
      </c>
    </row>
    <row r="1178" spans="1:7">
      <c r="A1178" t="s">
        <v>144</v>
      </c>
      <c r="B1178">
        <v>18</v>
      </c>
      <c r="C1178">
        <v>17</v>
      </c>
      <c r="D1178">
        <v>-1</v>
      </c>
      <c r="E1178">
        <v>0.14322299999999999</v>
      </c>
      <c r="F1178">
        <v>-1</v>
      </c>
      <c r="G1178">
        <v>0.14322299999999999</v>
      </c>
    </row>
    <row r="1179" spans="1:7">
      <c r="A1179" t="s">
        <v>144</v>
      </c>
      <c r="B1179">
        <v>18</v>
      </c>
      <c r="C1179">
        <v>18</v>
      </c>
      <c r="D1179">
        <v>-1</v>
      </c>
      <c r="E1179">
        <v>-0.33014900000000003</v>
      </c>
      <c r="F1179">
        <v>-1</v>
      </c>
      <c r="G1179">
        <v>-0.33014900000000003</v>
      </c>
    </row>
    <row r="1180" spans="1:7">
      <c r="A1180" t="s">
        <v>144</v>
      </c>
      <c r="B1180">
        <v>18</v>
      </c>
      <c r="C1180">
        <v>19</v>
      </c>
      <c r="D1180">
        <v>-1</v>
      </c>
      <c r="E1180">
        <v>0.92584</v>
      </c>
      <c r="F1180">
        <v>-1</v>
      </c>
      <c r="G1180">
        <v>0.92584</v>
      </c>
    </row>
    <row r="1181" spans="1:7">
      <c r="A1181" t="s">
        <v>144</v>
      </c>
      <c r="B1181">
        <v>18</v>
      </c>
      <c r="C1181">
        <v>20</v>
      </c>
      <c r="D1181">
        <v>-1</v>
      </c>
      <c r="E1181">
        <v>-0.79277900000000001</v>
      </c>
      <c r="F1181">
        <v>-1</v>
      </c>
      <c r="G1181">
        <v>-0.79277900000000001</v>
      </c>
    </row>
    <row r="1182" spans="1:7">
      <c r="A1182" t="s">
        <v>144</v>
      </c>
      <c r="B1182">
        <v>18</v>
      </c>
      <c r="C1182">
        <v>21</v>
      </c>
      <c r="D1182">
        <v>-1</v>
      </c>
      <c r="E1182">
        <v>0.71471300000000004</v>
      </c>
      <c r="F1182">
        <v>-1</v>
      </c>
      <c r="G1182">
        <v>0.71471300000000004</v>
      </c>
    </row>
    <row r="1183" spans="1:7">
      <c r="A1183" t="s">
        <v>144</v>
      </c>
      <c r="B1183">
        <v>18</v>
      </c>
      <c r="C1183">
        <v>22</v>
      </c>
      <c r="D1183">
        <v>-1</v>
      </c>
      <c r="E1183">
        <v>-0.185278</v>
      </c>
      <c r="F1183">
        <v>-1</v>
      </c>
      <c r="G1183">
        <v>-0.185278</v>
      </c>
    </row>
    <row r="1184" spans="1:7">
      <c r="A1184" t="s">
        <v>144</v>
      </c>
      <c r="B1184">
        <v>18</v>
      </c>
      <c r="C1184">
        <v>23</v>
      </c>
      <c r="D1184">
        <v>-1</v>
      </c>
      <c r="E1184">
        <v>-0.85796700000000004</v>
      </c>
      <c r="F1184">
        <v>-1</v>
      </c>
      <c r="G1184">
        <v>-0.85796700000000004</v>
      </c>
    </row>
    <row r="1185" spans="1:7">
      <c r="A1185" t="s">
        <v>144</v>
      </c>
      <c r="B1185">
        <v>18</v>
      </c>
      <c r="C1185">
        <v>24</v>
      </c>
      <c r="D1185">
        <v>-1</v>
      </c>
      <c r="E1185">
        <v>-0.75878199999999996</v>
      </c>
      <c r="F1185">
        <v>-1</v>
      </c>
      <c r="G1185">
        <v>-0.75878199999999996</v>
      </c>
    </row>
    <row r="1186" spans="1:7">
      <c r="A1186" t="s">
        <v>144</v>
      </c>
      <c r="B1186">
        <v>18</v>
      </c>
      <c r="C1186">
        <v>25</v>
      </c>
      <c r="D1186">
        <v>-1</v>
      </c>
      <c r="E1186">
        <v>-0.67842599999999997</v>
      </c>
      <c r="F1186">
        <v>-1</v>
      </c>
      <c r="G1186">
        <v>-0.67842599999999997</v>
      </c>
    </row>
    <row r="1187" spans="1:7">
      <c r="A1187" t="s">
        <v>144</v>
      </c>
      <c r="B1187">
        <v>18</v>
      </c>
      <c r="C1187">
        <v>26</v>
      </c>
      <c r="D1187">
        <v>-1</v>
      </c>
      <c r="E1187">
        <v>-0.99002000000000001</v>
      </c>
      <c r="F1187">
        <v>-1</v>
      </c>
      <c r="G1187">
        <v>-0.99002000000000001</v>
      </c>
    </row>
    <row r="1188" spans="1:7">
      <c r="A1188" t="s">
        <v>144</v>
      </c>
      <c r="B1188">
        <v>18</v>
      </c>
      <c r="C1188">
        <v>27</v>
      </c>
      <c r="D1188">
        <v>-1</v>
      </c>
      <c r="E1188">
        <v>-0.60908799999999996</v>
      </c>
      <c r="F1188">
        <v>-1</v>
      </c>
      <c r="G1188">
        <v>-0.60908799999999996</v>
      </c>
    </row>
    <row r="1189" spans="1:7">
      <c r="A1189" t="s">
        <v>144</v>
      </c>
      <c r="B1189">
        <v>18</v>
      </c>
      <c r="C1189">
        <v>28</v>
      </c>
      <c r="D1189">
        <v>-1</v>
      </c>
      <c r="E1189">
        <v>4.9988999999999999E-2</v>
      </c>
      <c r="F1189">
        <v>-1</v>
      </c>
      <c r="G1189">
        <v>4.9988999999999999E-2</v>
      </c>
    </row>
    <row r="1190" spans="1:7">
      <c r="A1190" t="s">
        <v>144</v>
      </c>
      <c r="B1190">
        <v>18</v>
      </c>
      <c r="C1190">
        <v>29</v>
      </c>
      <c r="D1190">
        <v>-1</v>
      </c>
      <c r="E1190">
        <v>-0.65840600000000005</v>
      </c>
      <c r="F1190">
        <v>-1</v>
      </c>
      <c r="G1190">
        <v>-0.65840600000000005</v>
      </c>
    </row>
    <row r="1191" spans="1:7">
      <c r="A1191" t="s">
        <v>144</v>
      </c>
      <c r="B1191">
        <v>18</v>
      </c>
      <c r="C1191">
        <v>30</v>
      </c>
      <c r="D1191">
        <v>-1</v>
      </c>
      <c r="E1191">
        <v>0.24295800000000001</v>
      </c>
      <c r="F1191">
        <v>-1</v>
      </c>
      <c r="G1191">
        <v>0.24295800000000001</v>
      </c>
    </row>
    <row r="1192" spans="1:7">
      <c r="A1192" t="s">
        <v>144</v>
      </c>
      <c r="B1192">
        <v>18</v>
      </c>
      <c r="C1192">
        <v>31</v>
      </c>
      <c r="D1192">
        <v>-1</v>
      </c>
      <c r="E1192">
        <v>-0.61229299999999998</v>
      </c>
      <c r="F1192">
        <v>-1</v>
      </c>
      <c r="G1192">
        <v>-0.61229299999999998</v>
      </c>
    </row>
    <row r="1193" spans="1:7">
      <c r="A1193" t="s">
        <v>144</v>
      </c>
      <c r="B1193">
        <v>18</v>
      </c>
      <c r="C1193">
        <v>32</v>
      </c>
      <c r="D1193">
        <v>-1</v>
      </c>
      <c r="E1193">
        <v>-7.2389999999999996E-2</v>
      </c>
      <c r="F1193">
        <v>-1</v>
      </c>
      <c r="G1193">
        <v>-7.2389999999999996E-2</v>
      </c>
    </row>
    <row r="1194" spans="1:7">
      <c r="A1194" t="s">
        <v>144</v>
      </c>
      <c r="B1194">
        <v>18</v>
      </c>
      <c r="C1194">
        <v>33</v>
      </c>
      <c r="D1194">
        <v>-1</v>
      </c>
      <c r="E1194">
        <v>0.87835300000000005</v>
      </c>
      <c r="F1194">
        <v>-1</v>
      </c>
      <c r="G1194">
        <v>0.87835300000000005</v>
      </c>
    </row>
    <row r="1195" spans="1:7">
      <c r="A1195" t="s">
        <v>144</v>
      </c>
      <c r="B1195">
        <v>18</v>
      </c>
      <c r="C1195">
        <v>34</v>
      </c>
      <c r="D1195">
        <v>-1</v>
      </c>
      <c r="E1195">
        <v>9.0365000000000001E-2</v>
      </c>
      <c r="F1195">
        <v>-1</v>
      </c>
      <c r="G1195">
        <v>9.0365000000000001E-2</v>
      </c>
    </row>
    <row r="1196" spans="1:7">
      <c r="A1196" t="s">
        <v>144</v>
      </c>
      <c r="B1196">
        <v>18</v>
      </c>
      <c r="C1196">
        <v>35</v>
      </c>
      <c r="D1196">
        <v>-1</v>
      </c>
      <c r="E1196">
        <v>-0.37900899999999998</v>
      </c>
      <c r="F1196">
        <v>-1</v>
      </c>
      <c r="G1196">
        <v>-0.37900899999999998</v>
      </c>
    </row>
    <row r="1197" spans="1:7">
      <c r="A1197" t="s">
        <v>144</v>
      </c>
      <c r="B1197">
        <v>18</v>
      </c>
      <c r="C1197">
        <v>36</v>
      </c>
      <c r="D1197">
        <v>-1</v>
      </c>
      <c r="E1197">
        <v>0.18613199999999999</v>
      </c>
      <c r="F1197">
        <v>-1</v>
      </c>
      <c r="G1197">
        <v>0.18613199999999999</v>
      </c>
    </row>
    <row r="1198" spans="1:7">
      <c r="A1198" t="s">
        <v>144</v>
      </c>
      <c r="B1198">
        <v>18</v>
      </c>
      <c r="C1198">
        <v>37</v>
      </c>
      <c r="D1198">
        <v>-1</v>
      </c>
      <c r="E1198">
        <v>-0.399976</v>
      </c>
      <c r="F1198">
        <v>-1</v>
      </c>
      <c r="G1198">
        <v>-0.399976</v>
      </c>
    </row>
    <row r="1199" spans="1:7">
      <c r="A1199" t="s">
        <v>144</v>
      </c>
      <c r="B1199">
        <v>18</v>
      </c>
      <c r="C1199">
        <v>38</v>
      </c>
      <c r="D1199">
        <v>-1</v>
      </c>
      <c r="E1199">
        <v>0.47056500000000001</v>
      </c>
      <c r="F1199">
        <v>-1</v>
      </c>
      <c r="G1199">
        <v>0.47056500000000001</v>
      </c>
    </row>
    <row r="1200" spans="1:7">
      <c r="A1200" t="s">
        <v>144</v>
      </c>
      <c r="B1200">
        <v>18</v>
      </c>
      <c r="C1200">
        <v>39</v>
      </c>
      <c r="D1200">
        <v>-1</v>
      </c>
      <c r="E1200">
        <v>0.79961499999999996</v>
      </c>
      <c r="F1200">
        <v>-1</v>
      </c>
      <c r="G1200">
        <v>0.79961499999999996</v>
      </c>
    </row>
    <row r="1201" spans="1:7">
      <c r="A1201" t="s">
        <v>144</v>
      </c>
      <c r="B1201">
        <v>18</v>
      </c>
      <c r="C1201">
        <v>40</v>
      </c>
      <c r="D1201">
        <v>-1</v>
      </c>
      <c r="E1201">
        <v>0.41260999999999998</v>
      </c>
      <c r="F1201">
        <v>-1</v>
      </c>
      <c r="G1201">
        <v>0.41260999999999998</v>
      </c>
    </row>
    <row r="1202" spans="1:7">
      <c r="A1202" t="s">
        <v>144</v>
      </c>
      <c r="B1202">
        <v>18</v>
      </c>
      <c r="C1202">
        <v>41</v>
      </c>
      <c r="D1202">
        <v>-1</v>
      </c>
      <c r="E1202">
        <v>0.48628199999999999</v>
      </c>
      <c r="F1202">
        <v>-1</v>
      </c>
      <c r="G1202">
        <v>0.48628199999999999</v>
      </c>
    </row>
    <row r="1203" spans="1:7">
      <c r="A1203" t="s">
        <v>144</v>
      </c>
      <c r="B1203">
        <v>18</v>
      </c>
      <c r="C1203">
        <v>42</v>
      </c>
      <c r="D1203">
        <v>-1</v>
      </c>
      <c r="E1203">
        <v>0.38358700000000001</v>
      </c>
      <c r="F1203">
        <v>-1</v>
      </c>
      <c r="G1203">
        <v>0.38358700000000001</v>
      </c>
    </row>
    <row r="1204" spans="1:7">
      <c r="A1204" t="s">
        <v>144</v>
      </c>
      <c r="B1204">
        <v>18</v>
      </c>
      <c r="C1204">
        <v>43</v>
      </c>
      <c r="D1204">
        <v>-1</v>
      </c>
      <c r="E1204">
        <v>-0.56929200000000002</v>
      </c>
      <c r="F1204">
        <v>-1</v>
      </c>
      <c r="G1204">
        <v>-0.56929200000000002</v>
      </c>
    </row>
    <row r="1205" spans="1:7">
      <c r="A1205" t="s">
        <v>144</v>
      </c>
      <c r="B1205">
        <v>18</v>
      </c>
      <c r="C1205">
        <v>44</v>
      </c>
      <c r="D1205">
        <v>-1</v>
      </c>
      <c r="E1205">
        <v>-0.266488</v>
      </c>
      <c r="F1205">
        <v>-1</v>
      </c>
      <c r="G1205">
        <v>-0.266488</v>
      </c>
    </row>
    <row r="1206" spans="1:7">
      <c r="A1206" t="s">
        <v>144</v>
      </c>
      <c r="B1206">
        <v>18</v>
      </c>
      <c r="C1206">
        <v>45</v>
      </c>
      <c r="D1206">
        <v>-1</v>
      </c>
      <c r="E1206">
        <v>8.9908000000000002E-2</v>
      </c>
      <c r="F1206">
        <v>-1</v>
      </c>
      <c r="G1206">
        <v>8.9908000000000002E-2</v>
      </c>
    </row>
    <row r="1207" spans="1:7">
      <c r="A1207" t="s">
        <v>144</v>
      </c>
      <c r="B1207">
        <v>18</v>
      </c>
      <c r="C1207">
        <v>46</v>
      </c>
      <c r="D1207">
        <v>-1</v>
      </c>
      <c r="E1207">
        <v>-0.28556199999999998</v>
      </c>
      <c r="F1207">
        <v>-1</v>
      </c>
      <c r="G1207">
        <v>-0.28556199999999998</v>
      </c>
    </row>
    <row r="1208" spans="1:7">
      <c r="A1208" t="s">
        <v>144</v>
      </c>
      <c r="B1208">
        <v>18</v>
      </c>
      <c r="C1208">
        <v>47</v>
      </c>
      <c r="D1208">
        <v>-1</v>
      </c>
      <c r="E1208">
        <v>0.73888399999999999</v>
      </c>
      <c r="F1208">
        <v>-1</v>
      </c>
      <c r="G1208">
        <v>0.73888399999999999</v>
      </c>
    </row>
    <row r="1209" spans="1:7">
      <c r="A1209" t="s">
        <v>144</v>
      </c>
      <c r="B1209">
        <v>18</v>
      </c>
      <c r="C1209">
        <v>48</v>
      </c>
      <c r="D1209">
        <v>-1</v>
      </c>
      <c r="E1209">
        <v>-0.71288200000000002</v>
      </c>
      <c r="F1209">
        <v>-1</v>
      </c>
      <c r="G1209">
        <v>-0.71288200000000002</v>
      </c>
    </row>
    <row r="1210" spans="1:7">
      <c r="A1210" t="s">
        <v>144</v>
      </c>
      <c r="B1210">
        <v>18</v>
      </c>
      <c r="C1210">
        <v>49</v>
      </c>
      <c r="D1210">
        <v>-1</v>
      </c>
      <c r="E1210">
        <v>0.46629199999999998</v>
      </c>
      <c r="F1210">
        <v>-1</v>
      </c>
      <c r="G1210">
        <v>0.46629199999999998</v>
      </c>
    </row>
    <row r="1211" spans="1:7">
      <c r="A1211" t="s">
        <v>144</v>
      </c>
      <c r="B1211" t="s">
        <v>145</v>
      </c>
      <c r="C1211">
        <v>19</v>
      </c>
    </row>
    <row r="1212" spans="1:7">
      <c r="A1212" t="s">
        <v>144</v>
      </c>
      <c r="B1212" t="s">
        <v>146</v>
      </c>
      <c r="C1212">
        <v>36</v>
      </c>
    </row>
    <row r="1213" spans="1:7">
      <c r="A1213" t="s">
        <v>144</v>
      </c>
      <c r="B1213" t="s">
        <v>147</v>
      </c>
      <c r="C1213">
        <v>36</v>
      </c>
    </row>
    <row r="1214" spans="1:7">
      <c r="A1214" t="s">
        <v>144</v>
      </c>
      <c r="B1214" t="s">
        <v>148</v>
      </c>
      <c r="C1214">
        <v>0.225776</v>
      </c>
    </row>
    <row r="1215" spans="1:7">
      <c r="A1215" t="s">
        <v>144</v>
      </c>
      <c r="B1215" t="s">
        <v>149</v>
      </c>
      <c r="C1215">
        <v>0.225776</v>
      </c>
    </row>
    <row r="1216" spans="1:7">
      <c r="A1216" t="s">
        <v>144</v>
      </c>
      <c r="B1216" t="s">
        <v>150</v>
      </c>
      <c r="C1216">
        <v>-1</v>
      </c>
    </row>
    <row r="1217" spans="1:7">
      <c r="A1217" t="s">
        <v>144</v>
      </c>
      <c r="B1217" t="s">
        <v>151</v>
      </c>
      <c r="C1217">
        <v>-1</v>
      </c>
    </row>
    <row r="1218" spans="1:7">
      <c r="A1218" t="s">
        <v>144</v>
      </c>
      <c r="B1218" t="s">
        <v>152</v>
      </c>
      <c r="C1218">
        <v>26</v>
      </c>
    </row>
    <row r="1219" spans="1:7">
      <c r="A1219" t="s">
        <v>144</v>
      </c>
      <c r="B1219" t="s">
        <v>153</v>
      </c>
      <c r="C1219">
        <v>26</v>
      </c>
    </row>
    <row r="1220" spans="1:7">
      <c r="A1220" t="s">
        <v>144</v>
      </c>
      <c r="B1220" t="s">
        <v>154</v>
      </c>
      <c r="C1220">
        <v>0</v>
      </c>
    </row>
    <row r="1221" spans="1:7">
      <c r="A1221" t="s">
        <v>144</v>
      </c>
      <c r="B1221" t="s">
        <v>155</v>
      </c>
    </row>
    <row r="1222" spans="1:7">
      <c r="A1222" t="s">
        <v>144</v>
      </c>
      <c r="B1222" t="s">
        <v>150</v>
      </c>
      <c r="C1222">
        <v>0.96542300000000003</v>
      </c>
    </row>
    <row r="1223" spans="1:7">
      <c r="A1223" t="s">
        <v>144</v>
      </c>
      <c r="B1223" t="s">
        <v>151</v>
      </c>
      <c r="C1223">
        <v>0.96542300000000003</v>
      </c>
    </row>
    <row r="1224" spans="1:7">
      <c r="A1224" t="s">
        <v>144</v>
      </c>
      <c r="B1224" t="s">
        <v>156</v>
      </c>
      <c r="C1224" t="s">
        <v>157</v>
      </c>
      <c r="D1224" t="s">
        <v>63</v>
      </c>
      <c r="E1224" t="s">
        <v>158</v>
      </c>
      <c r="F1224" t="s">
        <v>159</v>
      </c>
      <c r="G1224" t="s">
        <v>160</v>
      </c>
    </row>
    <row r="1225" spans="1:7">
      <c r="A1225" t="s">
        <v>144</v>
      </c>
      <c r="B1225">
        <v>19</v>
      </c>
      <c r="C1225">
        <v>0</v>
      </c>
      <c r="D1225">
        <v>0.96542300000000003</v>
      </c>
      <c r="E1225">
        <v>0.63838600000000001</v>
      </c>
      <c r="F1225">
        <v>-1</v>
      </c>
      <c r="G1225">
        <v>0.63838600000000001</v>
      </c>
    </row>
    <row r="1226" spans="1:7">
      <c r="A1226" t="s">
        <v>144</v>
      </c>
      <c r="B1226">
        <v>19</v>
      </c>
      <c r="C1226">
        <v>1</v>
      </c>
      <c r="D1226">
        <v>0.96542300000000003</v>
      </c>
      <c r="E1226">
        <v>7.8493999999999994E-2</v>
      </c>
      <c r="F1226">
        <v>-1</v>
      </c>
      <c r="G1226">
        <v>7.8493999999999994E-2</v>
      </c>
    </row>
    <row r="1227" spans="1:7">
      <c r="A1227" t="s">
        <v>144</v>
      </c>
      <c r="B1227">
        <v>19</v>
      </c>
      <c r="C1227">
        <v>2</v>
      </c>
      <c r="D1227">
        <v>0.96542300000000003</v>
      </c>
      <c r="E1227">
        <v>-0.192389</v>
      </c>
      <c r="F1227">
        <v>-1</v>
      </c>
      <c r="G1227">
        <v>-0.192389</v>
      </c>
    </row>
    <row r="1228" spans="1:7">
      <c r="A1228" t="s">
        <v>144</v>
      </c>
      <c r="B1228">
        <v>19</v>
      </c>
      <c r="C1228">
        <v>3</v>
      </c>
      <c r="D1228">
        <v>0.96542300000000003</v>
      </c>
      <c r="E1228">
        <v>9.5705999999999999E-2</v>
      </c>
      <c r="F1228">
        <v>-1</v>
      </c>
      <c r="G1228">
        <v>9.5705999999999999E-2</v>
      </c>
    </row>
    <row r="1229" spans="1:7">
      <c r="A1229" t="s">
        <v>144</v>
      </c>
      <c r="B1229">
        <v>19</v>
      </c>
      <c r="C1229">
        <v>4</v>
      </c>
      <c r="D1229">
        <v>0.96542300000000003</v>
      </c>
      <c r="E1229">
        <v>-0.66631099999999999</v>
      </c>
      <c r="F1229">
        <v>-1</v>
      </c>
      <c r="G1229">
        <v>-0.66631099999999999</v>
      </c>
    </row>
    <row r="1230" spans="1:7">
      <c r="A1230" t="s">
        <v>144</v>
      </c>
      <c r="B1230">
        <v>19</v>
      </c>
      <c r="C1230">
        <v>5</v>
      </c>
      <c r="D1230">
        <v>0.96542300000000003</v>
      </c>
      <c r="E1230">
        <v>-0.583148</v>
      </c>
      <c r="F1230">
        <v>-1</v>
      </c>
      <c r="G1230">
        <v>-0.583148</v>
      </c>
    </row>
    <row r="1231" spans="1:7">
      <c r="A1231" t="s">
        <v>144</v>
      </c>
      <c r="B1231">
        <v>19</v>
      </c>
      <c r="C1231">
        <v>6</v>
      </c>
      <c r="D1231">
        <v>0.96542300000000003</v>
      </c>
      <c r="E1231">
        <v>0.218055</v>
      </c>
      <c r="F1231">
        <v>-1</v>
      </c>
      <c r="G1231">
        <v>0.218055</v>
      </c>
    </row>
    <row r="1232" spans="1:7">
      <c r="A1232" t="s">
        <v>144</v>
      </c>
      <c r="B1232">
        <v>19</v>
      </c>
      <c r="C1232">
        <v>7</v>
      </c>
      <c r="D1232">
        <v>0.96542300000000003</v>
      </c>
      <c r="E1232">
        <v>-0.51048300000000002</v>
      </c>
      <c r="F1232">
        <v>-1</v>
      </c>
      <c r="G1232">
        <v>-0.51048300000000002</v>
      </c>
    </row>
    <row r="1233" spans="1:7">
      <c r="A1233" t="s">
        <v>144</v>
      </c>
      <c r="B1233">
        <v>19</v>
      </c>
      <c r="C1233">
        <v>8</v>
      </c>
      <c r="D1233">
        <v>0.96542300000000003</v>
      </c>
      <c r="E1233">
        <v>0.50575300000000001</v>
      </c>
      <c r="F1233">
        <v>-1</v>
      </c>
      <c r="G1233">
        <v>0.50575300000000001</v>
      </c>
    </row>
    <row r="1234" spans="1:7">
      <c r="A1234" t="s">
        <v>144</v>
      </c>
      <c r="B1234">
        <v>19</v>
      </c>
      <c r="C1234">
        <v>9</v>
      </c>
      <c r="D1234">
        <v>0.96542300000000003</v>
      </c>
      <c r="E1234">
        <v>-0.17618300000000001</v>
      </c>
      <c r="F1234">
        <v>-1</v>
      </c>
      <c r="G1234">
        <v>-0.17618300000000001</v>
      </c>
    </row>
    <row r="1235" spans="1:7">
      <c r="A1235" t="s">
        <v>144</v>
      </c>
      <c r="B1235">
        <v>19</v>
      </c>
      <c r="C1235">
        <v>10</v>
      </c>
      <c r="D1235">
        <v>0.96542300000000003</v>
      </c>
      <c r="E1235">
        <v>-0.59926100000000004</v>
      </c>
      <c r="F1235">
        <v>-1</v>
      </c>
      <c r="G1235">
        <v>-0.59926100000000004</v>
      </c>
    </row>
    <row r="1236" spans="1:7">
      <c r="A1236" t="s">
        <v>144</v>
      </c>
      <c r="B1236">
        <v>19</v>
      </c>
      <c r="C1236">
        <v>11</v>
      </c>
      <c r="D1236">
        <v>0.96542300000000003</v>
      </c>
      <c r="E1236">
        <v>0.66316699999999995</v>
      </c>
      <c r="F1236">
        <v>-1</v>
      </c>
      <c r="G1236">
        <v>0.66316699999999995</v>
      </c>
    </row>
    <row r="1237" spans="1:7">
      <c r="A1237" t="s">
        <v>144</v>
      </c>
      <c r="B1237">
        <v>19</v>
      </c>
      <c r="C1237">
        <v>12</v>
      </c>
      <c r="D1237">
        <v>0.96542300000000003</v>
      </c>
      <c r="E1237">
        <v>-0.33139999999999997</v>
      </c>
      <c r="F1237">
        <v>-1</v>
      </c>
      <c r="G1237">
        <v>-0.33139999999999997</v>
      </c>
    </row>
    <row r="1238" spans="1:7">
      <c r="A1238" t="s">
        <v>144</v>
      </c>
      <c r="B1238">
        <v>19</v>
      </c>
      <c r="C1238">
        <v>13</v>
      </c>
      <c r="D1238">
        <v>0.96542300000000003</v>
      </c>
      <c r="E1238">
        <v>0.24945800000000001</v>
      </c>
      <c r="F1238">
        <v>-1</v>
      </c>
      <c r="G1238">
        <v>0.24945800000000001</v>
      </c>
    </row>
    <row r="1239" spans="1:7">
      <c r="A1239" t="s">
        <v>144</v>
      </c>
      <c r="B1239">
        <v>19</v>
      </c>
      <c r="C1239">
        <v>14</v>
      </c>
      <c r="D1239">
        <v>0.96542300000000003</v>
      </c>
      <c r="E1239">
        <v>0.244972</v>
      </c>
      <c r="F1239">
        <v>-1</v>
      </c>
      <c r="G1239">
        <v>0.244972</v>
      </c>
    </row>
    <row r="1240" spans="1:7">
      <c r="A1240" t="s">
        <v>144</v>
      </c>
      <c r="B1240">
        <v>19</v>
      </c>
      <c r="C1240">
        <v>15</v>
      </c>
      <c r="D1240">
        <v>0.96542300000000003</v>
      </c>
      <c r="E1240">
        <v>-0.18045600000000001</v>
      </c>
      <c r="F1240">
        <v>-1</v>
      </c>
      <c r="G1240">
        <v>-0.18045600000000001</v>
      </c>
    </row>
    <row r="1241" spans="1:7">
      <c r="A1241" t="s">
        <v>144</v>
      </c>
      <c r="B1241">
        <v>19</v>
      </c>
      <c r="C1241">
        <v>16</v>
      </c>
      <c r="D1241">
        <v>0.96542300000000003</v>
      </c>
      <c r="E1241">
        <v>0.79155900000000001</v>
      </c>
      <c r="F1241">
        <v>-1</v>
      </c>
      <c r="G1241">
        <v>0.79155900000000001</v>
      </c>
    </row>
    <row r="1242" spans="1:7">
      <c r="A1242" t="s">
        <v>144</v>
      </c>
      <c r="B1242">
        <v>19</v>
      </c>
      <c r="C1242">
        <v>17</v>
      </c>
      <c r="D1242">
        <v>0.96542300000000003</v>
      </c>
      <c r="E1242">
        <v>0.70851799999999998</v>
      </c>
      <c r="F1242">
        <v>-1</v>
      </c>
      <c r="G1242">
        <v>0.70851799999999998</v>
      </c>
    </row>
    <row r="1243" spans="1:7">
      <c r="A1243" t="s">
        <v>144</v>
      </c>
      <c r="B1243">
        <v>19</v>
      </c>
      <c r="C1243">
        <v>18</v>
      </c>
      <c r="D1243">
        <v>0.96542300000000003</v>
      </c>
      <c r="E1243">
        <v>0.93847499999999995</v>
      </c>
      <c r="F1243">
        <v>-1</v>
      </c>
      <c r="G1243">
        <v>0.93847499999999995</v>
      </c>
    </row>
    <row r="1244" spans="1:7">
      <c r="A1244" t="s">
        <v>144</v>
      </c>
      <c r="B1244">
        <v>19</v>
      </c>
      <c r="C1244">
        <v>19</v>
      </c>
      <c r="D1244">
        <v>0.96542300000000003</v>
      </c>
      <c r="E1244">
        <v>-0.80645199999999995</v>
      </c>
      <c r="F1244">
        <v>-1</v>
      </c>
      <c r="G1244">
        <v>-0.80645199999999995</v>
      </c>
    </row>
    <row r="1245" spans="1:7">
      <c r="A1245" t="s">
        <v>144</v>
      </c>
      <c r="B1245">
        <v>19</v>
      </c>
      <c r="C1245">
        <v>20</v>
      </c>
      <c r="D1245">
        <v>0.96542300000000003</v>
      </c>
      <c r="E1245">
        <v>-0.84038800000000002</v>
      </c>
      <c r="F1245">
        <v>-1</v>
      </c>
      <c r="G1245">
        <v>-0.84038800000000002</v>
      </c>
    </row>
    <row r="1246" spans="1:7">
      <c r="A1246" t="s">
        <v>144</v>
      </c>
      <c r="B1246">
        <v>19</v>
      </c>
      <c r="C1246">
        <v>21</v>
      </c>
      <c r="D1246">
        <v>0.96542300000000003</v>
      </c>
      <c r="E1246">
        <v>-0.46107399999999998</v>
      </c>
      <c r="F1246">
        <v>-1</v>
      </c>
      <c r="G1246">
        <v>-0.46107399999999998</v>
      </c>
    </row>
    <row r="1247" spans="1:7">
      <c r="A1247" t="s">
        <v>144</v>
      </c>
      <c r="B1247">
        <v>19</v>
      </c>
      <c r="C1247">
        <v>22</v>
      </c>
      <c r="D1247">
        <v>0.96542300000000003</v>
      </c>
      <c r="E1247">
        <v>0.73155899999999996</v>
      </c>
      <c r="F1247">
        <v>-1</v>
      </c>
      <c r="G1247">
        <v>0.73155899999999996</v>
      </c>
    </row>
    <row r="1248" spans="1:7">
      <c r="A1248" t="s">
        <v>144</v>
      </c>
      <c r="B1248">
        <v>19</v>
      </c>
      <c r="C1248">
        <v>23</v>
      </c>
      <c r="D1248">
        <v>0.96542300000000003</v>
      </c>
      <c r="E1248">
        <v>-0.95324600000000004</v>
      </c>
      <c r="F1248">
        <v>-1</v>
      </c>
      <c r="G1248">
        <v>-0.95324600000000004</v>
      </c>
    </row>
    <row r="1249" spans="1:7">
      <c r="A1249" t="s">
        <v>144</v>
      </c>
      <c r="B1249">
        <v>19</v>
      </c>
      <c r="C1249">
        <v>24</v>
      </c>
      <c r="D1249">
        <v>0.96542300000000003</v>
      </c>
      <c r="E1249">
        <v>-0.69487600000000005</v>
      </c>
      <c r="F1249">
        <v>-1</v>
      </c>
      <c r="G1249">
        <v>-0.69487600000000005</v>
      </c>
    </row>
    <row r="1250" spans="1:7">
      <c r="A1250" t="s">
        <v>144</v>
      </c>
      <c r="B1250">
        <v>19</v>
      </c>
      <c r="C1250">
        <v>25</v>
      </c>
      <c r="D1250">
        <v>0.96542300000000003</v>
      </c>
      <c r="E1250">
        <v>3.0121999999999999E-2</v>
      </c>
      <c r="F1250">
        <v>-1</v>
      </c>
      <c r="G1250">
        <v>3.0121999999999999E-2</v>
      </c>
    </row>
    <row r="1251" spans="1:7">
      <c r="A1251" t="s">
        <v>144</v>
      </c>
      <c r="B1251">
        <v>19</v>
      </c>
      <c r="C1251">
        <v>26</v>
      </c>
      <c r="D1251">
        <v>0.96542300000000003</v>
      </c>
      <c r="E1251">
        <v>-0.464339</v>
      </c>
      <c r="F1251">
        <v>-0.77501799999999998</v>
      </c>
      <c r="G1251">
        <v>-0.475082</v>
      </c>
    </row>
    <row r="1252" spans="1:7">
      <c r="A1252" t="s">
        <v>144</v>
      </c>
      <c r="B1252">
        <v>19</v>
      </c>
      <c r="C1252">
        <v>27</v>
      </c>
      <c r="D1252">
        <v>0.96542300000000003</v>
      </c>
      <c r="E1252">
        <v>0.37681199999999998</v>
      </c>
      <c r="F1252">
        <v>-0.28778999999999999</v>
      </c>
      <c r="G1252">
        <v>0.35383199999999998</v>
      </c>
    </row>
    <row r="1253" spans="1:7">
      <c r="A1253" t="s">
        <v>144</v>
      </c>
      <c r="B1253">
        <v>19</v>
      </c>
      <c r="C1253">
        <v>28</v>
      </c>
      <c r="D1253">
        <v>0.96542300000000003</v>
      </c>
      <c r="E1253">
        <v>0.91683700000000001</v>
      </c>
      <c r="F1253">
        <v>0.47926299999999999</v>
      </c>
      <c r="G1253">
        <v>0.90170700000000004</v>
      </c>
    </row>
    <row r="1254" spans="1:7">
      <c r="A1254" t="s">
        <v>144</v>
      </c>
      <c r="B1254">
        <v>19</v>
      </c>
      <c r="C1254">
        <v>29</v>
      </c>
      <c r="D1254">
        <v>0.96542300000000003</v>
      </c>
      <c r="E1254">
        <v>-0.29239799999999999</v>
      </c>
      <c r="F1254">
        <v>-0.58027899999999999</v>
      </c>
      <c r="G1254">
        <v>-0.30235200000000001</v>
      </c>
    </row>
    <row r="1255" spans="1:7">
      <c r="A1255" t="s">
        <v>144</v>
      </c>
      <c r="B1255">
        <v>19</v>
      </c>
      <c r="C1255">
        <v>30</v>
      </c>
      <c r="D1255">
        <v>0.96542300000000003</v>
      </c>
      <c r="E1255">
        <v>0.40965000000000001</v>
      </c>
      <c r="F1255">
        <v>0.61275100000000005</v>
      </c>
      <c r="G1255">
        <v>0.41667300000000002</v>
      </c>
    </row>
    <row r="1256" spans="1:7">
      <c r="A1256" t="s">
        <v>144</v>
      </c>
      <c r="B1256">
        <v>19</v>
      </c>
      <c r="C1256">
        <v>31</v>
      </c>
      <c r="D1256">
        <v>0.96542300000000003</v>
      </c>
      <c r="E1256">
        <v>-0.97790500000000002</v>
      </c>
      <c r="F1256">
        <v>-0.51988299999999998</v>
      </c>
      <c r="G1256">
        <v>-0.96206700000000001</v>
      </c>
    </row>
    <row r="1257" spans="1:7">
      <c r="A1257" t="s">
        <v>144</v>
      </c>
      <c r="B1257">
        <v>19</v>
      </c>
      <c r="C1257">
        <v>32</v>
      </c>
      <c r="D1257">
        <v>0.96542300000000003</v>
      </c>
      <c r="E1257">
        <v>0.61995299999999998</v>
      </c>
      <c r="F1257">
        <v>0.75151800000000002</v>
      </c>
      <c r="G1257">
        <v>0.624502</v>
      </c>
    </row>
    <row r="1258" spans="1:7">
      <c r="A1258" t="s">
        <v>144</v>
      </c>
      <c r="B1258">
        <v>19</v>
      </c>
      <c r="C1258">
        <v>33</v>
      </c>
      <c r="D1258">
        <v>0.96542300000000003</v>
      </c>
      <c r="E1258">
        <v>0.34141100000000002</v>
      </c>
      <c r="F1258">
        <v>0.26041399999999998</v>
      </c>
      <c r="G1258">
        <v>0.33861000000000002</v>
      </c>
    </row>
    <row r="1259" spans="1:7">
      <c r="A1259" t="s">
        <v>144</v>
      </c>
      <c r="B1259">
        <v>19</v>
      </c>
      <c r="C1259">
        <v>34</v>
      </c>
      <c r="D1259">
        <v>0.96542300000000003</v>
      </c>
      <c r="E1259">
        <v>-4.2512000000000001E-2</v>
      </c>
      <c r="F1259">
        <v>7.0800000000000004E-3</v>
      </c>
      <c r="G1259">
        <v>-4.0797E-2</v>
      </c>
    </row>
    <row r="1260" spans="1:7">
      <c r="A1260" t="s">
        <v>144</v>
      </c>
      <c r="B1260">
        <v>19</v>
      </c>
      <c r="C1260">
        <v>35</v>
      </c>
      <c r="D1260">
        <v>0.96542300000000003</v>
      </c>
      <c r="E1260">
        <v>0.72750000000000004</v>
      </c>
      <c r="F1260">
        <v>-0.35410599999999998</v>
      </c>
      <c r="G1260">
        <v>0.69010099999999996</v>
      </c>
    </row>
    <row r="1261" spans="1:7">
      <c r="A1261" t="s">
        <v>144</v>
      </c>
      <c r="B1261">
        <v>19</v>
      </c>
      <c r="C1261">
        <v>36</v>
      </c>
      <c r="D1261">
        <v>0.96542300000000003</v>
      </c>
      <c r="E1261">
        <v>0.80184299999999997</v>
      </c>
      <c r="F1261">
        <v>-0.280221</v>
      </c>
      <c r="G1261">
        <v>0.764428</v>
      </c>
    </row>
    <row r="1262" spans="1:7">
      <c r="A1262" t="s">
        <v>144</v>
      </c>
      <c r="B1262">
        <v>19</v>
      </c>
      <c r="C1262">
        <v>37</v>
      </c>
      <c r="D1262">
        <v>0.96542300000000003</v>
      </c>
      <c r="E1262">
        <v>-0.475997</v>
      </c>
      <c r="F1262">
        <v>-0.28348600000000002</v>
      </c>
      <c r="G1262">
        <v>-0.46934100000000001</v>
      </c>
    </row>
    <row r="1263" spans="1:7">
      <c r="A1263" t="s">
        <v>144</v>
      </c>
      <c r="B1263">
        <v>19</v>
      </c>
      <c r="C1263">
        <v>38</v>
      </c>
      <c r="D1263">
        <v>0.96542300000000003</v>
      </c>
      <c r="E1263">
        <v>-0.93490399999999996</v>
      </c>
      <c r="F1263">
        <v>0.29755500000000001</v>
      </c>
      <c r="G1263">
        <v>-0.892289</v>
      </c>
    </row>
    <row r="1264" spans="1:7">
      <c r="A1264" t="s">
        <v>144</v>
      </c>
      <c r="B1264">
        <v>19</v>
      </c>
      <c r="C1264">
        <v>39</v>
      </c>
      <c r="D1264">
        <v>0.96542300000000003</v>
      </c>
      <c r="E1264">
        <v>0.71794800000000003</v>
      </c>
      <c r="F1264">
        <v>4.2084999999999997E-2</v>
      </c>
      <c r="G1264">
        <v>0.69457800000000003</v>
      </c>
    </row>
    <row r="1265" spans="1:7">
      <c r="A1265" t="s">
        <v>144</v>
      </c>
      <c r="B1265">
        <v>19</v>
      </c>
      <c r="C1265">
        <v>40</v>
      </c>
      <c r="D1265">
        <v>0.96542300000000003</v>
      </c>
      <c r="E1265">
        <v>-0.80105000000000004</v>
      </c>
      <c r="F1265">
        <v>-8.7741E-2</v>
      </c>
      <c r="G1265">
        <v>-0.77638499999999999</v>
      </c>
    </row>
    <row r="1266" spans="1:7">
      <c r="A1266" t="s">
        <v>144</v>
      </c>
      <c r="B1266">
        <v>19</v>
      </c>
      <c r="C1266">
        <v>41</v>
      </c>
      <c r="D1266">
        <v>0.96542300000000003</v>
      </c>
      <c r="E1266">
        <v>0.31339499999999998</v>
      </c>
      <c r="F1266">
        <v>-0.67021699999999995</v>
      </c>
      <c r="G1266">
        <v>0.27938400000000002</v>
      </c>
    </row>
    <row r="1267" spans="1:7">
      <c r="A1267" t="s">
        <v>144</v>
      </c>
      <c r="B1267">
        <v>19</v>
      </c>
      <c r="C1267">
        <v>42</v>
      </c>
      <c r="D1267">
        <v>0.96542300000000003</v>
      </c>
      <c r="E1267">
        <v>-0.77498699999999998</v>
      </c>
      <c r="F1267">
        <v>5.3407000000000003E-2</v>
      </c>
      <c r="G1267">
        <v>-0.74634299999999998</v>
      </c>
    </row>
    <row r="1268" spans="1:7">
      <c r="A1268" t="s">
        <v>144</v>
      </c>
      <c r="B1268">
        <v>19</v>
      </c>
      <c r="C1268">
        <v>43</v>
      </c>
      <c r="D1268">
        <v>0.96542300000000003</v>
      </c>
      <c r="E1268">
        <v>-0.33854200000000001</v>
      </c>
      <c r="F1268">
        <v>0.151952</v>
      </c>
      <c r="G1268">
        <v>-0.32158199999999998</v>
      </c>
    </row>
    <row r="1269" spans="1:7">
      <c r="A1269" t="s">
        <v>144</v>
      </c>
      <c r="B1269">
        <v>19</v>
      </c>
      <c r="C1269">
        <v>44</v>
      </c>
      <c r="D1269">
        <v>0.96542300000000003</v>
      </c>
      <c r="E1269">
        <v>-0.87911600000000001</v>
      </c>
      <c r="F1269">
        <v>0.29505300000000001</v>
      </c>
      <c r="G1269">
        <v>-0.83851600000000004</v>
      </c>
    </row>
    <row r="1270" spans="1:7">
      <c r="A1270" t="s">
        <v>144</v>
      </c>
      <c r="B1270">
        <v>19</v>
      </c>
      <c r="C1270">
        <v>45</v>
      </c>
      <c r="D1270">
        <v>0.96542300000000003</v>
      </c>
      <c r="E1270">
        <v>2.7619000000000001E-2</v>
      </c>
      <c r="F1270">
        <v>0.58006500000000005</v>
      </c>
      <c r="G1270">
        <v>4.6720999999999999E-2</v>
      </c>
    </row>
    <row r="1271" spans="1:7">
      <c r="A1271" t="s">
        <v>144</v>
      </c>
      <c r="B1271">
        <v>19</v>
      </c>
      <c r="C1271">
        <v>46</v>
      </c>
      <c r="D1271">
        <v>0.96542300000000003</v>
      </c>
      <c r="E1271">
        <v>-0.511826</v>
      </c>
      <c r="F1271">
        <v>-0.34296700000000002</v>
      </c>
      <c r="G1271">
        <v>-0.50598699999999996</v>
      </c>
    </row>
    <row r="1272" spans="1:7">
      <c r="A1272" t="s">
        <v>144</v>
      </c>
      <c r="B1272">
        <v>19</v>
      </c>
      <c r="C1272">
        <v>47</v>
      </c>
      <c r="D1272">
        <v>0.96542300000000003</v>
      </c>
      <c r="E1272">
        <v>-0.57637300000000002</v>
      </c>
      <c r="F1272">
        <v>-0.99417100000000003</v>
      </c>
      <c r="G1272">
        <v>-0.59081899999999998</v>
      </c>
    </row>
    <row r="1273" spans="1:7">
      <c r="A1273" t="s">
        <v>144</v>
      </c>
      <c r="B1273">
        <v>19</v>
      </c>
      <c r="C1273">
        <v>48</v>
      </c>
      <c r="D1273">
        <v>0.96542300000000003</v>
      </c>
      <c r="E1273">
        <v>-0.92754899999999996</v>
      </c>
      <c r="F1273">
        <v>0.95394800000000002</v>
      </c>
      <c r="G1273">
        <v>-0.86249200000000004</v>
      </c>
    </row>
    <row r="1274" spans="1:7">
      <c r="A1274" t="s">
        <v>144</v>
      </c>
      <c r="B1274">
        <v>19</v>
      </c>
      <c r="C1274">
        <v>49</v>
      </c>
      <c r="D1274">
        <v>0.96542300000000003</v>
      </c>
      <c r="E1274">
        <v>-0.71282100000000004</v>
      </c>
      <c r="F1274">
        <v>0.79961499999999996</v>
      </c>
      <c r="G1274">
        <v>-0.66052500000000003</v>
      </c>
    </row>
    <row r="1275" spans="1:7">
      <c r="A1275" t="s">
        <v>144</v>
      </c>
      <c r="B1275" t="s">
        <v>145</v>
      </c>
      <c r="C1275">
        <v>20</v>
      </c>
    </row>
    <row r="1276" spans="1:7">
      <c r="A1276" t="s">
        <v>144</v>
      </c>
      <c r="B1276" t="s">
        <v>146</v>
      </c>
      <c r="C1276">
        <v>3</v>
      </c>
    </row>
    <row r="1277" spans="1:7">
      <c r="A1277" t="s">
        <v>144</v>
      </c>
      <c r="B1277" t="s">
        <v>147</v>
      </c>
      <c r="C1277">
        <v>3</v>
      </c>
    </row>
    <row r="1278" spans="1:7">
      <c r="A1278" t="s">
        <v>144</v>
      </c>
      <c r="B1278" t="s">
        <v>148</v>
      </c>
      <c r="C1278">
        <v>0.95489400000000002</v>
      </c>
    </row>
    <row r="1279" spans="1:7">
      <c r="A1279" t="s">
        <v>144</v>
      </c>
      <c r="B1279" t="s">
        <v>149</v>
      </c>
      <c r="C1279">
        <v>0.95489400000000002</v>
      </c>
    </row>
    <row r="1280" spans="1:7">
      <c r="A1280" t="s">
        <v>144</v>
      </c>
      <c r="B1280" t="s">
        <v>150</v>
      </c>
      <c r="C1280">
        <v>-1</v>
      </c>
    </row>
    <row r="1281" spans="1:7">
      <c r="A1281" t="s">
        <v>144</v>
      </c>
      <c r="B1281" t="s">
        <v>151</v>
      </c>
      <c r="C1281">
        <v>-1</v>
      </c>
    </row>
    <row r="1282" spans="1:7">
      <c r="A1282" t="s">
        <v>144</v>
      </c>
      <c r="B1282" t="s">
        <v>152</v>
      </c>
      <c r="C1282">
        <v>36</v>
      </c>
    </row>
    <row r="1283" spans="1:7">
      <c r="A1283" t="s">
        <v>144</v>
      </c>
      <c r="B1283" t="s">
        <v>153</v>
      </c>
      <c r="C1283">
        <v>36</v>
      </c>
    </row>
    <row r="1284" spans="1:7">
      <c r="A1284" t="s">
        <v>144</v>
      </c>
      <c r="B1284" t="s">
        <v>154</v>
      </c>
      <c r="C1284">
        <v>0</v>
      </c>
    </row>
    <row r="1285" spans="1:7">
      <c r="A1285" t="s">
        <v>144</v>
      </c>
      <c r="B1285" t="s">
        <v>161</v>
      </c>
    </row>
    <row r="1286" spans="1:7">
      <c r="A1286" t="s">
        <v>144</v>
      </c>
      <c r="B1286">
        <v>20</v>
      </c>
      <c r="C1286">
        <v>0</v>
      </c>
      <c r="D1286">
        <v>-1</v>
      </c>
      <c r="E1286">
        <v>-0.75026700000000002</v>
      </c>
      <c r="F1286">
        <v>-1</v>
      </c>
      <c r="G1286">
        <v>-0.75026700000000002</v>
      </c>
    </row>
    <row r="1287" spans="1:7">
      <c r="A1287" t="s">
        <v>144</v>
      </c>
      <c r="B1287">
        <v>20</v>
      </c>
      <c r="C1287">
        <v>1</v>
      </c>
      <c r="D1287">
        <v>-1</v>
      </c>
      <c r="E1287">
        <v>-0.64919000000000004</v>
      </c>
      <c r="F1287">
        <v>-1</v>
      </c>
      <c r="G1287">
        <v>-0.64919000000000004</v>
      </c>
    </row>
    <row r="1288" spans="1:7">
      <c r="A1288" t="s">
        <v>144</v>
      </c>
      <c r="B1288">
        <v>20</v>
      </c>
      <c r="C1288">
        <v>2</v>
      </c>
      <c r="D1288">
        <v>-1</v>
      </c>
      <c r="E1288">
        <v>1.9439999999999999E-2</v>
      </c>
      <c r="F1288">
        <v>-1</v>
      </c>
      <c r="G1288">
        <v>1.9439999999999999E-2</v>
      </c>
    </row>
    <row r="1289" spans="1:7">
      <c r="A1289" t="s">
        <v>144</v>
      </c>
      <c r="B1289">
        <v>20</v>
      </c>
      <c r="C1289">
        <v>3</v>
      </c>
      <c r="D1289">
        <v>-1</v>
      </c>
      <c r="E1289">
        <v>-0.31354700000000002</v>
      </c>
      <c r="F1289">
        <v>-1</v>
      </c>
      <c r="G1289">
        <v>-0.31354700000000002</v>
      </c>
    </row>
    <row r="1290" spans="1:7">
      <c r="A1290" t="s">
        <v>144</v>
      </c>
      <c r="B1290">
        <v>20</v>
      </c>
      <c r="C1290">
        <v>4</v>
      </c>
      <c r="D1290">
        <v>-1</v>
      </c>
      <c r="E1290">
        <v>-0.58616900000000005</v>
      </c>
      <c r="F1290">
        <v>-1</v>
      </c>
      <c r="G1290">
        <v>-0.58616900000000005</v>
      </c>
    </row>
    <row r="1291" spans="1:7">
      <c r="A1291" t="s">
        <v>144</v>
      </c>
      <c r="B1291">
        <v>20</v>
      </c>
      <c r="C1291">
        <v>5</v>
      </c>
      <c r="D1291">
        <v>-1</v>
      </c>
      <c r="E1291">
        <v>-0.42762499999999998</v>
      </c>
      <c r="F1291">
        <v>-1</v>
      </c>
      <c r="G1291">
        <v>-0.42762499999999998</v>
      </c>
    </row>
    <row r="1292" spans="1:7">
      <c r="A1292" t="s">
        <v>144</v>
      </c>
      <c r="B1292">
        <v>20</v>
      </c>
      <c r="C1292">
        <v>6</v>
      </c>
      <c r="D1292">
        <v>-1</v>
      </c>
      <c r="E1292">
        <v>-0.27604000000000001</v>
      </c>
      <c r="F1292">
        <v>-1</v>
      </c>
      <c r="G1292">
        <v>-0.27604000000000001</v>
      </c>
    </row>
    <row r="1293" spans="1:7">
      <c r="A1293" t="s">
        <v>144</v>
      </c>
      <c r="B1293">
        <v>20</v>
      </c>
      <c r="C1293">
        <v>7</v>
      </c>
      <c r="D1293">
        <v>-1</v>
      </c>
      <c r="E1293">
        <v>-0.45475599999999999</v>
      </c>
      <c r="F1293">
        <v>-1</v>
      </c>
      <c r="G1293">
        <v>-0.45475599999999999</v>
      </c>
    </row>
    <row r="1294" spans="1:7">
      <c r="A1294" t="s">
        <v>144</v>
      </c>
      <c r="B1294">
        <v>20</v>
      </c>
      <c r="C1294">
        <v>8</v>
      </c>
      <c r="D1294">
        <v>-1</v>
      </c>
      <c r="E1294">
        <v>0.54847900000000005</v>
      </c>
      <c r="F1294">
        <v>-1</v>
      </c>
      <c r="G1294">
        <v>0.54847900000000005</v>
      </c>
    </row>
    <row r="1295" spans="1:7">
      <c r="A1295" t="s">
        <v>144</v>
      </c>
      <c r="B1295">
        <v>20</v>
      </c>
      <c r="C1295">
        <v>9</v>
      </c>
      <c r="D1295">
        <v>-1</v>
      </c>
      <c r="E1295">
        <v>0.13983599999999999</v>
      </c>
      <c r="F1295">
        <v>-1</v>
      </c>
      <c r="G1295">
        <v>0.13983599999999999</v>
      </c>
    </row>
    <row r="1296" spans="1:7">
      <c r="A1296" t="s">
        <v>144</v>
      </c>
      <c r="B1296">
        <v>20</v>
      </c>
      <c r="C1296">
        <v>10</v>
      </c>
      <c r="D1296">
        <v>-1</v>
      </c>
      <c r="E1296">
        <v>0.60176399999999997</v>
      </c>
      <c r="F1296">
        <v>-1</v>
      </c>
      <c r="G1296">
        <v>0.60176399999999997</v>
      </c>
    </row>
    <row r="1297" spans="1:7">
      <c r="A1297" t="s">
        <v>144</v>
      </c>
      <c r="B1297">
        <v>20</v>
      </c>
      <c r="C1297">
        <v>11</v>
      </c>
      <c r="D1297">
        <v>-1</v>
      </c>
      <c r="E1297">
        <v>-0.70567899999999995</v>
      </c>
      <c r="F1297">
        <v>-1</v>
      </c>
      <c r="G1297">
        <v>-0.70567899999999995</v>
      </c>
    </row>
    <row r="1298" spans="1:7">
      <c r="A1298" t="s">
        <v>144</v>
      </c>
      <c r="B1298">
        <v>20</v>
      </c>
      <c r="C1298">
        <v>12</v>
      </c>
      <c r="D1298">
        <v>-1</v>
      </c>
      <c r="E1298">
        <v>0.386212</v>
      </c>
      <c r="F1298">
        <v>-1</v>
      </c>
      <c r="G1298">
        <v>0.386212</v>
      </c>
    </row>
    <row r="1299" spans="1:7">
      <c r="A1299" t="s">
        <v>144</v>
      </c>
      <c r="B1299">
        <v>20</v>
      </c>
      <c r="C1299">
        <v>13</v>
      </c>
      <c r="D1299">
        <v>-1</v>
      </c>
      <c r="E1299">
        <v>-0.22226599999999999</v>
      </c>
      <c r="F1299">
        <v>-1</v>
      </c>
      <c r="G1299">
        <v>-0.22226599999999999</v>
      </c>
    </row>
    <row r="1300" spans="1:7">
      <c r="A1300" t="s">
        <v>144</v>
      </c>
      <c r="B1300">
        <v>20</v>
      </c>
      <c r="C1300">
        <v>14</v>
      </c>
      <c r="D1300">
        <v>-1</v>
      </c>
      <c r="E1300">
        <v>0.18216499999999999</v>
      </c>
      <c r="F1300">
        <v>-1</v>
      </c>
      <c r="G1300">
        <v>0.18216499999999999</v>
      </c>
    </row>
    <row r="1301" spans="1:7">
      <c r="A1301" t="s">
        <v>144</v>
      </c>
      <c r="B1301">
        <v>20</v>
      </c>
      <c r="C1301">
        <v>15</v>
      </c>
      <c r="D1301">
        <v>-1</v>
      </c>
      <c r="E1301">
        <v>5.6978000000000001E-2</v>
      </c>
      <c r="F1301">
        <v>-1</v>
      </c>
      <c r="G1301">
        <v>5.6978000000000001E-2</v>
      </c>
    </row>
    <row r="1302" spans="1:7">
      <c r="A1302" t="s">
        <v>144</v>
      </c>
      <c r="B1302">
        <v>20</v>
      </c>
      <c r="C1302">
        <v>16</v>
      </c>
      <c r="D1302">
        <v>-1</v>
      </c>
      <c r="E1302">
        <v>0.898312</v>
      </c>
      <c r="F1302">
        <v>-1</v>
      </c>
      <c r="G1302">
        <v>0.898312</v>
      </c>
    </row>
    <row r="1303" spans="1:7">
      <c r="A1303" t="s">
        <v>144</v>
      </c>
      <c r="B1303">
        <v>20</v>
      </c>
      <c r="C1303">
        <v>17</v>
      </c>
      <c r="D1303">
        <v>-1</v>
      </c>
      <c r="E1303">
        <v>-0.81063300000000005</v>
      </c>
      <c r="F1303">
        <v>-1</v>
      </c>
      <c r="G1303">
        <v>-0.81063300000000005</v>
      </c>
    </row>
    <row r="1304" spans="1:7">
      <c r="A1304" t="s">
        <v>144</v>
      </c>
      <c r="B1304">
        <v>20</v>
      </c>
      <c r="C1304">
        <v>18</v>
      </c>
      <c r="D1304">
        <v>-1</v>
      </c>
      <c r="E1304">
        <v>-0.74700200000000005</v>
      </c>
      <c r="F1304">
        <v>-1</v>
      </c>
      <c r="G1304">
        <v>-0.74700200000000005</v>
      </c>
    </row>
    <row r="1305" spans="1:7">
      <c r="A1305" t="s">
        <v>144</v>
      </c>
      <c r="B1305">
        <v>20</v>
      </c>
      <c r="C1305">
        <v>19</v>
      </c>
      <c r="D1305">
        <v>-1</v>
      </c>
      <c r="E1305">
        <v>0.64601600000000003</v>
      </c>
      <c r="F1305">
        <v>-1</v>
      </c>
      <c r="G1305">
        <v>0.64601600000000003</v>
      </c>
    </row>
    <row r="1306" spans="1:7">
      <c r="A1306" t="s">
        <v>144</v>
      </c>
      <c r="B1306">
        <v>20</v>
      </c>
      <c r="C1306">
        <v>20</v>
      </c>
      <c r="D1306">
        <v>-1</v>
      </c>
      <c r="E1306">
        <v>0.45310800000000001</v>
      </c>
      <c r="F1306">
        <v>-1</v>
      </c>
      <c r="G1306">
        <v>0.45310800000000001</v>
      </c>
    </row>
    <row r="1307" spans="1:7">
      <c r="A1307" t="s">
        <v>144</v>
      </c>
      <c r="B1307">
        <v>20</v>
      </c>
      <c r="C1307">
        <v>21</v>
      </c>
      <c r="D1307">
        <v>-1</v>
      </c>
      <c r="E1307">
        <v>0.41578399999999999</v>
      </c>
      <c r="F1307">
        <v>-1</v>
      </c>
      <c r="G1307">
        <v>0.41578399999999999</v>
      </c>
    </row>
    <row r="1308" spans="1:7">
      <c r="A1308" t="s">
        <v>144</v>
      </c>
      <c r="B1308">
        <v>20</v>
      </c>
      <c r="C1308">
        <v>22</v>
      </c>
      <c r="D1308">
        <v>-1</v>
      </c>
      <c r="E1308">
        <v>-0.65196699999999996</v>
      </c>
      <c r="F1308">
        <v>-1</v>
      </c>
      <c r="G1308">
        <v>-0.65196699999999996</v>
      </c>
    </row>
    <row r="1309" spans="1:7">
      <c r="A1309" t="s">
        <v>144</v>
      </c>
      <c r="B1309">
        <v>20</v>
      </c>
      <c r="C1309">
        <v>23</v>
      </c>
      <c r="D1309">
        <v>-1</v>
      </c>
      <c r="E1309">
        <v>-0.49488799999999999</v>
      </c>
      <c r="F1309">
        <v>-1</v>
      </c>
      <c r="G1309">
        <v>-0.49488799999999999</v>
      </c>
    </row>
    <row r="1310" spans="1:7">
      <c r="A1310" t="s">
        <v>144</v>
      </c>
      <c r="B1310">
        <v>20</v>
      </c>
      <c r="C1310">
        <v>24</v>
      </c>
      <c r="D1310">
        <v>-1</v>
      </c>
      <c r="E1310">
        <v>0.63310599999999995</v>
      </c>
      <c r="F1310">
        <v>-1</v>
      </c>
      <c r="G1310">
        <v>0.63310599999999995</v>
      </c>
    </row>
    <row r="1311" spans="1:7">
      <c r="A1311" t="s">
        <v>144</v>
      </c>
      <c r="B1311">
        <v>20</v>
      </c>
      <c r="C1311">
        <v>25</v>
      </c>
      <c r="D1311">
        <v>-1</v>
      </c>
      <c r="E1311">
        <v>0.72457000000000005</v>
      </c>
      <c r="F1311">
        <v>-1</v>
      </c>
      <c r="G1311">
        <v>0.72457000000000005</v>
      </c>
    </row>
    <row r="1312" spans="1:7">
      <c r="A1312" t="s">
        <v>144</v>
      </c>
      <c r="B1312">
        <v>20</v>
      </c>
      <c r="C1312">
        <v>26</v>
      </c>
      <c r="D1312">
        <v>-1</v>
      </c>
      <c r="E1312">
        <v>8.5971000000000006E-2</v>
      </c>
      <c r="F1312">
        <v>-1</v>
      </c>
      <c r="G1312">
        <v>8.5971000000000006E-2</v>
      </c>
    </row>
    <row r="1313" spans="1:7">
      <c r="A1313" t="s">
        <v>144</v>
      </c>
      <c r="B1313">
        <v>20</v>
      </c>
      <c r="C1313">
        <v>27</v>
      </c>
      <c r="D1313">
        <v>-1</v>
      </c>
      <c r="E1313">
        <v>0.37394300000000003</v>
      </c>
      <c r="F1313">
        <v>-1</v>
      </c>
      <c r="G1313">
        <v>0.37394300000000003</v>
      </c>
    </row>
    <row r="1314" spans="1:7">
      <c r="A1314" t="s">
        <v>144</v>
      </c>
      <c r="B1314">
        <v>20</v>
      </c>
      <c r="C1314">
        <v>28</v>
      </c>
      <c r="D1314">
        <v>-1</v>
      </c>
      <c r="E1314">
        <v>4.0889999999999998E-3</v>
      </c>
      <c r="F1314">
        <v>-1</v>
      </c>
      <c r="G1314">
        <v>4.0889999999999998E-3</v>
      </c>
    </row>
    <row r="1315" spans="1:7">
      <c r="A1315" t="s">
        <v>144</v>
      </c>
      <c r="B1315">
        <v>20</v>
      </c>
      <c r="C1315">
        <v>29</v>
      </c>
      <c r="D1315">
        <v>-1</v>
      </c>
      <c r="E1315">
        <v>-0.52543700000000004</v>
      </c>
      <c r="F1315">
        <v>-1</v>
      </c>
      <c r="G1315">
        <v>-0.52543700000000004</v>
      </c>
    </row>
    <row r="1316" spans="1:7">
      <c r="A1316" t="s">
        <v>144</v>
      </c>
      <c r="B1316">
        <v>20</v>
      </c>
      <c r="C1316">
        <v>30</v>
      </c>
      <c r="D1316">
        <v>-1</v>
      </c>
      <c r="E1316">
        <v>0.40311900000000001</v>
      </c>
      <c r="F1316">
        <v>-1</v>
      </c>
      <c r="G1316">
        <v>0.40311900000000001</v>
      </c>
    </row>
    <row r="1317" spans="1:7">
      <c r="A1317" t="s">
        <v>144</v>
      </c>
      <c r="B1317">
        <v>20</v>
      </c>
      <c r="C1317">
        <v>31</v>
      </c>
      <c r="D1317">
        <v>-1</v>
      </c>
      <c r="E1317">
        <v>-0.79003299999999999</v>
      </c>
      <c r="F1317">
        <v>-1</v>
      </c>
      <c r="G1317">
        <v>-0.79003299999999999</v>
      </c>
    </row>
    <row r="1318" spans="1:7">
      <c r="A1318" t="s">
        <v>144</v>
      </c>
      <c r="B1318">
        <v>20</v>
      </c>
      <c r="C1318">
        <v>32</v>
      </c>
      <c r="D1318">
        <v>-1</v>
      </c>
      <c r="E1318">
        <v>-1.0102E-2</v>
      </c>
      <c r="F1318">
        <v>-1</v>
      </c>
      <c r="G1318">
        <v>-1.0102E-2</v>
      </c>
    </row>
    <row r="1319" spans="1:7">
      <c r="A1319" t="s">
        <v>144</v>
      </c>
      <c r="B1319">
        <v>20</v>
      </c>
      <c r="C1319">
        <v>33</v>
      </c>
      <c r="D1319">
        <v>-1</v>
      </c>
      <c r="E1319">
        <v>0.75933099999999998</v>
      </c>
      <c r="F1319">
        <v>-1</v>
      </c>
      <c r="G1319">
        <v>0.75933099999999998</v>
      </c>
    </row>
    <row r="1320" spans="1:7">
      <c r="A1320" t="s">
        <v>144</v>
      </c>
      <c r="B1320">
        <v>20</v>
      </c>
      <c r="C1320">
        <v>34</v>
      </c>
      <c r="D1320">
        <v>-1</v>
      </c>
      <c r="E1320">
        <v>0.57957700000000001</v>
      </c>
      <c r="F1320">
        <v>-1</v>
      </c>
      <c r="G1320">
        <v>0.57957700000000001</v>
      </c>
    </row>
    <row r="1321" spans="1:7">
      <c r="A1321" t="s">
        <v>144</v>
      </c>
      <c r="B1321">
        <v>20</v>
      </c>
      <c r="C1321">
        <v>35</v>
      </c>
      <c r="D1321">
        <v>-1</v>
      </c>
      <c r="E1321">
        <v>-9.9612000000000006E-2</v>
      </c>
      <c r="F1321">
        <v>-1</v>
      </c>
      <c r="G1321">
        <v>-9.9612000000000006E-2</v>
      </c>
    </row>
    <row r="1322" spans="1:7">
      <c r="A1322" t="s">
        <v>144</v>
      </c>
      <c r="B1322">
        <v>20</v>
      </c>
      <c r="C1322">
        <v>36</v>
      </c>
      <c r="D1322">
        <v>-1</v>
      </c>
      <c r="E1322">
        <v>-0.992676</v>
      </c>
      <c r="F1322">
        <v>-1</v>
      </c>
      <c r="G1322">
        <v>-0.992676</v>
      </c>
    </row>
    <row r="1323" spans="1:7">
      <c r="A1323" t="s">
        <v>144</v>
      </c>
      <c r="B1323">
        <v>20</v>
      </c>
      <c r="C1323">
        <v>37</v>
      </c>
      <c r="D1323">
        <v>-1</v>
      </c>
      <c r="E1323">
        <v>-0.69542499999999996</v>
      </c>
      <c r="F1323">
        <v>-1</v>
      </c>
      <c r="G1323">
        <v>-0.69542499999999996</v>
      </c>
    </row>
    <row r="1324" spans="1:7">
      <c r="A1324" t="s">
        <v>144</v>
      </c>
      <c r="B1324">
        <v>20</v>
      </c>
      <c r="C1324">
        <v>38</v>
      </c>
      <c r="D1324">
        <v>-1</v>
      </c>
      <c r="E1324">
        <v>-0.79586199999999996</v>
      </c>
      <c r="F1324">
        <v>-1</v>
      </c>
      <c r="G1324">
        <v>-0.79586199999999996</v>
      </c>
    </row>
    <row r="1325" spans="1:7">
      <c r="A1325" t="s">
        <v>144</v>
      </c>
      <c r="B1325">
        <v>20</v>
      </c>
      <c r="C1325">
        <v>39</v>
      </c>
      <c r="D1325">
        <v>-1</v>
      </c>
      <c r="E1325">
        <v>-0.74730700000000005</v>
      </c>
      <c r="F1325">
        <v>-1</v>
      </c>
      <c r="G1325">
        <v>-0.74730700000000005</v>
      </c>
    </row>
    <row r="1326" spans="1:7">
      <c r="A1326" t="s">
        <v>144</v>
      </c>
      <c r="B1326">
        <v>20</v>
      </c>
      <c r="C1326">
        <v>40</v>
      </c>
      <c r="D1326">
        <v>-1</v>
      </c>
      <c r="E1326">
        <v>0.33539799999999997</v>
      </c>
      <c r="F1326">
        <v>-1</v>
      </c>
      <c r="G1326">
        <v>0.33539799999999997</v>
      </c>
    </row>
    <row r="1327" spans="1:7">
      <c r="A1327" t="s">
        <v>144</v>
      </c>
      <c r="B1327">
        <v>20</v>
      </c>
      <c r="C1327">
        <v>41</v>
      </c>
      <c r="D1327">
        <v>-1</v>
      </c>
      <c r="E1327">
        <v>0.23191000000000001</v>
      </c>
      <c r="F1327">
        <v>-1</v>
      </c>
      <c r="G1327">
        <v>0.23191000000000001</v>
      </c>
    </row>
    <row r="1328" spans="1:7">
      <c r="A1328" t="s">
        <v>144</v>
      </c>
      <c r="B1328">
        <v>20</v>
      </c>
      <c r="C1328">
        <v>42</v>
      </c>
      <c r="D1328">
        <v>-1</v>
      </c>
      <c r="E1328">
        <v>-0.143651</v>
      </c>
      <c r="F1328">
        <v>-1</v>
      </c>
      <c r="G1328">
        <v>-0.143651</v>
      </c>
    </row>
    <row r="1329" spans="1:7">
      <c r="A1329" t="s">
        <v>144</v>
      </c>
      <c r="B1329">
        <v>20</v>
      </c>
      <c r="C1329">
        <v>43</v>
      </c>
      <c r="D1329">
        <v>-1</v>
      </c>
      <c r="E1329">
        <v>-0.62886399999999998</v>
      </c>
      <c r="F1329">
        <v>-1</v>
      </c>
      <c r="G1329">
        <v>-0.62886399999999998</v>
      </c>
    </row>
    <row r="1330" spans="1:7">
      <c r="A1330" t="s">
        <v>144</v>
      </c>
      <c r="B1330">
        <v>20</v>
      </c>
      <c r="C1330">
        <v>44</v>
      </c>
      <c r="D1330">
        <v>-1</v>
      </c>
      <c r="E1330">
        <v>0.73366500000000001</v>
      </c>
      <c r="F1330">
        <v>-1</v>
      </c>
      <c r="G1330">
        <v>0.73366500000000001</v>
      </c>
    </row>
    <row r="1331" spans="1:7">
      <c r="A1331" t="s">
        <v>144</v>
      </c>
      <c r="B1331">
        <v>20</v>
      </c>
      <c r="C1331">
        <v>45</v>
      </c>
      <c r="D1331">
        <v>-1</v>
      </c>
      <c r="E1331">
        <v>-0.32184800000000002</v>
      </c>
      <c r="F1331">
        <v>-1</v>
      </c>
      <c r="G1331">
        <v>-0.32184800000000002</v>
      </c>
    </row>
    <row r="1332" spans="1:7">
      <c r="A1332" t="s">
        <v>144</v>
      </c>
      <c r="B1332">
        <v>20</v>
      </c>
      <c r="C1332">
        <v>46</v>
      </c>
      <c r="D1332">
        <v>-1</v>
      </c>
      <c r="E1332">
        <v>-0.45802199999999998</v>
      </c>
      <c r="F1332">
        <v>-1</v>
      </c>
      <c r="G1332">
        <v>-0.45802199999999998</v>
      </c>
    </row>
    <row r="1333" spans="1:7">
      <c r="A1333" t="s">
        <v>144</v>
      </c>
      <c r="B1333">
        <v>20</v>
      </c>
      <c r="C1333">
        <v>47</v>
      </c>
      <c r="D1333">
        <v>-1</v>
      </c>
      <c r="E1333">
        <v>-0.57972999999999997</v>
      </c>
      <c r="F1333">
        <v>-1</v>
      </c>
      <c r="G1333">
        <v>-0.57972999999999997</v>
      </c>
    </row>
    <row r="1334" spans="1:7">
      <c r="A1334" t="s">
        <v>144</v>
      </c>
      <c r="B1334">
        <v>20</v>
      </c>
      <c r="C1334">
        <v>48</v>
      </c>
      <c r="D1334">
        <v>-1</v>
      </c>
      <c r="E1334">
        <v>-0.58885500000000002</v>
      </c>
      <c r="F1334">
        <v>-1</v>
      </c>
      <c r="G1334">
        <v>-0.58885500000000002</v>
      </c>
    </row>
    <row r="1335" spans="1:7">
      <c r="A1335" t="s">
        <v>144</v>
      </c>
      <c r="B1335">
        <v>20</v>
      </c>
      <c r="C1335">
        <v>49</v>
      </c>
      <c r="D1335">
        <v>-1</v>
      </c>
      <c r="E1335">
        <v>0.52385000000000004</v>
      </c>
      <c r="F1335">
        <v>-1</v>
      </c>
      <c r="G1335">
        <v>0.52385000000000004</v>
      </c>
    </row>
    <row r="1336" spans="1:7">
      <c r="A1336" t="s">
        <v>144</v>
      </c>
      <c r="B1336" t="s">
        <v>145</v>
      </c>
      <c r="C1336">
        <v>21</v>
      </c>
    </row>
    <row r="1337" spans="1:7">
      <c r="A1337" t="s">
        <v>144</v>
      </c>
      <c r="B1337" t="s">
        <v>146</v>
      </c>
      <c r="C1337">
        <v>38</v>
      </c>
    </row>
    <row r="1338" spans="1:7">
      <c r="A1338" t="s">
        <v>144</v>
      </c>
      <c r="B1338" t="s">
        <v>147</v>
      </c>
      <c r="C1338">
        <v>38</v>
      </c>
    </row>
    <row r="1339" spans="1:7">
      <c r="A1339" t="s">
        <v>144</v>
      </c>
      <c r="B1339" t="s">
        <v>148</v>
      </c>
      <c r="C1339">
        <v>0.786798</v>
      </c>
    </row>
    <row r="1340" spans="1:7">
      <c r="A1340" t="s">
        <v>144</v>
      </c>
      <c r="B1340" t="s">
        <v>149</v>
      </c>
      <c r="C1340">
        <v>0.786798</v>
      </c>
    </row>
    <row r="1341" spans="1:7">
      <c r="A1341" t="s">
        <v>144</v>
      </c>
      <c r="B1341" t="s">
        <v>150</v>
      </c>
      <c r="C1341">
        <v>-1</v>
      </c>
    </row>
    <row r="1342" spans="1:7">
      <c r="A1342" t="s">
        <v>144</v>
      </c>
      <c r="B1342" t="s">
        <v>151</v>
      </c>
      <c r="C1342">
        <v>-1</v>
      </c>
    </row>
    <row r="1343" spans="1:7">
      <c r="A1343" t="s">
        <v>144</v>
      </c>
      <c r="B1343" t="s">
        <v>152</v>
      </c>
      <c r="C1343">
        <v>45</v>
      </c>
    </row>
    <row r="1344" spans="1:7">
      <c r="A1344" t="s">
        <v>144</v>
      </c>
      <c r="B1344" t="s">
        <v>153</v>
      </c>
      <c r="C1344">
        <v>45</v>
      </c>
    </row>
    <row r="1345" spans="1:7">
      <c r="A1345" t="s">
        <v>144</v>
      </c>
      <c r="B1345" t="s">
        <v>154</v>
      </c>
      <c r="C1345">
        <v>0</v>
      </c>
    </row>
    <row r="1346" spans="1:7">
      <c r="A1346" t="s">
        <v>144</v>
      </c>
      <c r="B1346" t="s">
        <v>161</v>
      </c>
    </row>
    <row r="1347" spans="1:7">
      <c r="A1347" t="s">
        <v>144</v>
      </c>
      <c r="B1347">
        <v>21</v>
      </c>
      <c r="C1347">
        <v>0</v>
      </c>
      <c r="D1347">
        <v>-1</v>
      </c>
      <c r="E1347">
        <v>-0.17041500000000001</v>
      </c>
      <c r="F1347">
        <v>-1</v>
      </c>
      <c r="G1347">
        <v>-0.17041500000000001</v>
      </c>
    </row>
    <row r="1348" spans="1:7">
      <c r="A1348" t="s">
        <v>144</v>
      </c>
      <c r="B1348">
        <v>21</v>
      </c>
      <c r="C1348">
        <v>1</v>
      </c>
      <c r="D1348">
        <v>-1</v>
      </c>
      <c r="E1348">
        <v>-0.80849599999999999</v>
      </c>
      <c r="F1348">
        <v>-1</v>
      </c>
      <c r="G1348">
        <v>-0.80849599999999999</v>
      </c>
    </row>
    <row r="1349" spans="1:7">
      <c r="A1349" t="s">
        <v>144</v>
      </c>
      <c r="B1349">
        <v>21</v>
      </c>
      <c r="C1349">
        <v>2</v>
      </c>
      <c r="D1349">
        <v>-1</v>
      </c>
      <c r="E1349">
        <v>-0.53370799999999996</v>
      </c>
      <c r="F1349">
        <v>-1</v>
      </c>
      <c r="G1349">
        <v>-0.53370799999999996</v>
      </c>
    </row>
    <row r="1350" spans="1:7">
      <c r="A1350" t="s">
        <v>144</v>
      </c>
      <c r="B1350">
        <v>21</v>
      </c>
      <c r="C1350">
        <v>3</v>
      </c>
      <c r="D1350">
        <v>-1</v>
      </c>
      <c r="E1350">
        <v>0.78423399999999999</v>
      </c>
      <c r="F1350">
        <v>-1</v>
      </c>
      <c r="G1350">
        <v>0.78423399999999999</v>
      </c>
    </row>
    <row r="1351" spans="1:7">
      <c r="A1351" t="s">
        <v>144</v>
      </c>
      <c r="B1351">
        <v>21</v>
      </c>
      <c r="C1351">
        <v>4</v>
      </c>
      <c r="D1351">
        <v>-1</v>
      </c>
      <c r="E1351">
        <v>-0.46085999999999999</v>
      </c>
      <c r="F1351">
        <v>-1</v>
      </c>
      <c r="G1351">
        <v>-0.46085999999999999</v>
      </c>
    </row>
    <row r="1352" spans="1:7">
      <c r="A1352" t="s">
        <v>144</v>
      </c>
      <c r="B1352">
        <v>21</v>
      </c>
      <c r="C1352">
        <v>5</v>
      </c>
      <c r="D1352">
        <v>-1</v>
      </c>
      <c r="E1352">
        <v>-0.539964</v>
      </c>
      <c r="F1352">
        <v>-1</v>
      </c>
      <c r="G1352">
        <v>-0.539964</v>
      </c>
    </row>
    <row r="1353" spans="1:7">
      <c r="A1353" t="s">
        <v>144</v>
      </c>
      <c r="B1353">
        <v>21</v>
      </c>
      <c r="C1353">
        <v>6</v>
      </c>
      <c r="D1353">
        <v>-1</v>
      </c>
      <c r="E1353">
        <v>-0.87725500000000001</v>
      </c>
      <c r="F1353">
        <v>-1</v>
      </c>
      <c r="G1353">
        <v>-0.87725500000000001</v>
      </c>
    </row>
    <row r="1354" spans="1:7">
      <c r="A1354" t="s">
        <v>144</v>
      </c>
      <c r="B1354">
        <v>21</v>
      </c>
      <c r="C1354">
        <v>7</v>
      </c>
      <c r="D1354">
        <v>-1</v>
      </c>
      <c r="E1354">
        <v>4.5045000000000002E-2</v>
      </c>
      <c r="F1354">
        <v>-1</v>
      </c>
      <c r="G1354">
        <v>4.5045000000000002E-2</v>
      </c>
    </row>
    <row r="1355" spans="1:7">
      <c r="A1355" t="s">
        <v>144</v>
      </c>
      <c r="B1355">
        <v>21</v>
      </c>
      <c r="C1355">
        <v>8</v>
      </c>
      <c r="D1355">
        <v>-1</v>
      </c>
      <c r="E1355">
        <v>0.281198</v>
      </c>
      <c r="F1355">
        <v>-1</v>
      </c>
      <c r="G1355">
        <v>0.281198</v>
      </c>
    </row>
    <row r="1356" spans="1:7">
      <c r="A1356" t="s">
        <v>144</v>
      </c>
      <c r="B1356">
        <v>21</v>
      </c>
      <c r="C1356">
        <v>9</v>
      </c>
      <c r="D1356">
        <v>-1</v>
      </c>
      <c r="E1356">
        <v>0.75456999999999996</v>
      </c>
      <c r="F1356">
        <v>-1</v>
      </c>
      <c r="G1356">
        <v>0.75456999999999996</v>
      </c>
    </row>
    <row r="1357" spans="1:7">
      <c r="A1357" t="s">
        <v>144</v>
      </c>
      <c r="B1357">
        <v>21</v>
      </c>
      <c r="C1357">
        <v>10</v>
      </c>
      <c r="D1357">
        <v>-1</v>
      </c>
      <c r="E1357">
        <v>-0.49577300000000002</v>
      </c>
      <c r="F1357">
        <v>-1</v>
      </c>
      <c r="G1357">
        <v>-0.49577300000000002</v>
      </c>
    </row>
    <row r="1358" spans="1:7">
      <c r="A1358" t="s">
        <v>144</v>
      </c>
      <c r="B1358">
        <v>21</v>
      </c>
      <c r="C1358">
        <v>11</v>
      </c>
      <c r="D1358">
        <v>-1</v>
      </c>
      <c r="E1358">
        <v>-0.62352399999999997</v>
      </c>
      <c r="F1358">
        <v>-1</v>
      </c>
      <c r="G1358">
        <v>-0.62352399999999997</v>
      </c>
    </row>
    <row r="1359" spans="1:7">
      <c r="A1359" t="s">
        <v>144</v>
      </c>
      <c r="B1359">
        <v>21</v>
      </c>
      <c r="C1359">
        <v>12</v>
      </c>
      <c r="D1359">
        <v>-1</v>
      </c>
      <c r="E1359">
        <v>-4.7121000000000003E-2</v>
      </c>
      <c r="F1359">
        <v>-1</v>
      </c>
      <c r="G1359">
        <v>-4.7121000000000003E-2</v>
      </c>
    </row>
    <row r="1360" spans="1:7">
      <c r="A1360" t="s">
        <v>144</v>
      </c>
      <c r="B1360">
        <v>21</v>
      </c>
      <c r="C1360">
        <v>13</v>
      </c>
      <c r="D1360">
        <v>-1</v>
      </c>
      <c r="E1360">
        <v>0.76390899999999995</v>
      </c>
      <c r="F1360">
        <v>-1</v>
      </c>
      <c r="G1360">
        <v>0.76390899999999995</v>
      </c>
    </row>
    <row r="1361" spans="1:7">
      <c r="A1361" t="s">
        <v>144</v>
      </c>
      <c r="B1361">
        <v>21</v>
      </c>
      <c r="C1361">
        <v>14</v>
      </c>
      <c r="D1361">
        <v>-1</v>
      </c>
      <c r="E1361">
        <v>-0.32645600000000002</v>
      </c>
      <c r="F1361">
        <v>-1</v>
      </c>
      <c r="G1361">
        <v>-0.32645600000000002</v>
      </c>
    </row>
    <row r="1362" spans="1:7">
      <c r="A1362" t="s">
        <v>144</v>
      </c>
      <c r="B1362">
        <v>21</v>
      </c>
      <c r="C1362">
        <v>15</v>
      </c>
      <c r="D1362">
        <v>-1</v>
      </c>
      <c r="E1362">
        <v>-0.15009</v>
      </c>
      <c r="F1362">
        <v>-1</v>
      </c>
      <c r="G1362">
        <v>-0.15009</v>
      </c>
    </row>
    <row r="1363" spans="1:7">
      <c r="A1363" t="s">
        <v>144</v>
      </c>
      <c r="B1363">
        <v>21</v>
      </c>
      <c r="C1363">
        <v>16</v>
      </c>
      <c r="D1363">
        <v>-1</v>
      </c>
      <c r="E1363">
        <v>0.191076</v>
      </c>
      <c r="F1363">
        <v>-1</v>
      </c>
      <c r="G1363">
        <v>0.191076</v>
      </c>
    </row>
    <row r="1364" spans="1:7">
      <c r="A1364" t="s">
        <v>144</v>
      </c>
      <c r="B1364">
        <v>21</v>
      </c>
      <c r="C1364">
        <v>17</v>
      </c>
      <c r="D1364">
        <v>-1</v>
      </c>
      <c r="E1364">
        <v>-0.28000700000000001</v>
      </c>
      <c r="F1364">
        <v>-1</v>
      </c>
      <c r="G1364">
        <v>-0.28000700000000001</v>
      </c>
    </row>
    <row r="1365" spans="1:7">
      <c r="A1365" t="s">
        <v>144</v>
      </c>
      <c r="B1365">
        <v>21</v>
      </c>
      <c r="C1365">
        <v>18</v>
      </c>
      <c r="D1365">
        <v>-1</v>
      </c>
      <c r="E1365">
        <v>-0.16122900000000001</v>
      </c>
      <c r="F1365">
        <v>-1</v>
      </c>
      <c r="G1365">
        <v>-0.16122900000000001</v>
      </c>
    </row>
    <row r="1366" spans="1:7">
      <c r="A1366" t="s">
        <v>144</v>
      </c>
      <c r="B1366">
        <v>21</v>
      </c>
      <c r="C1366">
        <v>19</v>
      </c>
      <c r="D1366">
        <v>-1</v>
      </c>
      <c r="E1366">
        <v>0.19684399999999999</v>
      </c>
      <c r="F1366">
        <v>-1</v>
      </c>
      <c r="G1366">
        <v>0.19684399999999999</v>
      </c>
    </row>
    <row r="1367" spans="1:7">
      <c r="A1367" t="s">
        <v>144</v>
      </c>
      <c r="B1367">
        <v>21</v>
      </c>
      <c r="C1367">
        <v>20</v>
      </c>
      <c r="D1367">
        <v>-1</v>
      </c>
      <c r="E1367">
        <v>-0.86919800000000003</v>
      </c>
      <c r="F1367">
        <v>-1</v>
      </c>
      <c r="G1367">
        <v>-0.86919800000000003</v>
      </c>
    </row>
    <row r="1368" spans="1:7">
      <c r="A1368" t="s">
        <v>144</v>
      </c>
      <c r="B1368">
        <v>21</v>
      </c>
      <c r="C1368">
        <v>21</v>
      </c>
      <c r="D1368">
        <v>-1</v>
      </c>
      <c r="E1368">
        <v>0.77889299999999995</v>
      </c>
      <c r="F1368">
        <v>-1</v>
      </c>
      <c r="G1368">
        <v>0.77889299999999995</v>
      </c>
    </row>
    <row r="1369" spans="1:7">
      <c r="A1369" t="s">
        <v>144</v>
      </c>
      <c r="B1369">
        <v>21</v>
      </c>
      <c r="C1369">
        <v>22</v>
      </c>
      <c r="D1369">
        <v>-1</v>
      </c>
      <c r="E1369">
        <v>-0.91607400000000005</v>
      </c>
      <c r="F1369">
        <v>-1</v>
      </c>
      <c r="G1369">
        <v>-0.91607400000000005</v>
      </c>
    </row>
    <row r="1370" spans="1:7">
      <c r="A1370" t="s">
        <v>144</v>
      </c>
      <c r="B1370">
        <v>21</v>
      </c>
      <c r="C1370">
        <v>23</v>
      </c>
      <c r="D1370">
        <v>-1</v>
      </c>
      <c r="E1370">
        <v>0.70308499999999996</v>
      </c>
      <c r="F1370">
        <v>-1</v>
      </c>
      <c r="G1370">
        <v>0.70308499999999996</v>
      </c>
    </row>
    <row r="1371" spans="1:7">
      <c r="A1371" t="s">
        <v>144</v>
      </c>
      <c r="B1371">
        <v>21</v>
      </c>
      <c r="C1371">
        <v>24</v>
      </c>
      <c r="D1371">
        <v>-1</v>
      </c>
      <c r="E1371">
        <v>-0.79348099999999999</v>
      </c>
      <c r="F1371">
        <v>-1</v>
      </c>
      <c r="G1371">
        <v>-0.79348099999999999</v>
      </c>
    </row>
    <row r="1372" spans="1:7">
      <c r="A1372" t="s">
        <v>144</v>
      </c>
      <c r="B1372">
        <v>21</v>
      </c>
      <c r="C1372">
        <v>25</v>
      </c>
      <c r="D1372">
        <v>-1</v>
      </c>
      <c r="E1372">
        <v>-0.98849500000000001</v>
      </c>
      <c r="F1372">
        <v>-1</v>
      </c>
      <c r="G1372">
        <v>-0.98849500000000001</v>
      </c>
    </row>
    <row r="1373" spans="1:7">
      <c r="A1373" t="s">
        <v>144</v>
      </c>
      <c r="B1373">
        <v>21</v>
      </c>
      <c r="C1373">
        <v>26</v>
      </c>
      <c r="D1373">
        <v>-1</v>
      </c>
      <c r="E1373">
        <v>-2.5635999999999999E-2</v>
      </c>
      <c r="F1373">
        <v>-1</v>
      </c>
      <c r="G1373">
        <v>-2.5635999999999999E-2</v>
      </c>
    </row>
    <row r="1374" spans="1:7">
      <c r="A1374" t="s">
        <v>144</v>
      </c>
      <c r="B1374">
        <v>21</v>
      </c>
      <c r="C1374">
        <v>27</v>
      </c>
      <c r="D1374">
        <v>-1</v>
      </c>
      <c r="E1374">
        <v>0.52626099999999998</v>
      </c>
      <c r="F1374">
        <v>-1</v>
      </c>
      <c r="G1374">
        <v>0.52626099999999998</v>
      </c>
    </row>
    <row r="1375" spans="1:7">
      <c r="A1375" t="s">
        <v>144</v>
      </c>
      <c r="B1375">
        <v>21</v>
      </c>
      <c r="C1375">
        <v>28</v>
      </c>
      <c r="D1375">
        <v>-1</v>
      </c>
      <c r="E1375">
        <v>-0.188665</v>
      </c>
      <c r="F1375">
        <v>-1</v>
      </c>
      <c r="G1375">
        <v>-0.188665</v>
      </c>
    </row>
    <row r="1376" spans="1:7">
      <c r="A1376" t="s">
        <v>144</v>
      </c>
      <c r="B1376">
        <v>21</v>
      </c>
      <c r="C1376">
        <v>29</v>
      </c>
      <c r="D1376">
        <v>-1</v>
      </c>
      <c r="E1376">
        <v>0.50215200000000004</v>
      </c>
      <c r="F1376">
        <v>-1</v>
      </c>
      <c r="G1376">
        <v>0.50215200000000004</v>
      </c>
    </row>
    <row r="1377" spans="1:7">
      <c r="A1377" t="s">
        <v>144</v>
      </c>
      <c r="B1377">
        <v>21</v>
      </c>
      <c r="C1377">
        <v>30</v>
      </c>
      <c r="D1377">
        <v>-1</v>
      </c>
      <c r="E1377">
        <v>0.96285900000000002</v>
      </c>
      <c r="F1377">
        <v>-1</v>
      </c>
      <c r="G1377">
        <v>0.96285900000000002</v>
      </c>
    </row>
    <row r="1378" spans="1:7">
      <c r="A1378" t="s">
        <v>144</v>
      </c>
      <c r="B1378">
        <v>21</v>
      </c>
      <c r="C1378">
        <v>31</v>
      </c>
      <c r="D1378">
        <v>-1</v>
      </c>
      <c r="E1378">
        <v>-0.11771</v>
      </c>
      <c r="F1378">
        <v>-1</v>
      </c>
      <c r="G1378">
        <v>-0.11771</v>
      </c>
    </row>
    <row r="1379" spans="1:7">
      <c r="A1379" t="s">
        <v>144</v>
      </c>
      <c r="B1379">
        <v>21</v>
      </c>
      <c r="C1379">
        <v>32</v>
      </c>
      <c r="D1379">
        <v>-1</v>
      </c>
      <c r="E1379">
        <v>0.87444699999999997</v>
      </c>
      <c r="F1379">
        <v>-1</v>
      </c>
      <c r="G1379">
        <v>0.87444699999999997</v>
      </c>
    </row>
    <row r="1380" spans="1:7">
      <c r="A1380" t="s">
        <v>144</v>
      </c>
      <c r="B1380">
        <v>21</v>
      </c>
      <c r="C1380">
        <v>33</v>
      </c>
      <c r="D1380">
        <v>-1</v>
      </c>
      <c r="E1380">
        <v>-0.51686100000000001</v>
      </c>
      <c r="F1380">
        <v>-1</v>
      </c>
      <c r="G1380">
        <v>-0.51686100000000001</v>
      </c>
    </row>
    <row r="1381" spans="1:7">
      <c r="A1381" t="s">
        <v>144</v>
      </c>
      <c r="B1381">
        <v>21</v>
      </c>
      <c r="C1381">
        <v>34</v>
      </c>
      <c r="D1381">
        <v>-1</v>
      </c>
      <c r="E1381">
        <v>0.883328</v>
      </c>
      <c r="F1381">
        <v>-1</v>
      </c>
      <c r="G1381">
        <v>0.883328</v>
      </c>
    </row>
    <row r="1382" spans="1:7">
      <c r="A1382" t="s">
        <v>144</v>
      </c>
      <c r="B1382">
        <v>21</v>
      </c>
      <c r="C1382">
        <v>35</v>
      </c>
      <c r="D1382">
        <v>-1</v>
      </c>
      <c r="E1382">
        <v>-0.323405</v>
      </c>
      <c r="F1382">
        <v>-1</v>
      </c>
      <c r="G1382">
        <v>-0.323405</v>
      </c>
    </row>
    <row r="1383" spans="1:7">
      <c r="A1383" t="s">
        <v>144</v>
      </c>
      <c r="B1383">
        <v>21</v>
      </c>
      <c r="C1383">
        <v>36</v>
      </c>
      <c r="D1383">
        <v>-1</v>
      </c>
      <c r="E1383">
        <v>0.47227400000000003</v>
      </c>
      <c r="F1383">
        <v>-1</v>
      </c>
      <c r="G1383">
        <v>0.47227400000000003</v>
      </c>
    </row>
    <row r="1384" spans="1:7">
      <c r="A1384" t="s">
        <v>144</v>
      </c>
      <c r="B1384">
        <v>21</v>
      </c>
      <c r="C1384">
        <v>37</v>
      </c>
      <c r="D1384">
        <v>-1</v>
      </c>
      <c r="E1384">
        <v>0.69649300000000003</v>
      </c>
      <c r="F1384">
        <v>-1</v>
      </c>
      <c r="G1384">
        <v>0.69649300000000003</v>
      </c>
    </row>
    <row r="1385" spans="1:7">
      <c r="A1385" t="s">
        <v>144</v>
      </c>
      <c r="B1385">
        <v>21</v>
      </c>
      <c r="C1385">
        <v>38</v>
      </c>
      <c r="D1385">
        <v>-1</v>
      </c>
      <c r="E1385">
        <v>0.39494000000000001</v>
      </c>
      <c r="F1385">
        <v>-1</v>
      </c>
      <c r="G1385">
        <v>0.39494000000000001</v>
      </c>
    </row>
    <row r="1386" spans="1:7">
      <c r="A1386" t="s">
        <v>144</v>
      </c>
      <c r="B1386">
        <v>21</v>
      </c>
      <c r="C1386">
        <v>39</v>
      </c>
      <c r="D1386">
        <v>-1</v>
      </c>
      <c r="E1386">
        <v>-0.30970199999999998</v>
      </c>
      <c r="F1386">
        <v>-1</v>
      </c>
      <c r="G1386">
        <v>-0.30970199999999998</v>
      </c>
    </row>
    <row r="1387" spans="1:7">
      <c r="A1387" t="s">
        <v>144</v>
      </c>
      <c r="B1387">
        <v>21</v>
      </c>
      <c r="C1387">
        <v>40</v>
      </c>
      <c r="D1387">
        <v>-1</v>
      </c>
      <c r="E1387">
        <v>-0.73763199999999995</v>
      </c>
      <c r="F1387">
        <v>-1</v>
      </c>
      <c r="G1387">
        <v>-0.73763199999999995</v>
      </c>
    </row>
    <row r="1388" spans="1:7">
      <c r="A1388" t="s">
        <v>144</v>
      </c>
      <c r="B1388">
        <v>21</v>
      </c>
      <c r="C1388">
        <v>41</v>
      </c>
      <c r="D1388">
        <v>-1</v>
      </c>
      <c r="E1388">
        <v>-0.160161</v>
      </c>
      <c r="F1388">
        <v>-1</v>
      </c>
      <c r="G1388">
        <v>-0.160161</v>
      </c>
    </row>
    <row r="1389" spans="1:7">
      <c r="A1389" t="s">
        <v>144</v>
      </c>
      <c r="B1389">
        <v>21</v>
      </c>
      <c r="C1389">
        <v>42</v>
      </c>
      <c r="D1389">
        <v>-1</v>
      </c>
      <c r="E1389">
        <v>-0.45240599999999997</v>
      </c>
      <c r="F1389">
        <v>-1</v>
      </c>
      <c r="G1389">
        <v>-0.45240599999999997</v>
      </c>
    </row>
    <row r="1390" spans="1:7">
      <c r="A1390" t="s">
        <v>144</v>
      </c>
      <c r="B1390">
        <v>21</v>
      </c>
      <c r="C1390">
        <v>43</v>
      </c>
      <c r="D1390">
        <v>-1</v>
      </c>
      <c r="E1390">
        <v>0.61424599999999996</v>
      </c>
      <c r="F1390">
        <v>-1</v>
      </c>
      <c r="G1390">
        <v>0.61424599999999996</v>
      </c>
    </row>
    <row r="1391" spans="1:7">
      <c r="A1391" t="s">
        <v>144</v>
      </c>
      <c r="B1391">
        <v>21</v>
      </c>
      <c r="C1391">
        <v>44</v>
      </c>
      <c r="D1391">
        <v>-1</v>
      </c>
      <c r="E1391">
        <v>1.6785000000000001E-2</v>
      </c>
      <c r="F1391">
        <v>-1</v>
      </c>
      <c r="G1391">
        <v>1.6785000000000001E-2</v>
      </c>
    </row>
    <row r="1392" spans="1:7">
      <c r="A1392" t="s">
        <v>144</v>
      </c>
      <c r="B1392">
        <v>21</v>
      </c>
      <c r="C1392">
        <v>45</v>
      </c>
      <c r="D1392">
        <v>-1</v>
      </c>
      <c r="E1392">
        <v>-0.59547700000000003</v>
      </c>
      <c r="F1392">
        <v>-1</v>
      </c>
      <c r="G1392">
        <v>-0.59547700000000003</v>
      </c>
    </row>
    <row r="1393" spans="1:7">
      <c r="A1393" t="s">
        <v>144</v>
      </c>
      <c r="B1393">
        <v>21</v>
      </c>
      <c r="C1393">
        <v>46</v>
      </c>
      <c r="D1393">
        <v>-1</v>
      </c>
      <c r="E1393">
        <v>-0.37678200000000001</v>
      </c>
      <c r="F1393">
        <v>-1</v>
      </c>
      <c r="G1393">
        <v>-0.37678200000000001</v>
      </c>
    </row>
    <row r="1394" spans="1:7">
      <c r="A1394" t="s">
        <v>144</v>
      </c>
      <c r="B1394">
        <v>21</v>
      </c>
      <c r="C1394">
        <v>47</v>
      </c>
      <c r="D1394">
        <v>-1</v>
      </c>
      <c r="E1394">
        <v>0.321635</v>
      </c>
      <c r="F1394">
        <v>-1</v>
      </c>
      <c r="G1394">
        <v>0.321635</v>
      </c>
    </row>
    <row r="1395" spans="1:7">
      <c r="A1395" t="s">
        <v>144</v>
      </c>
      <c r="B1395">
        <v>21</v>
      </c>
      <c r="C1395">
        <v>48</v>
      </c>
      <c r="D1395">
        <v>-1</v>
      </c>
      <c r="E1395">
        <v>-0.82918800000000004</v>
      </c>
      <c r="F1395">
        <v>-1</v>
      </c>
      <c r="G1395">
        <v>-0.82918800000000004</v>
      </c>
    </row>
    <row r="1396" spans="1:7">
      <c r="A1396" t="s">
        <v>144</v>
      </c>
      <c r="B1396">
        <v>21</v>
      </c>
      <c r="C1396">
        <v>49</v>
      </c>
      <c r="D1396">
        <v>-1</v>
      </c>
      <c r="E1396">
        <v>0.49675000000000002</v>
      </c>
      <c r="F1396">
        <v>-1</v>
      </c>
      <c r="G1396">
        <v>0.49675000000000002</v>
      </c>
    </row>
    <row r="1397" spans="1:7">
      <c r="A1397" t="s">
        <v>144</v>
      </c>
      <c r="B1397" t="s">
        <v>145</v>
      </c>
      <c r="C1397">
        <v>22</v>
      </c>
    </row>
    <row r="1398" spans="1:7">
      <c r="A1398" t="s">
        <v>144</v>
      </c>
      <c r="B1398" t="s">
        <v>146</v>
      </c>
      <c r="C1398">
        <v>9</v>
      </c>
    </row>
    <row r="1399" spans="1:7">
      <c r="A1399" t="s">
        <v>144</v>
      </c>
      <c r="B1399" t="s">
        <v>147</v>
      </c>
      <c r="C1399">
        <v>9</v>
      </c>
    </row>
    <row r="1400" spans="1:7">
      <c r="A1400" t="s">
        <v>144</v>
      </c>
      <c r="B1400" t="s">
        <v>148</v>
      </c>
      <c r="C1400">
        <v>0.55296500000000004</v>
      </c>
    </row>
    <row r="1401" spans="1:7">
      <c r="A1401" t="s">
        <v>144</v>
      </c>
      <c r="B1401" t="s">
        <v>149</v>
      </c>
      <c r="C1401">
        <v>0.55296500000000004</v>
      </c>
    </row>
    <row r="1402" spans="1:7">
      <c r="A1402" t="s">
        <v>144</v>
      </c>
      <c r="B1402" t="s">
        <v>150</v>
      </c>
      <c r="C1402">
        <v>-1</v>
      </c>
    </row>
    <row r="1403" spans="1:7">
      <c r="A1403" t="s">
        <v>144</v>
      </c>
      <c r="B1403" t="s">
        <v>151</v>
      </c>
      <c r="C1403">
        <v>-1</v>
      </c>
    </row>
    <row r="1404" spans="1:7">
      <c r="A1404" t="s">
        <v>144</v>
      </c>
      <c r="B1404" t="s">
        <v>152</v>
      </c>
      <c r="C1404">
        <v>26</v>
      </c>
    </row>
    <row r="1405" spans="1:7">
      <c r="A1405" t="s">
        <v>144</v>
      </c>
      <c r="B1405" t="s">
        <v>153</v>
      </c>
      <c r="C1405">
        <v>26</v>
      </c>
    </row>
    <row r="1406" spans="1:7">
      <c r="A1406" t="s">
        <v>144</v>
      </c>
      <c r="B1406" t="s">
        <v>154</v>
      </c>
      <c r="C1406">
        <v>0</v>
      </c>
    </row>
    <row r="1407" spans="1:7">
      <c r="A1407" t="s">
        <v>144</v>
      </c>
      <c r="B1407" t="s">
        <v>155</v>
      </c>
    </row>
    <row r="1408" spans="1:7">
      <c r="A1408" t="s">
        <v>144</v>
      </c>
      <c r="B1408" t="s">
        <v>150</v>
      </c>
      <c r="C1408">
        <v>0.29966100000000001</v>
      </c>
    </row>
    <row r="1409" spans="1:7">
      <c r="A1409" t="s">
        <v>144</v>
      </c>
      <c r="B1409" t="s">
        <v>151</v>
      </c>
      <c r="C1409">
        <v>0.29966100000000001</v>
      </c>
    </row>
    <row r="1410" spans="1:7">
      <c r="A1410" t="s">
        <v>144</v>
      </c>
      <c r="B1410" t="s">
        <v>156</v>
      </c>
      <c r="C1410" t="s">
        <v>157</v>
      </c>
      <c r="D1410" t="s">
        <v>63</v>
      </c>
      <c r="E1410" t="s">
        <v>158</v>
      </c>
      <c r="F1410" t="s">
        <v>159</v>
      </c>
      <c r="G1410" t="s">
        <v>160</v>
      </c>
    </row>
    <row r="1411" spans="1:7">
      <c r="A1411" t="s">
        <v>144</v>
      </c>
      <c r="B1411">
        <v>22</v>
      </c>
      <c r="C1411">
        <v>0</v>
      </c>
      <c r="D1411">
        <v>0.29966100000000001</v>
      </c>
      <c r="E1411">
        <v>0.29325200000000001</v>
      </c>
      <c r="F1411">
        <v>-1</v>
      </c>
      <c r="G1411">
        <v>0.29325200000000001</v>
      </c>
    </row>
    <row r="1412" spans="1:7">
      <c r="A1412" t="s">
        <v>144</v>
      </c>
      <c r="B1412">
        <v>22</v>
      </c>
      <c r="C1412">
        <v>1</v>
      </c>
      <c r="D1412">
        <v>0.29966100000000001</v>
      </c>
      <c r="E1412">
        <v>0.96688700000000005</v>
      </c>
      <c r="F1412">
        <v>-1</v>
      </c>
      <c r="G1412">
        <v>0.96688700000000005</v>
      </c>
    </row>
    <row r="1413" spans="1:7">
      <c r="A1413" t="s">
        <v>144</v>
      </c>
      <c r="B1413">
        <v>22</v>
      </c>
      <c r="C1413">
        <v>2</v>
      </c>
      <c r="D1413">
        <v>0.29966100000000001</v>
      </c>
      <c r="E1413">
        <v>-0.98983699999999997</v>
      </c>
      <c r="F1413">
        <v>-1</v>
      </c>
      <c r="G1413">
        <v>-0.98983699999999997</v>
      </c>
    </row>
    <row r="1414" spans="1:7">
      <c r="A1414" t="s">
        <v>144</v>
      </c>
      <c r="B1414">
        <v>22</v>
      </c>
      <c r="C1414">
        <v>3</v>
      </c>
      <c r="D1414">
        <v>0.29966100000000001</v>
      </c>
      <c r="E1414">
        <v>-0.15604100000000001</v>
      </c>
      <c r="F1414">
        <v>-1</v>
      </c>
      <c r="G1414">
        <v>-0.15604100000000001</v>
      </c>
    </row>
    <row r="1415" spans="1:7">
      <c r="A1415" t="s">
        <v>144</v>
      </c>
      <c r="B1415">
        <v>22</v>
      </c>
      <c r="C1415">
        <v>4</v>
      </c>
      <c r="D1415">
        <v>0.29966100000000001</v>
      </c>
      <c r="E1415">
        <v>-0.13708899999999999</v>
      </c>
      <c r="F1415">
        <v>-1</v>
      </c>
      <c r="G1415">
        <v>-0.13708899999999999</v>
      </c>
    </row>
    <row r="1416" spans="1:7">
      <c r="A1416" t="s">
        <v>144</v>
      </c>
      <c r="B1416">
        <v>22</v>
      </c>
      <c r="C1416">
        <v>5</v>
      </c>
      <c r="D1416">
        <v>0.29966100000000001</v>
      </c>
      <c r="E1416">
        <v>0.96111899999999995</v>
      </c>
      <c r="F1416">
        <v>-1</v>
      </c>
      <c r="G1416">
        <v>0.96111899999999995</v>
      </c>
    </row>
    <row r="1417" spans="1:7">
      <c r="A1417" t="s">
        <v>144</v>
      </c>
      <c r="B1417">
        <v>22</v>
      </c>
      <c r="C1417">
        <v>6</v>
      </c>
      <c r="D1417">
        <v>0.29966100000000001</v>
      </c>
      <c r="E1417">
        <v>-0.98699899999999996</v>
      </c>
      <c r="F1417">
        <v>-1</v>
      </c>
      <c r="G1417">
        <v>-0.98699899999999996</v>
      </c>
    </row>
    <row r="1418" spans="1:7">
      <c r="A1418" t="s">
        <v>144</v>
      </c>
      <c r="B1418">
        <v>22</v>
      </c>
      <c r="C1418">
        <v>7</v>
      </c>
      <c r="D1418">
        <v>0.29966100000000001</v>
      </c>
      <c r="E1418">
        <v>0.64983100000000005</v>
      </c>
      <c r="F1418">
        <v>-1</v>
      </c>
      <c r="G1418">
        <v>0.64983100000000005</v>
      </c>
    </row>
    <row r="1419" spans="1:7">
      <c r="A1419" t="s">
        <v>144</v>
      </c>
      <c r="B1419">
        <v>22</v>
      </c>
      <c r="C1419">
        <v>8</v>
      </c>
      <c r="D1419">
        <v>0.29966100000000001</v>
      </c>
      <c r="E1419">
        <v>0.95803700000000003</v>
      </c>
      <c r="F1419">
        <v>-1</v>
      </c>
      <c r="G1419">
        <v>0.95803700000000003</v>
      </c>
    </row>
    <row r="1420" spans="1:7">
      <c r="A1420" t="s">
        <v>144</v>
      </c>
      <c r="B1420">
        <v>22</v>
      </c>
      <c r="C1420">
        <v>9</v>
      </c>
      <c r="D1420">
        <v>0.29966100000000001</v>
      </c>
      <c r="E1420">
        <v>-6.8331000000000003E-2</v>
      </c>
      <c r="F1420">
        <v>-1</v>
      </c>
      <c r="G1420">
        <v>-6.8331000000000003E-2</v>
      </c>
    </row>
    <row r="1421" spans="1:7">
      <c r="A1421" t="s">
        <v>144</v>
      </c>
      <c r="B1421">
        <v>22</v>
      </c>
      <c r="C1421">
        <v>10</v>
      </c>
      <c r="D1421">
        <v>0.29966100000000001</v>
      </c>
      <c r="E1421">
        <v>0.37723899999999999</v>
      </c>
      <c r="F1421">
        <v>-1</v>
      </c>
      <c r="G1421">
        <v>0.37723899999999999</v>
      </c>
    </row>
    <row r="1422" spans="1:7">
      <c r="A1422" t="s">
        <v>144</v>
      </c>
      <c r="B1422">
        <v>22</v>
      </c>
      <c r="C1422">
        <v>11</v>
      </c>
      <c r="D1422">
        <v>0.29966100000000001</v>
      </c>
      <c r="E1422">
        <v>0.56752199999999997</v>
      </c>
      <c r="F1422">
        <v>-1</v>
      </c>
      <c r="G1422">
        <v>0.56752199999999997</v>
      </c>
    </row>
    <row r="1423" spans="1:7">
      <c r="A1423" t="s">
        <v>144</v>
      </c>
      <c r="B1423">
        <v>22</v>
      </c>
      <c r="C1423">
        <v>12</v>
      </c>
      <c r="D1423">
        <v>0.29966100000000001</v>
      </c>
      <c r="E1423">
        <v>-6.7811999999999997E-2</v>
      </c>
      <c r="F1423">
        <v>-1</v>
      </c>
      <c r="G1423">
        <v>-6.7811999999999997E-2</v>
      </c>
    </row>
    <row r="1424" spans="1:7">
      <c r="A1424" t="s">
        <v>144</v>
      </c>
      <c r="B1424">
        <v>22</v>
      </c>
      <c r="C1424">
        <v>13</v>
      </c>
      <c r="D1424">
        <v>0.29966100000000001</v>
      </c>
      <c r="E1424">
        <v>0.54075700000000004</v>
      </c>
      <c r="F1424">
        <v>-1</v>
      </c>
      <c r="G1424">
        <v>0.54075700000000004</v>
      </c>
    </row>
    <row r="1425" spans="1:7">
      <c r="A1425" t="s">
        <v>144</v>
      </c>
      <c r="B1425">
        <v>22</v>
      </c>
      <c r="C1425">
        <v>14</v>
      </c>
      <c r="D1425">
        <v>0.29966100000000001</v>
      </c>
      <c r="E1425">
        <v>0.43836799999999998</v>
      </c>
      <c r="F1425">
        <v>-1</v>
      </c>
      <c r="G1425">
        <v>0.43836799999999998</v>
      </c>
    </row>
    <row r="1426" spans="1:7">
      <c r="A1426" t="s">
        <v>144</v>
      </c>
      <c r="B1426">
        <v>22</v>
      </c>
      <c r="C1426">
        <v>15</v>
      </c>
      <c r="D1426">
        <v>0.29966100000000001</v>
      </c>
      <c r="E1426">
        <v>0.47926299999999999</v>
      </c>
      <c r="F1426">
        <v>-1</v>
      </c>
      <c r="G1426">
        <v>0.47926299999999999</v>
      </c>
    </row>
    <row r="1427" spans="1:7">
      <c r="A1427" t="s">
        <v>144</v>
      </c>
      <c r="B1427">
        <v>22</v>
      </c>
      <c r="C1427">
        <v>16</v>
      </c>
      <c r="D1427">
        <v>0.29966100000000001</v>
      </c>
      <c r="E1427">
        <v>-0.23072000000000001</v>
      </c>
      <c r="F1427">
        <v>-1</v>
      </c>
      <c r="G1427">
        <v>-0.23072000000000001</v>
      </c>
    </row>
    <row r="1428" spans="1:7">
      <c r="A1428" t="s">
        <v>144</v>
      </c>
      <c r="B1428">
        <v>22</v>
      </c>
      <c r="C1428">
        <v>17</v>
      </c>
      <c r="D1428">
        <v>0.29966100000000001</v>
      </c>
      <c r="E1428">
        <v>0.951048</v>
      </c>
      <c r="F1428">
        <v>-1</v>
      </c>
      <c r="G1428">
        <v>0.951048</v>
      </c>
    </row>
    <row r="1429" spans="1:7">
      <c r="A1429" t="s">
        <v>144</v>
      </c>
      <c r="B1429">
        <v>22</v>
      </c>
      <c r="C1429">
        <v>18</v>
      </c>
      <c r="D1429">
        <v>0.29966100000000001</v>
      </c>
      <c r="E1429">
        <v>0.58204900000000004</v>
      </c>
      <c r="F1429">
        <v>-1</v>
      </c>
      <c r="G1429">
        <v>0.58204900000000004</v>
      </c>
    </row>
    <row r="1430" spans="1:7">
      <c r="A1430" t="s">
        <v>144</v>
      </c>
      <c r="B1430">
        <v>22</v>
      </c>
      <c r="C1430">
        <v>19</v>
      </c>
      <c r="D1430">
        <v>0.29966100000000001</v>
      </c>
      <c r="E1430">
        <v>0.41035199999999999</v>
      </c>
      <c r="F1430">
        <v>-1</v>
      </c>
      <c r="G1430">
        <v>0.41035199999999999</v>
      </c>
    </row>
    <row r="1431" spans="1:7">
      <c r="A1431" t="s">
        <v>144</v>
      </c>
      <c r="B1431">
        <v>22</v>
      </c>
      <c r="C1431">
        <v>20</v>
      </c>
      <c r="D1431">
        <v>0.29966100000000001</v>
      </c>
      <c r="E1431">
        <v>0.55766499999999997</v>
      </c>
      <c r="F1431">
        <v>-1</v>
      </c>
      <c r="G1431">
        <v>0.55766499999999997</v>
      </c>
    </row>
    <row r="1432" spans="1:7">
      <c r="A1432" t="s">
        <v>144</v>
      </c>
      <c r="B1432">
        <v>22</v>
      </c>
      <c r="C1432">
        <v>21</v>
      </c>
      <c r="D1432">
        <v>0.29966100000000001</v>
      </c>
      <c r="E1432">
        <v>-0.24304899999999999</v>
      </c>
      <c r="F1432">
        <v>-1</v>
      </c>
      <c r="G1432">
        <v>-0.24304899999999999</v>
      </c>
    </row>
    <row r="1433" spans="1:7">
      <c r="A1433" t="s">
        <v>144</v>
      </c>
      <c r="B1433">
        <v>22</v>
      </c>
      <c r="C1433">
        <v>22</v>
      </c>
      <c r="D1433">
        <v>0.29966100000000001</v>
      </c>
      <c r="E1433">
        <v>0.81084599999999996</v>
      </c>
      <c r="F1433">
        <v>-1</v>
      </c>
      <c r="G1433">
        <v>0.81084599999999996</v>
      </c>
    </row>
    <row r="1434" spans="1:7">
      <c r="A1434" t="s">
        <v>144</v>
      </c>
      <c r="B1434">
        <v>22</v>
      </c>
      <c r="C1434">
        <v>23</v>
      </c>
      <c r="D1434">
        <v>0.29966100000000001</v>
      </c>
      <c r="E1434">
        <v>0.95471099999999998</v>
      </c>
      <c r="F1434">
        <v>-1</v>
      </c>
      <c r="G1434">
        <v>0.95471099999999998</v>
      </c>
    </row>
    <row r="1435" spans="1:7">
      <c r="A1435" t="s">
        <v>144</v>
      </c>
      <c r="B1435">
        <v>22</v>
      </c>
      <c r="C1435">
        <v>24</v>
      </c>
      <c r="D1435">
        <v>0.29966100000000001</v>
      </c>
      <c r="E1435">
        <v>0.525864</v>
      </c>
      <c r="F1435">
        <v>-1</v>
      </c>
      <c r="G1435">
        <v>0.525864</v>
      </c>
    </row>
    <row r="1436" spans="1:7">
      <c r="A1436" t="s">
        <v>144</v>
      </c>
      <c r="B1436">
        <v>22</v>
      </c>
      <c r="C1436">
        <v>25</v>
      </c>
      <c r="D1436">
        <v>0.29966100000000001</v>
      </c>
      <c r="E1436">
        <v>0.90765099999999999</v>
      </c>
      <c r="F1436">
        <v>-1</v>
      </c>
      <c r="G1436">
        <v>0.90765099999999999</v>
      </c>
    </row>
    <row r="1437" spans="1:7">
      <c r="A1437" t="s">
        <v>144</v>
      </c>
      <c r="B1437">
        <v>22</v>
      </c>
      <c r="C1437">
        <v>26</v>
      </c>
      <c r="D1437">
        <v>0.29966100000000001</v>
      </c>
      <c r="E1437">
        <v>-0.30036299999999999</v>
      </c>
      <c r="F1437">
        <v>-0.40403499999999998</v>
      </c>
      <c r="G1437">
        <v>-0.37296800000000002</v>
      </c>
    </row>
    <row r="1438" spans="1:7">
      <c r="A1438" t="s">
        <v>144</v>
      </c>
      <c r="B1438">
        <v>22</v>
      </c>
      <c r="C1438">
        <v>27</v>
      </c>
      <c r="D1438">
        <v>0.29966100000000001</v>
      </c>
      <c r="E1438">
        <v>-0.51286399999999999</v>
      </c>
      <c r="F1438">
        <v>-0.63377799999999995</v>
      </c>
      <c r="G1438">
        <v>-0.59754499999999999</v>
      </c>
    </row>
    <row r="1439" spans="1:7">
      <c r="A1439" t="s">
        <v>144</v>
      </c>
      <c r="B1439">
        <v>22</v>
      </c>
      <c r="C1439">
        <v>28</v>
      </c>
      <c r="D1439">
        <v>0.29966100000000001</v>
      </c>
      <c r="E1439">
        <v>0.123539</v>
      </c>
      <c r="F1439">
        <v>0.70043</v>
      </c>
      <c r="G1439">
        <v>0.52755799999999997</v>
      </c>
    </row>
    <row r="1440" spans="1:7">
      <c r="A1440" t="s">
        <v>144</v>
      </c>
      <c r="B1440">
        <v>22</v>
      </c>
      <c r="C1440">
        <v>29</v>
      </c>
      <c r="D1440">
        <v>0.29966100000000001</v>
      </c>
      <c r="E1440">
        <v>0.28345599999999999</v>
      </c>
      <c r="F1440">
        <v>-4.5533999999999998E-2</v>
      </c>
      <c r="G1440">
        <v>5.3052000000000002E-2</v>
      </c>
    </row>
    <row r="1441" spans="1:7">
      <c r="A1441" t="s">
        <v>144</v>
      </c>
      <c r="B1441">
        <v>22</v>
      </c>
      <c r="C1441">
        <v>30</v>
      </c>
      <c r="D1441">
        <v>0.29966100000000001</v>
      </c>
      <c r="E1441">
        <v>-0.106235</v>
      </c>
      <c r="F1441">
        <v>-0.643513</v>
      </c>
      <c r="G1441">
        <v>-0.482512</v>
      </c>
    </row>
    <row r="1442" spans="1:7">
      <c r="A1442" t="s">
        <v>144</v>
      </c>
      <c r="B1442">
        <v>22</v>
      </c>
      <c r="C1442">
        <v>31</v>
      </c>
      <c r="D1442">
        <v>0.29966100000000001</v>
      </c>
      <c r="E1442">
        <v>0.65547699999999998</v>
      </c>
      <c r="F1442">
        <v>-0.51957799999999998</v>
      </c>
      <c r="G1442">
        <v>-0.167459</v>
      </c>
    </row>
    <row r="1443" spans="1:7">
      <c r="A1443" t="s">
        <v>144</v>
      </c>
      <c r="B1443">
        <v>22</v>
      </c>
      <c r="C1443">
        <v>32</v>
      </c>
      <c r="D1443">
        <v>0.29966100000000001</v>
      </c>
      <c r="E1443">
        <v>-0.11920500000000001</v>
      </c>
      <c r="F1443">
        <v>-0.45002599999999998</v>
      </c>
      <c r="G1443">
        <v>-0.35089199999999998</v>
      </c>
    </row>
    <row r="1444" spans="1:7">
      <c r="A1444" t="s">
        <v>144</v>
      </c>
      <c r="B1444">
        <v>22</v>
      </c>
      <c r="C1444">
        <v>33</v>
      </c>
      <c r="D1444">
        <v>0.29966100000000001</v>
      </c>
      <c r="E1444">
        <v>-0.98269600000000001</v>
      </c>
      <c r="F1444">
        <v>0.61680999999999997</v>
      </c>
      <c r="G1444">
        <v>0.13750000000000001</v>
      </c>
    </row>
    <row r="1445" spans="1:7">
      <c r="A1445" t="s">
        <v>144</v>
      </c>
      <c r="B1445">
        <v>22</v>
      </c>
      <c r="C1445">
        <v>34</v>
      </c>
      <c r="D1445">
        <v>0.29966100000000001</v>
      </c>
      <c r="E1445">
        <v>-0.99606300000000003</v>
      </c>
      <c r="F1445">
        <v>0.66148899999999999</v>
      </c>
      <c r="G1445">
        <v>0.16478499999999999</v>
      </c>
    </row>
    <row r="1446" spans="1:7">
      <c r="A1446" t="s">
        <v>144</v>
      </c>
      <c r="B1446">
        <v>22</v>
      </c>
      <c r="C1446">
        <v>35</v>
      </c>
      <c r="D1446">
        <v>0.29966100000000001</v>
      </c>
      <c r="E1446">
        <v>0.61149900000000001</v>
      </c>
      <c r="F1446">
        <v>-0.64925100000000002</v>
      </c>
      <c r="G1446">
        <v>-0.271453</v>
      </c>
    </row>
    <row r="1447" spans="1:7">
      <c r="A1447" t="s">
        <v>144</v>
      </c>
      <c r="B1447">
        <v>22</v>
      </c>
      <c r="C1447">
        <v>36</v>
      </c>
      <c r="D1447">
        <v>0.29966100000000001</v>
      </c>
      <c r="E1447">
        <v>0.456374</v>
      </c>
      <c r="F1447">
        <v>-3.2440999999999998E-2</v>
      </c>
      <c r="G1447">
        <v>0.114038</v>
      </c>
    </row>
    <row r="1448" spans="1:7">
      <c r="A1448" t="s">
        <v>144</v>
      </c>
      <c r="B1448">
        <v>22</v>
      </c>
      <c r="C1448">
        <v>37</v>
      </c>
      <c r="D1448">
        <v>0.29966100000000001</v>
      </c>
      <c r="E1448">
        <v>-0.44190800000000002</v>
      </c>
      <c r="F1448">
        <v>0.92483300000000002</v>
      </c>
      <c r="G1448">
        <v>0.51527400000000001</v>
      </c>
    </row>
    <row r="1449" spans="1:7">
      <c r="A1449" t="s">
        <v>144</v>
      </c>
      <c r="B1449">
        <v>22</v>
      </c>
      <c r="C1449">
        <v>38</v>
      </c>
      <c r="D1449">
        <v>0.29966100000000001</v>
      </c>
      <c r="E1449">
        <v>0.406476</v>
      </c>
      <c r="F1449">
        <v>0.98336699999999999</v>
      </c>
      <c r="G1449">
        <v>0.81049499999999997</v>
      </c>
    </row>
    <row r="1450" spans="1:7">
      <c r="A1450" t="s">
        <v>144</v>
      </c>
      <c r="B1450">
        <v>22</v>
      </c>
      <c r="C1450">
        <v>39</v>
      </c>
      <c r="D1450">
        <v>0.29966100000000001</v>
      </c>
      <c r="E1450">
        <v>0.88149699999999998</v>
      </c>
      <c r="F1450">
        <v>-7.2054000000000007E-2</v>
      </c>
      <c r="G1450">
        <v>0.21368799999999999</v>
      </c>
    </row>
    <row r="1451" spans="1:7">
      <c r="A1451" t="s">
        <v>144</v>
      </c>
      <c r="B1451">
        <v>22</v>
      </c>
      <c r="C1451">
        <v>40</v>
      </c>
      <c r="D1451">
        <v>0.29966100000000001</v>
      </c>
      <c r="E1451">
        <v>0.77291200000000004</v>
      </c>
      <c r="F1451">
        <v>0.773949</v>
      </c>
      <c r="G1451">
        <v>0.77363800000000005</v>
      </c>
    </row>
    <row r="1452" spans="1:7">
      <c r="A1452" t="s">
        <v>144</v>
      </c>
      <c r="B1452">
        <v>22</v>
      </c>
      <c r="C1452">
        <v>41</v>
      </c>
      <c r="D1452">
        <v>0.29966100000000001</v>
      </c>
      <c r="E1452">
        <v>-0.59776600000000002</v>
      </c>
      <c r="F1452">
        <v>-0.85143599999999997</v>
      </c>
      <c r="G1452">
        <v>-0.77542100000000003</v>
      </c>
    </row>
    <row r="1453" spans="1:7">
      <c r="A1453" t="s">
        <v>144</v>
      </c>
      <c r="B1453">
        <v>22</v>
      </c>
      <c r="C1453">
        <v>42</v>
      </c>
      <c r="D1453">
        <v>0.29966100000000001</v>
      </c>
      <c r="E1453">
        <v>-0.52537599999999995</v>
      </c>
      <c r="F1453">
        <v>-5.3651999999999998E-2</v>
      </c>
      <c r="G1453">
        <v>-0.19500899999999999</v>
      </c>
    </row>
    <row r="1454" spans="1:7">
      <c r="A1454" t="s">
        <v>144</v>
      </c>
      <c r="B1454">
        <v>22</v>
      </c>
      <c r="C1454">
        <v>43</v>
      </c>
      <c r="D1454">
        <v>0.29966100000000001</v>
      </c>
      <c r="E1454">
        <v>-0.97595100000000001</v>
      </c>
      <c r="F1454">
        <v>-0.35892800000000002</v>
      </c>
      <c r="G1454">
        <v>-0.54382600000000003</v>
      </c>
    </row>
    <row r="1455" spans="1:7">
      <c r="A1455" t="s">
        <v>144</v>
      </c>
      <c r="B1455">
        <v>22</v>
      </c>
      <c r="C1455">
        <v>44</v>
      </c>
      <c r="D1455">
        <v>0.29966100000000001</v>
      </c>
      <c r="E1455">
        <v>4.5747000000000003E-2</v>
      </c>
      <c r="F1455">
        <v>0.94531100000000001</v>
      </c>
      <c r="G1455">
        <v>0.67574699999999999</v>
      </c>
    </row>
    <row r="1456" spans="1:7">
      <c r="A1456" t="s">
        <v>144</v>
      </c>
      <c r="B1456">
        <v>22</v>
      </c>
      <c r="C1456">
        <v>45</v>
      </c>
      <c r="D1456">
        <v>0.29966100000000001</v>
      </c>
      <c r="E1456">
        <v>-0.68782600000000005</v>
      </c>
      <c r="F1456">
        <v>2.8625999999999999E-2</v>
      </c>
      <c r="G1456">
        <v>-0.18606700000000001</v>
      </c>
    </row>
    <row r="1457" spans="1:7">
      <c r="A1457" t="s">
        <v>144</v>
      </c>
      <c r="B1457">
        <v>22</v>
      </c>
      <c r="C1457">
        <v>46</v>
      </c>
      <c r="D1457">
        <v>0.29966100000000001</v>
      </c>
      <c r="E1457">
        <v>0.49864199999999997</v>
      </c>
      <c r="F1457">
        <v>-0.31800299999999998</v>
      </c>
      <c r="G1457">
        <v>-7.3286000000000004E-2</v>
      </c>
    </row>
    <row r="1458" spans="1:7">
      <c r="A1458" t="s">
        <v>144</v>
      </c>
      <c r="B1458">
        <v>22</v>
      </c>
      <c r="C1458">
        <v>47</v>
      </c>
      <c r="D1458">
        <v>0.29966100000000001</v>
      </c>
      <c r="E1458">
        <v>0.27842</v>
      </c>
      <c r="F1458">
        <v>0.34055600000000003</v>
      </c>
      <c r="G1458">
        <v>0.321936</v>
      </c>
    </row>
    <row r="1459" spans="1:7">
      <c r="A1459" t="s">
        <v>144</v>
      </c>
      <c r="B1459">
        <v>22</v>
      </c>
      <c r="C1459">
        <v>48</v>
      </c>
      <c r="D1459">
        <v>0.29966100000000001</v>
      </c>
      <c r="E1459">
        <v>-0.36036299999999999</v>
      </c>
      <c r="F1459">
        <v>-0.40620099999999998</v>
      </c>
      <c r="G1459">
        <v>-0.39246500000000001</v>
      </c>
    </row>
    <row r="1460" spans="1:7">
      <c r="A1460" t="s">
        <v>144</v>
      </c>
      <c r="B1460">
        <v>22</v>
      </c>
      <c r="C1460">
        <v>49</v>
      </c>
      <c r="D1460">
        <v>0.29966100000000001</v>
      </c>
      <c r="E1460">
        <v>0.17630499999999999</v>
      </c>
      <c r="F1460">
        <v>0.63936300000000001</v>
      </c>
      <c r="G1460">
        <v>0.50060199999999999</v>
      </c>
    </row>
    <row r="1461" spans="1:7">
      <c r="A1461" t="s">
        <v>144</v>
      </c>
      <c r="B1461" t="s">
        <v>145</v>
      </c>
      <c r="C1461">
        <v>23</v>
      </c>
    </row>
    <row r="1462" spans="1:7">
      <c r="A1462" t="s">
        <v>144</v>
      </c>
      <c r="B1462" t="s">
        <v>146</v>
      </c>
      <c r="C1462">
        <v>93</v>
      </c>
    </row>
    <row r="1463" spans="1:7">
      <c r="A1463" t="s">
        <v>144</v>
      </c>
      <c r="B1463" t="s">
        <v>147</v>
      </c>
      <c r="C1463">
        <v>93</v>
      </c>
    </row>
    <row r="1464" spans="1:7">
      <c r="A1464" t="s">
        <v>144</v>
      </c>
      <c r="B1464" t="s">
        <v>148</v>
      </c>
      <c r="C1464">
        <v>0.45905899999999999</v>
      </c>
    </row>
    <row r="1465" spans="1:7">
      <c r="A1465" t="s">
        <v>144</v>
      </c>
      <c r="B1465" t="s">
        <v>149</v>
      </c>
      <c r="C1465">
        <v>0.45905899999999999</v>
      </c>
    </row>
    <row r="1466" spans="1:7">
      <c r="A1466" t="s">
        <v>144</v>
      </c>
      <c r="B1466" t="s">
        <v>150</v>
      </c>
      <c r="C1466">
        <v>-1</v>
      </c>
    </row>
    <row r="1467" spans="1:7">
      <c r="A1467" t="s">
        <v>144</v>
      </c>
      <c r="B1467" t="s">
        <v>151</v>
      </c>
      <c r="C1467">
        <v>-1</v>
      </c>
    </row>
    <row r="1468" spans="1:7">
      <c r="A1468" t="s">
        <v>144</v>
      </c>
      <c r="B1468" t="s">
        <v>152</v>
      </c>
      <c r="C1468">
        <v>24</v>
      </c>
    </row>
    <row r="1469" spans="1:7">
      <c r="A1469" t="s">
        <v>144</v>
      </c>
      <c r="B1469" t="s">
        <v>153</v>
      </c>
      <c r="C1469">
        <v>24</v>
      </c>
    </row>
    <row r="1470" spans="1:7">
      <c r="A1470" t="s">
        <v>144</v>
      </c>
      <c r="B1470" t="s">
        <v>154</v>
      </c>
      <c r="C1470">
        <v>0</v>
      </c>
    </row>
    <row r="1471" spans="1:7">
      <c r="A1471" t="s">
        <v>144</v>
      </c>
      <c r="B1471" t="s">
        <v>155</v>
      </c>
    </row>
    <row r="1472" spans="1:7">
      <c r="A1472" t="s">
        <v>144</v>
      </c>
      <c r="B1472" t="s">
        <v>150</v>
      </c>
      <c r="C1472">
        <v>0.28772900000000001</v>
      </c>
    </row>
    <row r="1473" spans="1:7">
      <c r="A1473" t="s">
        <v>144</v>
      </c>
      <c r="B1473" t="s">
        <v>151</v>
      </c>
      <c r="C1473">
        <v>0.28772900000000001</v>
      </c>
    </row>
    <row r="1474" spans="1:7">
      <c r="A1474" t="s">
        <v>144</v>
      </c>
      <c r="B1474" t="s">
        <v>156</v>
      </c>
      <c r="C1474" t="s">
        <v>157</v>
      </c>
      <c r="D1474" t="s">
        <v>63</v>
      </c>
      <c r="E1474" t="s">
        <v>158</v>
      </c>
      <c r="F1474" t="s">
        <v>159</v>
      </c>
      <c r="G1474" t="s">
        <v>160</v>
      </c>
    </row>
    <row r="1475" spans="1:7">
      <c r="A1475" t="s">
        <v>144</v>
      </c>
      <c r="B1475">
        <v>23</v>
      </c>
      <c r="C1475">
        <v>0</v>
      </c>
      <c r="D1475">
        <v>0.28772900000000001</v>
      </c>
      <c r="E1475">
        <v>-0.108158</v>
      </c>
      <c r="F1475">
        <v>-1</v>
      </c>
      <c r="G1475">
        <v>-0.108158</v>
      </c>
    </row>
    <row r="1476" spans="1:7">
      <c r="A1476" t="s">
        <v>144</v>
      </c>
      <c r="B1476">
        <v>23</v>
      </c>
      <c r="C1476">
        <v>1</v>
      </c>
      <c r="D1476">
        <v>0.28772900000000001</v>
      </c>
      <c r="E1476">
        <v>-0.32804299999999997</v>
      </c>
      <c r="F1476">
        <v>-1</v>
      </c>
      <c r="G1476">
        <v>-0.32804299999999997</v>
      </c>
    </row>
    <row r="1477" spans="1:7">
      <c r="A1477" t="s">
        <v>144</v>
      </c>
      <c r="B1477">
        <v>23</v>
      </c>
      <c r="C1477">
        <v>2</v>
      </c>
      <c r="D1477">
        <v>0.28772900000000001</v>
      </c>
      <c r="E1477">
        <v>-0.96826100000000004</v>
      </c>
      <c r="F1477">
        <v>-1</v>
      </c>
      <c r="G1477">
        <v>-0.96826100000000004</v>
      </c>
    </row>
    <row r="1478" spans="1:7">
      <c r="A1478" t="s">
        <v>144</v>
      </c>
      <c r="B1478">
        <v>23</v>
      </c>
      <c r="C1478">
        <v>3</v>
      </c>
      <c r="D1478">
        <v>0.28772900000000001</v>
      </c>
      <c r="E1478">
        <v>0.87252399999999997</v>
      </c>
      <c r="F1478">
        <v>-1</v>
      </c>
      <c r="G1478">
        <v>0.87252399999999997</v>
      </c>
    </row>
    <row r="1479" spans="1:7">
      <c r="A1479" t="s">
        <v>144</v>
      </c>
      <c r="B1479">
        <v>23</v>
      </c>
      <c r="C1479">
        <v>4</v>
      </c>
      <c r="D1479">
        <v>0.28772900000000001</v>
      </c>
      <c r="E1479">
        <v>1.6265999999999999E-2</v>
      </c>
      <c r="F1479">
        <v>-1</v>
      </c>
      <c r="G1479">
        <v>1.6265999999999999E-2</v>
      </c>
    </row>
    <row r="1480" spans="1:7">
      <c r="A1480" t="s">
        <v>144</v>
      </c>
      <c r="B1480">
        <v>23</v>
      </c>
      <c r="C1480">
        <v>5</v>
      </c>
      <c r="D1480">
        <v>0.28772900000000001</v>
      </c>
      <c r="E1480">
        <v>-0.86129299999999998</v>
      </c>
      <c r="F1480">
        <v>-1</v>
      </c>
      <c r="G1480">
        <v>-0.86129299999999998</v>
      </c>
    </row>
    <row r="1481" spans="1:7">
      <c r="A1481" t="s">
        <v>144</v>
      </c>
      <c r="B1481">
        <v>23</v>
      </c>
      <c r="C1481">
        <v>6</v>
      </c>
      <c r="D1481">
        <v>0.28772900000000001</v>
      </c>
      <c r="E1481">
        <v>0.96279800000000004</v>
      </c>
      <c r="F1481">
        <v>-1</v>
      </c>
      <c r="G1481">
        <v>0.96279800000000004</v>
      </c>
    </row>
    <row r="1482" spans="1:7">
      <c r="A1482" t="s">
        <v>144</v>
      </c>
      <c r="B1482">
        <v>23</v>
      </c>
      <c r="C1482">
        <v>7</v>
      </c>
      <c r="D1482">
        <v>0.28772900000000001</v>
      </c>
      <c r="E1482">
        <v>0.15884899999999999</v>
      </c>
      <c r="F1482">
        <v>-1</v>
      </c>
      <c r="G1482">
        <v>0.15884899999999999</v>
      </c>
    </row>
    <row r="1483" spans="1:7">
      <c r="A1483" t="s">
        <v>144</v>
      </c>
      <c r="B1483">
        <v>23</v>
      </c>
      <c r="C1483">
        <v>8</v>
      </c>
      <c r="D1483">
        <v>0.28772900000000001</v>
      </c>
      <c r="E1483">
        <v>-0.81560699999999997</v>
      </c>
      <c r="F1483">
        <v>-1</v>
      </c>
      <c r="G1483">
        <v>-0.81560699999999997</v>
      </c>
    </row>
    <row r="1484" spans="1:7">
      <c r="A1484" t="s">
        <v>144</v>
      </c>
      <c r="B1484">
        <v>23</v>
      </c>
      <c r="C1484">
        <v>9</v>
      </c>
      <c r="D1484">
        <v>0.28772900000000001</v>
      </c>
      <c r="E1484">
        <v>-0.883602</v>
      </c>
      <c r="F1484">
        <v>-1</v>
      </c>
      <c r="G1484">
        <v>-0.883602</v>
      </c>
    </row>
    <row r="1485" spans="1:7">
      <c r="A1485" t="s">
        <v>144</v>
      </c>
      <c r="B1485">
        <v>23</v>
      </c>
      <c r="C1485">
        <v>10</v>
      </c>
      <c r="D1485">
        <v>0.28772900000000001</v>
      </c>
      <c r="E1485">
        <v>-7.0925000000000002E-2</v>
      </c>
      <c r="F1485">
        <v>-1</v>
      </c>
      <c r="G1485">
        <v>-7.0925000000000002E-2</v>
      </c>
    </row>
    <row r="1486" spans="1:7">
      <c r="A1486" t="s">
        <v>144</v>
      </c>
      <c r="B1486">
        <v>23</v>
      </c>
      <c r="C1486">
        <v>11</v>
      </c>
      <c r="D1486">
        <v>0.28772900000000001</v>
      </c>
      <c r="E1486">
        <v>0.37717800000000001</v>
      </c>
      <c r="F1486">
        <v>-1</v>
      </c>
      <c r="G1486">
        <v>0.37717800000000001</v>
      </c>
    </row>
    <row r="1487" spans="1:7">
      <c r="A1487" t="s">
        <v>144</v>
      </c>
      <c r="B1487">
        <v>23</v>
      </c>
      <c r="C1487">
        <v>12</v>
      </c>
      <c r="D1487">
        <v>0.28772900000000001</v>
      </c>
      <c r="E1487">
        <v>-0.68755100000000002</v>
      </c>
      <c r="F1487">
        <v>-1</v>
      </c>
      <c r="G1487">
        <v>-0.68755100000000002</v>
      </c>
    </row>
    <row r="1488" spans="1:7">
      <c r="A1488" t="s">
        <v>144</v>
      </c>
      <c r="B1488">
        <v>23</v>
      </c>
      <c r="C1488">
        <v>13</v>
      </c>
      <c r="D1488">
        <v>0.28772900000000001</v>
      </c>
      <c r="E1488">
        <v>0.22272400000000001</v>
      </c>
      <c r="F1488">
        <v>-1</v>
      </c>
      <c r="G1488">
        <v>0.22272400000000001</v>
      </c>
    </row>
    <row r="1489" spans="1:7">
      <c r="A1489" t="s">
        <v>144</v>
      </c>
      <c r="B1489">
        <v>23</v>
      </c>
      <c r="C1489">
        <v>14</v>
      </c>
      <c r="D1489">
        <v>0.28772900000000001</v>
      </c>
      <c r="E1489">
        <v>-0.50053400000000003</v>
      </c>
      <c r="F1489">
        <v>-1</v>
      </c>
      <c r="G1489">
        <v>-0.50053400000000003</v>
      </c>
    </row>
    <row r="1490" spans="1:7">
      <c r="A1490" t="s">
        <v>144</v>
      </c>
      <c r="B1490">
        <v>23</v>
      </c>
      <c r="C1490">
        <v>15</v>
      </c>
      <c r="D1490">
        <v>0.28772900000000001</v>
      </c>
      <c r="E1490">
        <v>0.218116</v>
      </c>
      <c r="F1490">
        <v>-1</v>
      </c>
      <c r="G1490">
        <v>0.218116</v>
      </c>
    </row>
    <row r="1491" spans="1:7">
      <c r="A1491" t="s">
        <v>144</v>
      </c>
      <c r="B1491">
        <v>23</v>
      </c>
      <c r="C1491">
        <v>16</v>
      </c>
      <c r="D1491">
        <v>0.28772900000000001</v>
      </c>
      <c r="E1491">
        <v>-0.230598</v>
      </c>
      <c r="F1491">
        <v>-1</v>
      </c>
      <c r="G1491">
        <v>-0.230598</v>
      </c>
    </row>
    <row r="1492" spans="1:7">
      <c r="A1492" t="s">
        <v>144</v>
      </c>
      <c r="B1492">
        <v>23</v>
      </c>
      <c r="C1492">
        <v>17</v>
      </c>
      <c r="D1492">
        <v>0.28772900000000001</v>
      </c>
      <c r="E1492">
        <v>0.71050100000000005</v>
      </c>
      <c r="F1492">
        <v>-1</v>
      </c>
      <c r="G1492">
        <v>0.71050100000000005</v>
      </c>
    </row>
    <row r="1493" spans="1:7">
      <c r="A1493" t="s">
        <v>144</v>
      </c>
      <c r="B1493">
        <v>23</v>
      </c>
      <c r="C1493">
        <v>18</v>
      </c>
      <c r="D1493">
        <v>0.28772900000000001</v>
      </c>
      <c r="E1493">
        <v>-0.74562799999999996</v>
      </c>
      <c r="F1493">
        <v>-1</v>
      </c>
      <c r="G1493">
        <v>-0.74562799999999996</v>
      </c>
    </row>
    <row r="1494" spans="1:7">
      <c r="A1494" t="s">
        <v>144</v>
      </c>
      <c r="B1494">
        <v>23</v>
      </c>
      <c r="C1494">
        <v>19</v>
      </c>
      <c r="D1494">
        <v>0.28772900000000001</v>
      </c>
      <c r="E1494">
        <v>0.19858400000000001</v>
      </c>
      <c r="F1494">
        <v>-1</v>
      </c>
      <c r="G1494">
        <v>0.19858400000000001</v>
      </c>
    </row>
    <row r="1495" spans="1:7">
      <c r="A1495" t="s">
        <v>144</v>
      </c>
      <c r="B1495">
        <v>23</v>
      </c>
      <c r="C1495">
        <v>20</v>
      </c>
      <c r="D1495">
        <v>0.28772900000000001</v>
      </c>
      <c r="E1495">
        <v>0.72994199999999998</v>
      </c>
      <c r="F1495">
        <v>-1</v>
      </c>
      <c r="G1495">
        <v>0.72994199999999998</v>
      </c>
    </row>
    <row r="1496" spans="1:7">
      <c r="A1496" t="s">
        <v>144</v>
      </c>
      <c r="B1496">
        <v>23</v>
      </c>
      <c r="C1496">
        <v>21</v>
      </c>
      <c r="D1496">
        <v>0.28772900000000001</v>
      </c>
      <c r="E1496">
        <v>0.60853900000000005</v>
      </c>
      <c r="F1496">
        <v>-1</v>
      </c>
      <c r="G1496">
        <v>0.60853900000000005</v>
      </c>
    </row>
    <row r="1497" spans="1:7">
      <c r="A1497" t="s">
        <v>144</v>
      </c>
      <c r="B1497">
        <v>23</v>
      </c>
      <c r="C1497">
        <v>22</v>
      </c>
      <c r="D1497">
        <v>0.28772900000000001</v>
      </c>
      <c r="E1497">
        <v>0.41856100000000002</v>
      </c>
      <c r="F1497">
        <v>-1</v>
      </c>
      <c r="G1497">
        <v>0.41856100000000002</v>
      </c>
    </row>
    <row r="1498" spans="1:7">
      <c r="A1498" t="s">
        <v>144</v>
      </c>
      <c r="B1498">
        <v>23</v>
      </c>
      <c r="C1498">
        <v>23</v>
      </c>
      <c r="D1498">
        <v>0.28772900000000001</v>
      </c>
      <c r="E1498">
        <v>-0.15006</v>
      </c>
      <c r="F1498">
        <v>-1</v>
      </c>
      <c r="G1498">
        <v>-0.15006</v>
      </c>
    </row>
    <row r="1499" spans="1:7">
      <c r="A1499" t="s">
        <v>144</v>
      </c>
      <c r="B1499">
        <v>23</v>
      </c>
      <c r="C1499">
        <v>24</v>
      </c>
      <c r="D1499">
        <v>0.28772900000000001</v>
      </c>
      <c r="E1499">
        <v>0.55183599999999999</v>
      </c>
      <c r="F1499">
        <v>-0.40967999999999999</v>
      </c>
      <c r="G1499">
        <v>-0.133025</v>
      </c>
    </row>
    <row r="1500" spans="1:7">
      <c r="A1500" t="s">
        <v>144</v>
      </c>
      <c r="B1500">
        <v>23</v>
      </c>
      <c r="C1500">
        <v>25</v>
      </c>
      <c r="D1500">
        <v>0.28772900000000001</v>
      </c>
      <c r="E1500">
        <v>-0.159001</v>
      </c>
      <c r="F1500">
        <v>-0.67891500000000005</v>
      </c>
      <c r="G1500">
        <v>-0.52932100000000004</v>
      </c>
    </row>
    <row r="1501" spans="1:7">
      <c r="A1501" t="s">
        <v>144</v>
      </c>
      <c r="B1501">
        <v>23</v>
      </c>
      <c r="C1501">
        <v>26</v>
      </c>
      <c r="D1501">
        <v>0.28772900000000001</v>
      </c>
      <c r="E1501">
        <v>-0.207007</v>
      </c>
      <c r="F1501">
        <v>-0.470443</v>
      </c>
      <c r="G1501">
        <v>-0.39464500000000002</v>
      </c>
    </row>
    <row r="1502" spans="1:7">
      <c r="A1502" t="s">
        <v>144</v>
      </c>
      <c r="B1502">
        <v>23</v>
      </c>
      <c r="C1502">
        <v>27</v>
      </c>
      <c r="D1502">
        <v>0.28772900000000001</v>
      </c>
      <c r="E1502">
        <v>-0.83199599999999996</v>
      </c>
      <c r="F1502">
        <v>0.97671399999999997</v>
      </c>
      <c r="G1502">
        <v>0.45629700000000001</v>
      </c>
    </row>
    <row r="1503" spans="1:7">
      <c r="A1503" t="s">
        <v>144</v>
      </c>
      <c r="B1503">
        <v>23</v>
      </c>
      <c r="C1503">
        <v>28</v>
      </c>
      <c r="D1503">
        <v>0.28772900000000001</v>
      </c>
      <c r="E1503">
        <v>-0.66332000000000002</v>
      </c>
      <c r="F1503">
        <v>0.57280200000000003</v>
      </c>
      <c r="G1503">
        <v>0.21713399999999999</v>
      </c>
    </row>
    <row r="1504" spans="1:7">
      <c r="A1504" t="s">
        <v>144</v>
      </c>
      <c r="B1504">
        <v>23</v>
      </c>
      <c r="C1504">
        <v>29</v>
      </c>
      <c r="D1504">
        <v>0.28772900000000001</v>
      </c>
      <c r="E1504">
        <v>-0.26050600000000002</v>
      </c>
      <c r="F1504">
        <v>0.67299399999999998</v>
      </c>
      <c r="G1504">
        <v>0.40439999999999998</v>
      </c>
    </row>
    <row r="1505" spans="1:7">
      <c r="A1505" t="s">
        <v>144</v>
      </c>
      <c r="B1505">
        <v>23</v>
      </c>
      <c r="C1505">
        <v>30</v>
      </c>
      <c r="D1505">
        <v>0.28772900000000001</v>
      </c>
      <c r="E1505">
        <v>-0.95605300000000004</v>
      </c>
      <c r="F1505">
        <v>0.60429699999999997</v>
      </c>
      <c r="G1505">
        <v>0.15534000000000001</v>
      </c>
    </row>
    <row r="1506" spans="1:7">
      <c r="A1506" t="s">
        <v>144</v>
      </c>
      <c r="B1506">
        <v>23</v>
      </c>
      <c r="C1506">
        <v>31</v>
      </c>
      <c r="D1506">
        <v>0.28772900000000001</v>
      </c>
      <c r="E1506">
        <v>-0.66975899999999999</v>
      </c>
      <c r="F1506">
        <v>-0.94436500000000001</v>
      </c>
      <c r="G1506">
        <v>-0.86535300000000004</v>
      </c>
    </row>
    <row r="1507" spans="1:7">
      <c r="A1507" t="s">
        <v>144</v>
      </c>
      <c r="B1507">
        <v>23</v>
      </c>
      <c r="C1507">
        <v>32</v>
      </c>
      <c r="D1507">
        <v>0.28772900000000001</v>
      </c>
      <c r="E1507">
        <v>-0.27668100000000001</v>
      </c>
      <c r="F1507">
        <v>-0.85116099999999995</v>
      </c>
      <c r="G1507">
        <v>-0.685867</v>
      </c>
    </row>
    <row r="1508" spans="1:7">
      <c r="A1508" t="s">
        <v>144</v>
      </c>
      <c r="B1508">
        <v>23</v>
      </c>
      <c r="C1508">
        <v>33</v>
      </c>
      <c r="D1508">
        <v>0.28772900000000001</v>
      </c>
      <c r="E1508">
        <v>-0.26877699999999999</v>
      </c>
      <c r="F1508">
        <v>0.63325900000000002</v>
      </c>
      <c r="G1508">
        <v>0.37371799999999999</v>
      </c>
    </row>
    <row r="1509" spans="1:7">
      <c r="A1509" t="s">
        <v>144</v>
      </c>
      <c r="B1509">
        <v>23</v>
      </c>
      <c r="C1509">
        <v>34</v>
      </c>
      <c r="D1509">
        <v>0.28772900000000001</v>
      </c>
      <c r="E1509">
        <v>-0.874996</v>
      </c>
      <c r="F1509">
        <v>0.29471700000000001</v>
      </c>
      <c r="G1509">
        <v>-4.1842999999999998E-2</v>
      </c>
    </row>
    <row r="1510" spans="1:7">
      <c r="A1510" t="s">
        <v>144</v>
      </c>
      <c r="B1510">
        <v>23</v>
      </c>
      <c r="C1510">
        <v>35</v>
      </c>
      <c r="D1510">
        <v>0.28772900000000001</v>
      </c>
      <c r="E1510">
        <v>0.61836599999999997</v>
      </c>
      <c r="F1510">
        <v>-0.16650899999999999</v>
      </c>
      <c r="G1510">
        <v>5.9322E-2</v>
      </c>
    </row>
    <row r="1511" spans="1:7">
      <c r="A1511" t="s">
        <v>144</v>
      </c>
      <c r="B1511">
        <v>23</v>
      </c>
      <c r="C1511">
        <v>36</v>
      </c>
      <c r="D1511">
        <v>0.28772900000000001</v>
      </c>
      <c r="E1511">
        <v>-0.61897599999999997</v>
      </c>
      <c r="F1511">
        <v>0.128666</v>
      </c>
      <c r="G1511">
        <v>-8.6452000000000001E-2</v>
      </c>
    </row>
    <row r="1512" spans="1:7">
      <c r="A1512" t="s">
        <v>144</v>
      </c>
      <c r="B1512">
        <v>23</v>
      </c>
      <c r="C1512">
        <v>37</v>
      </c>
      <c r="D1512">
        <v>0.28772900000000001</v>
      </c>
      <c r="E1512">
        <v>-0.92251300000000003</v>
      </c>
      <c r="F1512">
        <v>0.46018900000000001</v>
      </c>
      <c r="G1512">
        <v>6.2345999999999999E-2</v>
      </c>
    </row>
    <row r="1513" spans="1:7">
      <c r="A1513" t="s">
        <v>144</v>
      </c>
      <c r="B1513">
        <v>23</v>
      </c>
      <c r="C1513">
        <v>38</v>
      </c>
      <c r="D1513">
        <v>0.28772900000000001</v>
      </c>
      <c r="E1513">
        <v>0.86971600000000004</v>
      </c>
      <c r="F1513">
        <v>-0.15323300000000001</v>
      </c>
      <c r="G1513">
        <v>0.141098</v>
      </c>
    </row>
    <row r="1514" spans="1:7">
      <c r="A1514" t="s">
        <v>144</v>
      </c>
      <c r="B1514">
        <v>23</v>
      </c>
      <c r="C1514">
        <v>39</v>
      </c>
      <c r="D1514">
        <v>0.28772900000000001</v>
      </c>
      <c r="E1514">
        <v>0.150334</v>
      </c>
      <c r="F1514">
        <v>0.71706300000000001</v>
      </c>
      <c r="G1514">
        <v>0.55399900000000002</v>
      </c>
    </row>
    <row r="1515" spans="1:7">
      <c r="A1515" t="s">
        <v>144</v>
      </c>
      <c r="B1515">
        <v>23</v>
      </c>
      <c r="C1515">
        <v>40</v>
      </c>
      <c r="D1515">
        <v>0.28772900000000001</v>
      </c>
      <c r="E1515">
        <v>-0.82653299999999996</v>
      </c>
      <c r="F1515">
        <v>-0.20246</v>
      </c>
      <c r="G1515">
        <v>-0.382023</v>
      </c>
    </row>
    <row r="1516" spans="1:7">
      <c r="A1516" t="s">
        <v>144</v>
      </c>
      <c r="B1516">
        <v>23</v>
      </c>
      <c r="C1516">
        <v>41</v>
      </c>
      <c r="D1516">
        <v>0.28772900000000001</v>
      </c>
      <c r="E1516">
        <v>0.39402399999999999</v>
      </c>
      <c r="F1516">
        <v>0.52302599999999999</v>
      </c>
      <c r="G1516">
        <v>0.48590899999999998</v>
      </c>
    </row>
    <row r="1517" spans="1:7">
      <c r="A1517" t="s">
        <v>144</v>
      </c>
      <c r="B1517">
        <v>23</v>
      </c>
      <c r="C1517">
        <v>42</v>
      </c>
      <c r="D1517">
        <v>0.28772900000000001</v>
      </c>
      <c r="E1517">
        <v>0.99945099999999998</v>
      </c>
      <c r="F1517">
        <v>-0.26114700000000002</v>
      </c>
      <c r="G1517">
        <v>0.101563</v>
      </c>
    </row>
    <row r="1518" spans="1:7">
      <c r="A1518" t="s">
        <v>144</v>
      </c>
      <c r="B1518">
        <v>23</v>
      </c>
      <c r="C1518">
        <v>43</v>
      </c>
      <c r="D1518">
        <v>0.28772900000000001</v>
      </c>
      <c r="E1518">
        <v>0.36936600000000003</v>
      </c>
      <c r="F1518">
        <v>-0.14838100000000001</v>
      </c>
      <c r="G1518">
        <v>5.8900000000000001E-4</v>
      </c>
    </row>
    <row r="1519" spans="1:7">
      <c r="A1519" t="s">
        <v>144</v>
      </c>
      <c r="B1519">
        <v>23</v>
      </c>
      <c r="C1519">
        <v>44</v>
      </c>
      <c r="D1519">
        <v>0.28772900000000001</v>
      </c>
      <c r="E1519">
        <v>0.964507</v>
      </c>
      <c r="F1519">
        <v>-0.42735099999999998</v>
      </c>
      <c r="G1519">
        <v>-2.6873999999999999E-2</v>
      </c>
    </row>
    <row r="1520" spans="1:7">
      <c r="A1520" t="s">
        <v>144</v>
      </c>
      <c r="B1520">
        <v>23</v>
      </c>
      <c r="C1520">
        <v>45</v>
      </c>
      <c r="D1520">
        <v>0.28772900000000001</v>
      </c>
      <c r="E1520">
        <v>0.46525499999999997</v>
      </c>
      <c r="F1520">
        <v>-0.46070699999999998</v>
      </c>
      <c r="G1520">
        <v>-0.19428200000000001</v>
      </c>
    </row>
    <row r="1521" spans="1:7">
      <c r="A1521" t="s">
        <v>144</v>
      </c>
      <c r="B1521">
        <v>23</v>
      </c>
      <c r="C1521">
        <v>46</v>
      </c>
      <c r="D1521">
        <v>0.28772900000000001</v>
      </c>
      <c r="E1521">
        <v>5.8869999999999999E-2</v>
      </c>
      <c r="F1521">
        <v>-0.376751</v>
      </c>
      <c r="G1521">
        <v>-0.25141000000000002</v>
      </c>
    </row>
    <row r="1522" spans="1:7">
      <c r="A1522" t="s">
        <v>144</v>
      </c>
      <c r="B1522">
        <v>23</v>
      </c>
      <c r="C1522">
        <v>47</v>
      </c>
      <c r="D1522">
        <v>0.28772900000000001</v>
      </c>
      <c r="E1522">
        <v>0.24823799999999999</v>
      </c>
      <c r="F1522">
        <v>-0.35489999999999999</v>
      </c>
      <c r="G1522">
        <v>-0.18135999999999999</v>
      </c>
    </row>
    <row r="1523" spans="1:7">
      <c r="A1523" t="s">
        <v>144</v>
      </c>
      <c r="B1523">
        <v>23</v>
      </c>
      <c r="C1523">
        <v>48</v>
      </c>
      <c r="D1523">
        <v>0.28772900000000001</v>
      </c>
      <c r="E1523">
        <v>-0.17142199999999999</v>
      </c>
      <c r="F1523">
        <v>0.485458</v>
      </c>
      <c r="G1523">
        <v>0.29645500000000002</v>
      </c>
    </row>
    <row r="1524" spans="1:7">
      <c r="A1524" t="s">
        <v>144</v>
      </c>
      <c r="B1524">
        <v>23</v>
      </c>
      <c r="C1524">
        <v>49</v>
      </c>
      <c r="D1524">
        <v>0.28772900000000001</v>
      </c>
      <c r="E1524">
        <v>0.82836399999999999</v>
      </c>
      <c r="F1524">
        <v>-0.10757799999999999</v>
      </c>
      <c r="G1524">
        <v>0.161719</v>
      </c>
    </row>
    <row r="1525" spans="1:7">
      <c r="A1525" t="s">
        <v>144</v>
      </c>
      <c r="B1525" t="s">
        <v>145</v>
      </c>
      <c r="C1525">
        <v>24</v>
      </c>
    </row>
    <row r="1526" spans="1:7">
      <c r="A1526" t="s">
        <v>144</v>
      </c>
      <c r="B1526" t="s">
        <v>146</v>
      </c>
      <c r="C1526">
        <v>67</v>
      </c>
    </row>
    <row r="1527" spans="1:7">
      <c r="A1527" t="s">
        <v>144</v>
      </c>
      <c r="B1527" t="s">
        <v>147</v>
      </c>
      <c r="C1527">
        <v>67</v>
      </c>
    </row>
    <row r="1528" spans="1:7">
      <c r="A1528" t="s">
        <v>144</v>
      </c>
      <c r="B1528" t="s">
        <v>148</v>
      </c>
      <c r="C1528">
        <v>0.265511</v>
      </c>
    </row>
    <row r="1529" spans="1:7">
      <c r="A1529" t="s">
        <v>144</v>
      </c>
      <c r="B1529" t="s">
        <v>149</v>
      </c>
      <c r="C1529">
        <v>0.265511</v>
      </c>
    </row>
    <row r="1530" spans="1:7">
      <c r="A1530" t="s">
        <v>144</v>
      </c>
      <c r="B1530" t="s">
        <v>150</v>
      </c>
      <c r="C1530">
        <v>-1</v>
      </c>
    </row>
    <row r="1531" spans="1:7">
      <c r="A1531" t="s">
        <v>144</v>
      </c>
      <c r="B1531" t="s">
        <v>151</v>
      </c>
      <c r="C1531">
        <v>-1</v>
      </c>
    </row>
    <row r="1532" spans="1:7">
      <c r="A1532" t="s">
        <v>144</v>
      </c>
      <c r="B1532" t="s">
        <v>152</v>
      </c>
      <c r="C1532">
        <v>36</v>
      </c>
    </row>
    <row r="1533" spans="1:7">
      <c r="A1533" t="s">
        <v>144</v>
      </c>
      <c r="B1533" t="s">
        <v>153</v>
      </c>
      <c r="C1533">
        <v>36</v>
      </c>
    </row>
    <row r="1534" spans="1:7">
      <c r="A1534" t="s">
        <v>144</v>
      </c>
      <c r="B1534" t="s">
        <v>154</v>
      </c>
      <c r="C1534">
        <v>0</v>
      </c>
    </row>
    <row r="1535" spans="1:7">
      <c r="A1535" t="s">
        <v>144</v>
      </c>
      <c r="B1535" t="s">
        <v>155</v>
      </c>
    </row>
    <row r="1536" spans="1:7">
      <c r="A1536" t="s">
        <v>144</v>
      </c>
      <c r="B1536" t="s">
        <v>150</v>
      </c>
      <c r="C1536">
        <v>0.49534600000000001</v>
      </c>
    </row>
    <row r="1537" spans="1:7">
      <c r="A1537" t="s">
        <v>144</v>
      </c>
      <c r="B1537" t="s">
        <v>151</v>
      </c>
      <c r="C1537">
        <v>0.49534600000000001</v>
      </c>
    </row>
    <row r="1538" spans="1:7">
      <c r="A1538" t="s">
        <v>144</v>
      </c>
      <c r="B1538" t="s">
        <v>156</v>
      </c>
      <c r="C1538" t="s">
        <v>157</v>
      </c>
      <c r="D1538" t="s">
        <v>63</v>
      </c>
      <c r="E1538" t="s">
        <v>158</v>
      </c>
      <c r="F1538" t="s">
        <v>159</v>
      </c>
      <c r="G1538" t="s">
        <v>160</v>
      </c>
    </row>
    <row r="1539" spans="1:7">
      <c r="A1539" t="s">
        <v>144</v>
      </c>
      <c r="B1539">
        <v>24</v>
      </c>
      <c r="C1539">
        <v>0</v>
      </c>
      <c r="D1539">
        <v>0.49534600000000001</v>
      </c>
      <c r="E1539">
        <v>-0.178594</v>
      </c>
      <c r="F1539">
        <v>-1</v>
      </c>
      <c r="G1539">
        <v>-0.178594</v>
      </c>
    </row>
    <row r="1540" spans="1:7">
      <c r="A1540" t="s">
        <v>144</v>
      </c>
      <c r="B1540">
        <v>24</v>
      </c>
      <c r="C1540">
        <v>1</v>
      </c>
      <c r="D1540">
        <v>0.49534600000000001</v>
      </c>
      <c r="E1540">
        <v>-0.61778599999999995</v>
      </c>
      <c r="F1540">
        <v>-1</v>
      </c>
      <c r="G1540">
        <v>-0.61778599999999995</v>
      </c>
    </row>
    <row r="1541" spans="1:7">
      <c r="A1541" t="s">
        <v>144</v>
      </c>
      <c r="B1541">
        <v>24</v>
      </c>
      <c r="C1541">
        <v>2</v>
      </c>
      <c r="D1541">
        <v>0.49534600000000001</v>
      </c>
      <c r="E1541">
        <v>0.24271400000000001</v>
      </c>
      <c r="F1541">
        <v>-1</v>
      </c>
      <c r="G1541">
        <v>0.24271400000000001</v>
      </c>
    </row>
    <row r="1542" spans="1:7">
      <c r="A1542" t="s">
        <v>144</v>
      </c>
      <c r="B1542">
        <v>24</v>
      </c>
      <c r="C1542">
        <v>3</v>
      </c>
      <c r="D1542">
        <v>0.49534600000000001</v>
      </c>
      <c r="E1542">
        <v>-0.233955</v>
      </c>
      <c r="F1542">
        <v>-1</v>
      </c>
      <c r="G1542">
        <v>-0.233955</v>
      </c>
    </row>
    <row r="1543" spans="1:7">
      <c r="A1543" t="s">
        <v>144</v>
      </c>
      <c r="B1543">
        <v>24</v>
      </c>
      <c r="C1543">
        <v>4</v>
      </c>
      <c r="D1543">
        <v>0.49534600000000001</v>
      </c>
      <c r="E1543">
        <v>0.30521599999999999</v>
      </c>
      <c r="F1543">
        <v>-1</v>
      </c>
      <c r="G1543">
        <v>0.30521599999999999</v>
      </c>
    </row>
    <row r="1544" spans="1:7">
      <c r="A1544" t="s">
        <v>144</v>
      </c>
      <c r="B1544">
        <v>24</v>
      </c>
      <c r="C1544">
        <v>5</v>
      </c>
      <c r="D1544">
        <v>0.49534600000000001</v>
      </c>
      <c r="E1544">
        <v>0.92645</v>
      </c>
      <c r="F1544">
        <v>-1</v>
      </c>
      <c r="G1544">
        <v>0.92645</v>
      </c>
    </row>
    <row r="1545" spans="1:7">
      <c r="A1545" t="s">
        <v>144</v>
      </c>
      <c r="B1545">
        <v>24</v>
      </c>
      <c r="C1545">
        <v>6</v>
      </c>
      <c r="D1545">
        <v>0.49534600000000001</v>
      </c>
      <c r="E1545">
        <v>-0.99520900000000001</v>
      </c>
      <c r="F1545">
        <v>-1</v>
      </c>
      <c r="G1545">
        <v>-0.99520900000000001</v>
      </c>
    </row>
    <row r="1546" spans="1:7">
      <c r="A1546" t="s">
        <v>144</v>
      </c>
      <c r="B1546">
        <v>24</v>
      </c>
      <c r="C1546">
        <v>7</v>
      </c>
      <c r="D1546">
        <v>0.49534600000000001</v>
      </c>
      <c r="E1546">
        <v>0.85772300000000001</v>
      </c>
      <c r="F1546">
        <v>-1</v>
      </c>
      <c r="G1546">
        <v>0.85772300000000001</v>
      </c>
    </row>
    <row r="1547" spans="1:7">
      <c r="A1547" t="s">
        <v>144</v>
      </c>
      <c r="B1547">
        <v>24</v>
      </c>
      <c r="C1547">
        <v>8</v>
      </c>
      <c r="D1547">
        <v>0.49534600000000001</v>
      </c>
      <c r="E1547">
        <v>-0.284188</v>
      </c>
      <c r="F1547">
        <v>-1</v>
      </c>
      <c r="G1547">
        <v>-0.284188</v>
      </c>
    </row>
    <row r="1548" spans="1:7">
      <c r="A1548" t="s">
        <v>144</v>
      </c>
      <c r="B1548">
        <v>24</v>
      </c>
      <c r="C1548">
        <v>9</v>
      </c>
      <c r="D1548">
        <v>0.49534600000000001</v>
      </c>
      <c r="E1548">
        <v>0.35077999999999998</v>
      </c>
      <c r="F1548">
        <v>-1</v>
      </c>
      <c r="G1548">
        <v>0.35077999999999998</v>
      </c>
    </row>
    <row r="1549" spans="1:7">
      <c r="A1549" t="s">
        <v>144</v>
      </c>
      <c r="B1549">
        <v>24</v>
      </c>
      <c r="C1549">
        <v>10</v>
      </c>
      <c r="D1549">
        <v>0.49534600000000001</v>
      </c>
      <c r="E1549">
        <v>0.29050599999999999</v>
      </c>
      <c r="F1549">
        <v>-1</v>
      </c>
      <c r="G1549">
        <v>0.29050599999999999</v>
      </c>
    </row>
    <row r="1550" spans="1:7">
      <c r="A1550" t="s">
        <v>144</v>
      </c>
      <c r="B1550">
        <v>24</v>
      </c>
      <c r="C1550">
        <v>11</v>
      </c>
      <c r="D1550">
        <v>0.49534600000000001</v>
      </c>
      <c r="E1550">
        <v>0.37785000000000002</v>
      </c>
      <c r="F1550">
        <v>-1</v>
      </c>
      <c r="G1550">
        <v>0.37785000000000002</v>
      </c>
    </row>
    <row r="1551" spans="1:7">
      <c r="A1551" t="s">
        <v>144</v>
      </c>
      <c r="B1551">
        <v>24</v>
      </c>
      <c r="C1551">
        <v>12</v>
      </c>
      <c r="D1551">
        <v>0.49534600000000001</v>
      </c>
      <c r="E1551">
        <v>0.92935000000000001</v>
      </c>
      <c r="F1551">
        <v>-1</v>
      </c>
      <c r="G1551">
        <v>0.92935000000000001</v>
      </c>
    </row>
    <row r="1552" spans="1:7">
      <c r="A1552" t="s">
        <v>144</v>
      </c>
      <c r="B1552">
        <v>24</v>
      </c>
      <c r="C1552">
        <v>13</v>
      </c>
      <c r="D1552">
        <v>0.49534600000000001</v>
      </c>
      <c r="E1552">
        <v>-0.66069500000000003</v>
      </c>
      <c r="F1552">
        <v>-1</v>
      </c>
      <c r="G1552">
        <v>-0.66069500000000003</v>
      </c>
    </row>
    <row r="1553" spans="1:7">
      <c r="A1553" t="s">
        <v>144</v>
      </c>
      <c r="B1553">
        <v>24</v>
      </c>
      <c r="C1553">
        <v>14</v>
      </c>
      <c r="D1553">
        <v>0.49534600000000001</v>
      </c>
      <c r="E1553">
        <v>-6.4607999999999999E-2</v>
      </c>
      <c r="F1553">
        <v>-1</v>
      </c>
      <c r="G1553">
        <v>-6.4607999999999999E-2</v>
      </c>
    </row>
    <row r="1554" spans="1:7">
      <c r="A1554" t="s">
        <v>144</v>
      </c>
      <c r="B1554">
        <v>24</v>
      </c>
      <c r="C1554">
        <v>15</v>
      </c>
      <c r="D1554">
        <v>0.49534600000000001</v>
      </c>
      <c r="E1554">
        <v>-0.28833900000000001</v>
      </c>
      <c r="F1554">
        <v>-1</v>
      </c>
      <c r="G1554">
        <v>-0.28833900000000001</v>
      </c>
    </row>
    <row r="1555" spans="1:7">
      <c r="A1555" t="s">
        <v>144</v>
      </c>
      <c r="B1555">
        <v>24</v>
      </c>
      <c r="C1555">
        <v>16</v>
      </c>
      <c r="D1555">
        <v>0.49534600000000001</v>
      </c>
      <c r="E1555">
        <v>-0.31928499999999999</v>
      </c>
      <c r="F1555">
        <v>-1</v>
      </c>
      <c r="G1555">
        <v>-0.31928499999999999</v>
      </c>
    </row>
    <row r="1556" spans="1:7">
      <c r="A1556" t="s">
        <v>144</v>
      </c>
      <c r="B1556">
        <v>24</v>
      </c>
      <c r="C1556">
        <v>17</v>
      </c>
      <c r="D1556">
        <v>0.49534600000000001</v>
      </c>
      <c r="E1556">
        <v>0.25882699999999997</v>
      </c>
      <c r="F1556">
        <v>-1</v>
      </c>
      <c r="G1556">
        <v>0.25882699999999997</v>
      </c>
    </row>
    <row r="1557" spans="1:7">
      <c r="A1557" t="s">
        <v>144</v>
      </c>
      <c r="B1557">
        <v>24</v>
      </c>
      <c r="C1557">
        <v>18</v>
      </c>
      <c r="D1557">
        <v>0.49534600000000001</v>
      </c>
      <c r="E1557">
        <v>-0.19986599999999999</v>
      </c>
      <c r="F1557">
        <v>-1</v>
      </c>
      <c r="G1557">
        <v>-0.19986599999999999</v>
      </c>
    </row>
    <row r="1558" spans="1:7">
      <c r="A1558" t="s">
        <v>144</v>
      </c>
      <c r="B1558">
        <v>24</v>
      </c>
      <c r="C1558">
        <v>19</v>
      </c>
      <c r="D1558">
        <v>0.49534600000000001</v>
      </c>
      <c r="E1558">
        <v>-0.85085599999999995</v>
      </c>
      <c r="F1558">
        <v>-1</v>
      </c>
      <c r="G1558">
        <v>-0.85085599999999995</v>
      </c>
    </row>
    <row r="1559" spans="1:7">
      <c r="A1559" t="s">
        <v>144</v>
      </c>
      <c r="B1559">
        <v>24</v>
      </c>
      <c r="C1559">
        <v>20</v>
      </c>
      <c r="D1559">
        <v>0.49534600000000001</v>
      </c>
      <c r="E1559">
        <v>-0.69191599999999998</v>
      </c>
      <c r="F1559">
        <v>-1</v>
      </c>
      <c r="G1559">
        <v>-0.69191599999999998</v>
      </c>
    </row>
    <row r="1560" spans="1:7">
      <c r="A1560" t="s">
        <v>144</v>
      </c>
      <c r="B1560">
        <v>24</v>
      </c>
      <c r="C1560">
        <v>21</v>
      </c>
      <c r="D1560">
        <v>0.49534600000000001</v>
      </c>
      <c r="E1560">
        <v>-0.23166600000000001</v>
      </c>
      <c r="F1560">
        <v>-1</v>
      </c>
      <c r="G1560">
        <v>-0.23166600000000001</v>
      </c>
    </row>
    <row r="1561" spans="1:7">
      <c r="A1561" t="s">
        <v>144</v>
      </c>
      <c r="B1561">
        <v>24</v>
      </c>
      <c r="C1561">
        <v>22</v>
      </c>
      <c r="D1561">
        <v>0.49534600000000001</v>
      </c>
      <c r="E1561">
        <v>-0.98211599999999999</v>
      </c>
      <c r="F1561">
        <v>-1</v>
      </c>
      <c r="G1561">
        <v>-0.98211599999999999</v>
      </c>
    </row>
    <row r="1562" spans="1:7">
      <c r="A1562" t="s">
        <v>144</v>
      </c>
      <c r="B1562">
        <v>24</v>
      </c>
      <c r="C1562">
        <v>23</v>
      </c>
      <c r="D1562">
        <v>0.49534600000000001</v>
      </c>
      <c r="E1562">
        <v>0.208014</v>
      </c>
      <c r="F1562">
        <v>-1</v>
      </c>
      <c r="G1562">
        <v>0.208014</v>
      </c>
    </row>
    <row r="1563" spans="1:7">
      <c r="A1563" t="s">
        <v>144</v>
      </c>
      <c r="B1563">
        <v>24</v>
      </c>
      <c r="C1563">
        <v>24</v>
      </c>
      <c r="D1563">
        <v>0.49534600000000001</v>
      </c>
      <c r="E1563">
        <v>-0.46394200000000002</v>
      </c>
      <c r="F1563">
        <v>-1</v>
      </c>
      <c r="G1563">
        <v>-0.46394200000000002</v>
      </c>
    </row>
    <row r="1564" spans="1:7">
      <c r="A1564" t="s">
        <v>144</v>
      </c>
      <c r="B1564">
        <v>24</v>
      </c>
      <c r="C1564">
        <v>25</v>
      </c>
      <c r="D1564">
        <v>0.49534600000000001</v>
      </c>
      <c r="E1564">
        <v>0.52519300000000002</v>
      </c>
      <c r="F1564">
        <v>-1</v>
      </c>
      <c r="G1564">
        <v>0.52519300000000002</v>
      </c>
    </row>
    <row r="1565" spans="1:7">
      <c r="A1565" t="s">
        <v>144</v>
      </c>
      <c r="B1565">
        <v>24</v>
      </c>
      <c r="C1565">
        <v>26</v>
      </c>
      <c r="D1565">
        <v>0.49534600000000001</v>
      </c>
      <c r="E1565">
        <v>0.68257699999999999</v>
      </c>
      <c r="F1565">
        <v>-1</v>
      </c>
      <c r="G1565">
        <v>0.68257699999999999</v>
      </c>
    </row>
    <row r="1566" spans="1:7">
      <c r="A1566" t="s">
        <v>144</v>
      </c>
      <c r="B1566">
        <v>24</v>
      </c>
      <c r="C1566">
        <v>27</v>
      </c>
      <c r="D1566">
        <v>0.49534600000000001</v>
      </c>
      <c r="E1566">
        <v>-0.621784</v>
      </c>
      <c r="F1566">
        <v>-1</v>
      </c>
      <c r="G1566">
        <v>-0.621784</v>
      </c>
    </row>
    <row r="1567" spans="1:7">
      <c r="A1567" t="s">
        <v>144</v>
      </c>
      <c r="B1567">
        <v>24</v>
      </c>
      <c r="C1567">
        <v>28</v>
      </c>
      <c r="D1567">
        <v>0.49534600000000001</v>
      </c>
      <c r="E1567">
        <v>0.3755</v>
      </c>
      <c r="F1567">
        <v>-1</v>
      </c>
      <c r="G1567">
        <v>0.3755</v>
      </c>
    </row>
    <row r="1568" spans="1:7">
      <c r="A1568" t="s">
        <v>144</v>
      </c>
      <c r="B1568">
        <v>24</v>
      </c>
      <c r="C1568">
        <v>29</v>
      </c>
      <c r="D1568">
        <v>0.49534600000000001</v>
      </c>
      <c r="E1568">
        <v>-0.24552099999999999</v>
      </c>
      <c r="F1568">
        <v>-1</v>
      </c>
      <c r="G1568">
        <v>-0.24552099999999999</v>
      </c>
    </row>
    <row r="1569" spans="1:7">
      <c r="A1569" t="s">
        <v>144</v>
      </c>
      <c r="B1569">
        <v>24</v>
      </c>
      <c r="C1569">
        <v>30</v>
      </c>
      <c r="D1569">
        <v>0.49534600000000001</v>
      </c>
      <c r="E1569">
        <v>-0.26511400000000002</v>
      </c>
      <c r="F1569">
        <v>-1</v>
      </c>
      <c r="G1569">
        <v>-0.26511400000000002</v>
      </c>
    </row>
    <row r="1570" spans="1:7">
      <c r="A1570" t="s">
        <v>144</v>
      </c>
      <c r="B1570">
        <v>24</v>
      </c>
      <c r="C1570">
        <v>31</v>
      </c>
      <c r="D1570">
        <v>0.49534600000000001</v>
      </c>
      <c r="E1570">
        <v>0.83663399999999999</v>
      </c>
      <c r="F1570">
        <v>-1</v>
      </c>
      <c r="G1570">
        <v>0.83663399999999999</v>
      </c>
    </row>
    <row r="1571" spans="1:7">
      <c r="A1571" t="s">
        <v>144</v>
      </c>
      <c r="B1571">
        <v>24</v>
      </c>
      <c r="C1571">
        <v>32</v>
      </c>
      <c r="D1571">
        <v>0.49534600000000001</v>
      </c>
      <c r="E1571">
        <v>0.759606</v>
      </c>
      <c r="F1571">
        <v>-1</v>
      </c>
      <c r="G1571">
        <v>0.759606</v>
      </c>
    </row>
    <row r="1572" spans="1:7">
      <c r="A1572" t="s">
        <v>144</v>
      </c>
      <c r="B1572">
        <v>24</v>
      </c>
      <c r="C1572">
        <v>33</v>
      </c>
      <c r="D1572">
        <v>0.49534600000000001</v>
      </c>
      <c r="E1572">
        <v>-8.5025000000000003E-2</v>
      </c>
      <c r="F1572">
        <v>-1</v>
      </c>
      <c r="G1572">
        <v>-8.5025000000000003E-2</v>
      </c>
    </row>
    <row r="1573" spans="1:7">
      <c r="A1573" t="s">
        <v>144</v>
      </c>
      <c r="B1573">
        <v>24</v>
      </c>
      <c r="C1573">
        <v>34</v>
      </c>
      <c r="D1573">
        <v>0.49534600000000001</v>
      </c>
      <c r="E1573">
        <v>0.218055</v>
      </c>
      <c r="F1573">
        <v>-1</v>
      </c>
      <c r="G1573">
        <v>0.218055</v>
      </c>
    </row>
    <row r="1574" spans="1:7">
      <c r="A1574" t="s">
        <v>144</v>
      </c>
      <c r="B1574">
        <v>24</v>
      </c>
      <c r="C1574">
        <v>35</v>
      </c>
      <c r="D1574">
        <v>0.49534600000000001</v>
      </c>
      <c r="E1574">
        <v>0.56782699999999997</v>
      </c>
      <c r="F1574">
        <v>-1</v>
      </c>
      <c r="G1574">
        <v>0.56782699999999997</v>
      </c>
    </row>
    <row r="1575" spans="1:7">
      <c r="A1575" t="s">
        <v>144</v>
      </c>
      <c r="B1575">
        <v>24</v>
      </c>
      <c r="C1575">
        <v>36</v>
      </c>
      <c r="D1575">
        <v>0.49534600000000001</v>
      </c>
      <c r="E1575">
        <v>0.93664400000000003</v>
      </c>
      <c r="F1575">
        <v>-0.75484499999999999</v>
      </c>
      <c r="G1575">
        <v>8.3027000000000004E-2</v>
      </c>
    </row>
    <row r="1576" spans="1:7">
      <c r="A1576" t="s">
        <v>144</v>
      </c>
      <c r="B1576">
        <v>24</v>
      </c>
      <c r="C1576">
        <v>37</v>
      </c>
      <c r="D1576">
        <v>0.49534600000000001</v>
      </c>
      <c r="E1576">
        <v>0.87282899999999997</v>
      </c>
      <c r="F1576">
        <v>-0.60216099999999995</v>
      </c>
      <c r="G1576">
        <v>0.12847</v>
      </c>
    </row>
    <row r="1577" spans="1:7">
      <c r="A1577" t="s">
        <v>144</v>
      </c>
      <c r="B1577">
        <v>24</v>
      </c>
      <c r="C1577">
        <v>38</v>
      </c>
      <c r="D1577">
        <v>0.49534600000000001</v>
      </c>
      <c r="E1577">
        <v>-0.51127699999999998</v>
      </c>
      <c r="F1577">
        <v>-0.223243</v>
      </c>
      <c r="G1577">
        <v>-0.36591899999999999</v>
      </c>
    </row>
    <row r="1578" spans="1:7">
      <c r="A1578" t="s">
        <v>144</v>
      </c>
      <c r="B1578">
        <v>24</v>
      </c>
      <c r="C1578">
        <v>39</v>
      </c>
      <c r="D1578">
        <v>0.49534600000000001</v>
      </c>
      <c r="E1578">
        <v>0.11477999999999999</v>
      </c>
      <c r="F1578">
        <v>0.58696300000000001</v>
      </c>
      <c r="G1578">
        <v>0.35306900000000002</v>
      </c>
    </row>
    <row r="1579" spans="1:7">
      <c r="A1579" t="s">
        <v>144</v>
      </c>
      <c r="B1579">
        <v>24</v>
      </c>
      <c r="C1579">
        <v>40</v>
      </c>
      <c r="D1579">
        <v>0.49534600000000001</v>
      </c>
      <c r="E1579">
        <v>0.73400100000000001</v>
      </c>
      <c r="F1579">
        <v>0.17319300000000001</v>
      </c>
      <c r="G1579">
        <v>0.45098700000000003</v>
      </c>
    </row>
    <row r="1580" spans="1:7">
      <c r="A1580" t="s">
        <v>144</v>
      </c>
      <c r="B1580">
        <v>24</v>
      </c>
      <c r="C1580">
        <v>41</v>
      </c>
      <c r="D1580">
        <v>0.49534600000000001</v>
      </c>
      <c r="E1580">
        <v>-0.250587</v>
      </c>
      <c r="F1580">
        <v>0.394818</v>
      </c>
      <c r="G1580">
        <v>7.5119000000000005E-2</v>
      </c>
    </row>
    <row r="1581" spans="1:7">
      <c r="A1581" t="s">
        <v>144</v>
      </c>
      <c r="B1581">
        <v>24</v>
      </c>
      <c r="C1581">
        <v>42</v>
      </c>
      <c r="D1581">
        <v>0.49534600000000001</v>
      </c>
      <c r="E1581">
        <v>0.67830400000000002</v>
      </c>
      <c r="F1581">
        <v>5.7680000000000002E-2</v>
      </c>
      <c r="G1581">
        <v>0.36510399999999998</v>
      </c>
    </row>
    <row r="1582" spans="1:7">
      <c r="A1582" t="s">
        <v>144</v>
      </c>
      <c r="B1582">
        <v>24</v>
      </c>
      <c r="C1582">
        <v>43</v>
      </c>
      <c r="D1582">
        <v>0.49534600000000001</v>
      </c>
      <c r="E1582">
        <v>9.9246000000000001E-2</v>
      </c>
      <c r="F1582">
        <v>-0.47856100000000001</v>
      </c>
      <c r="G1582">
        <v>-0.19234599999999999</v>
      </c>
    </row>
    <row r="1583" spans="1:7">
      <c r="A1583" t="s">
        <v>144</v>
      </c>
      <c r="B1583">
        <v>24</v>
      </c>
      <c r="C1583">
        <v>44</v>
      </c>
      <c r="D1583">
        <v>0.49534600000000001</v>
      </c>
      <c r="E1583">
        <v>0.13052800000000001</v>
      </c>
      <c r="F1583">
        <v>0.33524599999999999</v>
      </c>
      <c r="G1583">
        <v>0.23383999999999999</v>
      </c>
    </row>
    <row r="1584" spans="1:7">
      <c r="A1584" t="s">
        <v>144</v>
      </c>
      <c r="B1584">
        <v>24</v>
      </c>
      <c r="C1584">
        <v>45</v>
      </c>
      <c r="D1584">
        <v>0.49534600000000001</v>
      </c>
      <c r="E1584">
        <v>0.47352499999999997</v>
      </c>
      <c r="F1584">
        <v>-0.41908000000000001</v>
      </c>
      <c r="G1584">
        <v>2.3068000000000002E-2</v>
      </c>
    </row>
    <row r="1585" spans="1:7">
      <c r="A1585" t="s">
        <v>144</v>
      </c>
      <c r="B1585">
        <v>24</v>
      </c>
      <c r="C1585">
        <v>46</v>
      </c>
      <c r="D1585">
        <v>0.49534600000000001</v>
      </c>
      <c r="E1585">
        <v>-2.3193999999999999E-2</v>
      </c>
      <c r="F1585">
        <v>-0.32117699999999999</v>
      </c>
      <c r="G1585">
        <v>-0.173572</v>
      </c>
    </row>
    <row r="1586" spans="1:7">
      <c r="A1586" t="s">
        <v>144</v>
      </c>
      <c r="B1586">
        <v>24</v>
      </c>
      <c r="C1586">
        <v>47</v>
      </c>
      <c r="D1586">
        <v>0.49534600000000001</v>
      </c>
      <c r="E1586">
        <v>0.32871499999999998</v>
      </c>
      <c r="F1586">
        <v>0.83623800000000004</v>
      </c>
      <c r="G1586">
        <v>0.58483799999999997</v>
      </c>
    </row>
    <row r="1587" spans="1:7">
      <c r="A1587" t="s">
        <v>144</v>
      </c>
      <c r="B1587">
        <v>24</v>
      </c>
      <c r="C1587">
        <v>48</v>
      </c>
      <c r="D1587">
        <v>0.49534600000000001</v>
      </c>
      <c r="E1587">
        <v>-2.6185E-2</v>
      </c>
      <c r="F1587">
        <v>0.63441899999999996</v>
      </c>
      <c r="G1587">
        <v>0.30719099999999999</v>
      </c>
    </row>
    <row r="1588" spans="1:7">
      <c r="A1588" t="s">
        <v>144</v>
      </c>
      <c r="B1588">
        <v>24</v>
      </c>
      <c r="C1588">
        <v>49</v>
      </c>
      <c r="D1588">
        <v>0.49534600000000001</v>
      </c>
      <c r="E1588">
        <v>0.33591700000000002</v>
      </c>
      <c r="F1588">
        <v>0.66096999999999995</v>
      </c>
      <c r="G1588">
        <v>0.49995600000000001</v>
      </c>
    </row>
    <row r="1589" spans="1:7">
      <c r="A1589" t="s">
        <v>144</v>
      </c>
      <c r="B1589" t="s">
        <v>145</v>
      </c>
      <c r="C1589">
        <v>25</v>
      </c>
    </row>
    <row r="1590" spans="1:7">
      <c r="A1590" t="s">
        <v>144</v>
      </c>
      <c r="B1590" t="s">
        <v>146</v>
      </c>
      <c r="C1590">
        <v>43</v>
      </c>
    </row>
    <row r="1591" spans="1:7">
      <c r="A1591" t="s">
        <v>144</v>
      </c>
      <c r="B1591" t="s">
        <v>147</v>
      </c>
      <c r="C1591">
        <v>43</v>
      </c>
    </row>
    <row r="1592" spans="1:7">
      <c r="A1592" t="s">
        <v>144</v>
      </c>
      <c r="B1592" t="s">
        <v>148</v>
      </c>
      <c r="C1592">
        <v>0.21674199999999999</v>
      </c>
    </row>
    <row r="1593" spans="1:7">
      <c r="A1593" t="s">
        <v>144</v>
      </c>
      <c r="B1593" t="s">
        <v>149</v>
      </c>
      <c r="C1593">
        <v>0.21674199999999999</v>
      </c>
    </row>
    <row r="1594" spans="1:7">
      <c r="A1594" t="s">
        <v>144</v>
      </c>
      <c r="B1594" t="s">
        <v>150</v>
      </c>
      <c r="C1594">
        <v>-1</v>
      </c>
    </row>
    <row r="1595" spans="1:7">
      <c r="A1595" t="s">
        <v>144</v>
      </c>
      <c r="B1595" t="s">
        <v>151</v>
      </c>
      <c r="C1595">
        <v>-1</v>
      </c>
    </row>
    <row r="1596" spans="1:7">
      <c r="A1596" t="s">
        <v>144</v>
      </c>
      <c r="B1596" t="s">
        <v>152</v>
      </c>
      <c r="C1596">
        <v>1</v>
      </c>
    </row>
    <row r="1597" spans="1:7">
      <c r="A1597" t="s">
        <v>144</v>
      </c>
      <c r="B1597" t="s">
        <v>153</v>
      </c>
      <c r="C1597">
        <v>1</v>
      </c>
    </row>
    <row r="1598" spans="1:7">
      <c r="A1598" t="s">
        <v>144</v>
      </c>
      <c r="B1598" t="s">
        <v>154</v>
      </c>
      <c r="C1598">
        <v>0</v>
      </c>
    </row>
    <row r="1599" spans="1:7">
      <c r="A1599" t="s">
        <v>144</v>
      </c>
      <c r="B1599" t="s">
        <v>155</v>
      </c>
    </row>
    <row r="1600" spans="1:7">
      <c r="A1600" t="s">
        <v>144</v>
      </c>
      <c r="B1600" t="s">
        <v>150</v>
      </c>
      <c r="C1600">
        <v>0.65401200000000004</v>
      </c>
    </row>
    <row r="1601" spans="1:7">
      <c r="A1601" t="s">
        <v>144</v>
      </c>
      <c r="B1601" t="s">
        <v>151</v>
      </c>
      <c r="C1601">
        <v>0.65401200000000004</v>
      </c>
    </row>
    <row r="1602" spans="1:7">
      <c r="A1602" t="s">
        <v>144</v>
      </c>
      <c r="B1602" t="s">
        <v>156</v>
      </c>
      <c r="C1602" t="s">
        <v>157</v>
      </c>
      <c r="D1602" t="s">
        <v>63</v>
      </c>
      <c r="E1602" t="s">
        <v>158</v>
      </c>
      <c r="F1602" t="s">
        <v>159</v>
      </c>
      <c r="G1602" t="s">
        <v>160</v>
      </c>
    </row>
    <row r="1603" spans="1:7">
      <c r="A1603" t="s">
        <v>144</v>
      </c>
      <c r="B1603">
        <v>25</v>
      </c>
      <c r="C1603">
        <v>0</v>
      </c>
      <c r="D1603">
        <v>0.65401200000000004</v>
      </c>
      <c r="E1603">
        <v>-0.99050899999999997</v>
      </c>
      <c r="F1603">
        <v>-1</v>
      </c>
      <c r="G1603">
        <v>-0.99050899999999997</v>
      </c>
    </row>
    <row r="1604" spans="1:7">
      <c r="A1604" t="s">
        <v>144</v>
      </c>
      <c r="B1604">
        <v>25</v>
      </c>
      <c r="C1604">
        <v>1</v>
      </c>
      <c r="D1604">
        <v>0.65401200000000004</v>
      </c>
      <c r="E1604">
        <v>-0.97244200000000003</v>
      </c>
      <c r="F1604">
        <v>0.96688700000000005</v>
      </c>
      <c r="G1604">
        <v>-0.30145699999999997</v>
      </c>
    </row>
    <row r="1605" spans="1:7">
      <c r="A1605" t="s">
        <v>144</v>
      </c>
      <c r="B1605">
        <v>25</v>
      </c>
      <c r="C1605">
        <v>2</v>
      </c>
      <c r="D1605">
        <v>0.65401200000000004</v>
      </c>
      <c r="E1605">
        <v>-0.71559799999999996</v>
      </c>
      <c r="F1605">
        <v>-0.98983699999999997</v>
      </c>
      <c r="G1605">
        <v>-0.81048200000000004</v>
      </c>
    </row>
    <row r="1606" spans="1:7">
      <c r="A1606" t="s">
        <v>144</v>
      </c>
      <c r="B1606">
        <v>25</v>
      </c>
      <c r="C1606">
        <v>3</v>
      </c>
      <c r="D1606">
        <v>0.65401200000000004</v>
      </c>
      <c r="E1606">
        <v>-0.68443900000000002</v>
      </c>
      <c r="F1606">
        <v>-0.15604100000000001</v>
      </c>
      <c r="G1606">
        <v>-0.50161900000000004</v>
      </c>
    </row>
    <row r="1607" spans="1:7">
      <c r="A1607" t="s">
        <v>144</v>
      </c>
      <c r="B1607">
        <v>25</v>
      </c>
      <c r="C1607">
        <v>4</v>
      </c>
      <c r="D1607">
        <v>0.65401200000000004</v>
      </c>
      <c r="E1607">
        <v>-8.6703000000000002E-2</v>
      </c>
      <c r="F1607">
        <v>-0.13708899999999999</v>
      </c>
      <c r="G1607">
        <v>-0.10413600000000001</v>
      </c>
    </row>
    <row r="1608" spans="1:7">
      <c r="A1608" t="s">
        <v>144</v>
      </c>
      <c r="B1608">
        <v>25</v>
      </c>
      <c r="C1608">
        <v>5</v>
      </c>
      <c r="D1608">
        <v>0.65401200000000004</v>
      </c>
      <c r="E1608">
        <v>0.29425899999999999</v>
      </c>
      <c r="F1608">
        <v>0.96111899999999995</v>
      </c>
      <c r="G1608">
        <v>0.52498500000000003</v>
      </c>
    </row>
    <row r="1609" spans="1:7">
      <c r="A1609" t="s">
        <v>144</v>
      </c>
      <c r="B1609">
        <v>25</v>
      </c>
      <c r="C1609">
        <v>6</v>
      </c>
      <c r="D1609">
        <v>0.65401200000000004</v>
      </c>
      <c r="E1609">
        <v>-0.41758499999999998</v>
      </c>
      <c r="F1609">
        <v>-0.98699899999999996</v>
      </c>
      <c r="G1609">
        <v>-0.614595</v>
      </c>
    </row>
    <row r="1610" spans="1:7">
      <c r="A1610" t="s">
        <v>144</v>
      </c>
      <c r="B1610">
        <v>25</v>
      </c>
      <c r="C1610">
        <v>7</v>
      </c>
      <c r="D1610">
        <v>0.65401200000000004</v>
      </c>
      <c r="E1610">
        <v>-0.57988200000000001</v>
      </c>
      <c r="F1610">
        <v>0.64983100000000005</v>
      </c>
      <c r="G1610">
        <v>-0.154416</v>
      </c>
    </row>
    <row r="1611" spans="1:7">
      <c r="A1611" t="s">
        <v>144</v>
      </c>
      <c r="B1611">
        <v>25</v>
      </c>
      <c r="C1611">
        <v>8</v>
      </c>
      <c r="D1611">
        <v>0.65401200000000004</v>
      </c>
      <c r="E1611">
        <v>-0.29673100000000002</v>
      </c>
      <c r="F1611">
        <v>0.95803700000000003</v>
      </c>
      <c r="G1611">
        <v>0.137404</v>
      </c>
    </row>
    <row r="1612" spans="1:7">
      <c r="A1612" t="s">
        <v>144</v>
      </c>
      <c r="B1612">
        <v>25</v>
      </c>
      <c r="C1612">
        <v>9</v>
      </c>
      <c r="D1612">
        <v>0.65401200000000004</v>
      </c>
      <c r="E1612">
        <v>-0.119907</v>
      </c>
      <c r="F1612">
        <v>-6.8331000000000003E-2</v>
      </c>
      <c r="G1612">
        <v>-0.102062</v>
      </c>
    </row>
    <row r="1613" spans="1:7">
      <c r="A1613" t="s">
        <v>144</v>
      </c>
      <c r="B1613">
        <v>25</v>
      </c>
      <c r="C1613">
        <v>10</v>
      </c>
      <c r="D1613">
        <v>0.65401200000000004</v>
      </c>
      <c r="E1613">
        <v>0.47172500000000001</v>
      </c>
      <c r="F1613">
        <v>0.37723899999999999</v>
      </c>
      <c r="G1613">
        <v>0.43903399999999998</v>
      </c>
    </row>
    <row r="1614" spans="1:7">
      <c r="A1614" t="s">
        <v>144</v>
      </c>
      <c r="B1614">
        <v>25</v>
      </c>
      <c r="C1614">
        <v>11</v>
      </c>
      <c r="D1614">
        <v>0.65401200000000004</v>
      </c>
      <c r="E1614">
        <v>0.50324999999999998</v>
      </c>
      <c r="F1614">
        <v>0.56752199999999997</v>
      </c>
      <c r="G1614">
        <v>0.52548799999999996</v>
      </c>
    </row>
    <row r="1615" spans="1:7">
      <c r="A1615" t="s">
        <v>144</v>
      </c>
      <c r="B1615">
        <v>25</v>
      </c>
      <c r="C1615">
        <v>12</v>
      </c>
      <c r="D1615">
        <v>0.65401200000000004</v>
      </c>
      <c r="E1615">
        <v>-0.98568699999999998</v>
      </c>
      <c r="F1615">
        <v>-6.7811999999999997E-2</v>
      </c>
      <c r="G1615">
        <v>-0.66811299999999996</v>
      </c>
    </row>
    <row r="1616" spans="1:7">
      <c r="A1616" t="s">
        <v>144</v>
      </c>
      <c r="B1616">
        <v>25</v>
      </c>
      <c r="C1616">
        <v>13</v>
      </c>
      <c r="D1616">
        <v>0.65401200000000004</v>
      </c>
      <c r="E1616">
        <v>-0.80620700000000001</v>
      </c>
      <c r="F1616">
        <v>0.54075700000000004</v>
      </c>
      <c r="G1616">
        <v>-0.340173</v>
      </c>
    </row>
    <row r="1617" spans="1:7">
      <c r="A1617" t="s">
        <v>144</v>
      </c>
      <c r="B1617">
        <v>25</v>
      </c>
      <c r="C1617">
        <v>14</v>
      </c>
      <c r="D1617">
        <v>0.65401200000000004</v>
      </c>
      <c r="E1617">
        <v>-0.72173200000000004</v>
      </c>
      <c r="F1617">
        <v>0.43836799999999998</v>
      </c>
      <c r="G1617">
        <v>-0.320351</v>
      </c>
    </row>
    <row r="1618" spans="1:7">
      <c r="A1618" t="s">
        <v>144</v>
      </c>
      <c r="B1618">
        <v>25</v>
      </c>
      <c r="C1618">
        <v>15</v>
      </c>
      <c r="D1618">
        <v>0.65401200000000004</v>
      </c>
      <c r="E1618">
        <v>0.74352200000000002</v>
      </c>
      <c r="F1618">
        <v>0.47926299999999999</v>
      </c>
      <c r="G1618">
        <v>0.652092</v>
      </c>
    </row>
    <row r="1619" spans="1:7">
      <c r="A1619" t="s">
        <v>144</v>
      </c>
      <c r="B1619">
        <v>25</v>
      </c>
      <c r="C1619">
        <v>16</v>
      </c>
      <c r="D1619">
        <v>0.65401200000000004</v>
      </c>
      <c r="E1619">
        <v>-1.2024E-2</v>
      </c>
      <c r="F1619">
        <v>-0.23072000000000001</v>
      </c>
      <c r="G1619">
        <v>-8.7690000000000004E-2</v>
      </c>
    </row>
    <row r="1620" spans="1:7">
      <c r="A1620" t="s">
        <v>144</v>
      </c>
      <c r="B1620">
        <v>25</v>
      </c>
      <c r="C1620">
        <v>17</v>
      </c>
      <c r="D1620">
        <v>0.65401200000000004</v>
      </c>
      <c r="E1620">
        <v>0.399426</v>
      </c>
      <c r="F1620">
        <v>0.951048</v>
      </c>
      <c r="G1620">
        <v>0.59028099999999994</v>
      </c>
    </row>
    <row r="1621" spans="1:7">
      <c r="A1621" t="s">
        <v>144</v>
      </c>
      <c r="B1621">
        <v>25</v>
      </c>
      <c r="C1621">
        <v>18</v>
      </c>
      <c r="D1621">
        <v>0.65401200000000004</v>
      </c>
      <c r="E1621">
        <v>0.46754400000000002</v>
      </c>
      <c r="F1621">
        <v>0.58204900000000004</v>
      </c>
      <c r="G1621">
        <v>0.50716099999999997</v>
      </c>
    </row>
    <row r="1622" spans="1:7">
      <c r="A1622" t="s">
        <v>144</v>
      </c>
      <c r="B1622">
        <v>25</v>
      </c>
      <c r="C1622">
        <v>19</v>
      </c>
      <c r="D1622">
        <v>0.65401200000000004</v>
      </c>
      <c r="E1622">
        <v>-0.94515800000000005</v>
      </c>
      <c r="F1622">
        <v>0.41035199999999999</v>
      </c>
      <c r="G1622">
        <v>-0.47616799999999998</v>
      </c>
    </row>
    <row r="1623" spans="1:7">
      <c r="A1623" t="s">
        <v>144</v>
      </c>
      <c r="B1623">
        <v>25</v>
      </c>
      <c r="C1623">
        <v>20</v>
      </c>
      <c r="D1623">
        <v>0.65401200000000004</v>
      </c>
      <c r="E1623">
        <v>0.68459099999999995</v>
      </c>
      <c r="F1623">
        <v>0.55766499999999997</v>
      </c>
      <c r="G1623">
        <v>0.64067600000000002</v>
      </c>
    </row>
    <row r="1624" spans="1:7">
      <c r="A1624" t="s">
        <v>144</v>
      </c>
      <c r="B1624">
        <v>25</v>
      </c>
      <c r="C1624">
        <v>21</v>
      </c>
      <c r="D1624">
        <v>0.65401200000000004</v>
      </c>
      <c r="E1624">
        <v>-0.24878700000000001</v>
      </c>
      <c r="F1624">
        <v>-0.24304899999999999</v>
      </c>
      <c r="G1624">
        <v>-0.24680199999999999</v>
      </c>
    </row>
    <row r="1625" spans="1:7">
      <c r="A1625" t="s">
        <v>144</v>
      </c>
      <c r="B1625">
        <v>25</v>
      </c>
      <c r="C1625">
        <v>22</v>
      </c>
      <c r="D1625">
        <v>0.65401200000000004</v>
      </c>
      <c r="E1625">
        <v>-0.98477099999999995</v>
      </c>
      <c r="F1625">
        <v>0.81084599999999996</v>
      </c>
      <c r="G1625">
        <v>-0.36350900000000003</v>
      </c>
    </row>
    <row r="1626" spans="1:7">
      <c r="A1626" t="s">
        <v>144</v>
      </c>
      <c r="B1626">
        <v>25</v>
      </c>
      <c r="C1626">
        <v>23</v>
      </c>
      <c r="D1626">
        <v>0.65401200000000004</v>
      </c>
      <c r="E1626">
        <v>-0.78417300000000001</v>
      </c>
      <c r="F1626">
        <v>0.95471099999999998</v>
      </c>
      <c r="G1626">
        <v>-0.18254000000000001</v>
      </c>
    </row>
    <row r="1627" spans="1:7">
      <c r="A1627" t="s">
        <v>144</v>
      </c>
      <c r="B1627">
        <v>25</v>
      </c>
      <c r="C1627">
        <v>24</v>
      </c>
      <c r="D1627">
        <v>0.65401200000000004</v>
      </c>
      <c r="E1627">
        <v>0.84438599999999997</v>
      </c>
      <c r="F1627">
        <v>0.525864</v>
      </c>
      <c r="G1627">
        <v>0.73418099999999997</v>
      </c>
    </row>
    <row r="1628" spans="1:7">
      <c r="A1628" t="s">
        <v>144</v>
      </c>
      <c r="B1628">
        <v>25</v>
      </c>
      <c r="C1628">
        <v>25</v>
      </c>
      <c r="D1628">
        <v>0.65401200000000004</v>
      </c>
      <c r="E1628">
        <v>-0.74465199999999998</v>
      </c>
      <c r="F1628">
        <v>0.90765099999999999</v>
      </c>
      <c r="G1628">
        <v>-0.17297399999999999</v>
      </c>
    </row>
    <row r="1629" spans="1:7">
      <c r="A1629" t="s">
        <v>144</v>
      </c>
      <c r="B1629">
        <v>25</v>
      </c>
      <c r="C1629">
        <v>26</v>
      </c>
      <c r="D1629">
        <v>0.65401200000000004</v>
      </c>
      <c r="E1629">
        <v>-0.16925599999999999</v>
      </c>
      <c r="F1629">
        <v>-0.30036299999999999</v>
      </c>
      <c r="G1629">
        <v>-0.214617</v>
      </c>
    </row>
    <row r="1630" spans="1:7">
      <c r="A1630" t="s">
        <v>144</v>
      </c>
      <c r="B1630">
        <v>25</v>
      </c>
      <c r="C1630">
        <v>27</v>
      </c>
      <c r="D1630">
        <v>0.65401200000000004</v>
      </c>
      <c r="E1630">
        <v>0.76857799999999998</v>
      </c>
      <c r="F1630">
        <v>-0.51286399999999999</v>
      </c>
      <c r="G1630">
        <v>0.325214</v>
      </c>
    </row>
    <row r="1631" spans="1:7">
      <c r="A1631" t="s">
        <v>144</v>
      </c>
      <c r="B1631">
        <v>25</v>
      </c>
      <c r="C1631">
        <v>28</v>
      </c>
      <c r="D1631">
        <v>0.65401200000000004</v>
      </c>
      <c r="E1631">
        <v>7.1931999999999996E-2</v>
      </c>
      <c r="F1631">
        <v>0.123539</v>
      </c>
      <c r="G1631">
        <v>8.9787000000000006E-2</v>
      </c>
    </row>
    <row r="1632" spans="1:7">
      <c r="A1632" t="s">
        <v>144</v>
      </c>
      <c r="B1632">
        <v>25</v>
      </c>
      <c r="C1632">
        <v>29</v>
      </c>
      <c r="D1632">
        <v>0.65401200000000004</v>
      </c>
      <c r="E1632">
        <v>0.18176800000000001</v>
      </c>
      <c r="F1632">
        <v>0.28345599999999999</v>
      </c>
      <c r="G1632">
        <v>0.216951</v>
      </c>
    </row>
    <row r="1633" spans="1:7">
      <c r="A1633" t="s">
        <v>144</v>
      </c>
      <c r="B1633">
        <v>25</v>
      </c>
      <c r="C1633">
        <v>30</v>
      </c>
      <c r="D1633">
        <v>0.65401200000000004</v>
      </c>
      <c r="E1633">
        <v>-0.30668099999999998</v>
      </c>
      <c r="F1633">
        <v>-0.106235</v>
      </c>
      <c r="G1633">
        <v>-0.23732900000000001</v>
      </c>
    </row>
    <row r="1634" spans="1:7">
      <c r="A1634" t="s">
        <v>144</v>
      </c>
      <c r="B1634">
        <v>25</v>
      </c>
      <c r="C1634">
        <v>31</v>
      </c>
      <c r="D1634">
        <v>0.65401200000000004</v>
      </c>
      <c r="E1634">
        <v>-0.16440299999999999</v>
      </c>
      <c r="F1634">
        <v>0.65547699999999998</v>
      </c>
      <c r="G1634">
        <v>0.119266</v>
      </c>
    </row>
    <row r="1635" spans="1:7">
      <c r="A1635" t="s">
        <v>144</v>
      </c>
      <c r="B1635">
        <v>25</v>
      </c>
      <c r="C1635">
        <v>32</v>
      </c>
      <c r="D1635">
        <v>0.65401200000000004</v>
      </c>
      <c r="E1635">
        <v>-1.9196000000000001E-2</v>
      </c>
      <c r="F1635">
        <v>-0.11920500000000001</v>
      </c>
      <c r="G1635">
        <v>-5.3797999999999999E-2</v>
      </c>
    </row>
    <row r="1636" spans="1:7">
      <c r="A1636" t="s">
        <v>144</v>
      </c>
      <c r="B1636">
        <v>25</v>
      </c>
      <c r="C1636">
        <v>33</v>
      </c>
      <c r="D1636">
        <v>0.65401200000000004</v>
      </c>
      <c r="E1636">
        <v>-0.74758100000000005</v>
      </c>
      <c r="F1636">
        <v>-0.98269600000000001</v>
      </c>
      <c r="G1636">
        <v>-0.828928</v>
      </c>
    </row>
    <row r="1637" spans="1:7">
      <c r="A1637" t="s">
        <v>144</v>
      </c>
      <c r="B1637">
        <v>25</v>
      </c>
      <c r="C1637">
        <v>34</v>
      </c>
      <c r="D1637">
        <v>0.65401200000000004</v>
      </c>
      <c r="E1637">
        <v>0.96697900000000003</v>
      </c>
      <c r="F1637">
        <v>-0.99606300000000003</v>
      </c>
      <c r="G1637">
        <v>0.28778900000000002</v>
      </c>
    </row>
    <row r="1638" spans="1:7">
      <c r="A1638" t="s">
        <v>144</v>
      </c>
      <c r="B1638">
        <v>25</v>
      </c>
      <c r="C1638">
        <v>35</v>
      </c>
      <c r="D1638">
        <v>0.65401200000000004</v>
      </c>
      <c r="E1638">
        <v>-4.6387999999999999E-2</v>
      </c>
      <c r="F1638">
        <v>0.61149900000000001</v>
      </c>
      <c r="G1638">
        <v>0.18123300000000001</v>
      </c>
    </row>
    <row r="1639" spans="1:7">
      <c r="A1639" t="s">
        <v>144</v>
      </c>
      <c r="B1639">
        <v>25</v>
      </c>
      <c r="C1639">
        <v>36</v>
      </c>
      <c r="D1639">
        <v>0.65401200000000004</v>
      </c>
      <c r="E1639">
        <v>0.86651199999999995</v>
      </c>
      <c r="F1639">
        <v>0.456374</v>
      </c>
      <c r="G1639">
        <v>0.72460899999999995</v>
      </c>
    </row>
    <row r="1640" spans="1:7">
      <c r="A1640" t="s">
        <v>144</v>
      </c>
      <c r="B1640">
        <v>25</v>
      </c>
      <c r="C1640">
        <v>37</v>
      </c>
      <c r="D1640">
        <v>0.65401200000000004</v>
      </c>
      <c r="E1640">
        <v>0.635548</v>
      </c>
      <c r="F1640">
        <v>-0.44190800000000002</v>
      </c>
      <c r="G1640">
        <v>0.26276100000000002</v>
      </c>
    </row>
    <row r="1641" spans="1:7">
      <c r="A1641" t="s">
        <v>144</v>
      </c>
      <c r="B1641">
        <v>25</v>
      </c>
      <c r="C1641">
        <v>38</v>
      </c>
      <c r="D1641">
        <v>0.65401200000000004</v>
      </c>
      <c r="E1641">
        <v>2.3834999999999999E-2</v>
      </c>
      <c r="F1641">
        <v>0.406476</v>
      </c>
      <c r="G1641">
        <v>0.156224</v>
      </c>
    </row>
    <row r="1642" spans="1:7">
      <c r="A1642" t="s">
        <v>144</v>
      </c>
      <c r="B1642">
        <v>25</v>
      </c>
      <c r="C1642">
        <v>39</v>
      </c>
      <c r="D1642">
        <v>0.65401200000000004</v>
      </c>
      <c r="E1642">
        <v>0.473769</v>
      </c>
      <c r="F1642">
        <v>0.88149699999999998</v>
      </c>
      <c r="G1642">
        <v>0.614838</v>
      </c>
    </row>
    <row r="1643" spans="1:7">
      <c r="A1643" t="s">
        <v>144</v>
      </c>
      <c r="B1643">
        <v>25</v>
      </c>
      <c r="C1643">
        <v>40</v>
      </c>
      <c r="D1643">
        <v>0.65401200000000004</v>
      </c>
      <c r="E1643">
        <v>-0.90463000000000005</v>
      </c>
      <c r="F1643">
        <v>0.77291200000000004</v>
      </c>
      <c r="G1643">
        <v>-0.32422000000000001</v>
      </c>
    </row>
    <row r="1644" spans="1:7">
      <c r="A1644" t="s">
        <v>144</v>
      </c>
      <c r="B1644">
        <v>25</v>
      </c>
      <c r="C1644">
        <v>41</v>
      </c>
      <c r="D1644">
        <v>0.65401200000000004</v>
      </c>
      <c r="E1644">
        <v>0.28333399999999997</v>
      </c>
      <c r="F1644">
        <v>-0.59776600000000002</v>
      </c>
      <c r="G1644">
        <v>-2.1516E-2</v>
      </c>
    </row>
    <row r="1645" spans="1:7">
      <c r="A1645" t="s">
        <v>144</v>
      </c>
      <c r="B1645">
        <v>25</v>
      </c>
      <c r="C1645">
        <v>42</v>
      </c>
      <c r="D1645">
        <v>0.65401200000000004</v>
      </c>
      <c r="E1645">
        <v>-0.79949300000000001</v>
      </c>
      <c r="F1645">
        <v>-0.52537599999999995</v>
      </c>
      <c r="G1645">
        <v>-0.70465199999999995</v>
      </c>
    </row>
    <row r="1646" spans="1:7">
      <c r="A1646" t="s">
        <v>144</v>
      </c>
      <c r="B1646">
        <v>25</v>
      </c>
      <c r="C1646">
        <v>43</v>
      </c>
      <c r="D1646">
        <v>0.65401200000000004</v>
      </c>
      <c r="E1646">
        <v>-0.79100899999999996</v>
      </c>
      <c r="F1646">
        <v>-0.97595100000000001</v>
      </c>
      <c r="G1646">
        <v>-0.85499700000000001</v>
      </c>
    </row>
    <row r="1647" spans="1:7">
      <c r="A1647" t="s">
        <v>144</v>
      </c>
      <c r="B1647">
        <v>25</v>
      </c>
      <c r="C1647">
        <v>44</v>
      </c>
      <c r="D1647">
        <v>0.65401200000000004</v>
      </c>
      <c r="E1647">
        <v>0.24188999999999999</v>
      </c>
      <c r="F1647">
        <v>4.5747000000000003E-2</v>
      </c>
      <c r="G1647">
        <v>0.17402699999999999</v>
      </c>
    </row>
    <row r="1648" spans="1:7">
      <c r="A1648" t="s">
        <v>144</v>
      </c>
      <c r="B1648">
        <v>25</v>
      </c>
      <c r="C1648">
        <v>45</v>
      </c>
      <c r="D1648">
        <v>0.65401200000000004</v>
      </c>
      <c r="E1648">
        <v>-0.736259</v>
      </c>
      <c r="F1648">
        <v>-0.68782600000000005</v>
      </c>
      <c r="G1648">
        <v>-0.71950199999999997</v>
      </c>
    </row>
    <row r="1649" spans="1:7">
      <c r="A1649" t="s">
        <v>144</v>
      </c>
      <c r="B1649">
        <v>25</v>
      </c>
      <c r="C1649">
        <v>46</v>
      </c>
      <c r="D1649">
        <v>0.65401200000000004</v>
      </c>
      <c r="E1649">
        <v>0.333872</v>
      </c>
      <c r="F1649">
        <v>0.49864199999999997</v>
      </c>
      <c r="G1649">
        <v>0.39088099999999998</v>
      </c>
    </row>
    <row r="1650" spans="1:7">
      <c r="A1650" t="s">
        <v>144</v>
      </c>
      <c r="B1650">
        <v>25</v>
      </c>
      <c r="C1650">
        <v>47</v>
      </c>
      <c r="D1650">
        <v>0.65401200000000004</v>
      </c>
      <c r="E1650">
        <v>-5.3651999999999998E-2</v>
      </c>
      <c r="F1650">
        <v>0.27842</v>
      </c>
      <c r="G1650">
        <v>6.1240999999999997E-2</v>
      </c>
    </row>
    <row r="1651" spans="1:7">
      <c r="A1651" t="s">
        <v>144</v>
      </c>
      <c r="B1651">
        <v>25</v>
      </c>
      <c r="C1651">
        <v>48</v>
      </c>
      <c r="D1651">
        <v>0.65401200000000004</v>
      </c>
      <c r="E1651">
        <v>0.63624999999999998</v>
      </c>
      <c r="F1651">
        <v>-0.36036299999999999</v>
      </c>
      <c r="G1651">
        <v>0.29143400000000003</v>
      </c>
    </row>
    <row r="1652" spans="1:7">
      <c r="A1652" t="s">
        <v>144</v>
      </c>
      <c r="B1652">
        <v>25</v>
      </c>
      <c r="C1652">
        <v>49</v>
      </c>
      <c r="D1652">
        <v>0.65401200000000004</v>
      </c>
      <c r="E1652">
        <v>0.13528899999999999</v>
      </c>
      <c r="F1652">
        <v>0.17630499999999999</v>
      </c>
      <c r="G1652">
        <v>0.14948</v>
      </c>
    </row>
    <row r="1653" spans="1:7">
      <c r="A1653" t="s">
        <v>144</v>
      </c>
      <c r="B1653" t="s">
        <v>145</v>
      </c>
      <c r="C1653">
        <v>26</v>
      </c>
    </row>
    <row r="1654" spans="1:7">
      <c r="A1654" t="s">
        <v>144</v>
      </c>
      <c r="B1654" t="s">
        <v>146</v>
      </c>
      <c r="C1654">
        <v>48</v>
      </c>
    </row>
    <row r="1655" spans="1:7">
      <c r="A1655" t="s">
        <v>144</v>
      </c>
      <c r="B1655" t="s">
        <v>147</v>
      </c>
      <c r="C1655">
        <v>48</v>
      </c>
    </row>
    <row r="1656" spans="1:7">
      <c r="A1656" t="s">
        <v>144</v>
      </c>
      <c r="B1656" t="s">
        <v>148</v>
      </c>
      <c r="C1656">
        <v>0.68697200000000003</v>
      </c>
    </row>
    <row r="1657" spans="1:7">
      <c r="A1657" t="s">
        <v>144</v>
      </c>
      <c r="B1657" t="s">
        <v>149</v>
      </c>
      <c r="C1657">
        <v>0.68697200000000003</v>
      </c>
    </row>
    <row r="1658" spans="1:7">
      <c r="A1658" t="s">
        <v>144</v>
      </c>
      <c r="B1658" t="s">
        <v>150</v>
      </c>
      <c r="C1658">
        <v>-1</v>
      </c>
    </row>
    <row r="1659" spans="1:7">
      <c r="A1659" t="s">
        <v>144</v>
      </c>
      <c r="B1659" t="s">
        <v>151</v>
      </c>
      <c r="C1659">
        <v>-1</v>
      </c>
    </row>
    <row r="1660" spans="1:7">
      <c r="A1660" t="s">
        <v>144</v>
      </c>
      <c r="B1660" t="s">
        <v>152</v>
      </c>
      <c r="C1660">
        <v>15</v>
      </c>
    </row>
    <row r="1661" spans="1:7">
      <c r="A1661" t="s">
        <v>144</v>
      </c>
      <c r="B1661" t="s">
        <v>153</v>
      </c>
      <c r="C1661">
        <v>15</v>
      </c>
    </row>
    <row r="1662" spans="1:7">
      <c r="A1662" t="s">
        <v>144</v>
      </c>
      <c r="B1662" t="s">
        <v>154</v>
      </c>
      <c r="C1662">
        <v>0</v>
      </c>
    </row>
    <row r="1663" spans="1:7">
      <c r="A1663" t="s">
        <v>144</v>
      </c>
      <c r="B1663" t="s">
        <v>155</v>
      </c>
    </row>
    <row r="1664" spans="1:7">
      <c r="A1664" t="s">
        <v>144</v>
      </c>
      <c r="B1664" t="s">
        <v>150</v>
      </c>
      <c r="C1664">
        <v>0.24192</v>
      </c>
    </row>
    <row r="1665" spans="1:7">
      <c r="A1665" t="s">
        <v>144</v>
      </c>
      <c r="B1665" t="s">
        <v>151</v>
      </c>
      <c r="C1665">
        <v>0.24192</v>
      </c>
    </row>
    <row r="1666" spans="1:7">
      <c r="A1666" t="s">
        <v>144</v>
      </c>
      <c r="B1666" t="s">
        <v>156</v>
      </c>
      <c r="C1666" t="s">
        <v>157</v>
      </c>
      <c r="D1666" t="s">
        <v>63</v>
      </c>
      <c r="E1666" t="s">
        <v>158</v>
      </c>
      <c r="F1666" t="s">
        <v>159</v>
      </c>
      <c r="G1666" t="s">
        <v>160</v>
      </c>
    </row>
    <row r="1667" spans="1:7">
      <c r="A1667" t="s">
        <v>144</v>
      </c>
      <c r="B1667">
        <v>26</v>
      </c>
      <c r="C1667">
        <v>0</v>
      </c>
      <c r="D1667">
        <v>0.24192</v>
      </c>
      <c r="E1667">
        <v>-0.91820999999999997</v>
      </c>
      <c r="F1667">
        <v>-1</v>
      </c>
      <c r="G1667">
        <v>-0.91820999999999997</v>
      </c>
    </row>
    <row r="1668" spans="1:7">
      <c r="A1668" t="s">
        <v>144</v>
      </c>
      <c r="B1668">
        <v>26</v>
      </c>
      <c r="C1668">
        <v>1</v>
      </c>
      <c r="D1668">
        <v>0.24192</v>
      </c>
      <c r="E1668">
        <v>0.55564999999999998</v>
      </c>
      <c r="F1668">
        <v>-1</v>
      </c>
      <c r="G1668">
        <v>0.55564999999999998</v>
      </c>
    </row>
    <row r="1669" spans="1:7">
      <c r="A1669" t="s">
        <v>144</v>
      </c>
      <c r="B1669">
        <v>26</v>
      </c>
      <c r="C1669">
        <v>2</v>
      </c>
      <c r="D1669">
        <v>0.24192</v>
      </c>
      <c r="E1669">
        <v>-2.1668E-2</v>
      </c>
      <c r="F1669">
        <v>-1</v>
      </c>
      <c r="G1669">
        <v>-2.1668E-2</v>
      </c>
    </row>
    <row r="1670" spans="1:7">
      <c r="A1670" t="s">
        <v>144</v>
      </c>
      <c r="B1670">
        <v>26</v>
      </c>
      <c r="C1670">
        <v>3</v>
      </c>
      <c r="D1670">
        <v>0.24192</v>
      </c>
      <c r="E1670">
        <v>-0.53111399999999998</v>
      </c>
      <c r="F1670">
        <v>-1</v>
      </c>
      <c r="G1670">
        <v>-0.53111399999999998</v>
      </c>
    </row>
    <row r="1671" spans="1:7">
      <c r="A1671" t="s">
        <v>144</v>
      </c>
      <c r="B1671">
        <v>26</v>
      </c>
      <c r="C1671">
        <v>4</v>
      </c>
      <c r="D1671">
        <v>0.24192</v>
      </c>
      <c r="E1671">
        <v>0.73619800000000002</v>
      </c>
      <c r="F1671">
        <v>-1</v>
      </c>
      <c r="G1671">
        <v>0.73619800000000002</v>
      </c>
    </row>
    <row r="1672" spans="1:7">
      <c r="A1672" t="s">
        <v>144</v>
      </c>
      <c r="B1672">
        <v>26</v>
      </c>
      <c r="C1672">
        <v>5</v>
      </c>
      <c r="D1672">
        <v>0.24192</v>
      </c>
      <c r="E1672">
        <v>-0.23203199999999999</v>
      </c>
      <c r="F1672">
        <v>-1</v>
      </c>
      <c r="G1672">
        <v>-0.23203199999999999</v>
      </c>
    </row>
    <row r="1673" spans="1:7">
      <c r="A1673" t="s">
        <v>144</v>
      </c>
      <c r="B1673">
        <v>26</v>
      </c>
      <c r="C1673">
        <v>6</v>
      </c>
      <c r="D1673">
        <v>0.24192</v>
      </c>
      <c r="E1673">
        <v>0.14258199999999999</v>
      </c>
      <c r="F1673">
        <v>-1</v>
      </c>
      <c r="G1673">
        <v>0.14258199999999999</v>
      </c>
    </row>
    <row r="1674" spans="1:7">
      <c r="A1674" t="s">
        <v>144</v>
      </c>
      <c r="B1674">
        <v>26</v>
      </c>
      <c r="C1674">
        <v>7</v>
      </c>
      <c r="D1674">
        <v>0.24192</v>
      </c>
      <c r="E1674">
        <v>-0.74666600000000005</v>
      </c>
      <c r="F1674">
        <v>-1</v>
      </c>
      <c r="G1674">
        <v>-0.74666600000000005</v>
      </c>
    </row>
    <row r="1675" spans="1:7">
      <c r="A1675" t="s">
        <v>144</v>
      </c>
      <c r="B1675">
        <v>26</v>
      </c>
      <c r="C1675">
        <v>8</v>
      </c>
      <c r="D1675">
        <v>0.24192</v>
      </c>
      <c r="E1675">
        <v>-0.27732200000000001</v>
      </c>
      <c r="F1675">
        <v>-1</v>
      </c>
      <c r="G1675">
        <v>-0.27732200000000001</v>
      </c>
    </row>
    <row r="1676" spans="1:7">
      <c r="A1676" t="s">
        <v>144</v>
      </c>
      <c r="B1676">
        <v>26</v>
      </c>
      <c r="C1676">
        <v>9</v>
      </c>
      <c r="D1676">
        <v>0.24192</v>
      </c>
      <c r="E1676">
        <v>-0.59187599999999996</v>
      </c>
      <c r="F1676">
        <v>-1</v>
      </c>
      <c r="G1676">
        <v>-0.59187599999999996</v>
      </c>
    </row>
    <row r="1677" spans="1:7">
      <c r="A1677" t="s">
        <v>144</v>
      </c>
      <c r="B1677">
        <v>26</v>
      </c>
      <c r="C1677">
        <v>10</v>
      </c>
      <c r="D1677">
        <v>0.24192</v>
      </c>
      <c r="E1677">
        <v>-0.48966900000000002</v>
      </c>
      <c r="F1677">
        <v>-1</v>
      </c>
      <c r="G1677">
        <v>-0.48966900000000002</v>
      </c>
    </row>
    <row r="1678" spans="1:7">
      <c r="A1678" t="s">
        <v>144</v>
      </c>
      <c r="B1678">
        <v>26</v>
      </c>
      <c r="C1678">
        <v>11</v>
      </c>
      <c r="D1678">
        <v>0.24192</v>
      </c>
      <c r="E1678">
        <v>-0.177068</v>
      </c>
      <c r="F1678">
        <v>-1</v>
      </c>
      <c r="G1678">
        <v>-0.177068</v>
      </c>
    </row>
    <row r="1679" spans="1:7">
      <c r="A1679" t="s">
        <v>144</v>
      </c>
      <c r="B1679">
        <v>26</v>
      </c>
      <c r="C1679">
        <v>12</v>
      </c>
      <c r="D1679">
        <v>0.24192</v>
      </c>
      <c r="E1679">
        <v>0.86300200000000005</v>
      </c>
      <c r="F1679">
        <v>-1</v>
      </c>
      <c r="G1679">
        <v>0.86300200000000005</v>
      </c>
    </row>
    <row r="1680" spans="1:7">
      <c r="A1680" t="s">
        <v>144</v>
      </c>
      <c r="B1680">
        <v>26</v>
      </c>
      <c r="C1680">
        <v>13</v>
      </c>
      <c r="D1680">
        <v>0.24192</v>
      </c>
      <c r="E1680">
        <v>-0.847499</v>
      </c>
      <c r="F1680">
        <v>-1</v>
      </c>
      <c r="G1680">
        <v>-0.847499</v>
      </c>
    </row>
    <row r="1681" spans="1:7">
      <c r="A1681" t="s">
        <v>144</v>
      </c>
      <c r="B1681">
        <v>26</v>
      </c>
      <c r="C1681">
        <v>14</v>
      </c>
      <c r="D1681">
        <v>0.24192</v>
      </c>
      <c r="E1681">
        <v>0.85705100000000001</v>
      </c>
      <c r="F1681">
        <v>-1</v>
      </c>
      <c r="G1681">
        <v>0.85705100000000001</v>
      </c>
    </row>
    <row r="1682" spans="1:7">
      <c r="A1682" t="s">
        <v>144</v>
      </c>
      <c r="B1682">
        <v>26</v>
      </c>
      <c r="C1682">
        <v>15</v>
      </c>
      <c r="D1682">
        <v>0.24192</v>
      </c>
      <c r="E1682">
        <v>0.91418200000000005</v>
      </c>
      <c r="F1682">
        <v>-0.63606700000000005</v>
      </c>
      <c r="G1682">
        <v>-0.26102999999999998</v>
      </c>
    </row>
    <row r="1683" spans="1:7">
      <c r="A1683" t="s">
        <v>144</v>
      </c>
      <c r="B1683">
        <v>26</v>
      </c>
      <c r="C1683">
        <v>16</v>
      </c>
      <c r="D1683">
        <v>0.24192</v>
      </c>
      <c r="E1683">
        <v>0.82726500000000003</v>
      </c>
      <c r="F1683">
        <v>-4.2451000000000003E-2</v>
      </c>
      <c r="G1683">
        <v>0.16795099999999999</v>
      </c>
    </row>
    <row r="1684" spans="1:7">
      <c r="A1684" t="s">
        <v>144</v>
      </c>
      <c r="B1684">
        <v>26</v>
      </c>
      <c r="C1684">
        <v>17</v>
      </c>
      <c r="D1684">
        <v>0.24192</v>
      </c>
      <c r="E1684">
        <v>-0.57658600000000004</v>
      </c>
      <c r="F1684">
        <v>0.13303000000000001</v>
      </c>
      <c r="G1684">
        <v>-3.8640000000000001E-2</v>
      </c>
    </row>
    <row r="1685" spans="1:7">
      <c r="A1685" t="s">
        <v>144</v>
      </c>
      <c r="B1685">
        <v>26</v>
      </c>
      <c r="C1685">
        <v>18</v>
      </c>
      <c r="D1685">
        <v>0.24192</v>
      </c>
      <c r="E1685">
        <v>-0.57695200000000002</v>
      </c>
      <c r="F1685">
        <v>-0.56825499999999995</v>
      </c>
      <c r="G1685">
        <v>-0.57035899999999995</v>
      </c>
    </row>
    <row r="1686" spans="1:7">
      <c r="A1686" t="s">
        <v>144</v>
      </c>
      <c r="B1686">
        <v>26</v>
      </c>
      <c r="C1686">
        <v>19</v>
      </c>
      <c r="D1686">
        <v>0.24192</v>
      </c>
      <c r="E1686">
        <v>-0.143651</v>
      </c>
      <c r="F1686">
        <v>-0.56901800000000002</v>
      </c>
      <c r="G1686">
        <v>-0.466113</v>
      </c>
    </row>
    <row r="1687" spans="1:7">
      <c r="A1687" t="s">
        <v>144</v>
      </c>
      <c r="B1687">
        <v>26</v>
      </c>
      <c r="C1687">
        <v>20</v>
      </c>
      <c r="D1687">
        <v>0.24192</v>
      </c>
      <c r="E1687">
        <v>-0.59919999999999995</v>
      </c>
      <c r="F1687">
        <v>-0.86654299999999995</v>
      </c>
      <c r="G1687">
        <v>-0.801867</v>
      </c>
    </row>
    <row r="1688" spans="1:7">
      <c r="A1688" t="s">
        <v>144</v>
      </c>
      <c r="B1688">
        <v>26</v>
      </c>
      <c r="C1688">
        <v>21</v>
      </c>
      <c r="D1688">
        <v>0.24192</v>
      </c>
      <c r="E1688">
        <v>0.46052399999999999</v>
      </c>
      <c r="F1688">
        <v>0.97677499999999995</v>
      </c>
      <c r="G1688">
        <v>0.85188399999999997</v>
      </c>
    </row>
    <row r="1689" spans="1:7">
      <c r="A1689" t="s">
        <v>144</v>
      </c>
      <c r="B1689">
        <v>26</v>
      </c>
      <c r="C1689">
        <v>22</v>
      </c>
      <c r="D1689">
        <v>0.24192</v>
      </c>
      <c r="E1689">
        <v>0.16437299999999999</v>
      </c>
      <c r="F1689">
        <v>0.21012</v>
      </c>
      <c r="G1689">
        <v>0.19905300000000001</v>
      </c>
    </row>
    <row r="1690" spans="1:7">
      <c r="A1690" t="s">
        <v>144</v>
      </c>
      <c r="B1690">
        <v>26</v>
      </c>
      <c r="C1690">
        <v>23</v>
      </c>
      <c r="D1690">
        <v>0.24192</v>
      </c>
      <c r="E1690">
        <v>0.94589100000000004</v>
      </c>
      <c r="F1690">
        <v>0.60985100000000003</v>
      </c>
      <c r="G1690">
        <v>0.69114600000000004</v>
      </c>
    </row>
    <row r="1691" spans="1:7">
      <c r="A1691" t="s">
        <v>144</v>
      </c>
      <c r="B1691">
        <v>26</v>
      </c>
      <c r="C1691">
        <v>24</v>
      </c>
      <c r="D1691">
        <v>0.24192</v>
      </c>
      <c r="E1691">
        <v>-0.90969599999999995</v>
      </c>
      <c r="F1691">
        <v>-6.1463999999999998E-2</v>
      </c>
      <c r="G1691">
        <v>-0.26666899999999999</v>
      </c>
    </row>
    <row r="1692" spans="1:7">
      <c r="A1692" t="s">
        <v>144</v>
      </c>
      <c r="B1692">
        <v>26</v>
      </c>
      <c r="C1692">
        <v>25</v>
      </c>
      <c r="D1692">
        <v>0.24192</v>
      </c>
      <c r="E1692">
        <v>0.147588</v>
      </c>
      <c r="F1692">
        <v>-0.25559300000000001</v>
      </c>
      <c r="G1692">
        <v>-0.158055</v>
      </c>
    </row>
    <row r="1693" spans="1:7">
      <c r="A1693" t="s">
        <v>144</v>
      </c>
      <c r="B1693">
        <v>26</v>
      </c>
      <c r="C1693">
        <v>26</v>
      </c>
      <c r="D1693">
        <v>0.24192</v>
      </c>
      <c r="E1693">
        <v>-8.6611999999999995E-2</v>
      </c>
      <c r="F1693">
        <v>-0.14041600000000001</v>
      </c>
      <c r="G1693">
        <v>-0.12739900000000001</v>
      </c>
    </row>
    <row r="1694" spans="1:7">
      <c r="A1694" t="s">
        <v>144</v>
      </c>
      <c r="B1694">
        <v>26</v>
      </c>
      <c r="C1694">
        <v>27</v>
      </c>
      <c r="D1694">
        <v>0.24192</v>
      </c>
      <c r="E1694">
        <v>-0.22159499999999999</v>
      </c>
      <c r="F1694">
        <v>9.7110000000000002E-2</v>
      </c>
      <c r="G1694">
        <v>2.0008999999999999E-2</v>
      </c>
    </row>
    <row r="1695" spans="1:7">
      <c r="A1695" t="s">
        <v>144</v>
      </c>
      <c r="B1695">
        <v>26</v>
      </c>
      <c r="C1695">
        <v>28</v>
      </c>
      <c r="D1695">
        <v>0.24192</v>
      </c>
      <c r="E1695">
        <v>0.123447</v>
      </c>
      <c r="F1695">
        <v>-0.43183700000000003</v>
      </c>
      <c r="G1695">
        <v>-0.29750199999999999</v>
      </c>
    </row>
    <row r="1696" spans="1:7">
      <c r="A1696" t="s">
        <v>144</v>
      </c>
      <c r="B1696">
        <v>26</v>
      </c>
      <c r="C1696">
        <v>29</v>
      </c>
      <c r="D1696">
        <v>0.24192</v>
      </c>
      <c r="E1696">
        <v>-0.24124899999999999</v>
      </c>
      <c r="F1696">
        <v>-3.0304999999999999E-2</v>
      </c>
      <c r="G1696">
        <v>-8.1336000000000006E-2</v>
      </c>
    </row>
    <row r="1697" spans="1:7">
      <c r="A1697" t="s">
        <v>144</v>
      </c>
      <c r="B1697">
        <v>26</v>
      </c>
      <c r="C1697">
        <v>30</v>
      </c>
      <c r="D1697">
        <v>0.24192</v>
      </c>
      <c r="E1697">
        <v>0.65776500000000004</v>
      </c>
      <c r="F1697">
        <v>0.28867500000000001</v>
      </c>
      <c r="G1697">
        <v>0.377965</v>
      </c>
    </row>
    <row r="1698" spans="1:7">
      <c r="A1698" t="s">
        <v>144</v>
      </c>
      <c r="B1698">
        <v>26</v>
      </c>
      <c r="C1698">
        <v>31</v>
      </c>
      <c r="D1698">
        <v>0.24192</v>
      </c>
      <c r="E1698">
        <v>-0.74282099999999995</v>
      </c>
      <c r="F1698">
        <v>-0.84215799999999996</v>
      </c>
      <c r="G1698">
        <v>-0.81812600000000002</v>
      </c>
    </row>
    <row r="1699" spans="1:7">
      <c r="A1699" t="s">
        <v>144</v>
      </c>
      <c r="B1699">
        <v>26</v>
      </c>
      <c r="C1699">
        <v>32</v>
      </c>
      <c r="D1699">
        <v>0.24192</v>
      </c>
      <c r="E1699">
        <v>-0.69634099999999999</v>
      </c>
      <c r="F1699">
        <v>-0.28711799999999998</v>
      </c>
      <c r="G1699">
        <v>-0.38611699999999999</v>
      </c>
    </row>
    <row r="1700" spans="1:7">
      <c r="A1700" t="s">
        <v>144</v>
      </c>
      <c r="B1700">
        <v>26</v>
      </c>
      <c r="C1700">
        <v>33</v>
      </c>
      <c r="D1700">
        <v>0.24192</v>
      </c>
      <c r="E1700">
        <v>0.413495</v>
      </c>
      <c r="F1700">
        <v>0.15668199999999999</v>
      </c>
      <c r="G1700">
        <v>0.21881</v>
      </c>
    </row>
    <row r="1701" spans="1:7">
      <c r="A1701" t="s">
        <v>144</v>
      </c>
      <c r="B1701">
        <v>26</v>
      </c>
      <c r="C1701">
        <v>34</v>
      </c>
      <c r="D1701">
        <v>0.24192</v>
      </c>
      <c r="E1701">
        <v>-5.8199000000000001E-2</v>
      </c>
      <c r="F1701">
        <v>-0.98983699999999997</v>
      </c>
      <c r="G1701">
        <v>-0.764455</v>
      </c>
    </row>
    <row r="1702" spans="1:7">
      <c r="A1702" t="s">
        <v>144</v>
      </c>
      <c r="B1702">
        <v>26</v>
      </c>
      <c r="C1702">
        <v>35</v>
      </c>
      <c r="D1702">
        <v>0.24192</v>
      </c>
      <c r="E1702">
        <v>0.32850099999999999</v>
      </c>
      <c r="F1702">
        <v>-0.55476499999999995</v>
      </c>
      <c r="G1702">
        <v>-0.34108500000000003</v>
      </c>
    </row>
    <row r="1703" spans="1:7">
      <c r="A1703" t="s">
        <v>144</v>
      </c>
      <c r="B1703">
        <v>26</v>
      </c>
      <c r="C1703">
        <v>36</v>
      </c>
      <c r="D1703">
        <v>0.24192</v>
      </c>
      <c r="E1703">
        <v>-0.75701200000000002</v>
      </c>
      <c r="F1703">
        <v>0.273812</v>
      </c>
      <c r="G1703">
        <v>2.4434999999999998E-2</v>
      </c>
    </row>
    <row r="1704" spans="1:7">
      <c r="A1704" t="s">
        <v>144</v>
      </c>
      <c r="B1704">
        <v>26</v>
      </c>
      <c r="C1704">
        <v>37</v>
      </c>
      <c r="D1704">
        <v>0.24192</v>
      </c>
      <c r="E1704">
        <v>0.64299399999999995</v>
      </c>
      <c r="F1704">
        <v>-0.77385800000000005</v>
      </c>
      <c r="G1704">
        <v>-0.431093</v>
      </c>
    </row>
    <row r="1705" spans="1:7">
      <c r="A1705" t="s">
        <v>144</v>
      </c>
      <c r="B1705">
        <v>26</v>
      </c>
      <c r="C1705">
        <v>38</v>
      </c>
      <c r="D1705">
        <v>0.24192</v>
      </c>
      <c r="E1705">
        <v>-0.47920200000000002</v>
      </c>
      <c r="F1705">
        <v>-0.37876500000000002</v>
      </c>
      <c r="G1705">
        <v>-0.403063</v>
      </c>
    </row>
    <row r="1706" spans="1:7">
      <c r="A1706" t="s">
        <v>144</v>
      </c>
      <c r="B1706">
        <v>26</v>
      </c>
      <c r="C1706">
        <v>39</v>
      </c>
      <c r="D1706">
        <v>0.24192</v>
      </c>
      <c r="E1706">
        <v>-0.14542099999999999</v>
      </c>
      <c r="F1706">
        <v>-0.394177</v>
      </c>
      <c r="G1706">
        <v>-0.33399800000000002</v>
      </c>
    </row>
    <row r="1707" spans="1:7">
      <c r="A1707" t="s">
        <v>144</v>
      </c>
      <c r="B1707">
        <v>26</v>
      </c>
      <c r="C1707">
        <v>40</v>
      </c>
      <c r="D1707">
        <v>0.24192</v>
      </c>
      <c r="E1707">
        <v>-0.81417300000000004</v>
      </c>
      <c r="F1707">
        <v>-0.33256000000000002</v>
      </c>
      <c r="G1707">
        <v>-0.44907200000000003</v>
      </c>
    </row>
    <row r="1708" spans="1:7">
      <c r="A1708" t="s">
        <v>144</v>
      </c>
      <c r="B1708">
        <v>26</v>
      </c>
      <c r="C1708">
        <v>41</v>
      </c>
      <c r="D1708">
        <v>0.24192</v>
      </c>
      <c r="E1708">
        <v>-0.57850900000000005</v>
      </c>
      <c r="F1708">
        <v>-0.91750799999999999</v>
      </c>
      <c r="G1708">
        <v>-0.83549799999999996</v>
      </c>
    </row>
    <row r="1709" spans="1:7">
      <c r="A1709" t="s">
        <v>144</v>
      </c>
      <c r="B1709">
        <v>26</v>
      </c>
      <c r="C1709">
        <v>42</v>
      </c>
      <c r="D1709">
        <v>0.24192</v>
      </c>
      <c r="E1709">
        <v>-0.39243800000000001</v>
      </c>
      <c r="F1709">
        <v>0.90981800000000002</v>
      </c>
      <c r="G1709">
        <v>0.59477599999999997</v>
      </c>
    </row>
    <row r="1710" spans="1:7">
      <c r="A1710" t="s">
        <v>144</v>
      </c>
      <c r="B1710">
        <v>26</v>
      </c>
      <c r="C1710">
        <v>43</v>
      </c>
      <c r="D1710">
        <v>0.24192</v>
      </c>
      <c r="E1710">
        <v>0.13391500000000001</v>
      </c>
      <c r="F1710">
        <v>0.64470400000000005</v>
      </c>
      <c r="G1710">
        <v>0.52113299999999996</v>
      </c>
    </row>
    <row r="1711" spans="1:7">
      <c r="A1711" t="s">
        <v>144</v>
      </c>
      <c r="B1711">
        <v>26</v>
      </c>
      <c r="C1711">
        <v>44</v>
      </c>
      <c r="D1711">
        <v>0.24192</v>
      </c>
      <c r="E1711">
        <v>0.58854899999999999</v>
      </c>
      <c r="F1711">
        <v>-0.780053</v>
      </c>
      <c r="G1711">
        <v>-0.44896000000000003</v>
      </c>
    </row>
    <row r="1712" spans="1:7">
      <c r="A1712" t="s">
        <v>144</v>
      </c>
      <c r="B1712">
        <v>26</v>
      </c>
      <c r="C1712">
        <v>45</v>
      </c>
      <c r="D1712">
        <v>0.24192</v>
      </c>
      <c r="E1712">
        <v>2.7130999999999999E-2</v>
      </c>
      <c r="F1712">
        <v>-0.25827800000000001</v>
      </c>
      <c r="G1712">
        <v>-0.18923200000000001</v>
      </c>
    </row>
    <row r="1713" spans="1:7">
      <c r="A1713" t="s">
        <v>144</v>
      </c>
      <c r="B1713">
        <v>26</v>
      </c>
      <c r="C1713">
        <v>46</v>
      </c>
      <c r="D1713">
        <v>0.24192</v>
      </c>
      <c r="E1713">
        <v>0.94451700000000005</v>
      </c>
      <c r="F1713">
        <v>-1.2819999999999999E-3</v>
      </c>
      <c r="G1713">
        <v>0.22752600000000001</v>
      </c>
    </row>
    <row r="1714" spans="1:7">
      <c r="A1714" t="s">
        <v>144</v>
      </c>
      <c r="B1714">
        <v>26</v>
      </c>
      <c r="C1714">
        <v>47</v>
      </c>
      <c r="D1714">
        <v>0.24192</v>
      </c>
      <c r="E1714">
        <v>-0.55867199999999995</v>
      </c>
      <c r="F1714">
        <v>-0.51655600000000002</v>
      </c>
      <c r="G1714">
        <v>-0.52674500000000002</v>
      </c>
    </row>
    <row r="1715" spans="1:7">
      <c r="A1715" t="s">
        <v>144</v>
      </c>
      <c r="B1715">
        <v>26</v>
      </c>
      <c r="C1715">
        <v>48</v>
      </c>
      <c r="D1715">
        <v>0.24192</v>
      </c>
      <c r="E1715">
        <v>-0.97006099999999995</v>
      </c>
      <c r="F1715">
        <v>-0.51606799999999997</v>
      </c>
      <c r="G1715">
        <v>-0.62589799999999995</v>
      </c>
    </row>
    <row r="1716" spans="1:7">
      <c r="A1716" t="s">
        <v>144</v>
      </c>
      <c r="B1716">
        <v>26</v>
      </c>
      <c r="C1716">
        <v>49</v>
      </c>
      <c r="D1716">
        <v>0.24192</v>
      </c>
      <c r="E1716">
        <v>-0.56761399999999995</v>
      </c>
      <c r="F1716">
        <v>-0.96496499999999996</v>
      </c>
      <c r="G1716">
        <v>-0.868838</v>
      </c>
    </row>
    <row r="1717" spans="1:7">
      <c r="A1717" t="s">
        <v>144</v>
      </c>
      <c r="B1717" t="s">
        <v>145</v>
      </c>
      <c r="C1717">
        <v>27</v>
      </c>
    </row>
    <row r="1718" spans="1:7">
      <c r="A1718" t="s">
        <v>144</v>
      </c>
      <c r="B1718" t="s">
        <v>146</v>
      </c>
      <c r="C1718">
        <v>95</v>
      </c>
    </row>
    <row r="1719" spans="1:7">
      <c r="A1719" t="s">
        <v>144</v>
      </c>
      <c r="B1719" t="s">
        <v>147</v>
      </c>
      <c r="C1719">
        <v>95</v>
      </c>
    </row>
    <row r="1720" spans="1:7">
      <c r="A1720" t="s">
        <v>144</v>
      </c>
      <c r="B1720" t="s">
        <v>148</v>
      </c>
      <c r="C1720">
        <v>0.97274700000000003</v>
      </c>
    </row>
    <row r="1721" spans="1:7">
      <c r="A1721" t="s">
        <v>144</v>
      </c>
      <c r="B1721" t="s">
        <v>149</v>
      </c>
      <c r="C1721">
        <v>0.97274700000000003</v>
      </c>
    </row>
    <row r="1722" spans="1:7">
      <c r="A1722" t="s">
        <v>144</v>
      </c>
      <c r="B1722" t="s">
        <v>150</v>
      </c>
      <c r="C1722">
        <v>-1</v>
      </c>
    </row>
    <row r="1723" spans="1:7">
      <c r="A1723" t="s">
        <v>144</v>
      </c>
      <c r="B1723" t="s">
        <v>151</v>
      </c>
      <c r="C1723">
        <v>-1</v>
      </c>
    </row>
    <row r="1724" spans="1:7">
      <c r="A1724" t="s">
        <v>144</v>
      </c>
      <c r="B1724" t="s">
        <v>152</v>
      </c>
      <c r="C1724">
        <v>46</v>
      </c>
    </row>
    <row r="1725" spans="1:7">
      <c r="A1725" t="s">
        <v>144</v>
      </c>
      <c r="B1725" t="s">
        <v>153</v>
      </c>
      <c r="C1725">
        <v>46</v>
      </c>
    </row>
    <row r="1726" spans="1:7">
      <c r="A1726" t="s">
        <v>144</v>
      </c>
      <c r="B1726" t="s">
        <v>154</v>
      </c>
      <c r="C1726">
        <v>0</v>
      </c>
    </row>
    <row r="1727" spans="1:7">
      <c r="A1727" t="s">
        <v>144</v>
      </c>
      <c r="B1727" t="s">
        <v>161</v>
      </c>
    </row>
    <row r="1728" spans="1:7">
      <c r="A1728" t="s">
        <v>144</v>
      </c>
      <c r="B1728">
        <v>27</v>
      </c>
      <c r="C1728">
        <v>0</v>
      </c>
      <c r="D1728">
        <v>-1</v>
      </c>
      <c r="E1728">
        <v>0.60835600000000001</v>
      </c>
      <c r="F1728">
        <v>-1</v>
      </c>
      <c r="G1728">
        <v>0.60835600000000001</v>
      </c>
    </row>
    <row r="1729" spans="1:7">
      <c r="A1729" t="s">
        <v>144</v>
      </c>
      <c r="B1729">
        <v>27</v>
      </c>
      <c r="C1729">
        <v>1</v>
      </c>
      <c r="D1729">
        <v>-1</v>
      </c>
      <c r="E1729">
        <v>0.390515</v>
      </c>
      <c r="F1729">
        <v>-1</v>
      </c>
      <c r="G1729">
        <v>0.390515</v>
      </c>
    </row>
    <row r="1730" spans="1:7">
      <c r="A1730" t="s">
        <v>144</v>
      </c>
      <c r="B1730">
        <v>27</v>
      </c>
      <c r="C1730">
        <v>2</v>
      </c>
      <c r="D1730">
        <v>-1</v>
      </c>
      <c r="E1730">
        <v>0.249031</v>
      </c>
      <c r="F1730">
        <v>-1</v>
      </c>
      <c r="G1730">
        <v>0.249031</v>
      </c>
    </row>
    <row r="1731" spans="1:7">
      <c r="A1731" t="s">
        <v>144</v>
      </c>
      <c r="B1731">
        <v>27</v>
      </c>
      <c r="C1731">
        <v>3</v>
      </c>
      <c r="D1731">
        <v>-1</v>
      </c>
      <c r="E1731">
        <v>0.91204600000000002</v>
      </c>
      <c r="F1731">
        <v>-1</v>
      </c>
      <c r="G1731">
        <v>0.91204600000000002</v>
      </c>
    </row>
    <row r="1732" spans="1:7">
      <c r="A1732" t="s">
        <v>144</v>
      </c>
      <c r="B1732">
        <v>27</v>
      </c>
      <c r="C1732">
        <v>4</v>
      </c>
      <c r="D1732">
        <v>-1</v>
      </c>
      <c r="E1732">
        <v>0.40409600000000001</v>
      </c>
      <c r="F1732">
        <v>-1</v>
      </c>
      <c r="G1732">
        <v>0.40409600000000001</v>
      </c>
    </row>
    <row r="1733" spans="1:7">
      <c r="A1733" t="s">
        <v>144</v>
      </c>
      <c r="B1733">
        <v>27</v>
      </c>
      <c r="C1733">
        <v>5</v>
      </c>
      <c r="D1733">
        <v>-1</v>
      </c>
      <c r="E1733">
        <v>-0.438581</v>
      </c>
      <c r="F1733">
        <v>-1</v>
      </c>
      <c r="G1733">
        <v>-0.438581</v>
      </c>
    </row>
    <row r="1734" spans="1:7">
      <c r="A1734" t="s">
        <v>144</v>
      </c>
      <c r="B1734">
        <v>27</v>
      </c>
      <c r="C1734">
        <v>6</v>
      </c>
      <c r="D1734">
        <v>-1</v>
      </c>
      <c r="E1734">
        <v>-0.111759</v>
      </c>
      <c r="F1734">
        <v>-1</v>
      </c>
      <c r="G1734">
        <v>-0.111759</v>
      </c>
    </row>
    <row r="1735" spans="1:7">
      <c r="A1735" t="s">
        <v>144</v>
      </c>
      <c r="B1735">
        <v>27</v>
      </c>
      <c r="C1735">
        <v>7</v>
      </c>
      <c r="D1735">
        <v>-1</v>
      </c>
      <c r="E1735">
        <v>-0.62810100000000002</v>
      </c>
      <c r="F1735">
        <v>-1</v>
      </c>
      <c r="G1735">
        <v>-0.62810100000000002</v>
      </c>
    </row>
    <row r="1736" spans="1:7">
      <c r="A1736" t="s">
        <v>144</v>
      </c>
      <c r="B1736">
        <v>27</v>
      </c>
      <c r="C1736">
        <v>8</v>
      </c>
      <c r="D1736">
        <v>-1</v>
      </c>
      <c r="E1736">
        <v>-0.114658</v>
      </c>
      <c r="F1736">
        <v>-1</v>
      </c>
      <c r="G1736">
        <v>-0.114658</v>
      </c>
    </row>
    <row r="1737" spans="1:7">
      <c r="A1737" t="s">
        <v>144</v>
      </c>
      <c r="B1737">
        <v>27</v>
      </c>
      <c r="C1737">
        <v>9</v>
      </c>
      <c r="D1737">
        <v>-1</v>
      </c>
      <c r="E1737">
        <v>-0.555284</v>
      </c>
      <c r="F1737">
        <v>-1</v>
      </c>
      <c r="G1737">
        <v>-0.555284</v>
      </c>
    </row>
    <row r="1738" spans="1:7">
      <c r="A1738" t="s">
        <v>144</v>
      </c>
      <c r="B1738">
        <v>27</v>
      </c>
      <c r="C1738">
        <v>10</v>
      </c>
      <c r="D1738">
        <v>-1</v>
      </c>
      <c r="E1738">
        <v>0.60924100000000003</v>
      </c>
      <c r="F1738">
        <v>-1</v>
      </c>
      <c r="G1738">
        <v>0.60924100000000003</v>
      </c>
    </row>
    <row r="1739" spans="1:7">
      <c r="A1739" t="s">
        <v>144</v>
      </c>
      <c r="B1739">
        <v>27</v>
      </c>
      <c r="C1739">
        <v>11</v>
      </c>
      <c r="D1739">
        <v>-1</v>
      </c>
      <c r="E1739">
        <v>0.70824299999999996</v>
      </c>
      <c r="F1739">
        <v>-1</v>
      </c>
      <c r="G1739">
        <v>0.70824299999999996</v>
      </c>
    </row>
    <row r="1740" spans="1:7">
      <c r="A1740" t="s">
        <v>144</v>
      </c>
      <c r="B1740">
        <v>27</v>
      </c>
      <c r="C1740">
        <v>12</v>
      </c>
      <c r="D1740">
        <v>-1</v>
      </c>
      <c r="E1740">
        <v>-0.46623100000000001</v>
      </c>
      <c r="F1740">
        <v>-1</v>
      </c>
      <c r="G1740">
        <v>-0.46623100000000001</v>
      </c>
    </row>
    <row r="1741" spans="1:7">
      <c r="A1741" t="s">
        <v>144</v>
      </c>
      <c r="B1741">
        <v>27</v>
      </c>
      <c r="C1741">
        <v>13</v>
      </c>
      <c r="D1741">
        <v>-1</v>
      </c>
      <c r="E1741">
        <v>-0.22159499999999999</v>
      </c>
      <c r="F1741">
        <v>-1</v>
      </c>
      <c r="G1741">
        <v>-0.22159499999999999</v>
      </c>
    </row>
    <row r="1742" spans="1:7">
      <c r="A1742" t="s">
        <v>144</v>
      </c>
      <c r="B1742">
        <v>27</v>
      </c>
      <c r="C1742">
        <v>14</v>
      </c>
      <c r="D1742">
        <v>-1</v>
      </c>
      <c r="E1742">
        <v>0.57802100000000001</v>
      </c>
      <c r="F1742">
        <v>-1</v>
      </c>
      <c r="G1742">
        <v>0.57802100000000001</v>
      </c>
    </row>
    <row r="1743" spans="1:7">
      <c r="A1743" t="s">
        <v>144</v>
      </c>
      <c r="B1743">
        <v>27</v>
      </c>
      <c r="C1743">
        <v>15</v>
      </c>
      <c r="D1743">
        <v>-1</v>
      </c>
      <c r="E1743">
        <v>0.252083</v>
      </c>
      <c r="F1743">
        <v>-1</v>
      </c>
      <c r="G1743">
        <v>0.252083</v>
      </c>
    </row>
    <row r="1744" spans="1:7">
      <c r="A1744" t="s">
        <v>144</v>
      </c>
      <c r="B1744">
        <v>27</v>
      </c>
      <c r="C1744">
        <v>16</v>
      </c>
      <c r="D1744">
        <v>-1</v>
      </c>
      <c r="E1744">
        <v>-0.48884499999999997</v>
      </c>
      <c r="F1744">
        <v>-1</v>
      </c>
      <c r="G1744">
        <v>-0.48884499999999997</v>
      </c>
    </row>
    <row r="1745" spans="1:7">
      <c r="A1745" t="s">
        <v>144</v>
      </c>
      <c r="B1745">
        <v>27</v>
      </c>
      <c r="C1745">
        <v>17</v>
      </c>
      <c r="D1745">
        <v>-1</v>
      </c>
      <c r="E1745">
        <v>0.90301200000000004</v>
      </c>
      <c r="F1745">
        <v>-1</v>
      </c>
      <c r="G1745">
        <v>0.90301200000000004</v>
      </c>
    </row>
    <row r="1746" spans="1:7">
      <c r="A1746" t="s">
        <v>144</v>
      </c>
      <c r="B1746">
        <v>27</v>
      </c>
      <c r="C1746">
        <v>18</v>
      </c>
      <c r="D1746">
        <v>-1</v>
      </c>
      <c r="E1746">
        <v>-0.96517799999999998</v>
      </c>
      <c r="F1746">
        <v>-1</v>
      </c>
      <c r="G1746">
        <v>-0.96517799999999998</v>
      </c>
    </row>
    <row r="1747" spans="1:7">
      <c r="A1747" t="s">
        <v>144</v>
      </c>
      <c r="B1747">
        <v>27</v>
      </c>
      <c r="C1747">
        <v>19</v>
      </c>
      <c r="D1747">
        <v>-1</v>
      </c>
      <c r="E1747">
        <v>0.60365599999999997</v>
      </c>
      <c r="F1747">
        <v>-1</v>
      </c>
      <c r="G1747">
        <v>0.60365599999999997</v>
      </c>
    </row>
    <row r="1748" spans="1:7">
      <c r="A1748" t="s">
        <v>144</v>
      </c>
      <c r="B1748">
        <v>27</v>
      </c>
      <c r="C1748">
        <v>20</v>
      </c>
      <c r="D1748">
        <v>-1</v>
      </c>
      <c r="E1748">
        <v>-0.66087799999999997</v>
      </c>
      <c r="F1748">
        <v>-1</v>
      </c>
      <c r="G1748">
        <v>-0.66087799999999997</v>
      </c>
    </row>
    <row r="1749" spans="1:7">
      <c r="A1749" t="s">
        <v>144</v>
      </c>
      <c r="B1749">
        <v>27</v>
      </c>
      <c r="C1749">
        <v>21</v>
      </c>
      <c r="D1749">
        <v>-1</v>
      </c>
      <c r="E1749">
        <v>-0.35029100000000002</v>
      </c>
      <c r="F1749">
        <v>-1</v>
      </c>
      <c r="G1749">
        <v>-0.35029100000000002</v>
      </c>
    </row>
    <row r="1750" spans="1:7">
      <c r="A1750" t="s">
        <v>144</v>
      </c>
      <c r="B1750">
        <v>27</v>
      </c>
      <c r="C1750">
        <v>22</v>
      </c>
      <c r="D1750">
        <v>-1</v>
      </c>
      <c r="E1750">
        <v>-0.53526399999999996</v>
      </c>
      <c r="F1750">
        <v>-1</v>
      </c>
      <c r="G1750">
        <v>-0.53526399999999996</v>
      </c>
    </row>
    <row r="1751" spans="1:7">
      <c r="A1751" t="s">
        <v>144</v>
      </c>
      <c r="B1751">
        <v>27</v>
      </c>
      <c r="C1751">
        <v>23</v>
      </c>
      <c r="D1751">
        <v>-1</v>
      </c>
      <c r="E1751">
        <v>-0.71443800000000002</v>
      </c>
      <c r="F1751">
        <v>-1</v>
      </c>
      <c r="G1751">
        <v>-0.71443800000000002</v>
      </c>
    </row>
    <row r="1752" spans="1:7">
      <c r="A1752" t="s">
        <v>144</v>
      </c>
      <c r="B1752">
        <v>27</v>
      </c>
      <c r="C1752">
        <v>24</v>
      </c>
      <c r="D1752">
        <v>-1</v>
      </c>
      <c r="E1752">
        <v>0.178594</v>
      </c>
      <c r="F1752">
        <v>-1</v>
      </c>
      <c r="G1752">
        <v>0.178594</v>
      </c>
    </row>
    <row r="1753" spans="1:7">
      <c r="A1753" t="s">
        <v>144</v>
      </c>
      <c r="B1753">
        <v>27</v>
      </c>
      <c r="C1753">
        <v>25</v>
      </c>
      <c r="D1753">
        <v>-1</v>
      </c>
      <c r="E1753">
        <v>2.5208000000000001E-2</v>
      </c>
      <c r="F1753">
        <v>-1</v>
      </c>
      <c r="G1753">
        <v>2.5208000000000001E-2</v>
      </c>
    </row>
    <row r="1754" spans="1:7">
      <c r="A1754" t="s">
        <v>144</v>
      </c>
      <c r="B1754">
        <v>27</v>
      </c>
      <c r="C1754">
        <v>26</v>
      </c>
      <c r="D1754">
        <v>-1</v>
      </c>
      <c r="E1754">
        <v>-0.70247499999999996</v>
      </c>
      <c r="F1754">
        <v>-1</v>
      </c>
      <c r="G1754">
        <v>-0.70247499999999996</v>
      </c>
    </row>
    <row r="1755" spans="1:7">
      <c r="A1755" t="s">
        <v>144</v>
      </c>
      <c r="B1755">
        <v>27</v>
      </c>
      <c r="C1755">
        <v>27</v>
      </c>
      <c r="D1755">
        <v>-1</v>
      </c>
      <c r="E1755">
        <v>-0.63173299999999999</v>
      </c>
      <c r="F1755">
        <v>-1</v>
      </c>
      <c r="G1755">
        <v>-0.63173299999999999</v>
      </c>
    </row>
    <row r="1756" spans="1:7">
      <c r="A1756" t="s">
        <v>144</v>
      </c>
      <c r="B1756">
        <v>27</v>
      </c>
      <c r="C1756">
        <v>28</v>
      </c>
      <c r="D1756">
        <v>-1</v>
      </c>
      <c r="E1756">
        <v>0.350688</v>
      </c>
      <c r="F1756">
        <v>-1</v>
      </c>
      <c r="G1756">
        <v>0.350688</v>
      </c>
    </row>
    <row r="1757" spans="1:7">
      <c r="A1757" t="s">
        <v>144</v>
      </c>
      <c r="B1757">
        <v>27</v>
      </c>
      <c r="C1757">
        <v>29</v>
      </c>
      <c r="D1757">
        <v>-1</v>
      </c>
      <c r="E1757">
        <v>-0.65147900000000003</v>
      </c>
      <c r="F1757">
        <v>-1</v>
      </c>
      <c r="G1757">
        <v>-0.65147900000000003</v>
      </c>
    </row>
    <row r="1758" spans="1:7">
      <c r="A1758" t="s">
        <v>144</v>
      </c>
      <c r="B1758">
        <v>27</v>
      </c>
      <c r="C1758">
        <v>30</v>
      </c>
      <c r="D1758">
        <v>-1</v>
      </c>
      <c r="E1758">
        <v>-0.48738100000000001</v>
      </c>
      <c r="F1758">
        <v>-1</v>
      </c>
      <c r="G1758">
        <v>-0.48738100000000001</v>
      </c>
    </row>
    <row r="1759" spans="1:7">
      <c r="A1759" t="s">
        <v>144</v>
      </c>
      <c r="B1759">
        <v>27</v>
      </c>
      <c r="C1759">
        <v>31</v>
      </c>
      <c r="D1759">
        <v>-1</v>
      </c>
      <c r="E1759">
        <v>-0.111942</v>
      </c>
      <c r="F1759">
        <v>-1</v>
      </c>
      <c r="G1759">
        <v>-0.111942</v>
      </c>
    </row>
    <row r="1760" spans="1:7">
      <c r="A1760" t="s">
        <v>144</v>
      </c>
      <c r="B1760">
        <v>27</v>
      </c>
      <c r="C1760">
        <v>32</v>
      </c>
      <c r="D1760">
        <v>-1</v>
      </c>
      <c r="E1760">
        <v>-0.11786199999999999</v>
      </c>
      <c r="F1760">
        <v>-1</v>
      </c>
      <c r="G1760">
        <v>-0.11786199999999999</v>
      </c>
    </row>
    <row r="1761" spans="1:7">
      <c r="A1761" t="s">
        <v>144</v>
      </c>
      <c r="B1761">
        <v>27</v>
      </c>
      <c r="C1761">
        <v>33</v>
      </c>
      <c r="D1761">
        <v>-1</v>
      </c>
      <c r="E1761">
        <v>0.890347</v>
      </c>
      <c r="F1761">
        <v>-1</v>
      </c>
      <c r="G1761">
        <v>0.890347</v>
      </c>
    </row>
    <row r="1762" spans="1:7">
      <c r="A1762" t="s">
        <v>144</v>
      </c>
      <c r="B1762">
        <v>27</v>
      </c>
      <c r="C1762">
        <v>34</v>
      </c>
      <c r="D1762">
        <v>-1</v>
      </c>
      <c r="E1762">
        <v>0.59935300000000002</v>
      </c>
      <c r="F1762">
        <v>-1</v>
      </c>
      <c r="G1762">
        <v>0.59935300000000002</v>
      </c>
    </row>
    <row r="1763" spans="1:7">
      <c r="A1763" t="s">
        <v>144</v>
      </c>
      <c r="B1763">
        <v>27</v>
      </c>
      <c r="C1763">
        <v>35</v>
      </c>
      <c r="D1763">
        <v>-1</v>
      </c>
      <c r="E1763">
        <v>-0.35892800000000002</v>
      </c>
      <c r="F1763">
        <v>-1</v>
      </c>
      <c r="G1763">
        <v>-0.35892800000000002</v>
      </c>
    </row>
    <row r="1764" spans="1:7">
      <c r="A1764" t="s">
        <v>144</v>
      </c>
      <c r="B1764">
        <v>27</v>
      </c>
      <c r="C1764">
        <v>36</v>
      </c>
      <c r="D1764">
        <v>-1</v>
      </c>
      <c r="E1764">
        <v>-0.69725599999999999</v>
      </c>
      <c r="F1764">
        <v>-1</v>
      </c>
      <c r="G1764">
        <v>-0.69725599999999999</v>
      </c>
    </row>
    <row r="1765" spans="1:7">
      <c r="A1765" t="s">
        <v>144</v>
      </c>
      <c r="B1765">
        <v>27</v>
      </c>
      <c r="C1765">
        <v>37</v>
      </c>
      <c r="D1765">
        <v>-1</v>
      </c>
      <c r="E1765">
        <v>-0.14142299999999999</v>
      </c>
      <c r="F1765">
        <v>-1</v>
      </c>
      <c r="G1765">
        <v>-0.14142299999999999</v>
      </c>
    </row>
    <row r="1766" spans="1:7">
      <c r="A1766" t="s">
        <v>144</v>
      </c>
      <c r="B1766">
        <v>27</v>
      </c>
      <c r="C1766">
        <v>38</v>
      </c>
      <c r="D1766">
        <v>-1</v>
      </c>
      <c r="E1766">
        <v>-0.64326899999999998</v>
      </c>
      <c r="F1766">
        <v>-1</v>
      </c>
      <c r="G1766">
        <v>-0.64326899999999998</v>
      </c>
    </row>
    <row r="1767" spans="1:7">
      <c r="A1767" t="s">
        <v>144</v>
      </c>
      <c r="B1767">
        <v>27</v>
      </c>
      <c r="C1767">
        <v>39</v>
      </c>
      <c r="D1767">
        <v>-1</v>
      </c>
      <c r="E1767">
        <v>0.88717299999999999</v>
      </c>
      <c r="F1767">
        <v>-1</v>
      </c>
      <c r="G1767">
        <v>0.88717299999999999</v>
      </c>
    </row>
    <row r="1768" spans="1:7">
      <c r="A1768" t="s">
        <v>144</v>
      </c>
      <c r="B1768">
        <v>27</v>
      </c>
      <c r="C1768">
        <v>40</v>
      </c>
      <c r="D1768">
        <v>-1</v>
      </c>
      <c r="E1768">
        <v>0.35199999999999998</v>
      </c>
      <c r="F1768">
        <v>-1</v>
      </c>
      <c r="G1768">
        <v>0.35199999999999998</v>
      </c>
    </row>
    <row r="1769" spans="1:7">
      <c r="A1769" t="s">
        <v>144</v>
      </c>
      <c r="B1769">
        <v>27</v>
      </c>
      <c r="C1769">
        <v>41</v>
      </c>
      <c r="D1769">
        <v>-1</v>
      </c>
      <c r="E1769">
        <v>-0.46870299999999998</v>
      </c>
      <c r="F1769">
        <v>-1</v>
      </c>
      <c r="G1769">
        <v>-0.46870299999999998</v>
      </c>
    </row>
    <row r="1770" spans="1:7">
      <c r="A1770" t="s">
        <v>144</v>
      </c>
      <c r="B1770">
        <v>27</v>
      </c>
      <c r="C1770">
        <v>42</v>
      </c>
      <c r="D1770">
        <v>-1</v>
      </c>
      <c r="E1770">
        <v>-0.45167400000000002</v>
      </c>
      <c r="F1770">
        <v>-1</v>
      </c>
      <c r="G1770">
        <v>-0.45167400000000002</v>
      </c>
    </row>
    <row r="1771" spans="1:7">
      <c r="A1771" t="s">
        <v>144</v>
      </c>
      <c r="B1771">
        <v>27</v>
      </c>
      <c r="C1771">
        <v>43</v>
      </c>
      <c r="D1771">
        <v>-1</v>
      </c>
      <c r="E1771">
        <v>-0.51005599999999995</v>
      </c>
      <c r="F1771">
        <v>-1</v>
      </c>
      <c r="G1771">
        <v>-0.51005599999999995</v>
      </c>
    </row>
    <row r="1772" spans="1:7">
      <c r="A1772" t="s">
        <v>144</v>
      </c>
      <c r="B1772">
        <v>27</v>
      </c>
      <c r="C1772">
        <v>44</v>
      </c>
      <c r="D1772">
        <v>-1</v>
      </c>
      <c r="E1772">
        <v>0.28586699999999998</v>
      </c>
      <c r="F1772">
        <v>-1</v>
      </c>
      <c r="G1772">
        <v>0.28586699999999998</v>
      </c>
    </row>
    <row r="1773" spans="1:7">
      <c r="A1773" t="s">
        <v>144</v>
      </c>
      <c r="B1773">
        <v>27</v>
      </c>
      <c r="C1773">
        <v>45</v>
      </c>
      <c r="D1773">
        <v>-1</v>
      </c>
      <c r="E1773">
        <v>0.65089900000000001</v>
      </c>
      <c r="F1773">
        <v>-1</v>
      </c>
      <c r="G1773">
        <v>0.65089900000000001</v>
      </c>
    </row>
    <row r="1774" spans="1:7">
      <c r="A1774" t="s">
        <v>144</v>
      </c>
      <c r="B1774">
        <v>27</v>
      </c>
      <c r="C1774">
        <v>46</v>
      </c>
      <c r="D1774">
        <v>-1</v>
      </c>
      <c r="E1774">
        <v>-0.541856</v>
      </c>
      <c r="F1774">
        <v>-1</v>
      </c>
      <c r="G1774">
        <v>-0.541856</v>
      </c>
    </row>
    <row r="1775" spans="1:7">
      <c r="A1775" t="s">
        <v>144</v>
      </c>
      <c r="B1775">
        <v>27</v>
      </c>
      <c r="C1775">
        <v>47</v>
      </c>
      <c r="D1775">
        <v>-1</v>
      </c>
      <c r="E1775">
        <v>-0.453322</v>
      </c>
      <c r="F1775">
        <v>-1</v>
      </c>
      <c r="G1775">
        <v>-0.453322</v>
      </c>
    </row>
    <row r="1776" spans="1:7">
      <c r="A1776" t="s">
        <v>144</v>
      </c>
      <c r="B1776">
        <v>27</v>
      </c>
      <c r="C1776">
        <v>48</v>
      </c>
      <c r="D1776">
        <v>-1</v>
      </c>
      <c r="E1776">
        <v>0.66264800000000001</v>
      </c>
      <c r="F1776">
        <v>-1</v>
      </c>
      <c r="G1776">
        <v>0.66264800000000001</v>
      </c>
    </row>
    <row r="1777" spans="1:7">
      <c r="A1777" t="s">
        <v>144</v>
      </c>
      <c r="B1777">
        <v>27</v>
      </c>
      <c r="C1777">
        <v>49</v>
      </c>
      <c r="D1777">
        <v>-1</v>
      </c>
      <c r="E1777">
        <v>0.35761599999999999</v>
      </c>
      <c r="F1777">
        <v>-1</v>
      </c>
      <c r="G1777">
        <v>0.35761599999999999</v>
      </c>
    </row>
    <row r="1778" spans="1:7">
      <c r="A1778" t="s">
        <v>144</v>
      </c>
      <c r="B1778" t="s">
        <v>145</v>
      </c>
      <c r="C1778">
        <v>28</v>
      </c>
    </row>
    <row r="1779" spans="1:7">
      <c r="A1779" t="s">
        <v>144</v>
      </c>
      <c r="B1779" t="s">
        <v>146</v>
      </c>
      <c r="C1779">
        <v>85</v>
      </c>
    </row>
    <row r="1780" spans="1:7">
      <c r="A1780" t="s">
        <v>144</v>
      </c>
      <c r="B1780" t="s">
        <v>147</v>
      </c>
      <c r="C1780">
        <v>85</v>
      </c>
    </row>
    <row r="1781" spans="1:7">
      <c r="A1781" t="s">
        <v>144</v>
      </c>
      <c r="B1781" t="s">
        <v>148</v>
      </c>
      <c r="C1781">
        <v>0.39497100000000002</v>
      </c>
    </row>
    <row r="1782" spans="1:7">
      <c r="A1782" t="s">
        <v>144</v>
      </c>
      <c r="B1782" t="s">
        <v>149</v>
      </c>
      <c r="C1782">
        <v>0.39497100000000002</v>
      </c>
    </row>
    <row r="1783" spans="1:7">
      <c r="A1783" t="s">
        <v>144</v>
      </c>
      <c r="B1783" t="s">
        <v>150</v>
      </c>
      <c r="C1783">
        <v>-1</v>
      </c>
    </row>
    <row r="1784" spans="1:7">
      <c r="A1784" t="s">
        <v>144</v>
      </c>
      <c r="B1784" t="s">
        <v>151</v>
      </c>
      <c r="C1784">
        <v>-1</v>
      </c>
    </row>
    <row r="1785" spans="1:7">
      <c r="A1785" t="s">
        <v>144</v>
      </c>
      <c r="B1785" t="s">
        <v>152</v>
      </c>
      <c r="C1785">
        <v>48</v>
      </c>
    </row>
    <row r="1786" spans="1:7">
      <c r="A1786" t="s">
        <v>144</v>
      </c>
      <c r="B1786" t="s">
        <v>153</v>
      </c>
      <c r="C1786">
        <v>48</v>
      </c>
    </row>
    <row r="1787" spans="1:7">
      <c r="A1787" t="s">
        <v>144</v>
      </c>
      <c r="B1787" t="s">
        <v>154</v>
      </c>
      <c r="C1787">
        <v>0</v>
      </c>
    </row>
    <row r="1788" spans="1:7">
      <c r="A1788" t="s">
        <v>144</v>
      </c>
      <c r="B1788" t="s">
        <v>155</v>
      </c>
    </row>
    <row r="1789" spans="1:7">
      <c r="A1789" t="s">
        <v>144</v>
      </c>
      <c r="B1789" t="s">
        <v>150</v>
      </c>
      <c r="C1789">
        <v>0.274758</v>
      </c>
    </row>
    <row r="1790" spans="1:7">
      <c r="A1790" t="s">
        <v>144</v>
      </c>
      <c r="B1790" t="s">
        <v>151</v>
      </c>
      <c r="C1790">
        <v>0.274758</v>
      </c>
    </row>
    <row r="1791" spans="1:7">
      <c r="A1791" t="s">
        <v>144</v>
      </c>
      <c r="B1791" t="s">
        <v>156</v>
      </c>
      <c r="C1791" t="s">
        <v>157</v>
      </c>
      <c r="D1791" t="s">
        <v>63</v>
      </c>
      <c r="E1791" t="s">
        <v>158</v>
      </c>
      <c r="F1791" t="s">
        <v>159</v>
      </c>
      <c r="G1791" t="s">
        <v>160</v>
      </c>
    </row>
    <row r="1792" spans="1:7">
      <c r="A1792" t="s">
        <v>144</v>
      </c>
      <c r="B1792">
        <v>28</v>
      </c>
      <c r="C1792">
        <v>0</v>
      </c>
      <c r="D1792">
        <v>0.274758</v>
      </c>
      <c r="E1792">
        <v>-0.130131</v>
      </c>
      <c r="F1792">
        <v>-1</v>
      </c>
      <c r="G1792">
        <v>-0.130131</v>
      </c>
    </row>
    <row r="1793" spans="1:7">
      <c r="A1793" t="s">
        <v>144</v>
      </c>
      <c r="B1793">
        <v>28</v>
      </c>
      <c r="C1793">
        <v>1</v>
      </c>
      <c r="D1793">
        <v>0.274758</v>
      </c>
      <c r="E1793">
        <v>0.83422300000000005</v>
      </c>
      <c r="F1793">
        <v>-1</v>
      </c>
      <c r="G1793">
        <v>0.83422300000000005</v>
      </c>
    </row>
    <row r="1794" spans="1:7">
      <c r="A1794" t="s">
        <v>144</v>
      </c>
      <c r="B1794">
        <v>28</v>
      </c>
      <c r="C1794">
        <v>2</v>
      </c>
      <c r="D1794">
        <v>0.274758</v>
      </c>
      <c r="E1794">
        <v>-0.83669499999999997</v>
      </c>
      <c r="F1794">
        <v>-1</v>
      </c>
      <c r="G1794">
        <v>-0.83669499999999997</v>
      </c>
    </row>
    <row r="1795" spans="1:7">
      <c r="A1795" t="s">
        <v>144</v>
      </c>
      <c r="B1795">
        <v>28</v>
      </c>
      <c r="C1795">
        <v>3</v>
      </c>
      <c r="D1795">
        <v>0.274758</v>
      </c>
      <c r="E1795">
        <v>0.35587600000000003</v>
      </c>
      <c r="F1795">
        <v>-1</v>
      </c>
      <c r="G1795">
        <v>0.35587600000000003</v>
      </c>
    </row>
    <row r="1796" spans="1:7">
      <c r="A1796" t="s">
        <v>144</v>
      </c>
      <c r="B1796">
        <v>28</v>
      </c>
      <c r="C1796">
        <v>4</v>
      </c>
      <c r="D1796">
        <v>0.274758</v>
      </c>
      <c r="E1796">
        <v>3.7171999999999997E-2</v>
      </c>
      <c r="F1796">
        <v>-1</v>
      </c>
      <c r="G1796">
        <v>3.7171999999999997E-2</v>
      </c>
    </row>
    <row r="1797" spans="1:7">
      <c r="A1797" t="s">
        <v>144</v>
      </c>
      <c r="B1797">
        <v>28</v>
      </c>
      <c r="C1797">
        <v>5</v>
      </c>
      <c r="D1797">
        <v>0.274758</v>
      </c>
      <c r="E1797">
        <v>6.1434000000000002E-2</v>
      </c>
      <c r="F1797">
        <v>-1</v>
      </c>
      <c r="G1797">
        <v>6.1434000000000002E-2</v>
      </c>
    </row>
    <row r="1798" spans="1:7">
      <c r="A1798" t="s">
        <v>144</v>
      </c>
      <c r="B1798">
        <v>28</v>
      </c>
      <c r="C1798">
        <v>6</v>
      </c>
      <c r="D1798">
        <v>0.274758</v>
      </c>
      <c r="E1798">
        <v>0.66051199999999999</v>
      </c>
      <c r="F1798">
        <v>-1</v>
      </c>
      <c r="G1798">
        <v>0.66051199999999999</v>
      </c>
    </row>
    <row r="1799" spans="1:7">
      <c r="A1799" t="s">
        <v>144</v>
      </c>
      <c r="B1799">
        <v>28</v>
      </c>
      <c r="C1799">
        <v>7</v>
      </c>
      <c r="D1799">
        <v>0.274758</v>
      </c>
      <c r="E1799">
        <v>0.60844799999999999</v>
      </c>
      <c r="F1799">
        <v>-1</v>
      </c>
      <c r="G1799">
        <v>0.60844799999999999</v>
      </c>
    </row>
    <row r="1800" spans="1:7">
      <c r="A1800" t="s">
        <v>144</v>
      </c>
      <c r="B1800">
        <v>28</v>
      </c>
      <c r="C1800">
        <v>8</v>
      </c>
      <c r="D1800">
        <v>0.274758</v>
      </c>
      <c r="E1800">
        <v>-0.30552099999999999</v>
      </c>
      <c r="F1800">
        <v>-1</v>
      </c>
      <c r="G1800">
        <v>-0.30552099999999999</v>
      </c>
    </row>
    <row r="1801" spans="1:7">
      <c r="A1801" t="s">
        <v>144</v>
      </c>
      <c r="B1801">
        <v>28</v>
      </c>
      <c r="C1801">
        <v>9</v>
      </c>
      <c r="D1801">
        <v>0.274758</v>
      </c>
      <c r="E1801">
        <v>-0.51252799999999998</v>
      </c>
      <c r="F1801">
        <v>-1</v>
      </c>
      <c r="G1801">
        <v>-0.51252799999999998</v>
      </c>
    </row>
    <row r="1802" spans="1:7">
      <c r="A1802" t="s">
        <v>144</v>
      </c>
      <c r="B1802">
        <v>28</v>
      </c>
      <c r="C1802">
        <v>10</v>
      </c>
      <c r="D1802">
        <v>0.274758</v>
      </c>
      <c r="E1802">
        <v>-0.74657399999999996</v>
      </c>
      <c r="F1802">
        <v>-1</v>
      </c>
      <c r="G1802">
        <v>-0.74657399999999996</v>
      </c>
    </row>
    <row r="1803" spans="1:7">
      <c r="A1803" t="s">
        <v>144</v>
      </c>
      <c r="B1803">
        <v>28</v>
      </c>
      <c r="C1803">
        <v>11</v>
      </c>
      <c r="D1803">
        <v>0.274758</v>
      </c>
      <c r="E1803">
        <v>-0.94680600000000004</v>
      </c>
      <c r="F1803">
        <v>-1</v>
      </c>
      <c r="G1803">
        <v>-0.94680600000000004</v>
      </c>
    </row>
    <row r="1804" spans="1:7">
      <c r="A1804" t="s">
        <v>144</v>
      </c>
      <c r="B1804">
        <v>28</v>
      </c>
      <c r="C1804">
        <v>12</v>
      </c>
      <c r="D1804">
        <v>0.274758</v>
      </c>
      <c r="E1804">
        <v>0.37836799999999998</v>
      </c>
      <c r="F1804">
        <v>-1</v>
      </c>
      <c r="G1804">
        <v>0.37836799999999998</v>
      </c>
    </row>
    <row r="1805" spans="1:7">
      <c r="A1805" t="s">
        <v>144</v>
      </c>
      <c r="B1805">
        <v>28</v>
      </c>
      <c r="C1805">
        <v>13</v>
      </c>
      <c r="D1805">
        <v>0.274758</v>
      </c>
      <c r="E1805">
        <v>0.99630700000000005</v>
      </c>
      <c r="F1805">
        <v>-1</v>
      </c>
      <c r="G1805">
        <v>0.99630700000000005</v>
      </c>
    </row>
    <row r="1806" spans="1:7">
      <c r="A1806" t="s">
        <v>144</v>
      </c>
      <c r="B1806">
        <v>28</v>
      </c>
      <c r="C1806">
        <v>14</v>
      </c>
      <c r="D1806">
        <v>0.274758</v>
      </c>
      <c r="E1806">
        <v>-0.75682799999999995</v>
      </c>
      <c r="F1806">
        <v>-1</v>
      </c>
      <c r="G1806">
        <v>-0.75682799999999995</v>
      </c>
    </row>
    <row r="1807" spans="1:7">
      <c r="A1807" t="s">
        <v>144</v>
      </c>
      <c r="B1807">
        <v>28</v>
      </c>
      <c r="C1807">
        <v>15</v>
      </c>
      <c r="D1807">
        <v>0.274758</v>
      </c>
      <c r="E1807">
        <v>-0.77400999999999998</v>
      </c>
      <c r="F1807">
        <v>-1</v>
      </c>
      <c r="G1807">
        <v>-0.77400999999999998</v>
      </c>
    </row>
    <row r="1808" spans="1:7">
      <c r="A1808" t="s">
        <v>144</v>
      </c>
      <c r="B1808">
        <v>28</v>
      </c>
      <c r="C1808">
        <v>16</v>
      </c>
      <c r="D1808">
        <v>0.274758</v>
      </c>
      <c r="E1808">
        <v>0.89141499999999996</v>
      </c>
      <c r="F1808">
        <v>-1</v>
      </c>
      <c r="G1808">
        <v>0.89141499999999996</v>
      </c>
    </row>
    <row r="1809" spans="1:7">
      <c r="A1809" t="s">
        <v>144</v>
      </c>
      <c r="B1809">
        <v>28</v>
      </c>
      <c r="C1809">
        <v>17</v>
      </c>
      <c r="D1809">
        <v>0.274758</v>
      </c>
      <c r="E1809">
        <v>0.30408600000000002</v>
      </c>
      <c r="F1809">
        <v>-1</v>
      </c>
      <c r="G1809">
        <v>0.30408600000000002</v>
      </c>
    </row>
    <row r="1810" spans="1:7">
      <c r="A1810" t="s">
        <v>144</v>
      </c>
      <c r="B1810">
        <v>28</v>
      </c>
      <c r="C1810">
        <v>18</v>
      </c>
      <c r="D1810">
        <v>0.274758</v>
      </c>
      <c r="E1810">
        <v>-0.44612000000000002</v>
      </c>
      <c r="F1810">
        <v>-1</v>
      </c>
      <c r="G1810">
        <v>-0.44612000000000002</v>
      </c>
    </row>
    <row r="1811" spans="1:7">
      <c r="A1811" t="s">
        <v>144</v>
      </c>
      <c r="B1811">
        <v>28</v>
      </c>
      <c r="C1811">
        <v>19</v>
      </c>
      <c r="D1811">
        <v>0.274758</v>
      </c>
      <c r="E1811">
        <v>0.57924100000000001</v>
      </c>
      <c r="F1811">
        <v>-1</v>
      </c>
      <c r="G1811">
        <v>0.57924100000000001</v>
      </c>
    </row>
    <row r="1812" spans="1:7">
      <c r="A1812" t="s">
        <v>144</v>
      </c>
      <c r="B1812">
        <v>28</v>
      </c>
      <c r="C1812">
        <v>20</v>
      </c>
      <c r="D1812">
        <v>0.274758</v>
      </c>
      <c r="E1812">
        <v>-0.504776</v>
      </c>
      <c r="F1812">
        <v>-1</v>
      </c>
      <c r="G1812">
        <v>-0.504776</v>
      </c>
    </row>
    <row r="1813" spans="1:7">
      <c r="A1813" t="s">
        <v>144</v>
      </c>
      <c r="B1813">
        <v>28</v>
      </c>
      <c r="C1813">
        <v>21</v>
      </c>
      <c r="D1813">
        <v>0.274758</v>
      </c>
      <c r="E1813">
        <v>-0.69804999999999995</v>
      </c>
      <c r="F1813">
        <v>-1</v>
      </c>
      <c r="G1813">
        <v>-0.69804999999999995</v>
      </c>
    </row>
    <row r="1814" spans="1:7">
      <c r="A1814" t="s">
        <v>144</v>
      </c>
      <c r="B1814">
        <v>28</v>
      </c>
      <c r="C1814">
        <v>22</v>
      </c>
      <c r="D1814">
        <v>0.274758</v>
      </c>
      <c r="E1814">
        <v>-5.6794999999999998E-2</v>
      </c>
      <c r="F1814">
        <v>-1</v>
      </c>
      <c r="G1814">
        <v>-5.6794999999999998E-2</v>
      </c>
    </row>
    <row r="1815" spans="1:7">
      <c r="A1815" t="s">
        <v>144</v>
      </c>
      <c r="B1815">
        <v>28</v>
      </c>
      <c r="C1815">
        <v>23</v>
      </c>
      <c r="D1815">
        <v>0.274758</v>
      </c>
      <c r="E1815">
        <v>0.48851</v>
      </c>
      <c r="F1815">
        <v>-1</v>
      </c>
      <c r="G1815">
        <v>0.48851</v>
      </c>
    </row>
    <row r="1816" spans="1:7">
      <c r="A1816" t="s">
        <v>144</v>
      </c>
      <c r="B1816">
        <v>28</v>
      </c>
      <c r="C1816">
        <v>24</v>
      </c>
      <c r="D1816">
        <v>0.274758</v>
      </c>
      <c r="E1816">
        <v>-0.860317</v>
      </c>
      <c r="F1816">
        <v>-1</v>
      </c>
      <c r="G1816">
        <v>-0.860317</v>
      </c>
    </row>
    <row r="1817" spans="1:7">
      <c r="A1817" t="s">
        <v>144</v>
      </c>
      <c r="B1817">
        <v>28</v>
      </c>
      <c r="C1817">
        <v>25</v>
      </c>
      <c r="D1817">
        <v>0.274758</v>
      </c>
      <c r="E1817">
        <v>-0.52446099999999996</v>
      </c>
      <c r="F1817">
        <v>-1</v>
      </c>
      <c r="G1817">
        <v>-0.52446099999999996</v>
      </c>
    </row>
    <row r="1818" spans="1:7">
      <c r="A1818" t="s">
        <v>144</v>
      </c>
      <c r="B1818">
        <v>28</v>
      </c>
      <c r="C1818">
        <v>26</v>
      </c>
      <c r="D1818">
        <v>0.274758</v>
      </c>
      <c r="E1818">
        <v>-0.83809900000000004</v>
      </c>
      <c r="F1818">
        <v>-1</v>
      </c>
      <c r="G1818">
        <v>-0.83809900000000004</v>
      </c>
    </row>
    <row r="1819" spans="1:7">
      <c r="A1819" t="s">
        <v>144</v>
      </c>
      <c r="B1819">
        <v>28</v>
      </c>
      <c r="C1819">
        <v>27</v>
      </c>
      <c r="D1819">
        <v>0.274758</v>
      </c>
      <c r="E1819">
        <v>-0.94045800000000002</v>
      </c>
      <c r="F1819">
        <v>-1</v>
      </c>
      <c r="G1819">
        <v>-0.94045800000000002</v>
      </c>
    </row>
    <row r="1820" spans="1:7">
      <c r="A1820" t="s">
        <v>144</v>
      </c>
      <c r="B1820">
        <v>28</v>
      </c>
      <c r="C1820">
        <v>28</v>
      </c>
      <c r="D1820">
        <v>0.274758</v>
      </c>
      <c r="E1820">
        <v>-0.66335</v>
      </c>
      <c r="F1820">
        <v>-1</v>
      </c>
      <c r="G1820">
        <v>-0.66335</v>
      </c>
    </row>
    <row r="1821" spans="1:7">
      <c r="A1821" t="s">
        <v>144</v>
      </c>
      <c r="B1821">
        <v>28</v>
      </c>
      <c r="C1821">
        <v>29</v>
      </c>
      <c r="D1821">
        <v>0.274758</v>
      </c>
      <c r="E1821">
        <v>-0.95199400000000001</v>
      </c>
      <c r="F1821">
        <v>-1</v>
      </c>
      <c r="G1821">
        <v>-0.95199400000000001</v>
      </c>
    </row>
    <row r="1822" spans="1:7">
      <c r="A1822" t="s">
        <v>144</v>
      </c>
      <c r="B1822">
        <v>28</v>
      </c>
      <c r="C1822">
        <v>30</v>
      </c>
      <c r="D1822">
        <v>0.274758</v>
      </c>
      <c r="E1822">
        <v>0.69075600000000004</v>
      </c>
      <c r="F1822">
        <v>-1</v>
      </c>
      <c r="G1822">
        <v>0.69075600000000004</v>
      </c>
    </row>
    <row r="1823" spans="1:7">
      <c r="A1823" t="s">
        <v>144</v>
      </c>
      <c r="B1823">
        <v>28</v>
      </c>
      <c r="C1823">
        <v>31</v>
      </c>
      <c r="D1823">
        <v>0.274758</v>
      </c>
      <c r="E1823">
        <v>0.487014</v>
      </c>
      <c r="F1823">
        <v>-1</v>
      </c>
      <c r="G1823">
        <v>0.487014</v>
      </c>
    </row>
    <row r="1824" spans="1:7">
      <c r="A1824" t="s">
        <v>144</v>
      </c>
      <c r="B1824">
        <v>28</v>
      </c>
      <c r="C1824">
        <v>32</v>
      </c>
      <c r="D1824">
        <v>0.274758</v>
      </c>
      <c r="E1824">
        <v>0.88988900000000004</v>
      </c>
      <c r="F1824">
        <v>-1</v>
      </c>
      <c r="G1824">
        <v>0.88988900000000004</v>
      </c>
    </row>
    <row r="1825" spans="1:7">
      <c r="A1825" t="s">
        <v>144</v>
      </c>
      <c r="B1825">
        <v>28</v>
      </c>
      <c r="C1825">
        <v>33</v>
      </c>
      <c r="D1825">
        <v>0.274758</v>
      </c>
      <c r="E1825">
        <v>-0.83495600000000003</v>
      </c>
      <c r="F1825">
        <v>-1</v>
      </c>
      <c r="G1825">
        <v>-0.83495600000000003</v>
      </c>
    </row>
    <row r="1826" spans="1:7">
      <c r="A1826" t="s">
        <v>144</v>
      </c>
      <c r="B1826">
        <v>28</v>
      </c>
      <c r="C1826">
        <v>34</v>
      </c>
      <c r="D1826">
        <v>0.274758</v>
      </c>
      <c r="E1826">
        <v>0.93655200000000005</v>
      </c>
      <c r="F1826">
        <v>-1</v>
      </c>
      <c r="G1826">
        <v>0.93655200000000005</v>
      </c>
    </row>
    <row r="1827" spans="1:7">
      <c r="A1827" t="s">
        <v>144</v>
      </c>
      <c r="B1827">
        <v>28</v>
      </c>
      <c r="C1827">
        <v>35</v>
      </c>
      <c r="D1827">
        <v>0.274758</v>
      </c>
      <c r="E1827">
        <v>0.71947399999999995</v>
      </c>
      <c r="F1827">
        <v>-1</v>
      </c>
      <c r="G1827">
        <v>0.71947399999999995</v>
      </c>
    </row>
    <row r="1828" spans="1:7">
      <c r="A1828" t="s">
        <v>144</v>
      </c>
      <c r="B1828">
        <v>28</v>
      </c>
      <c r="C1828">
        <v>36</v>
      </c>
      <c r="D1828">
        <v>0.274758</v>
      </c>
      <c r="E1828">
        <v>-0.11859500000000001</v>
      </c>
      <c r="F1828">
        <v>-1</v>
      </c>
      <c r="G1828">
        <v>-0.11859500000000001</v>
      </c>
    </row>
    <row r="1829" spans="1:7">
      <c r="A1829" t="s">
        <v>144</v>
      </c>
      <c r="B1829">
        <v>28</v>
      </c>
      <c r="C1829">
        <v>37</v>
      </c>
      <c r="D1829">
        <v>0.274758</v>
      </c>
      <c r="E1829">
        <v>-0.70162100000000005</v>
      </c>
      <c r="F1829">
        <v>-1</v>
      </c>
      <c r="G1829">
        <v>-0.70162100000000005</v>
      </c>
    </row>
    <row r="1830" spans="1:7">
      <c r="A1830" t="s">
        <v>144</v>
      </c>
      <c r="B1830">
        <v>28</v>
      </c>
      <c r="C1830">
        <v>38</v>
      </c>
      <c r="D1830">
        <v>0.274758</v>
      </c>
      <c r="E1830">
        <v>0.21274499999999999</v>
      </c>
      <c r="F1830">
        <v>-1</v>
      </c>
      <c r="G1830">
        <v>0.21274499999999999</v>
      </c>
    </row>
    <row r="1831" spans="1:7">
      <c r="A1831" t="s">
        <v>144</v>
      </c>
      <c r="B1831">
        <v>28</v>
      </c>
      <c r="C1831">
        <v>39</v>
      </c>
      <c r="D1831">
        <v>0.274758</v>
      </c>
      <c r="E1831">
        <v>0.31894899999999998</v>
      </c>
      <c r="F1831">
        <v>-1</v>
      </c>
      <c r="G1831">
        <v>0.31894899999999998</v>
      </c>
    </row>
    <row r="1832" spans="1:7">
      <c r="A1832" t="s">
        <v>144</v>
      </c>
      <c r="B1832">
        <v>28</v>
      </c>
      <c r="C1832">
        <v>40</v>
      </c>
      <c r="D1832">
        <v>0.274758</v>
      </c>
      <c r="E1832">
        <v>0.98788399999999998</v>
      </c>
      <c r="F1832">
        <v>-1</v>
      </c>
      <c r="G1832">
        <v>0.98788399999999998</v>
      </c>
    </row>
    <row r="1833" spans="1:7">
      <c r="A1833" t="s">
        <v>144</v>
      </c>
      <c r="B1833">
        <v>28</v>
      </c>
      <c r="C1833">
        <v>41</v>
      </c>
      <c r="D1833">
        <v>0.274758</v>
      </c>
      <c r="E1833">
        <v>0.86751900000000004</v>
      </c>
      <c r="F1833">
        <v>-1</v>
      </c>
      <c r="G1833">
        <v>0.86751900000000004</v>
      </c>
    </row>
    <row r="1834" spans="1:7">
      <c r="A1834" t="s">
        <v>144</v>
      </c>
      <c r="B1834">
        <v>28</v>
      </c>
      <c r="C1834">
        <v>42</v>
      </c>
      <c r="D1834">
        <v>0.274758</v>
      </c>
      <c r="E1834">
        <v>-0.491836</v>
      </c>
      <c r="F1834">
        <v>-1</v>
      </c>
      <c r="G1834">
        <v>-0.491836</v>
      </c>
    </row>
    <row r="1835" spans="1:7">
      <c r="A1835" t="s">
        <v>144</v>
      </c>
      <c r="B1835">
        <v>28</v>
      </c>
      <c r="C1835">
        <v>43</v>
      </c>
      <c r="D1835">
        <v>0.274758</v>
      </c>
      <c r="E1835">
        <v>-0.23239799999999999</v>
      </c>
      <c r="F1835">
        <v>-1</v>
      </c>
      <c r="G1835">
        <v>-0.23239799999999999</v>
      </c>
    </row>
    <row r="1836" spans="1:7">
      <c r="A1836" t="s">
        <v>144</v>
      </c>
      <c r="B1836">
        <v>28</v>
      </c>
      <c r="C1836">
        <v>44</v>
      </c>
      <c r="D1836">
        <v>0.274758</v>
      </c>
      <c r="E1836">
        <v>0.77776400000000001</v>
      </c>
      <c r="F1836">
        <v>-1</v>
      </c>
      <c r="G1836">
        <v>0.77776400000000001</v>
      </c>
    </row>
    <row r="1837" spans="1:7">
      <c r="A1837" t="s">
        <v>144</v>
      </c>
      <c r="B1837">
        <v>28</v>
      </c>
      <c r="C1837">
        <v>45</v>
      </c>
      <c r="D1837">
        <v>0.274758</v>
      </c>
      <c r="E1837">
        <v>-0.67366599999999999</v>
      </c>
      <c r="F1837">
        <v>-1</v>
      </c>
      <c r="G1837">
        <v>-0.67366599999999999</v>
      </c>
    </row>
    <row r="1838" spans="1:7">
      <c r="A1838" t="s">
        <v>144</v>
      </c>
      <c r="B1838">
        <v>28</v>
      </c>
      <c r="C1838">
        <v>46</v>
      </c>
      <c r="D1838">
        <v>0.274758</v>
      </c>
      <c r="E1838">
        <v>0.225776</v>
      </c>
      <c r="F1838">
        <v>-1</v>
      </c>
      <c r="G1838">
        <v>0.225776</v>
      </c>
    </row>
    <row r="1839" spans="1:7">
      <c r="A1839" t="s">
        <v>144</v>
      </c>
      <c r="B1839">
        <v>28</v>
      </c>
      <c r="C1839">
        <v>47</v>
      </c>
      <c r="D1839">
        <v>0.274758</v>
      </c>
      <c r="E1839">
        <v>-0.97329600000000005</v>
      </c>
      <c r="F1839">
        <v>-1</v>
      </c>
      <c r="G1839">
        <v>-0.97329600000000005</v>
      </c>
    </row>
    <row r="1840" spans="1:7">
      <c r="A1840" t="s">
        <v>144</v>
      </c>
      <c r="B1840">
        <v>28</v>
      </c>
      <c r="C1840">
        <v>48</v>
      </c>
      <c r="D1840">
        <v>0.274758</v>
      </c>
      <c r="E1840">
        <v>-0.11706900000000001</v>
      </c>
      <c r="F1840">
        <v>-0.93554499999999996</v>
      </c>
      <c r="G1840">
        <v>-0.71066200000000002</v>
      </c>
    </row>
    <row r="1841" spans="1:7">
      <c r="A1841" t="s">
        <v>144</v>
      </c>
      <c r="B1841">
        <v>28</v>
      </c>
      <c r="C1841">
        <v>49</v>
      </c>
      <c r="D1841">
        <v>0.274758</v>
      </c>
      <c r="E1841">
        <v>0.84991000000000005</v>
      </c>
      <c r="F1841">
        <v>-0.18607099999999999</v>
      </c>
      <c r="G1841">
        <v>9.8572999999999994E-2</v>
      </c>
    </row>
    <row r="1842" spans="1:7">
      <c r="A1842" t="s">
        <v>144</v>
      </c>
      <c r="B1842" t="s">
        <v>145</v>
      </c>
      <c r="C1842">
        <v>29</v>
      </c>
    </row>
    <row r="1843" spans="1:7">
      <c r="A1843" t="s">
        <v>144</v>
      </c>
      <c r="B1843" t="s">
        <v>146</v>
      </c>
      <c r="C1843">
        <v>81</v>
      </c>
    </row>
    <row r="1844" spans="1:7">
      <c r="A1844" t="s">
        <v>144</v>
      </c>
      <c r="B1844" t="s">
        <v>147</v>
      </c>
      <c r="C1844">
        <v>81</v>
      </c>
    </row>
    <row r="1845" spans="1:7">
      <c r="A1845" t="s">
        <v>144</v>
      </c>
      <c r="B1845" t="s">
        <v>148</v>
      </c>
      <c r="C1845">
        <v>0.61516199999999999</v>
      </c>
    </row>
    <row r="1846" spans="1:7">
      <c r="A1846" t="s">
        <v>144</v>
      </c>
      <c r="B1846" t="s">
        <v>149</v>
      </c>
      <c r="C1846">
        <v>0.61516199999999999</v>
      </c>
    </row>
    <row r="1847" spans="1:7">
      <c r="A1847" t="s">
        <v>144</v>
      </c>
      <c r="B1847" t="s">
        <v>150</v>
      </c>
      <c r="C1847">
        <v>-1</v>
      </c>
    </row>
    <row r="1848" spans="1:7">
      <c r="A1848" t="s">
        <v>144</v>
      </c>
      <c r="B1848" t="s">
        <v>151</v>
      </c>
      <c r="C1848">
        <v>-1</v>
      </c>
    </row>
    <row r="1849" spans="1:7">
      <c r="A1849" t="s">
        <v>144</v>
      </c>
      <c r="B1849" t="s">
        <v>152</v>
      </c>
      <c r="C1849">
        <v>27</v>
      </c>
    </row>
    <row r="1850" spans="1:7">
      <c r="A1850" t="s">
        <v>144</v>
      </c>
      <c r="B1850" t="s">
        <v>153</v>
      </c>
      <c r="C1850">
        <v>27</v>
      </c>
    </row>
    <row r="1851" spans="1:7">
      <c r="A1851" t="s">
        <v>144</v>
      </c>
      <c r="B1851" t="s">
        <v>154</v>
      </c>
      <c r="C1851">
        <v>0</v>
      </c>
    </row>
    <row r="1852" spans="1:7">
      <c r="A1852" t="s">
        <v>144</v>
      </c>
      <c r="B1852" t="s">
        <v>155</v>
      </c>
    </row>
    <row r="1853" spans="1:7">
      <c r="A1853" t="s">
        <v>144</v>
      </c>
      <c r="B1853" t="s">
        <v>150</v>
      </c>
      <c r="C1853">
        <v>0.37327199999999999</v>
      </c>
    </row>
    <row r="1854" spans="1:7">
      <c r="A1854" t="s">
        <v>144</v>
      </c>
      <c r="B1854" t="s">
        <v>151</v>
      </c>
      <c r="C1854">
        <v>0.37327199999999999</v>
      </c>
    </row>
    <row r="1855" spans="1:7">
      <c r="A1855" t="s">
        <v>144</v>
      </c>
      <c r="B1855" t="s">
        <v>156</v>
      </c>
      <c r="C1855" t="s">
        <v>157</v>
      </c>
      <c r="D1855" t="s">
        <v>63</v>
      </c>
      <c r="E1855" t="s">
        <v>158</v>
      </c>
      <c r="F1855" t="s">
        <v>159</v>
      </c>
      <c r="G1855" t="s">
        <v>160</v>
      </c>
    </row>
    <row r="1856" spans="1:7">
      <c r="A1856" t="s">
        <v>144</v>
      </c>
      <c r="B1856">
        <v>29</v>
      </c>
      <c r="C1856">
        <v>0</v>
      </c>
      <c r="D1856">
        <v>0.37327199999999999</v>
      </c>
      <c r="E1856">
        <v>0.47642400000000001</v>
      </c>
      <c r="F1856">
        <v>-1</v>
      </c>
      <c r="G1856">
        <v>0.47642400000000001</v>
      </c>
    </row>
    <row r="1857" spans="1:7">
      <c r="A1857" t="s">
        <v>144</v>
      </c>
      <c r="B1857">
        <v>29</v>
      </c>
      <c r="C1857">
        <v>1</v>
      </c>
      <c r="D1857">
        <v>0.37327199999999999</v>
      </c>
      <c r="E1857">
        <v>-0.68443900000000002</v>
      </c>
      <c r="F1857">
        <v>-1</v>
      </c>
      <c r="G1857">
        <v>-0.68443900000000002</v>
      </c>
    </row>
    <row r="1858" spans="1:7">
      <c r="A1858" t="s">
        <v>144</v>
      </c>
      <c r="B1858">
        <v>29</v>
      </c>
      <c r="C1858">
        <v>2</v>
      </c>
      <c r="D1858">
        <v>0.37327199999999999</v>
      </c>
      <c r="E1858">
        <v>-9.9489999999999995E-2</v>
      </c>
      <c r="F1858">
        <v>-1</v>
      </c>
      <c r="G1858">
        <v>-9.9489999999999995E-2</v>
      </c>
    </row>
    <row r="1859" spans="1:7">
      <c r="A1859" t="s">
        <v>144</v>
      </c>
      <c r="B1859">
        <v>29</v>
      </c>
      <c r="C1859">
        <v>3</v>
      </c>
      <c r="D1859">
        <v>0.37327199999999999</v>
      </c>
      <c r="E1859">
        <v>-0.28846100000000002</v>
      </c>
      <c r="F1859">
        <v>-1</v>
      </c>
      <c r="G1859">
        <v>-0.28846100000000002</v>
      </c>
    </row>
    <row r="1860" spans="1:7">
      <c r="A1860" t="s">
        <v>144</v>
      </c>
      <c r="B1860">
        <v>29</v>
      </c>
      <c r="C1860">
        <v>4</v>
      </c>
      <c r="D1860">
        <v>0.37327199999999999</v>
      </c>
      <c r="E1860">
        <v>-0.16830999999999999</v>
      </c>
      <c r="F1860">
        <v>-1</v>
      </c>
      <c r="G1860">
        <v>-0.16830999999999999</v>
      </c>
    </row>
    <row r="1861" spans="1:7">
      <c r="A1861" t="s">
        <v>144</v>
      </c>
      <c r="B1861">
        <v>29</v>
      </c>
      <c r="C1861">
        <v>5</v>
      </c>
      <c r="D1861">
        <v>0.37327199999999999</v>
      </c>
      <c r="E1861">
        <v>0.57695200000000002</v>
      </c>
      <c r="F1861">
        <v>-1</v>
      </c>
      <c r="G1861">
        <v>0.57695200000000002</v>
      </c>
    </row>
    <row r="1862" spans="1:7">
      <c r="A1862" t="s">
        <v>144</v>
      </c>
      <c r="B1862">
        <v>29</v>
      </c>
      <c r="C1862">
        <v>6</v>
      </c>
      <c r="D1862">
        <v>0.37327199999999999</v>
      </c>
      <c r="E1862">
        <v>-0.57600600000000002</v>
      </c>
      <c r="F1862">
        <v>-1</v>
      </c>
      <c r="G1862">
        <v>-0.57600600000000002</v>
      </c>
    </row>
    <row r="1863" spans="1:7">
      <c r="A1863" t="s">
        <v>144</v>
      </c>
      <c r="B1863">
        <v>29</v>
      </c>
      <c r="C1863">
        <v>7</v>
      </c>
      <c r="D1863">
        <v>0.37327199999999999</v>
      </c>
      <c r="E1863">
        <v>-0.65147900000000003</v>
      </c>
      <c r="F1863">
        <v>-1</v>
      </c>
      <c r="G1863">
        <v>-0.65147900000000003</v>
      </c>
    </row>
    <row r="1864" spans="1:7">
      <c r="A1864" t="s">
        <v>144</v>
      </c>
      <c r="B1864">
        <v>29</v>
      </c>
      <c r="C1864">
        <v>8</v>
      </c>
      <c r="D1864">
        <v>0.37327199999999999</v>
      </c>
      <c r="E1864">
        <v>0.80867900000000004</v>
      </c>
      <c r="F1864">
        <v>-1</v>
      </c>
      <c r="G1864">
        <v>0.80867900000000004</v>
      </c>
    </row>
    <row r="1865" spans="1:7">
      <c r="A1865" t="s">
        <v>144</v>
      </c>
      <c r="B1865">
        <v>29</v>
      </c>
      <c r="C1865">
        <v>9</v>
      </c>
      <c r="D1865">
        <v>0.37327199999999999</v>
      </c>
      <c r="E1865">
        <v>-2.8535000000000001E-2</v>
      </c>
      <c r="F1865">
        <v>-1</v>
      </c>
      <c r="G1865">
        <v>-2.8535000000000001E-2</v>
      </c>
    </row>
    <row r="1866" spans="1:7">
      <c r="A1866" t="s">
        <v>144</v>
      </c>
      <c r="B1866">
        <v>29</v>
      </c>
      <c r="C1866">
        <v>10</v>
      </c>
      <c r="D1866">
        <v>0.37327199999999999</v>
      </c>
      <c r="E1866">
        <v>0.78875099999999998</v>
      </c>
      <c r="F1866">
        <v>-1</v>
      </c>
      <c r="G1866">
        <v>0.78875099999999998</v>
      </c>
    </row>
    <row r="1867" spans="1:7">
      <c r="A1867" t="s">
        <v>144</v>
      </c>
      <c r="B1867">
        <v>29</v>
      </c>
      <c r="C1867">
        <v>11</v>
      </c>
      <c r="D1867">
        <v>0.37327199999999999</v>
      </c>
      <c r="E1867">
        <v>0.47981200000000002</v>
      </c>
      <c r="F1867">
        <v>-1</v>
      </c>
      <c r="G1867">
        <v>0.47981200000000002</v>
      </c>
    </row>
    <row r="1868" spans="1:7">
      <c r="A1868" t="s">
        <v>144</v>
      </c>
      <c r="B1868">
        <v>29</v>
      </c>
      <c r="C1868">
        <v>12</v>
      </c>
      <c r="D1868">
        <v>0.37327199999999999</v>
      </c>
      <c r="E1868">
        <v>-0.68913800000000003</v>
      </c>
      <c r="F1868">
        <v>-1</v>
      </c>
      <c r="G1868">
        <v>-0.68913800000000003</v>
      </c>
    </row>
    <row r="1869" spans="1:7">
      <c r="A1869" t="s">
        <v>144</v>
      </c>
      <c r="B1869">
        <v>29</v>
      </c>
      <c r="C1869">
        <v>13</v>
      </c>
      <c r="D1869">
        <v>0.37327199999999999</v>
      </c>
      <c r="E1869">
        <v>-0.60908799999999996</v>
      </c>
      <c r="F1869">
        <v>-1</v>
      </c>
      <c r="G1869">
        <v>-0.60908799999999996</v>
      </c>
    </row>
    <row r="1870" spans="1:7">
      <c r="A1870" t="s">
        <v>144</v>
      </c>
      <c r="B1870">
        <v>29</v>
      </c>
      <c r="C1870">
        <v>14</v>
      </c>
      <c r="D1870">
        <v>0.37327199999999999</v>
      </c>
      <c r="E1870">
        <v>0.37415700000000002</v>
      </c>
      <c r="F1870">
        <v>-1</v>
      </c>
      <c r="G1870">
        <v>0.37415700000000002</v>
      </c>
    </row>
    <row r="1871" spans="1:7">
      <c r="A1871" t="s">
        <v>144</v>
      </c>
      <c r="B1871">
        <v>29</v>
      </c>
      <c r="C1871">
        <v>15</v>
      </c>
      <c r="D1871">
        <v>0.37327199999999999</v>
      </c>
      <c r="E1871">
        <v>-7.1443999999999994E-2</v>
      </c>
      <c r="F1871">
        <v>-1</v>
      </c>
      <c r="G1871">
        <v>-7.1443999999999994E-2</v>
      </c>
    </row>
    <row r="1872" spans="1:7">
      <c r="A1872" t="s">
        <v>144</v>
      </c>
      <c r="B1872">
        <v>29</v>
      </c>
      <c r="C1872">
        <v>16</v>
      </c>
      <c r="D1872">
        <v>0.37327199999999999</v>
      </c>
      <c r="E1872">
        <v>0.62388999999999994</v>
      </c>
      <c r="F1872">
        <v>-1</v>
      </c>
      <c r="G1872">
        <v>0.62388999999999994</v>
      </c>
    </row>
    <row r="1873" spans="1:7">
      <c r="A1873" t="s">
        <v>144</v>
      </c>
      <c r="B1873">
        <v>29</v>
      </c>
      <c r="C1873">
        <v>17</v>
      </c>
      <c r="D1873">
        <v>0.37327199999999999</v>
      </c>
      <c r="E1873">
        <v>0.84167000000000003</v>
      </c>
      <c r="F1873">
        <v>-1</v>
      </c>
      <c r="G1873">
        <v>0.84167000000000003</v>
      </c>
    </row>
    <row r="1874" spans="1:7">
      <c r="A1874" t="s">
        <v>144</v>
      </c>
      <c r="B1874">
        <v>29</v>
      </c>
      <c r="C1874">
        <v>18</v>
      </c>
      <c r="D1874">
        <v>0.37327199999999999</v>
      </c>
      <c r="E1874">
        <v>-0.79784500000000003</v>
      </c>
      <c r="F1874">
        <v>-1</v>
      </c>
      <c r="G1874">
        <v>-0.79784500000000003</v>
      </c>
    </row>
    <row r="1875" spans="1:7">
      <c r="A1875" t="s">
        <v>144</v>
      </c>
      <c r="B1875">
        <v>29</v>
      </c>
      <c r="C1875">
        <v>19</v>
      </c>
      <c r="D1875">
        <v>0.37327199999999999</v>
      </c>
      <c r="E1875">
        <v>0.43726900000000002</v>
      </c>
      <c r="F1875">
        <v>-1</v>
      </c>
      <c r="G1875">
        <v>0.43726900000000002</v>
      </c>
    </row>
    <row r="1876" spans="1:7">
      <c r="A1876" t="s">
        <v>144</v>
      </c>
      <c r="B1876">
        <v>29</v>
      </c>
      <c r="C1876">
        <v>20</v>
      </c>
      <c r="D1876">
        <v>0.37327199999999999</v>
      </c>
      <c r="E1876">
        <v>9.4241000000000005E-2</v>
      </c>
      <c r="F1876">
        <v>-1</v>
      </c>
      <c r="G1876">
        <v>9.4241000000000005E-2</v>
      </c>
    </row>
    <row r="1877" spans="1:7">
      <c r="A1877" t="s">
        <v>144</v>
      </c>
      <c r="B1877">
        <v>29</v>
      </c>
      <c r="C1877">
        <v>21</v>
      </c>
      <c r="D1877">
        <v>0.37327199999999999</v>
      </c>
      <c r="E1877">
        <v>-0.50337200000000004</v>
      </c>
      <c r="F1877">
        <v>-1</v>
      </c>
      <c r="G1877">
        <v>-0.50337200000000004</v>
      </c>
    </row>
    <row r="1878" spans="1:7">
      <c r="A1878" t="s">
        <v>144</v>
      </c>
      <c r="B1878">
        <v>29</v>
      </c>
      <c r="C1878">
        <v>22</v>
      </c>
      <c r="D1878">
        <v>0.37327199999999999</v>
      </c>
      <c r="E1878">
        <v>-6.1647E-2</v>
      </c>
      <c r="F1878">
        <v>-1</v>
      </c>
      <c r="G1878">
        <v>-6.1647E-2</v>
      </c>
    </row>
    <row r="1879" spans="1:7">
      <c r="A1879" t="s">
        <v>144</v>
      </c>
      <c r="B1879">
        <v>29</v>
      </c>
      <c r="C1879">
        <v>23</v>
      </c>
      <c r="D1879">
        <v>0.37327199999999999</v>
      </c>
      <c r="E1879">
        <v>0.66460200000000003</v>
      </c>
      <c r="F1879">
        <v>-1</v>
      </c>
      <c r="G1879">
        <v>0.66460200000000003</v>
      </c>
    </row>
    <row r="1880" spans="1:7">
      <c r="A1880" t="s">
        <v>144</v>
      </c>
      <c r="B1880">
        <v>29</v>
      </c>
      <c r="C1880">
        <v>24</v>
      </c>
      <c r="D1880">
        <v>0.37327199999999999</v>
      </c>
      <c r="E1880">
        <v>0.518204</v>
      </c>
      <c r="F1880">
        <v>-1</v>
      </c>
      <c r="G1880">
        <v>0.518204</v>
      </c>
    </row>
    <row r="1881" spans="1:7">
      <c r="A1881" t="s">
        <v>144</v>
      </c>
      <c r="B1881">
        <v>29</v>
      </c>
      <c r="C1881">
        <v>25</v>
      </c>
      <c r="D1881">
        <v>0.37327199999999999</v>
      </c>
      <c r="E1881">
        <v>5.1180000000000003E-2</v>
      </c>
      <c r="F1881">
        <v>-1</v>
      </c>
      <c r="G1881">
        <v>5.1180000000000003E-2</v>
      </c>
    </row>
    <row r="1882" spans="1:7">
      <c r="A1882" t="s">
        <v>144</v>
      </c>
      <c r="B1882">
        <v>29</v>
      </c>
      <c r="C1882">
        <v>26</v>
      </c>
      <c r="D1882">
        <v>0.37327199999999999</v>
      </c>
      <c r="E1882">
        <v>-0.53581299999999998</v>
      </c>
      <c r="F1882">
        <v>-1</v>
      </c>
      <c r="G1882">
        <v>-0.53581299999999998</v>
      </c>
    </row>
    <row r="1883" spans="1:7">
      <c r="A1883" t="s">
        <v>144</v>
      </c>
      <c r="B1883">
        <v>29</v>
      </c>
      <c r="C1883">
        <v>27</v>
      </c>
      <c r="D1883">
        <v>0.37327199999999999</v>
      </c>
      <c r="E1883">
        <v>0.40516400000000002</v>
      </c>
      <c r="F1883">
        <v>0.52626099999999998</v>
      </c>
      <c r="G1883">
        <v>0.48105900000000001</v>
      </c>
    </row>
    <row r="1884" spans="1:7">
      <c r="A1884" t="s">
        <v>144</v>
      </c>
      <c r="B1884">
        <v>29</v>
      </c>
      <c r="C1884">
        <v>28</v>
      </c>
      <c r="D1884">
        <v>0.37327199999999999</v>
      </c>
      <c r="E1884">
        <v>-0.64485599999999998</v>
      </c>
      <c r="F1884">
        <v>-0.188665</v>
      </c>
      <c r="G1884">
        <v>-0.35894900000000002</v>
      </c>
    </row>
    <row r="1885" spans="1:7">
      <c r="A1885" t="s">
        <v>144</v>
      </c>
      <c r="B1885">
        <v>29</v>
      </c>
      <c r="C1885">
        <v>29</v>
      </c>
      <c r="D1885">
        <v>0.37327199999999999</v>
      </c>
      <c r="E1885">
        <v>-0.17258200000000001</v>
      </c>
      <c r="F1885">
        <v>0.50215200000000004</v>
      </c>
      <c r="G1885">
        <v>0.25029200000000001</v>
      </c>
    </row>
    <row r="1886" spans="1:7">
      <c r="A1886" t="s">
        <v>144</v>
      </c>
      <c r="B1886">
        <v>29</v>
      </c>
      <c r="C1886">
        <v>30</v>
      </c>
      <c r="D1886">
        <v>0.37327199999999999</v>
      </c>
      <c r="E1886">
        <v>-0.91579900000000003</v>
      </c>
      <c r="F1886">
        <v>0.96285900000000002</v>
      </c>
      <c r="G1886">
        <v>0.26160899999999998</v>
      </c>
    </row>
    <row r="1887" spans="1:7">
      <c r="A1887" t="s">
        <v>144</v>
      </c>
      <c r="B1887">
        <v>29</v>
      </c>
      <c r="C1887">
        <v>31</v>
      </c>
      <c r="D1887">
        <v>0.37327199999999999</v>
      </c>
      <c r="E1887">
        <v>-0.48866199999999999</v>
      </c>
      <c r="F1887">
        <v>-0.11771</v>
      </c>
      <c r="G1887">
        <v>-0.25617600000000001</v>
      </c>
    </row>
    <row r="1888" spans="1:7">
      <c r="A1888" t="s">
        <v>144</v>
      </c>
      <c r="B1888">
        <v>29</v>
      </c>
      <c r="C1888">
        <v>32</v>
      </c>
      <c r="D1888">
        <v>0.37327199999999999</v>
      </c>
      <c r="E1888">
        <v>-7.4038000000000007E-2</v>
      </c>
      <c r="F1888">
        <v>0.87444699999999997</v>
      </c>
      <c r="G1888">
        <v>0.52040399999999998</v>
      </c>
    </row>
    <row r="1889" spans="1:7">
      <c r="A1889" t="s">
        <v>144</v>
      </c>
      <c r="B1889">
        <v>29</v>
      </c>
      <c r="C1889">
        <v>33</v>
      </c>
      <c r="D1889">
        <v>0.37327199999999999</v>
      </c>
      <c r="E1889">
        <v>-0.46150099999999999</v>
      </c>
      <c r="F1889">
        <v>-0.51686100000000001</v>
      </c>
      <c r="G1889">
        <v>-0.496197</v>
      </c>
    </row>
    <row r="1890" spans="1:7">
      <c r="A1890" t="s">
        <v>144</v>
      </c>
      <c r="B1890">
        <v>29</v>
      </c>
      <c r="C1890">
        <v>34</v>
      </c>
      <c r="D1890">
        <v>0.37327199999999999</v>
      </c>
      <c r="E1890">
        <v>-0.304392</v>
      </c>
      <c r="F1890">
        <v>0.883328</v>
      </c>
      <c r="G1890">
        <v>0.43998500000000001</v>
      </c>
    </row>
    <row r="1891" spans="1:7">
      <c r="A1891" t="s">
        <v>144</v>
      </c>
      <c r="B1891">
        <v>29</v>
      </c>
      <c r="C1891">
        <v>35</v>
      </c>
      <c r="D1891">
        <v>0.37327199999999999</v>
      </c>
      <c r="E1891">
        <v>-0.66093900000000005</v>
      </c>
      <c r="F1891">
        <v>-0.323405</v>
      </c>
      <c r="G1891">
        <v>-0.44939699999999999</v>
      </c>
    </row>
    <row r="1892" spans="1:7">
      <c r="A1892" t="s">
        <v>144</v>
      </c>
      <c r="B1892">
        <v>29</v>
      </c>
      <c r="C1892">
        <v>36</v>
      </c>
      <c r="D1892">
        <v>0.37327199999999999</v>
      </c>
      <c r="E1892">
        <v>-0.90087600000000001</v>
      </c>
      <c r="F1892">
        <v>0.47227400000000003</v>
      </c>
      <c r="G1892">
        <v>-4.0284E-2</v>
      </c>
    </row>
    <row r="1893" spans="1:7">
      <c r="A1893" t="s">
        <v>144</v>
      </c>
      <c r="B1893">
        <v>29</v>
      </c>
      <c r="C1893">
        <v>37</v>
      </c>
      <c r="D1893">
        <v>0.37327199999999999</v>
      </c>
      <c r="E1893">
        <v>-0.21890899999999999</v>
      </c>
      <c r="F1893">
        <v>0.69649300000000003</v>
      </c>
      <c r="G1893">
        <v>0.35479899999999998</v>
      </c>
    </row>
    <row r="1894" spans="1:7">
      <c r="A1894" t="s">
        <v>144</v>
      </c>
      <c r="B1894">
        <v>29</v>
      </c>
      <c r="C1894">
        <v>38</v>
      </c>
      <c r="D1894">
        <v>0.37327199999999999</v>
      </c>
      <c r="E1894">
        <v>0.41886699999999999</v>
      </c>
      <c r="F1894">
        <v>0.39494000000000001</v>
      </c>
      <c r="G1894">
        <v>0.40387099999999998</v>
      </c>
    </row>
    <row r="1895" spans="1:7">
      <c r="A1895" t="s">
        <v>144</v>
      </c>
      <c r="B1895">
        <v>29</v>
      </c>
      <c r="C1895">
        <v>39</v>
      </c>
      <c r="D1895">
        <v>0.37327199999999999</v>
      </c>
      <c r="E1895">
        <v>0.44718799999999997</v>
      </c>
      <c r="F1895">
        <v>-0.30970199999999998</v>
      </c>
      <c r="G1895">
        <v>-2.7175999999999999E-2</v>
      </c>
    </row>
    <row r="1896" spans="1:7">
      <c r="A1896" t="s">
        <v>144</v>
      </c>
      <c r="B1896">
        <v>29</v>
      </c>
      <c r="C1896">
        <v>40</v>
      </c>
      <c r="D1896">
        <v>0.37327199999999999</v>
      </c>
      <c r="E1896">
        <v>-0.48518299999999998</v>
      </c>
      <c r="F1896">
        <v>-0.73763199999999995</v>
      </c>
      <c r="G1896">
        <v>-0.64339999999999997</v>
      </c>
    </row>
    <row r="1897" spans="1:7">
      <c r="A1897" t="s">
        <v>144</v>
      </c>
      <c r="B1897">
        <v>29</v>
      </c>
      <c r="C1897">
        <v>41</v>
      </c>
      <c r="D1897">
        <v>0.37327199999999999</v>
      </c>
      <c r="E1897">
        <v>-0.378857</v>
      </c>
      <c r="F1897">
        <v>-0.160161</v>
      </c>
      <c r="G1897">
        <v>-0.24179400000000001</v>
      </c>
    </row>
    <row r="1898" spans="1:7">
      <c r="A1898" t="s">
        <v>144</v>
      </c>
      <c r="B1898">
        <v>29</v>
      </c>
      <c r="C1898">
        <v>42</v>
      </c>
      <c r="D1898">
        <v>0.37327199999999999</v>
      </c>
      <c r="E1898">
        <v>0.92278800000000005</v>
      </c>
      <c r="F1898">
        <v>-0.45240599999999997</v>
      </c>
      <c r="G1898">
        <v>6.0914999999999997E-2</v>
      </c>
    </row>
    <row r="1899" spans="1:7">
      <c r="A1899" t="s">
        <v>144</v>
      </c>
      <c r="B1899">
        <v>29</v>
      </c>
      <c r="C1899">
        <v>43</v>
      </c>
      <c r="D1899">
        <v>0.37327199999999999</v>
      </c>
      <c r="E1899">
        <v>0.140324</v>
      </c>
      <c r="F1899">
        <v>0.61424599999999996</v>
      </c>
      <c r="G1899">
        <v>0.43734400000000001</v>
      </c>
    </row>
    <row r="1900" spans="1:7">
      <c r="A1900" t="s">
        <v>144</v>
      </c>
      <c r="B1900">
        <v>29</v>
      </c>
      <c r="C1900">
        <v>44</v>
      </c>
      <c r="D1900">
        <v>0.37327199999999999</v>
      </c>
      <c r="E1900">
        <v>-0.34610999999999997</v>
      </c>
      <c r="F1900">
        <v>1.6785000000000001E-2</v>
      </c>
      <c r="G1900">
        <v>-0.118674</v>
      </c>
    </row>
    <row r="1901" spans="1:7">
      <c r="A1901" t="s">
        <v>144</v>
      </c>
      <c r="B1901">
        <v>29</v>
      </c>
      <c r="C1901">
        <v>45</v>
      </c>
      <c r="D1901">
        <v>0.37327199999999999</v>
      </c>
      <c r="E1901">
        <v>0.55903800000000003</v>
      </c>
      <c r="F1901">
        <v>-0.59547700000000003</v>
      </c>
      <c r="G1901">
        <v>-0.16452900000000001</v>
      </c>
    </row>
    <row r="1902" spans="1:7">
      <c r="A1902" t="s">
        <v>144</v>
      </c>
      <c r="B1902">
        <v>29</v>
      </c>
      <c r="C1902">
        <v>46</v>
      </c>
      <c r="D1902">
        <v>0.37327199999999999</v>
      </c>
      <c r="E1902">
        <v>0.88326700000000002</v>
      </c>
      <c r="F1902">
        <v>-0.37678200000000001</v>
      </c>
      <c r="G1902">
        <v>9.3559000000000003E-2</v>
      </c>
    </row>
    <row r="1903" spans="1:7">
      <c r="A1903" t="s">
        <v>144</v>
      </c>
      <c r="B1903">
        <v>29</v>
      </c>
      <c r="C1903">
        <v>47</v>
      </c>
      <c r="D1903">
        <v>0.37327199999999999</v>
      </c>
      <c r="E1903">
        <v>0.91430400000000001</v>
      </c>
      <c r="F1903">
        <v>0.321635</v>
      </c>
      <c r="G1903">
        <v>0.54286100000000004</v>
      </c>
    </row>
    <row r="1904" spans="1:7">
      <c r="A1904" t="s">
        <v>144</v>
      </c>
      <c r="B1904">
        <v>29</v>
      </c>
      <c r="C1904">
        <v>48</v>
      </c>
      <c r="D1904">
        <v>0.37327199999999999</v>
      </c>
      <c r="E1904">
        <v>-0.181646</v>
      </c>
      <c r="F1904">
        <v>-0.82918800000000004</v>
      </c>
      <c r="G1904">
        <v>-0.58747899999999997</v>
      </c>
    </row>
    <row r="1905" spans="1:7">
      <c r="A1905" t="s">
        <v>144</v>
      </c>
      <c r="B1905">
        <v>29</v>
      </c>
      <c r="C1905">
        <v>49</v>
      </c>
      <c r="D1905">
        <v>0.37327199999999999</v>
      </c>
      <c r="E1905">
        <v>0.23657900000000001</v>
      </c>
      <c r="F1905">
        <v>0.49675000000000002</v>
      </c>
      <c r="G1905">
        <v>0.39963599999999999</v>
      </c>
    </row>
    <row r="1906" spans="1:7">
      <c r="A1906" t="s">
        <v>144</v>
      </c>
      <c r="B1906" t="s">
        <v>145</v>
      </c>
      <c r="C1906">
        <v>30</v>
      </c>
    </row>
    <row r="1907" spans="1:7">
      <c r="A1907" t="s">
        <v>144</v>
      </c>
      <c r="B1907" t="s">
        <v>146</v>
      </c>
      <c r="C1907">
        <v>72</v>
      </c>
    </row>
    <row r="1908" spans="1:7">
      <c r="A1908" t="s">
        <v>144</v>
      </c>
      <c r="B1908" t="s">
        <v>147</v>
      </c>
      <c r="C1908">
        <v>72</v>
      </c>
    </row>
    <row r="1909" spans="1:7">
      <c r="A1909" t="s">
        <v>144</v>
      </c>
      <c r="B1909" t="s">
        <v>148</v>
      </c>
      <c r="C1909">
        <v>0.49845899999999999</v>
      </c>
    </row>
    <row r="1910" spans="1:7">
      <c r="A1910" t="s">
        <v>144</v>
      </c>
      <c r="B1910" t="s">
        <v>149</v>
      </c>
      <c r="C1910">
        <v>0.49845899999999999</v>
      </c>
    </row>
    <row r="1911" spans="1:7">
      <c r="A1911" t="s">
        <v>144</v>
      </c>
      <c r="B1911" t="s">
        <v>150</v>
      </c>
      <c r="C1911">
        <v>-1</v>
      </c>
    </row>
    <row r="1912" spans="1:7">
      <c r="A1912" t="s">
        <v>144</v>
      </c>
      <c r="B1912" t="s">
        <v>151</v>
      </c>
      <c r="C1912">
        <v>-1</v>
      </c>
    </row>
    <row r="1913" spans="1:7">
      <c r="A1913" t="s">
        <v>144</v>
      </c>
      <c r="B1913" t="s">
        <v>152</v>
      </c>
      <c r="C1913">
        <v>17</v>
      </c>
    </row>
    <row r="1914" spans="1:7">
      <c r="A1914" t="s">
        <v>144</v>
      </c>
      <c r="B1914" t="s">
        <v>153</v>
      </c>
      <c r="C1914">
        <v>17</v>
      </c>
    </row>
    <row r="1915" spans="1:7">
      <c r="A1915" t="s">
        <v>144</v>
      </c>
      <c r="B1915" t="s">
        <v>154</v>
      </c>
      <c r="C1915">
        <v>0</v>
      </c>
    </row>
    <row r="1916" spans="1:7">
      <c r="A1916" t="s">
        <v>144</v>
      </c>
      <c r="B1916" t="s">
        <v>155</v>
      </c>
    </row>
    <row r="1917" spans="1:7">
      <c r="A1917" t="s">
        <v>144</v>
      </c>
      <c r="B1917" t="s">
        <v>150</v>
      </c>
      <c r="C1917">
        <v>0.80019499999999999</v>
      </c>
    </row>
    <row r="1918" spans="1:7">
      <c r="A1918" t="s">
        <v>144</v>
      </c>
      <c r="B1918" t="s">
        <v>151</v>
      </c>
      <c r="C1918">
        <v>0.80019499999999999</v>
      </c>
    </row>
    <row r="1919" spans="1:7">
      <c r="A1919" t="s">
        <v>144</v>
      </c>
      <c r="B1919" t="s">
        <v>156</v>
      </c>
      <c r="C1919" t="s">
        <v>157</v>
      </c>
      <c r="D1919" t="s">
        <v>63</v>
      </c>
      <c r="E1919" t="s">
        <v>158</v>
      </c>
      <c r="F1919" t="s">
        <v>159</v>
      </c>
      <c r="G1919" t="s">
        <v>160</v>
      </c>
    </row>
    <row r="1920" spans="1:7">
      <c r="A1920" t="s">
        <v>144</v>
      </c>
      <c r="B1920">
        <v>30</v>
      </c>
      <c r="C1920">
        <v>0</v>
      </c>
      <c r="D1920">
        <v>0.80019499999999999</v>
      </c>
      <c r="E1920">
        <v>0.562944</v>
      </c>
      <c r="F1920">
        <v>-1</v>
      </c>
      <c r="G1920">
        <v>0.562944</v>
      </c>
    </row>
    <row r="1921" spans="1:7">
      <c r="A1921" t="s">
        <v>144</v>
      </c>
      <c r="B1921">
        <v>30</v>
      </c>
      <c r="C1921">
        <v>1</v>
      </c>
      <c r="D1921">
        <v>0.80019499999999999</v>
      </c>
      <c r="E1921">
        <v>-0.54945500000000003</v>
      </c>
      <c r="F1921">
        <v>-1</v>
      </c>
      <c r="G1921">
        <v>-0.54945500000000003</v>
      </c>
    </row>
    <row r="1922" spans="1:7">
      <c r="A1922" t="s">
        <v>144</v>
      </c>
      <c r="B1922">
        <v>30</v>
      </c>
      <c r="C1922">
        <v>2</v>
      </c>
      <c r="D1922">
        <v>0.80019499999999999</v>
      </c>
      <c r="E1922">
        <v>5.2919000000000001E-2</v>
      </c>
      <c r="F1922">
        <v>-1</v>
      </c>
      <c r="G1922">
        <v>5.2919000000000001E-2</v>
      </c>
    </row>
    <row r="1923" spans="1:7">
      <c r="A1923" t="s">
        <v>144</v>
      </c>
      <c r="B1923">
        <v>30</v>
      </c>
      <c r="C1923">
        <v>3</v>
      </c>
      <c r="D1923">
        <v>0.80019499999999999</v>
      </c>
      <c r="E1923">
        <v>0.89922800000000003</v>
      </c>
      <c r="F1923">
        <v>-1</v>
      </c>
      <c r="G1923">
        <v>0.89922800000000003</v>
      </c>
    </row>
    <row r="1924" spans="1:7">
      <c r="A1924" t="s">
        <v>144</v>
      </c>
      <c r="B1924">
        <v>30</v>
      </c>
      <c r="C1924">
        <v>4</v>
      </c>
      <c r="D1924">
        <v>0.80019499999999999</v>
      </c>
      <c r="E1924">
        <v>0.57460199999999995</v>
      </c>
      <c r="F1924">
        <v>-1</v>
      </c>
      <c r="G1924">
        <v>0.57460199999999995</v>
      </c>
    </row>
    <row r="1925" spans="1:7">
      <c r="A1925" t="s">
        <v>144</v>
      </c>
      <c r="B1925">
        <v>30</v>
      </c>
      <c r="C1925">
        <v>5</v>
      </c>
      <c r="D1925">
        <v>0.80019499999999999</v>
      </c>
      <c r="E1925">
        <v>-0.18543000000000001</v>
      </c>
      <c r="F1925">
        <v>-1</v>
      </c>
      <c r="G1925">
        <v>-0.18543000000000001</v>
      </c>
    </row>
    <row r="1926" spans="1:7">
      <c r="A1926" t="s">
        <v>144</v>
      </c>
      <c r="B1926">
        <v>30</v>
      </c>
      <c r="C1926">
        <v>6</v>
      </c>
      <c r="D1926">
        <v>0.80019499999999999</v>
      </c>
      <c r="E1926">
        <v>-0.51005599999999995</v>
      </c>
      <c r="F1926">
        <v>-1</v>
      </c>
      <c r="G1926">
        <v>-0.51005599999999995</v>
      </c>
    </row>
    <row r="1927" spans="1:7">
      <c r="A1927" t="s">
        <v>144</v>
      </c>
      <c r="B1927">
        <v>30</v>
      </c>
      <c r="C1927">
        <v>7</v>
      </c>
      <c r="D1927">
        <v>0.80019499999999999</v>
      </c>
      <c r="E1927">
        <v>0.191717</v>
      </c>
      <c r="F1927">
        <v>-1</v>
      </c>
      <c r="G1927">
        <v>0.191717</v>
      </c>
    </row>
    <row r="1928" spans="1:7">
      <c r="A1928" t="s">
        <v>144</v>
      </c>
      <c r="B1928">
        <v>30</v>
      </c>
      <c r="C1928">
        <v>8</v>
      </c>
      <c r="D1928">
        <v>0.80019499999999999</v>
      </c>
      <c r="E1928">
        <v>-1.4312999999999999E-2</v>
      </c>
      <c r="F1928">
        <v>-1</v>
      </c>
      <c r="G1928">
        <v>-1.4312999999999999E-2</v>
      </c>
    </row>
    <row r="1929" spans="1:7">
      <c r="A1929" t="s">
        <v>144</v>
      </c>
      <c r="B1929">
        <v>30</v>
      </c>
      <c r="C1929">
        <v>9</v>
      </c>
      <c r="D1929">
        <v>0.80019499999999999</v>
      </c>
      <c r="E1929">
        <v>-0.235847</v>
      </c>
      <c r="F1929">
        <v>-1</v>
      </c>
      <c r="G1929">
        <v>-0.235847</v>
      </c>
    </row>
    <row r="1930" spans="1:7">
      <c r="A1930" t="s">
        <v>144</v>
      </c>
      <c r="B1930">
        <v>30</v>
      </c>
      <c r="C1930">
        <v>10</v>
      </c>
      <c r="D1930">
        <v>0.80019499999999999</v>
      </c>
      <c r="E1930">
        <v>-0.25318200000000002</v>
      </c>
      <c r="F1930">
        <v>-1</v>
      </c>
      <c r="G1930">
        <v>-0.25318200000000002</v>
      </c>
    </row>
    <row r="1931" spans="1:7">
      <c r="A1931" t="s">
        <v>144</v>
      </c>
      <c r="B1931">
        <v>30</v>
      </c>
      <c r="C1931">
        <v>11</v>
      </c>
      <c r="D1931">
        <v>0.80019499999999999</v>
      </c>
      <c r="E1931">
        <v>-0.561083</v>
      </c>
      <c r="F1931">
        <v>-1</v>
      </c>
      <c r="G1931">
        <v>-0.561083</v>
      </c>
    </row>
    <row r="1932" spans="1:7">
      <c r="A1932" t="s">
        <v>144</v>
      </c>
      <c r="B1932">
        <v>30</v>
      </c>
      <c r="C1932">
        <v>12</v>
      </c>
      <c r="D1932">
        <v>0.80019499999999999</v>
      </c>
      <c r="E1932">
        <v>0.17435200000000001</v>
      </c>
      <c r="F1932">
        <v>-1</v>
      </c>
      <c r="G1932">
        <v>0.17435200000000001</v>
      </c>
    </row>
    <row r="1933" spans="1:7">
      <c r="A1933" t="s">
        <v>144</v>
      </c>
      <c r="B1933">
        <v>30</v>
      </c>
      <c r="C1933">
        <v>13</v>
      </c>
      <c r="D1933">
        <v>0.80019499999999999</v>
      </c>
      <c r="E1933">
        <v>0.52607800000000005</v>
      </c>
      <c r="F1933">
        <v>-1</v>
      </c>
      <c r="G1933">
        <v>0.52607800000000005</v>
      </c>
    </row>
    <row r="1934" spans="1:7">
      <c r="A1934" t="s">
        <v>144</v>
      </c>
      <c r="B1934">
        <v>30</v>
      </c>
      <c r="C1934">
        <v>14</v>
      </c>
      <c r="D1934">
        <v>0.80019499999999999</v>
      </c>
      <c r="E1934">
        <v>-0.46809299999999998</v>
      </c>
      <c r="F1934">
        <v>-1</v>
      </c>
      <c r="G1934">
        <v>-0.46809299999999998</v>
      </c>
    </row>
    <row r="1935" spans="1:7">
      <c r="A1935" t="s">
        <v>144</v>
      </c>
      <c r="B1935">
        <v>30</v>
      </c>
      <c r="C1935">
        <v>15</v>
      </c>
      <c r="D1935">
        <v>0.80019499999999999</v>
      </c>
      <c r="E1935">
        <v>-0.50019800000000003</v>
      </c>
      <c r="F1935">
        <v>-1</v>
      </c>
      <c r="G1935">
        <v>-0.50019800000000003</v>
      </c>
    </row>
    <row r="1936" spans="1:7">
      <c r="A1936" t="s">
        <v>144</v>
      </c>
      <c r="B1936">
        <v>30</v>
      </c>
      <c r="C1936">
        <v>16</v>
      </c>
      <c r="D1936">
        <v>0.80019499999999999</v>
      </c>
      <c r="E1936">
        <v>-0.87340899999999999</v>
      </c>
      <c r="F1936">
        <v>-1</v>
      </c>
      <c r="G1936">
        <v>-0.87340899999999999</v>
      </c>
    </row>
    <row r="1937" spans="1:7">
      <c r="A1937" t="s">
        <v>144</v>
      </c>
      <c r="B1937">
        <v>30</v>
      </c>
      <c r="C1937">
        <v>17</v>
      </c>
      <c r="D1937">
        <v>0.80019499999999999</v>
      </c>
      <c r="E1937">
        <v>0.86983900000000003</v>
      </c>
      <c r="F1937">
        <v>-0.25266300000000003</v>
      </c>
      <c r="G1937">
        <v>0.64555799999999997</v>
      </c>
    </row>
    <row r="1938" spans="1:7">
      <c r="A1938" t="s">
        <v>144</v>
      </c>
      <c r="B1938">
        <v>30</v>
      </c>
      <c r="C1938">
        <v>18</v>
      </c>
      <c r="D1938">
        <v>0.80019499999999999</v>
      </c>
      <c r="E1938">
        <v>0.48628199999999999</v>
      </c>
      <c r="F1938">
        <v>-0.840144</v>
      </c>
      <c r="G1938">
        <v>0.22125600000000001</v>
      </c>
    </row>
    <row r="1939" spans="1:7">
      <c r="A1939" t="s">
        <v>144</v>
      </c>
      <c r="B1939">
        <v>30</v>
      </c>
      <c r="C1939">
        <v>19</v>
      </c>
      <c r="D1939">
        <v>0.80019499999999999</v>
      </c>
      <c r="E1939">
        <v>6.2562999999999994E-2</v>
      </c>
      <c r="F1939">
        <v>0.94509699999999996</v>
      </c>
      <c r="G1939">
        <v>0.238897</v>
      </c>
    </row>
    <row r="1940" spans="1:7">
      <c r="A1940" t="s">
        <v>144</v>
      </c>
      <c r="B1940">
        <v>30</v>
      </c>
      <c r="C1940">
        <v>20</v>
      </c>
      <c r="D1940">
        <v>0.80019499999999999</v>
      </c>
      <c r="E1940">
        <v>0.22617300000000001</v>
      </c>
      <c r="F1940">
        <v>0.159856</v>
      </c>
      <c r="G1940">
        <v>0.212922</v>
      </c>
    </row>
    <row r="1941" spans="1:7">
      <c r="A1941" t="s">
        <v>144</v>
      </c>
      <c r="B1941">
        <v>30</v>
      </c>
      <c r="C1941">
        <v>21</v>
      </c>
      <c r="D1941">
        <v>0.80019499999999999</v>
      </c>
      <c r="E1941">
        <v>-0.99502500000000005</v>
      </c>
      <c r="F1941">
        <v>-0.71538400000000002</v>
      </c>
      <c r="G1941">
        <v>-0.93915199999999999</v>
      </c>
    </row>
    <row r="1942" spans="1:7">
      <c r="A1942" t="s">
        <v>144</v>
      </c>
      <c r="B1942">
        <v>30</v>
      </c>
      <c r="C1942">
        <v>22</v>
      </c>
      <c r="D1942">
        <v>0.80019499999999999</v>
      </c>
      <c r="E1942">
        <v>0.116855</v>
      </c>
      <c r="F1942">
        <v>-3.9888E-2</v>
      </c>
      <c r="G1942">
        <v>8.5537000000000002E-2</v>
      </c>
    </row>
    <row r="1943" spans="1:7">
      <c r="A1943" t="s">
        <v>144</v>
      </c>
      <c r="B1943">
        <v>30</v>
      </c>
      <c r="C1943">
        <v>23</v>
      </c>
      <c r="D1943">
        <v>0.80019499999999999</v>
      </c>
      <c r="E1943">
        <v>0.85073399999999999</v>
      </c>
      <c r="F1943">
        <v>0.39036199999999999</v>
      </c>
      <c r="G1943">
        <v>0.75875000000000004</v>
      </c>
    </row>
    <row r="1944" spans="1:7">
      <c r="A1944" t="s">
        <v>144</v>
      </c>
      <c r="B1944">
        <v>30</v>
      </c>
      <c r="C1944">
        <v>24</v>
      </c>
      <c r="D1944">
        <v>0.80019499999999999</v>
      </c>
      <c r="E1944">
        <v>0.53801100000000002</v>
      </c>
      <c r="F1944">
        <v>0.94650100000000004</v>
      </c>
      <c r="G1944">
        <v>0.61962899999999999</v>
      </c>
    </row>
    <row r="1945" spans="1:7">
      <c r="A1945" t="s">
        <v>144</v>
      </c>
      <c r="B1945">
        <v>30</v>
      </c>
      <c r="C1945">
        <v>25</v>
      </c>
      <c r="D1945">
        <v>0.80019499999999999</v>
      </c>
      <c r="E1945">
        <v>-0.59456200000000003</v>
      </c>
      <c r="F1945">
        <v>0.386181</v>
      </c>
      <c r="G1945">
        <v>-0.39860499999999999</v>
      </c>
    </row>
    <row r="1946" spans="1:7">
      <c r="A1946" t="s">
        <v>144</v>
      </c>
      <c r="B1946">
        <v>30</v>
      </c>
      <c r="C1946">
        <v>26</v>
      </c>
      <c r="D1946">
        <v>0.80019499999999999</v>
      </c>
      <c r="E1946">
        <v>-0.103702</v>
      </c>
      <c r="F1946">
        <v>0.60219100000000003</v>
      </c>
      <c r="G1946">
        <v>3.7338999999999997E-2</v>
      </c>
    </row>
    <row r="1947" spans="1:7">
      <c r="A1947" t="s">
        <v>144</v>
      </c>
      <c r="B1947">
        <v>30</v>
      </c>
      <c r="C1947">
        <v>27</v>
      </c>
      <c r="D1947">
        <v>0.80019499999999999</v>
      </c>
      <c r="E1947">
        <v>0.12939800000000001</v>
      </c>
      <c r="F1947">
        <v>-3.6930000000000001E-3</v>
      </c>
      <c r="G1947">
        <v>0.10280599999999999</v>
      </c>
    </row>
    <row r="1948" spans="1:7">
      <c r="A1948" t="s">
        <v>144</v>
      </c>
      <c r="B1948">
        <v>30</v>
      </c>
      <c r="C1948">
        <v>28</v>
      </c>
      <c r="D1948">
        <v>0.80019499999999999</v>
      </c>
      <c r="E1948">
        <v>0.32422899999999999</v>
      </c>
      <c r="F1948">
        <v>0.89565700000000004</v>
      </c>
      <c r="G1948">
        <v>0.43840299999999999</v>
      </c>
    </row>
    <row r="1949" spans="1:7">
      <c r="A1949" t="s">
        <v>144</v>
      </c>
      <c r="B1949">
        <v>30</v>
      </c>
      <c r="C1949">
        <v>29</v>
      </c>
      <c r="D1949">
        <v>0.80019499999999999</v>
      </c>
      <c r="E1949">
        <v>-0.50205999999999995</v>
      </c>
      <c r="F1949">
        <v>0.86675599999999997</v>
      </c>
      <c r="G1949">
        <v>-0.22856399999999999</v>
      </c>
    </row>
    <row r="1950" spans="1:7">
      <c r="A1950" t="s">
        <v>144</v>
      </c>
      <c r="B1950">
        <v>30</v>
      </c>
      <c r="C1950">
        <v>30</v>
      </c>
      <c r="D1950">
        <v>0.80019499999999999</v>
      </c>
      <c r="E1950">
        <v>0.70732700000000004</v>
      </c>
      <c r="F1950">
        <v>-7.4556999999999998E-2</v>
      </c>
      <c r="G1950">
        <v>0.55110300000000001</v>
      </c>
    </row>
    <row r="1951" spans="1:7">
      <c r="A1951" t="s">
        <v>144</v>
      </c>
      <c r="B1951">
        <v>30</v>
      </c>
      <c r="C1951">
        <v>31</v>
      </c>
      <c r="D1951">
        <v>0.80019499999999999</v>
      </c>
      <c r="E1951">
        <v>-6.3813999999999996E-2</v>
      </c>
      <c r="F1951">
        <v>-0.90887200000000001</v>
      </c>
      <c r="G1951">
        <v>-0.23266100000000001</v>
      </c>
    </row>
    <row r="1952" spans="1:7">
      <c r="A1952" t="s">
        <v>144</v>
      </c>
      <c r="B1952">
        <v>30</v>
      </c>
      <c r="C1952">
        <v>32</v>
      </c>
      <c r="D1952">
        <v>0.80019499999999999</v>
      </c>
      <c r="E1952">
        <v>0.45484799999999997</v>
      </c>
      <c r="F1952">
        <v>0.87823099999999998</v>
      </c>
      <c r="G1952">
        <v>0.53944199999999998</v>
      </c>
    </row>
    <row r="1953" spans="1:7">
      <c r="A1953" t="s">
        <v>144</v>
      </c>
      <c r="B1953">
        <v>30</v>
      </c>
      <c r="C1953">
        <v>33</v>
      </c>
      <c r="D1953">
        <v>0.80019499999999999</v>
      </c>
      <c r="E1953">
        <v>0.99273699999999998</v>
      </c>
      <c r="F1953">
        <v>-0.81548500000000002</v>
      </c>
      <c r="G1953">
        <v>0.63144500000000003</v>
      </c>
    </row>
    <row r="1954" spans="1:7">
      <c r="A1954" t="s">
        <v>144</v>
      </c>
      <c r="B1954">
        <v>30</v>
      </c>
      <c r="C1954">
        <v>34</v>
      </c>
      <c r="D1954">
        <v>0.80019499999999999</v>
      </c>
      <c r="E1954">
        <v>-0.41199999999999998</v>
      </c>
      <c r="F1954">
        <v>0.76552600000000004</v>
      </c>
      <c r="G1954">
        <v>-0.17672499999999999</v>
      </c>
    </row>
    <row r="1955" spans="1:7">
      <c r="A1955" t="s">
        <v>144</v>
      </c>
      <c r="B1955">
        <v>30</v>
      </c>
      <c r="C1955">
        <v>35</v>
      </c>
      <c r="D1955">
        <v>0.80019499999999999</v>
      </c>
      <c r="E1955">
        <v>-8.3041000000000004E-2</v>
      </c>
      <c r="F1955">
        <v>0.32721899999999998</v>
      </c>
      <c r="G1955">
        <v>-1.0690000000000001E-3</v>
      </c>
    </row>
    <row r="1956" spans="1:7">
      <c r="A1956" t="s">
        <v>144</v>
      </c>
      <c r="B1956">
        <v>30</v>
      </c>
      <c r="C1956">
        <v>36</v>
      </c>
      <c r="D1956">
        <v>0.80019499999999999</v>
      </c>
      <c r="E1956">
        <v>0.42399399999999998</v>
      </c>
      <c r="F1956">
        <v>0.89513799999999999</v>
      </c>
      <c r="G1956">
        <v>0.51813100000000001</v>
      </c>
    </row>
    <row r="1957" spans="1:7">
      <c r="A1957" t="s">
        <v>144</v>
      </c>
      <c r="B1957">
        <v>30</v>
      </c>
      <c r="C1957">
        <v>37</v>
      </c>
      <c r="D1957">
        <v>0.80019499999999999</v>
      </c>
      <c r="E1957">
        <v>0.20899100000000001</v>
      </c>
      <c r="F1957">
        <v>-0.31080000000000002</v>
      </c>
      <c r="G1957">
        <v>0.10513400000000001</v>
      </c>
    </row>
    <row r="1958" spans="1:7">
      <c r="A1958" t="s">
        <v>144</v>
      </c>
      <c r="B1958">
        <v>30</v>
      </c>
      <c r="C1958">
        <v>38</v>
      </c>
      <c r="D1958">
        <v>0.80019499999999999</v>
      </c>
      <c r="E1958">
        <v>-0.75786600000000004</v>
      </c>
      <c r="F1958">
        <v>1.3854999999999999E-2</v>
      </c>
      <c r="G1958">
        <v>-0.60367300000000002</v>
      </c>
    </row>
    <row r="1959" spans="1:7">
      <c r="A1959" t="s">
        <v>144</v>
      </c>
      <c r="B1959">
        <v>30</v>
      </c>
      <c r="C1959">
        <v>39</v>
      </c>
      <c r="D1959">
        <v>0.80019499999999999</v>
      </c>
      <c r="E1959">
        <v>0.36817499999999997</v>
      </c>
      <c r="F1959">
        <v>3.8149999999999998E-3</v>
      </c>
      <c r="G1959">
        <v>0.29537400000000003</v>
      </c>
    </row>
    <row r="1960" spans="1:7">
      <c r="A1960" t="s">
        <v>144</v>
      </c>
      <c r="B1960">
        <v>30</v>
      </c>
      <c r="C1960">
        <v>40</v>
      </c>
      <c r="D1960">
        <v>0.80019499999999999</v>
      </c>
      <c r="E1960">
        <v>-0.74446900000000005</v>
      </c>
      <c r="F1960">
        <v>-0.90935999999999995</v>
      </c>
      <c r="G1960">
        <v>-0.77741499999999997</v>
      </c>
    </row>
    <row r="1961" spans="1:7">
      <c r="A1961" t="s">
        <v>144</v>
      </c>
      <c r="B1961">
        <v>30</v>
      </c>
      <c r="C1961">
        <v>41</v>
      </c>
      <c r="D1961">
        <v>0.80019499999999999</v>
      </c>
      <c r="E1961">
        <v>-0.71147800000000005</v>
      </c>
      <c r="F1961">
        <v>0.33951799999999999</v>
      </c>
      <c r="G1961">
        <v>-0.50148400000000004</v>
      </c>
    </row>
    <row r="1962" spans="1:7">
      <c r="A1962" t="s">
        <v>144</v>
      </c>
      <c r="B1962">
        <v>30</v>
      </c>
      <c r="C1962">
        <v>42</v>
      </c>
      <c r="D1962">
        <v>0.80019499999999999</v>
      </c>
      <c r="E1962">
        <v>0.29780000000000001</v>
      </c>
      <c r="F1962">
        <v>-0.583453</v>
      </c>
      <c r="G1962">
        <v>0.121721</v>
      </c>
    </row>
    <row r="1963" spans="1:7">
      <c r="A1963" t="s">
        <v>144</v>
      </c>
      <c r="B1963">
        <v>30</v>
      </c>
      <c r="C1963">
        <v>43</v>
      </c>
      <c r="D1963">
        <v>0.80019499999999999</v>
      </c>
      <c r="E1963">
        <v>-0.46565099999999998</v>
      </c>
      <c r="F1963">
        <v>0.75804899999999997</v>
      </c>
      <c r="G1963">
        <v>-0.22115000000000001</v>
      </c>
    </row>
    <row r="1964" spans="1:7">
      <c r="A1964" t="s">
        <v>144</v>
      </c>
      <c r="B1964">
        <v>30</v>
      </c>
      <c r="C1964">
        <v>44</v>
      </c>
      <c r="D1964">
        <v>0.80019499999999999</v>
      </c>
      <c r="E1964">
        <v>-0.46726899999999999</v>
      </c>
      <c r="F1964">
        <v>-0.80284999999999995</v>
      </c>
      <c r="G1964">
        <v>-0.53432000000000002</v>
      </c>
    </row>
    <row r="1965" spans="1:7">
      <c r="A1965" t="s">
        <v>144</v>
      </c>
      <c r="B1965">
        <v>30</v>
      </c>
      <c r="C1965">
        <v>45</v>
      </c>
      <c r="D1965">
        <v>0.80019499999999999</v>
      </c>
      <c r="E1965">
        <v>-0.15454599999999999</v>
      </c>
      <c r="F1965">
        <v>0.41001599999999999</v>
      </c>
      <c r="G1965">
        <v>-4.1744000000000003E-2</v>
      </c>
    </row>
    <row r="1966" spans="1:7">
      <c r="A1966" t="s">
        <v>144</v>
      </c>
      <c r="B1966">
        <v>30</v>
      </c>
      <c r="C1966">
        <v>46</v>
      </c>
      <c r="D1966">
        <v>0.80019499999999999</v>
      </c>
      <c r="E1966">
        <v>-0.67955600000000005</v>
      </c>
      <c r="F1966">
        <v>-0.18246999999999999</v>
      </c>
      <c r="G1966">
        <v>-0.58023599999999997</v>
      </c>
    </row>
    <row r="1967" spans="1:7">
      <c r="A1967" t="s">
        <v>144</v>
      </c>
      <c r="B1967">
        <v>30</v>
      </c>
      <c r="C1967">
        <v>47</v>
      </c>
      <c r="D1967">
        <v>0.80019499999999999</v>
      </c>
      <c r="E1967">
        <v>-2.5575000000000001E-2</v>
      </c>
      <c r="F1967">
        <v>0.159307</v>
      </c>
      <c r="G1967">
        <v>1.1365999999999999E-2</v>
      </c>
    </row>
    <row r="1968" spans="1:7">
      <c r="A1968" t="s">
        <v>144</v>
      </c>
      <c r="B1968">
        <v>30</v>
      </c>
      <c r="C1968">
        <v>48</v>
      </c>
      <c r="D1968">
        <v>0.80019499999999999</v>
      </c>
      <c r="E1968">
        <v>-0.82616699999999998</v>
      </c>
      <c r="F1968">
        <v>-0.45872400000000002</v>
      </c>
      <c r="G1968">
        <v>-0.75275000000000003</v>
      </c>
    </row>
    <row r="1969" spans="1:7">
      <c r="A1969" t="s">
        <v>144</v>
      </c>
      <c r="B1969">
        <v>30</v>
      </c>
      <c r="C1969">
        <v>49</v>
      </c>
      <c r="D1969">
        <v>0.80019499999999999</v>
      </c>
      <c r="E1969">
        <v>8.7344000000000005E-2</v>
      </c>
      <c r="F1969">
        <v>0.29053600000000002</v>
      </c>
      <c r="G1969">
        <v>0.127943</v>
      </c>
    </row>
    <row r="1970" spans="1:7">
      <c r="A1970" t="s">
        <v>144</v>
      </c>
      <c r="B1970" t="s">
        <v>145</v>
      </c>
      <c r="C1970">
        <v>31</v>
      </c>
    </row>
    <row r="1971" spans="1:7">
      <c r="A1971" t="s">
        <v>144</v>
      </c>
      <c r="B1971" t="s">
        <v>146</v>
      </c>
      <c r="C1971">
        <v>66</v>
      </c>
    </row>
    <row r="1972" spans="1:7">
      <c r="A1972" t="s">
        <v>144</v>
      </c>
      <c r="B1972" t="s">
        <v>147</v>
      </c>
      <c r="C1972">
        <v>66</v>
      </c>
    </row>
    <row r="1973" spans="1:7">
      <c r="A1973" t="s">
        <v>144</v>
      </c>
      <c r="B1973" t="s">
        <v>148</v>
      </c>
      <c r="C1973">
        <v>0.20572499999999999</v>
      </c>
    </row>
    <row r="1974" spans="1:7">
      <c r="A1974" t="s">
        <v>144</v>
      </c>
      <c r="B1974" t="s">
        <v>149</v>
      </c>
      <c r="C1974">
        <v>0.20572499999999999</v>
      </c>
    </row>
    <row r="1975" spans="1:7">
      <c r="A1975" t="s">
        <v>144</v>
      </c>
      <c r="B1975" t="s">
        <v>150</v>
      </c>
      <c r="C1975">
        <v>-1</v>
      </c>
    </row>
    <row r="1976" spans="1:7">
      <c r="A1976" t="s">
        <v>144</v>
      </c>
      <c r="B1976" t="s">
        <v>151</v>
      </c>
      <c r="C1976">
        <v>-1</v>
      </c>
    </row>
    <row r="1977" spans="1:7">
      <c r="A1977" t="s">
        <v>144</v>
      </c>
      <c r="B1977" t="s">
        <v>152</v>
      </c>
      <c r="C1977">
        <v>14</v>
      </c>
    </row>
    <row r="1978" spans="1:7">
      <c r="A1978" t="s">
        <v>144</v>
      </c>
      <c r="B1978" t="s">
        <v>153</v>
      </c>
      <c r="C1978">
        <v>14</v>
      </c>
    </row>
    <row r="1979" spans="1:7">
      <c r="A1979" t="s">
        <v>144</v>
      </c>
      <c r="B1979" t="s">
        <v>154</v>
      </c>
      <c r="C1979">
        <v>0</v>
      </c>
    </row>
    <row r="1980" spans="1:7">
      <c r="A1980" t="s">
        <v>144</v>
      </c>
      <c r="B1980" t="s">
        <v>155</v>
      </c>
    </row>
    <row r="1981" spans="1:7">
      <c r="A1981" t="s">
        <v>144</v>
      </c>
      <c r="B1981" t="s">
        <v>150</v>
      </c>
      <c r="C1981">
        <v>8.6305999999999994E-2</v>
      </c>
    </row>
    <row r="1982" spans="1:7">
      <c r="A1982" t="s">
        <v>144</v>
      </c>
      <c r="B1982" t="s">
        <v>151</v>
      </c>
      <c r="C1982">
        <v>8.6305999999999994E-2</v>
      </c>
    </row>
    <row r="1983" spans="1:7">
      <c r="A1983" t="s">
        <v>144</v>
      </c>
      <c r="B1983" t="s">
        <v>156</v>
      </c>
      <c r="C1983" t="s">
        <v>157</v>
      </c>
      <c r="D1983" t="s">
        <v>63</v>
      </c>
      <c r="E1983" t="s">
        <v>158</v>
      </c>
      <c r="F1983" t="s">
        <v>159</v>
      </c>
      <c r="G1983" t="s">
        <v>160</v>
      </c>
    </row>
    <row r="1984" spans="1:7">
      <c r="A1984" t="s">
        <v>144</v>
      </c>
      <c r="B1984">
        <v>31</v>
      </c>
      <c r="C1984">
        <v>0</v>
      </c>
      <c r="D1984">
        <v>8.6305999999999994E-2</v>
      </c>
      <c r="E1984">
        <v>0.37080000000000002</v>
      </c>
      <c r="F1984">
        <v>-1</v>
      </c>
      <c r="G1984">
        <v>0.37080000000000002</v>
      </c>
    </row>
    <row r="1985" spans="1:7">
      <c r="A1985" t="s">
        <v>144</v>
      </c>
      <c r="B1985">
        <v>31</v>
      </c>
      <c r="C1985">
        <v>1</v>
      </c>
      <c r="D1985">
        <v>8.6305999999999994E-2</v>
      </c>
      <c r="E1985">
        <v>0.63362499999999999</v>
      </c>
      <c r="F1985">
        <v>-1</v>
      </c>
      <c r="G1985">
        <v>0.63362499999999999</v>
      </c>
    </row>
    <row r="1986" spans="1:7">
      <c r="A1986" t="s">
        <v>144</v>
      </c>
      <c r="B1986">
        <v>31</v>
      </c>
      <c r="C1986">
        <v>2</v>
      </c>
      <c r="D1986">
        <v>8.6305999999999994E-2</v>
      </c>
      <c r="E1986">
        <v>-0.36680200000000002</v>
      </c>
      <c r="F1986">
        <v>-1</v>
      </c>
      <c r="G1986">
        <v>-0.36680200000000002</v>
      </c>
    </row>
    <row r="1987" spans="1:7">
      <c r="A1987" t="s">
        <v>144</v>
      </c>
      <c r="B1987">
        <v>31</v>
      </c>
      <c r="C1987">
        <v>3</v>
      </c>
      <c r="D1987">
        <v>8.6305999999999994E-2</v>
      </c>
      <c r="E1987">
        <v>-0.84127300000000005</v>
      </c>
      <c r="F1987">
        <v>-1</v>
      </c>
      <c r="G1987">
        <v>-0.84127300000000005</v>
      </c>
    </row>
    <row r="1988" spans="1:7">
      <c r="A1988" t="s">
        <v>144</v>
      </c>
      <c r="B1988">
        <v>31</v>
      </c>
      <c r="C1988">
        <v>4</v>
      </c>
      <c r="D1988">
        <v>8.6305999999999994E-2</v>
      </c>
      <c r="E1988">
        <v>9.1677999999999996E-2</v>
      </c>
      <c r="F1988">
        <v>-1</v>
      </c>
      <c r="G1988">
        <v>9.1677999999999996E-2</v>
      </c>
    </row>
    <row r="1989" spans="1:7">
      <c r="A1989" t="s">
        <v>144</v>
      </c>
      <c r="B1989">
        <v>31</v>
      </c>
      <c r="C1989">
        <v>5</v>
      </c>
      <c r="D1989">
        <v>8.6305999999999994E-2</v>
      </c>
      <c r="E1989">
        <v>4.6998999999999999E-2</v>
      </c>
      <c r="F1989">
        <v>-1</v>
      </c>
      <c r="G1989">
        <v>4.6998999999999999E-2</v>
      </c>
    </row>
    <row r="1990" spans="1:7">
      <c r="A1990" t="s">
        <v>144</v>
      </c>
      <c r="B1990">
        <v>31</v>
      </c>
      <c r="C1990">
        <v>6</v>
      </c>
      <c r="D1990">
        <v>8.6305999999999994E-2</v>
      </c>
      <c r="E1990">
        <v>0.86934999999999996</v>
      </c>
      <c r="F1990">
        <v>-1</v>
      </c>
      <c r="G1990">
        <v>0.86934999999999996</v>
      </c>
    </row>
    <row r="1991" spans="1:7">
      <c r="A1991" t="s">
        <v>144</v>
      </c>
      <c r="B1991">
        <v>31</v>
      </c>
      <c r="C1991">
        <v>7</v>
      </c>
      <c r="D1991">
        <v>8.6305999999999994E-2</v>
      </c>
      <c r="E1991">
        <v>-0.47962900000000003</v>
      </c>
      <c r="F1991">
        <v>-1</v>
      </c>
      <c r="G1991">
        <v>-0.47962900000000003</v>
      </c>
    </row>
    <row r="1992" spans="1:7">
      <c r="A1992" t="s">
        <v>144</v>
      </c>
      <c r="B1992">
        <v>31</v>
      </c>
      <c r="C1992">
        <v>8</v>
      </c>
      <c r="D1992">
        <v>8.6305999999999994E-2</v>
      </c>
      <c r="E1992">
        <v>-0.57957700000000001</v>
      </c>
      <c r="F1992">
        <v>-1</v>
      </c>
      <c r="G1992">
        <v>-0.57957700000000001</v>
      </c>
    </row>
    <row r="1993" spans="1:7">
      <c r="A1993" t="s">
        <v>144</v>
      </c>
      <c r="B1993">
        <v>31</v>
      </c>
      <c r="C1993">
        <v>9</v>
      </c>
      <c r="D1993">
        <v>8.6305999999999994E-2</v>
      </c>
      <c r="E1993">
        <v>0.44862200000000002</v>
      </c>
      <c r="F1993">
        <v>-1</v>
      </c>
      <c r="G1993">
        <v>0.44862200000000002</v>
      </c>
    </row>
    <row r="1994" spans="1:7">
      <c r="A1994" t="s">
        <v>144</v>
      </c>
      <c r="B1994">
        <v>31</v>
      </c>
      <c r="C1994">
        <v>10</v>
      </c>
      <c r="D1994">
        <v>8.6305999999999994E-2</v>
      </c>
      <c r="E1994">
        <v>-0.532609</v>
      </c>
      <c r="F1994">
        <v>-1</v>
      </c>
      <c r="G1994">
        <v>-0.532609</v>
      </c>
    </row>
    <row r="1995" spans="1:7">
      <c r="A1995" t="s">
        <v>144</v>
      </c>
      <c r="B1995">
        <v>31</v>
      </c>
      <c r="C1995">
        <v>11</v>
      </c>
      <c r="D1995">
        <v>8.6305999999999994E-2</v>
      </c>
      <c r="E1995">
        <v>-0.46607900000000002</v>
      </c>
      <c r="F1995">
        <v>-1</v>
      </c>
      <c r="G1995">
        <v>-0.46607900000000002</v>
      </c>
    </row>
    <row r="1996" spans="1:7">
      <c r="A1996" t="s">
        <v>144</v>
      </c>
      <c r="B1996">
        <v>31</v>
      </c>
      <c r="C1996">
        <v>12</v>
      </c>
      <c r="D1996">
        <v>8.6305999999999994E-2</v>
      </c>
      <c r="E1996">
        <v>0.81457000000000002</v>
      </c>
      <c r="F1996">
        <v>-1</v>
      </c>
      <c r="G1996">
        <v>0.81457000000000002</v>
      </c>
    </row>
    <row r="1997" spans="1:7">
      <c r="A1997" t="s">
        <v>144</v>
      </c>
      <c r="B1997">
        <v>31</v>
      </c>
      <c r="C1997">
        <v>13</v>
      </c>
      <c r="D1997">
        <v>8.6305999999999994E-2</v>
      </c>
      <c r="E1997">
        <v>-0.60460199999999997</v>
      </c>
      <c r="F1997">
        <v>-1</v>
      </c>
      <c r="G1997">
        <v>-0.60460199999999997</v>
      </c>
    </row>
    <row r="1998" spans="1:7">
      <c r="A1998" t="s">
        <v>144</v>
      </c>
      <c r="B1998">
        <v>31</v>
      </c>
      <c r="C1998">
        <v>14</v>
      </c>
      <c r="D1998">
        <v>8.6305999999999994E-2</v>
      </c>
      <c r="E1998">
        <v>0.759606</v>
      </c>
      <c r="F1998">
        <v>0.47819499999999998</v>
      </c>
      <c r="G1998">
        <v>0.50248199999999998</v>
      </c>
    </row>
    <row r="1999" spans="1:7">
      <c r="A1999" t="s">
        <v>144</v>
      </c>
      <c r="B1999">
        <v>31</v>
      </c>
      <c r="C1999">
        <v>15</v>
      </c>
      <c r="D1999">
        <v>8.6305999999999994E-2</v>
      </c>
      <c r="E1999">
        <v>-0.99795500000000004</v>
      </c>
      <c r="F1999">
        <v>0.33311000000000002</v>
      </c>
      <c r="G1999">
        <v>0.21823000000000001</v>
      </c>
    </row>
    <row r="2000" spans="1:7">
      <c r="A2000" t="s">
        <v>144</v>
      </c>
      <c r="B2000">
        <v>31</v>
      </c>
      <c r="C2000">
        <v>16</v>
      </c>
      <c r="D2000">
        <v>8.6305999999999994E-2</v>
      </c>
      <c r="E2000">
        <v>-0.70555699999999999</v>
      </c>
      <c r="F2000">
        <v>0.42967</v>
      </c>
      <c r="G2000">
        <v>0.33169300000000002</v>
      </c>
    </row>
    <row r="2001" spans="1:7">
      <c r="A2001" t="s">
        <v>144</v>
      </c>
      <c r="B2001">
        <v>31</v>
      </c>
      <c r="C2001">
        <v>17</v>
      </c>
      <c r="D2001">
        <v>8.6305999999999994E-2</v>
      </c>
      <c r="E2001">
        <v>-0.89053000000000004</v>
      </c>
      <c r="F2001">
        <v>0.86098799999999998</v>
      </c>
      <c r="G2001">
        <v>0.70982100000000004</v>
      </c>
    </row>
    <row r="2002" spans="1:7">
      <c r="A2002" t="s">
        <v>144</v>
      </c>
      <c r="B2002">
        <v>31</v>
      </c>
      <c r="C2002">
        <v>18</v>
      </c>
      <c r="D2002">
        <v>8.6305999999999994E-2</v>
      </c>
      <c r="E2002">
        <v>-0.68877200000000005</v>
      </c>
      <c r="F2002">
        <v>-0.27616200000000002</v>
      </c>
      <c r="G2002">
        <v>-0.31177300000000002</v>
      </c>
    </row>
    <row r="2003" spans="1:7">
      <c r="A2003" t="s">
        <v>144</v>
      </c>
      <c r="B2003">
        <v>31</v>
      </c>
      <c r="C2003">
        <v>19</v>
      </c>
      <c r="D2003">
        <v>8.6305999999999994E-2</v>
      </c>
      <c r="E2003">
        <v>0.141789</v>
      </c>
      <c r="F2003">
        <v>-6.7964999999999998E-2</v>
      </c>
      <c r="G2003">
        <v>-4.9861999999999997E-2</v>
      </c>
    </row>
    <row r="2004" spans="1:7">
      <c r="A2004" t="s">
        <v>144</v>
      </c>
      <c r="B2004">
        <v>31</v>
      </c>
      <c r="C2004">
        <v>20</v>
      </c>
      <c r="D2004">
        <v>8.6305999999999994E-2</v>
      </c>
      <c r="E2004">
        <v>0.23483999999999999</v>
      </c>
      <c r="F2004">
        <v>-0.97454799999999997</v>
      </c>
      <c r="G2004">
        <v>-0.87017</v>
      </c>
    </row>
    <row r="2005" spans="1:7">
      <c r="A2005" t="s">
        <v>144</v>
      </c>
      <c r="B2005">
        <v>31</v>
      </c>
      <c r="C2005">
        <v>21</v>
      </c>
      <c r="D2005">
        <v>8.6305999999999994E-2</v>
      </c>
      <c r="E2005">
        <v>-0.59230300000000002</v>
      </c>
      <c r="F2005">
        <v>-0.72289199999999998</v>
      </c>
      <c r="G2005">
        <v>-0.71162099999999995</v>
      </c>
    </row>
    <row r="2006" spans="1:7">
      <c r="A2006" t="s">
        <v>144</v>
      </c>
      <c r="B2006">
        <v>31</v>
      </c>
      <c r="C2006">
        <v>22</v>
      </c>
      <c r="D2006">
        <v>8.6305999999999994E-2</v>
      </c>
      <c r="E2006">
        <v>0.90115100000000004</v>
      </c>
      <c r="F2006">
        <v>0.85854699999999995</v>
      </c>
      <c r="G2006">
        <v>0.86222399999999999</v>
      </c>
    </row>
    <row r="2007" spans="1:7">
      <c r="A2007" t="s">
        <v>144</v>
      </c>
      <c r="B2007">
        <v>31</v>
      </c>
      <c r="C2007">
        <v>23</v>
      </c>
      <c r="D2007">
        <v>8.6305999999999994E-2</v>
      </c>
      <c r="E2007">
        <v>0.19684399999999999</v>
      </c>
      <c r="F2007">
        <v>0.56462299999999999</v>
      </c>
      <c r="G2007">
        <v>0.53288100000000005</v>
      </c>
    </row>
    <row r="2008" spans="1:7">
      <c r="A2008" t="s">
        <v>144</v>
      </c>
      <c r="B2008">
        <v>31</v>
      </c>
      <c r="C2008">
        <v>24</v>
      </c>
      <c r="D2008">
        <v>8.6305999999999994E-2</v>
      </c>
      <c r="E2008">
        <v>-0.72762199999999999</v>
      </c>
      <c r="F2008">
        <v>-0.196966</v>
      </c>
      <c r="G2008">
        <v>-0.24276500000000001</v>
      </c>
    </row>
    <row r="2009" spans="1:7">
      <c r="A2009" t="s">
        <v>144</v>
      </c>
      <c r="B2009">
        <v>31</v>
      </c>
      <c r="C2009">
        <v>25</v>
      </c>
      <c r="D2009">
        <v>8.6305999999999994E-2</v>
      </c>
      <c r="E2009">
        <v>0.33195000000000002</v>
      </c>
      <c r="F2009">
        <v>0.57646399999999998</v>
      </c>
      <c r="G2009">
        <v>0.55536099999999999</v>
      </c>
    </row>
    <row r="2010" spans="1:7">
      <c r="A2010" t="s">
        <v>144</v>
      </c>
      <c r="B2010">
        <v>31</v>
      </c>
      <c r="C2010">
        <v>26</v>
      </c>
      <c r="D2010">
        <v>8.6305999999999994E-2</v>
      </c>
      <c r="E2010">
        <v>0.25217400000000001</v>
      </c>
      <c r="F2010">
        <v>-0.91030599999999995</v>
      </c>
      <c r="G2010">
        <v>-0.80997699999999995</v>
      </c>
    </row>
    <row r="2011" spans="1:7">
      <c r="A2011" t="s">
        <v>144</v>
      </c>
      <c r="B2011">
        <v>31</v>
      </c>
      <c r="C2011">
        <v>27</v>
      </c>
      <c r="D2011">
        <v>8.6305999999999994E-2</v>
      </c>
      <c r="E2011">
        <v>0.18304999999999999</v>
      </c>
      <c r="F2011">
        <v>0.68379800000000002</v>
      </c>
      <c r="G2011">
        <v>0.64058000000000004</v>
      </c>
    </row>
    <row r="2012" spans="1:7">
      <c r="A2012" t="s">
        <v>144</v>
      </c>
      <c r="B2012">
        <v>31</v>
      </c>
      <c r="C2012">
        <v>28</v>
      </c>
      <c r="D2012">
        <v>8.6305999999999994E-2</v>
      </c>
      <c r="E2012">
        <v>-0.24649799999999999</v>
      </c>
      <c r="F2012">
        <v>0.101352</v>
      </c>
      <c r="G2012">
        <v>7.1330000000000005E-2</v>
      </c>
    </row>
    <row r="2013" spans="1:7">
      <c r="A2013" t="s">
        <v>144</v>
      </c>
      <c r="B2013">
        <v>31</v>
      </c>
      <c r="C2013">
        <v>29</v>
      </c>
      <c r="D2013">
        <v>8.6305999999999994E-2</v>
      </c>
      <c r="E2013">
        <v>-0.61824400000000002</v>
      </c>
      <c r="F2013">
        <v>0.78206699999999996</v>
      </c>
      <c r="G2013">
        <v>0.66121200000000002</v>
      </c>
    </row>
    <row r="2014" spans="1:7">
      <c r="A2014" t="s">
        <v>144</v>
      </c>
      <c r="B2014">
        <v>31</v>
      </c>
      <c r="C2014">
        <v>30</v>
      </c>
      <c r="D2014">
        <v>8.6305999999999994E-2</v>
      </c>
      <c r="E2014">
        <v>0.82903499999999997</v>
      </c>
      <c r="F2014">
        <v>-0.55708500000000005</v>
      </c>
      <c r="G2014">
        <v>-0.43745400000000001</v>
      </c>
    </row>
    <row r="2015" spans="1:7">
      <c r="A2015" t="s">
        <v>144</v>
      </c>
      <c r="B2015">
        <v>31</v>
      </c>
      <c r="C2015">
        <v>31</v>
      </c>
      <c r="D2015">
        <v>8.6305999999999994E-2</v>
      </c>
      <c r="E2015">
        <v>0.454482</v>
      </c>
      <c r="F2015">
        <v>-0.50114400000000003</v>
      </c>
      <c r="G2015">
        <v>-0.41866799999999998</v>
      </c>
    </row>
    <row r="2016" spans="1:7">
      <c r="A2016" t="s">
        <v>144</v>
      </c>
      <c r="B2016">
        <v>31</v>
      </c>
      <c r="C2016">
        <v>32</v>
      </c>
      <c r="D2016">
        <v>8.6305999999999994E-2</v>
      </c>
      <c r="E2016">
        <v>0.111057</v>
      </c>
      <c r="F2016">
        <v>-0.876919</v>
      </c>
      <c r="G2016">
        <v>-0.79164999999999996</v>
      </c>
    </row>
    <row r="2017" spans="1:7">
      <c r="A2017" t="s">
        <v>144</v>
      </c>
      <c r="B2017">
        <v>31</v>
      </c>
      <c r="C2017">
        <v>33</v>
      </c>
      <c r="D2017">
        <v>8.6305999999999994E-2</v>
      </c>
      <c r="E2017">
        <v>0.52262900000000001</v>
      </c>
      <c r="F2017">
        <v>0.612201</v>
      </c>
      <c r="G2017">
        <v>0.60447099999999998</v>
      </c>
    </row>
    <row r="2018" spans="1:7">
      <c r="A2018" t="s">
        <v>144</v>
      </c>
      <c r="B2018">
        <v>31</v>
      </c>
      <c r="C2018">
        <v>34</v>
      </c>
      <c r="D2018">
        <v>8.6305999999999994E-2</v>
      </c>
      <c r="E2018">
        <v>-3.2319000000000001E-2</v>
      </c>
      <c r="F2018">
        <v>-0.38459399999999999</v>
      </c>
      <c r="G2018">
        <v>-0.35419099999999998</v>
      </c>
    </row>
    <row r="2019" spans="1:7">
      <c r="A2019" t="s">
        <v>144</v>
      </c>
      <c r="B2019">
        <v>31</v>
      </c>
      <c r="C2019">
        <v>35</v>
      </c>
      <c r="D2019">
        <v>8.6305999999999994E-2</v>
      </c>
      <c r="E2019">
        <v>0.43760500000000002</v>
      </c>
      <c r="F2019">
        <v>0.48320000000000002</v>
      </c>
      <c r="G2019">
        <v>0.47926400000000002</v>
      </c>
    </row>
    <row r="2020" spans="1:7">
      <c r="A2020" t="s">
        <v>144</v>
      </c>
      <c r="B2020">
        <v>31</v>
      </c>
      <c r="C2020">
        <v>36</v>
      </c>
      <c r="D2020">
        <v>8.6305999999999994E-2</v>
      </c>
      <c r="E2020">
        <v>0.54234400000000005</v>
      </c>
      <c r="F2020">
        <v>0.47941499999999998</v>
      </c>
      <c r="G2020">
        <v>0.484846</v>
      </c>
    </row>
    <row r="2021" spans="1:7">
      <c r="A2021" t="s">
        <v>144</v>
      </c>
      <c r="B2021">
        <v>31</v>
      </c>
      <c r="C2021">
        <v>37</v>
      </c>
      <c r="D2021">
        <v>8.6305999999999994E-2</v>
      </c>
      <c r="E2021">
        <v>-0.479904</v>
      </c>
      <c r="F2021">
        <v>-0.48991400000000002</v>
      </c>
      <c r="G2021">
        <v>-0.48904999999999998</v>
      </c>
    </row>
    <row r="2022" spans="1:7">
      <c r="A2022" t="s">
        <v>144</v>
      </c>
      <c r="B2022">
        <v>31</v>
      </c>
      <c r="C2022">
        <v>38</v>
      </c>
      <c r="D2022">
        <v>8.6305999999999994E-2</v>
      </c>
      <c r="E2022">
        <v>0.78344100000000005</v>
      </c>
      <c r="F2022">
        <v>0.58308700000000002</v>
      </c>
      <c r="G2022">
        <v>0.600379</v>
      </c>
    </row>
    <row r="2023" spans="1:7">
      <c r="A2023" t="s">
        <v>144</v>
      </c>
      <c r="B2023">
        <v>31</v>
      </c>
      <c r="C2023">
        <v>39</v>
      </c>
      <c r="D2023">
        <v>8.6305999999999994E-2</v>
      </c>
      <c r="E2023">
        <v>0.49458299999999999</v>
      </c>
      <c r="F2023">
        <v>-0.78789600000000004</v>
      </c>
      <c r="G2023">
        <v>-0.67720999999999998</v>
      </c>
    </row>
    <row r="2024" spans="1:7">
      <c r="A2024" t="s">
        <v>144</v>
      </c>
      <c r="B2024">
        <v>31</v>
      </c>
      <c r="C2024">
        <v>40</v>
      </c>
      <c r="D2024">
        <v>8.6305999999999994E-2</v>
      </c>
      <c r="E2024">
        <v>-0.432417</v>
      </c>
      <c r="F2024">
        <v>0.33854200000000001</v>
      </c>
      <c r="G2024">
        <v>0.27200299999999999</v>
      </c>
    </row>
    <row r="2025" spans="1:7">
      <c r="A2025" t="s">
        <v>144</v>
      </c>
      <c r="B2025">
        <v>31</v>
      </c>
      <c r="C2025">
        <v>41</v>
      </c>
      <c r="D2025">
        <v>8.6305999999999994E-2</v>
      </c>
      <c r="E2025">
        <v>0.214118</v>
      </c>
      <c r="F2025">
        <v>-0.35209200000000002</v>
      </c>
      <c r="G2025">
        <v>-0.30322500000000002</v>
      </c>
    </row>
    <row r="2026" spans="1:7">
      <c r="A2026" t="s">
        <v>144</v>
      </c>
      <c r="B2026">
        <v>31</v>
      </c>
      <c r="C2026">
        <v>42</v>
      </c>
      <c r="D2026">
        <v>8.6305999999999994E-2</v>
      </c>
      <c r="E2026">
        <v>-0.85628800000000005</v>
      </c>
      <c r="F2026">
        <v>0.21701699999999999</v>
      </c>
      <c r="G2026">
        <v>0.12438399999999999</v>
      </c>
    </row>
    <row r="2027" spans="1:7">
      <c r="A2027" t="s">
        <v>144</v>
      </c>
      <c r="B2027">
        <v>31</v>
      </c>
      <c r="C2027">
        <v>43</v>
      </c>
      <c r="D2027">
        <v>8.6305999999999994E-2</v>
      </c>
      <c r="E2027">
        <v>-0.91152699999999998</v>
      </c>
      <c r="F2027">
        <v>0.69054199999999999</v>
      </c>
      <c r="G2027">
        <v>0.55227400000000004</v>
      </c>
    </row>
    <row r="2028" spans="1:7">
      <c r="A2028" t="s">
        <v>144</v>
      </c>
      <c r="B2028">
        <v>31</v>
      </c>
      <c r="C2028">
        <v>44</v>
      </c>
      <c r="D2028">
        <v>8.6305999999999994E-2</v>
      </c>
      <c r="E2028">
        <v>0.238929</v>
      </c>
      <c r="F2028">
        <v>-0.18964200000000001</v>
      </c>
      <c r="G2028">
        <v>-0.15265400000000001</v>
      </c>
    </row>
    <row r="2029" spans="1:7">
      <c r="A2029" t="s">
        <v>144</v>
      </c>
      <c r="B2029">
        <v>31</v>
      </c>
      <c r="C2029">
        <v>45</v>
      </c>
      <c r="D2029">
        <v>8.6305999999999994E-2</v>
      </c>
      <c r="E2029">
        <v>0.7893</v>
      </c>
      <c r="F2029">
        <v>-0.13763800000000001</v>
      </c>
      <c r="G2029">
        <v>-5.7638000000000002E-2</v>
      </c>
    </row>
    <row r="2030" spans="1:7">
      <c r="A2030" t="s">
        <v>144</v>
      </c>
      <c r="B2030">
        <v>31</v>
      </c>
      <c r="C2030">
        <v>46</v>
      </c>
      <c r="D2030">
        <v>8.6305999999999994E-2</v>
      </c>
      <c r="E2030">
        <v>-0.33457399999999998</v>
      </c>
      <c r="F2030">
        <v>0.61952600000000002</v>
      </c>
      <c r="G2030">
        <v>0.53718100000000002</v>
      </c>
    </row>
    <row r="2031" spans="1:7">
      <c r="A2031" t="s">
        <v>144</v>
      </c>
      <c r="B2031">
        <v>31</v>
      </c>
      <c r="C2031">
        <v>47</v>
      </c>
      <c r="D2031">
        <v>8.6305999999999994E-2</v>
      </c>
      <c r="E2031">
        <v>-1.1658E-2</v>
      </c>
      <c r="F2031">
        <v>0.134434</v>
      </c>
      <c r="G2031">
        <v>0.121825</v>
      </c>
    </row>
    <row r="2032" spans="1:7">
      <c r="A2032" t="s">
        <v>144</v>
      </c>
      <c r="B2032">
        <v>31</v>
      </c>
      <c r="C2032">
        <v>48</v>
      </c>
      <c r="D2032">
        <v>8.6305999999999994E-2</v>
      </c>
      <c r="E2032">
        <v>-4.5779999999999996E-3</v>
      </c>
      <c r="F2032">
        <v>3.0976E-2</v>
      </c>
      <c r="G2032">
        <v>2.7907999999999999E-2</v>
      </c>
    </row>
    <row r="2033" spans="1:7">
      <c r="A2033" t="s">
        <v>144</v>
      </c>
      <c r="B2033">
        <v>31</v>
      </c>
      <c r="C2033">
        <v>49</v>
      </c>
      <c r="D2033">
        <v>8.6305999999999994E-2</v>
      </c>
      <c r="E2033">
        <v>0.78508900000000004</v>
      </c>
      <c r="F2033">
        <v>0.40083000000000002</v>
      </c>
      <c r="G2033">
        <v>0.43399399999999999</v>
      </c>
    </row>
    <row r="2034" spans="1:7">
      <c r="A2034" t="s">
        <v>144</v>
      </c>
      <c r="B2034" t="s">
        <v>145</v>
      </c>
      <c r="C2034">
        <v>32</v>
      </c>
    </row>
    <row r="2035" spans="1:7">
      <c r="A2035" t="s">
        <v>144</v>
      </c>
      <c r="B2035" t="s">
        <v>146</v>
      </c>
      <c r="C2035">
        <v>64</v>
      </c>
    </row>
    <row r="2036" spans="1:7">
      <c r="A2036" t="s">
        <v>144</v>
      </c>
      <c r="B2036" t="s">
        <v>147</v>
      </c>
      <c r="C2036">
        <v>64</v>
      </c>
    </row>
    <row r="2037" spans="1:7">
      <c r="A2037" t="s">
        <v>144</v>
      </c>
      <c r="B2037" t="s">
        <v>148</v>
      </c>
      <c r="C2037">
        <v>0.26221499999999998</v>
      </c>
    </row>
    <row r="2038" spans="1:7">
      <c r="A2038" t="s">
        <v>144</v>
      </c>
      <c r="B2038" t="s">
        <v>149</v>
      </c>
      <c r="C2038">
        <v>0.26221499999999998</v>
      </c>
    </row>
    <row r="2039" spans="1:7">
      <c r="A2039" t="s">
        <v>144</v>
      </c>
      <c r="B2039" t="s">
        <v>150</v>
      </c>
      <c r="C2039">
        <v>-1</v>
      </c>
    </row>
    <row r="2040" spans="1:7">
      <c r="A2040" t="s">
        <v>144</v>
      </c>
      <c r="B2040" t="s">
        <v>151</v>
      </c>
      <c r="C2040">
        <v>-1</v>
      </c>
    </row>
    <row r="2041" spans="1:7">
      <c r="A2041" t="s">
        <v>144</v>
      </c>
      <c r="B2041" t="s">
        <v>152</v>
      </c>
      <c r="C2041">
        <v>20</v>
      </c>
    </row>
    <row r="2042" spans="1:7">
      <c r="A2042" t="s">
        <v>144</v>
      </c>
      <c r="B2042" t="s">
        <v>153</v>
      </c>
      <c r="C2042">
        <v>20</v>
      </c>
    </row>
    <row r="2043" spans="1:7">
      <c r="A2043" t="s">
        <v>144</v>
      </c>
      <c r="B2043" t="s">
        <v>154</v>
      </c>
      <c r="C2043">
        <v>0</v>
      </c>
    </row>
    <row r="2044" spans="1:7">
      <c r="A2044" t="s">
        <v>144</v>
      </c>
      <c r="B2044" t="s">
        <v>155</v>
      </c>
    </row>
    <row r="2045" spans="1:7">
      <c r="A2045" t="s">
        <v>144</v>
      </c>
      <c r="B2045" t="s">
        <v>150</v>
      </c>
      <c r="C2045">
        <v>0.68251600000000001</v>
      </c>
    </row>
    <row r="2046" spans="1:7">
      <c r="A2046" t="s">
        <v>144</v>
      </c>
      <c r="B2046" t="s">
        <v>151</v>
      </c>
      <c r="C2046">
        <v>0.68251600000000001</v>
      </c>
    </row>
    <row r="2047" spans="1:7">
      <c r="A2047" t="s">
        <v>144</v>
      </c>
      <c r="B2047" t="s">
        <v>156</v>
      </c>
      <c r="C2047" t="s">
        <v>157</v>
      </c>
      <c r="D2047" t="s">
        <v>63</v>
      </c>
      <c r="E2047" t="s">
        <v>158</v>
      </c>
      <c r="F2047" t="s">
        <v>159</v>
      </c>
      <c r="G2047" t="s">
        <v>160</v>
      </c>
    </row>
    <row r="2048" spans="1:7">
      <c r="A2048" t="s">
        <v>144</v>
      </c>
      <c r="B2048">
        <v>32</v>
      </c>
      <c r="C2048">
        <v>0</v>
      </c>
      <c r="D2048">
        <v>0.68251600000000001</v>
      </c>
      <c r="E2048">
        <v>0.99853499999999995</v>
      </c>
      <c r="F2048">
        <v>-1</v>
      </c>
      <c r="G2048">
        <v>0.99853499999999995</v>
      </c>
    </row>
    <row r="2049" spans="1:7">
      <c r="A2049" t="s">
        <v>144</v>
      </c>
      <c r="B2049">
        <v>32</v>
      </c>
      <c r="C2049">
        <v>1</v>
      </c>
      <c r="D2049">
        <v>0.68251600000000001</v>
      </c>
      <c r="E2049">
        <v>-0.99765000000000004</v>
      </c>
      <c r="F2049">
        <v>-1</v>
      </c>
      <c r="G2049">
        <v>-0.99765000000000004</v>
      </c>
    </row>
    <row r="2050" spans="1:7">
      <c r="A2050" t="s">
        <v>144</v>
      </c>
      <c r="B2050">
        <v>32</v>
      </c>
      <c r="C2050">
        <v>2</v>
      </c>
      <c r="D2050">
        <v>0.68251600000000001</v>
      </c>
      <c r="E2050">
        <v>-0.78319700000000003</v>
      </c>
      <c r="F2050">
        <v>-1</v>
      </c>
      <c r="G2050">
        <v>-0.78319700000000003</v>
      </c>
    </row>
    <row r="2051" spans="1:7">
      <c r="A2051" t="s">
        <v>144</v>
      </c>
      <c r="B2051">
        <v>32</v>
      </c>
      <c r="C2051">
        <v>3</v>
      </c>
      <c r="D2051">
        <v>0.68251600000000001</v>
      </c>
      <c r="E2051">
        <v>0.250496</v>
      </c>
      <c r="F2051">
        <v>-1</v>
      </c>
      <c r="G2051">
        <v>0.250496</v>
      </c>
    </row>
    <row r="2052" spans="1:7">
      <c r="A2052" t="s">
        <v>144</v>
      </c>
      <c r="B2052">
        <v>32</v>
      </c>
      <c r="C2052">
        <v>4</v>
      </c>
      <c r="D2052">
        <v>0.68251600000000001</v>
      </c>
      <c r="E2052">
        <v>-0.31717899999999999</v>
      </c>
      <c r="F2052">
        <v>-1</v>
      </c>
      <c r="G2052">
        <v>-0.31717899999999999</v>
      </c>
    </row>
    <row r="2053" spans="1:7">
      <c r="A2053" t="s">
        <v>144</v>
      </c>
      <c r="B2053">
        <v>32</v>
      </c>
      <c r="C2053">
        <v>5</v>
      </c>
      <c r="D2053">
        <v>0.68251600000000001</v>
      </c>
      <c r="E2053">
        <v>0.231574</v>
      </c>
      <c r="F2053">
        <v>-1</v>
      </c>
      <c r="G2053">
        <v>0.231574</v>
      </c>
    </row>
    <row r="2054" spans="1:7">
      <c r="A2054" t="s">
        <v>144</v>
      </c>
      <c r="B2054">
        <v>32</v>
      </c>
      <c r="C2054">
        <v>6</v>
      </c>
      <c r="D2054">
        <v>0.68251600000000001</v>
      </c>
      <c r="E2054">
        <v>0.38795099999999999</v>
      </c>
      <c r="F2054">
        <v>-1</v>
      </c>
      <c r="G2054">
        <v>0.38795099999999999</v>
      </c>
    </row>
    <row r="2055" spans="1:7">
      <c r="A2055" t="s">
        <v>144</v>
      </c>
      <c r="B2055">
        <v>32</v>
      </c>
      <c r="C2055">
        <v>7</v>
      </c>
      <c r="D2055">
        <v>0.68251600000000001</v>
      </c>
      <c r="E2055">
        <v>-1.3488999999999999E-2</v>
      </c>
      <c r="F2055">
        <v>-1</v>
      </c>
      <c r="G2055">
        <v>-1.3488999999999999E-2</v>
      </c>
    </row>
    <row r="2056" spans="1:7">
      <c r="A2056" t="s">
        <v>144</v>
      </c>
      <c r="B2056">
        <v>32</v>
      </c>
      <c r="C2056">
        <v>8</v>
      </c>
      <c r="D2056">
        <v>0.68251600000000001</v>
      </c>
      <c r="E2056">
        <v>0.516984</v>
      </c>
      <c r="F2056">
        <v>-1</v>
      </c>
      <c r="G2056">
        <v>0.516984</v>
      </c>
    </row>
    <row r="2057" spans="1:7">
      <c r="A2057" t="s">
        <v>144</v>
      </c>
      <c r="B2057">
        <v>32</v>
      </c>
      <c r="C2057">
        <v>9</v>
      </c>
      <c r="D2057">
        <v>0.68251600000000001</v>
      </c>
      <c r="E2057">
        <v>-0.10254199999999999</v>
      </c>
      <c r="F2057">
        <v>-1</v>
      </c>
      <c r="G2057">
        <v>-0.10254199999999999</v>
      </c>
    </row>
    <row r="2058" spans="1:7">
      <c r="A2058" t="s">
        <v>144</v>
      </c>
      <c r="B2058">
        <v>32</v>
      </c>
      <c r="C2058">
        <v>10</v>
      </c>
      <c r="D2058">
        <v>0.68251600000000001</v>
      </c>
      <c r="E2058">
        <v>-0.58232399999999995</v>
      </c>
      <c r="F2058">
        <v>-1</v>
      </c>
      <c r="G2058">
        <v>-0.58232399999999995</v>
      </c>
    </row>
    <row r="2059" spans="1:7">
      <c r="A2059" t="s">
        <v>144</v>
      </c>
      <c r="B2059">
        <v>32</v>
      </c>
      <c r="C2059">
        <v>11</v>
      </c>
      <c r="D2059">
        <v>0.68251600000000001</v>
      </c>
      <c r="E2059">
        <v>0.29285600000000001</v>
      </c>
      <c r="F2059">
        <v>-1</v>
      </c>
      <c r="G2059">
        <v>0.29285600000000001</v>
      </c>
    </row>
    <row r="2060" spans="1:7">
      <c r="A2060" t="s">
        <v>144</v>
      </c>
      <c r="B2060">
        <v>32</v>
      </c>
      <c r="C2060">
        <v>12</v>
      </c>
      <c r="D2060">
        <v>0.68251600000000001</v>
      </c>
      <c r="E2060">
        <v>-0.75579099999999999</v>
      </c>
      <c r="F2060">
        <v>-1</v>
      </c>
      <c r="G2060">
        <v>-0.75579099999999999</v>
      </c>
    </row>
    <row r="2061" spans="1:7">
      <c r="A2061" t="s">
        <v>144</v>
      </c>
      <c r="B2061">
        <v>32</v>
      </c>
      <c r="C2061">
        <v>13</v>
      </c>
      <c r="D2061">
        <v>0.68251600000000001</v>
      </c>
      <c r="E2061">
        <v>0.35065800000000003</v>
      </c>
      <c r="F2061">
        <v>-1</v>
      </c>
      <c r="G2061">
        <v>0.35065800000000003</v>
      </c>
    </row>
    <row r="2062" spans="1:7">
      <c r="A2062" t="s">
        <v>144</v>
      </c>
      <c r="B2062">
        <v>32</v>
      </c>
      <c r="C2062">
        <v>14</v>
      </c>
      <c r="D2062">
        <v>0.68251600000000001</v>
      </c>
      <c r="E2062">
        <v>0.91079399999999999</v>
      </c>
      <c r="F2062">
        <v>-1</v>
      </c>
      <c r="G2062">
        <v>0.91079399999999999</v>
      </c>
    </row>
    <row r="2063" spans="1:7">
      <c r="A2063" t="s">
        <v>144</v>
      </c>
      <c r="B2063">
        <v>32</v>
      </c>
      <c r="C2063">
        <v>15</v>
      </c>
      <c r="D2063">
        <v>0.68251600000000001</v>
      </c>
      <c r="E2063">
        <v>0.934782</v>
      </c>
      <c r="F2063">
        <v>-1</v>
      </c>
      <c r="G2063">
        <v>0.934782</v>
      </c>
    </row>
    <row r="2064" spans="1:7">
      <c r="A2064" t="s">
        <v>144</v>
      </c>
      <c r="B2064">
        <v>32</v>
      </c>
      <c r="C2064">
        <v>16</v>
      </c>
      <c r="D2064">
        <v>0.68251600000000001</v>
      </c>
      <c r="E2064">
        <v>0.15720100000000001</v>
      </c>
      <c r="F2064">
        <v>-1</v>
      </c>
      <c r="G2064">
        <v>0.15720100000000001</v>
      </c>
    </row>
    <row r="2065" spans="1:7">
      <c r="A2065" t="s">
        <v>144</v>
      </c>
      <c r="B2065">
        <v>32</v>
      </c>
      <c r="C2065">
        <v>17</v>
      </c>
      <c r="D2065">
        <v>0.68251600000000001</v>
      </c>
      <c r="E2065">
        <v>0.65965799999999997</v>
      </c>
      <c r="F2065">
        <v>-1</v>
      </c>
      <c r="G2065">
        <v>0.65965799999999997</v>
      </c>
    </row>
    <row r="2066" spans="1:7">
      <c r="A2066" t="s">
        <v>144</v>
      </c>
      <c r="B2066">
        <v>32</v>
      </c>
      <c r="C2066">
        <v>18</v>
      </c>
      <c r="D2066">
        <v>0.68251600000000001</v>
      </c>
      <c r="E2066">
        <v>-0.65926099999999999</v>
      </c>
      <c r="F2066">
        <v>-1</v>
      </c>
      <c r="G2066">
        <v>-0.65926099999999999</v>
      </c>
    </row>
    <row r="2067" spans="1:7">
      <c r="A2067" t="s">
        <v>144</v>
      </c>
      <c r="B2067">
        <v>32</v>
      </c>
      <c r="C2067">
        <v>19</v>
      </c>
      <c r="D2067">
        <v>0.68251600000000001</v>
      </c>
      <c r="E2067">
        <v>0.70745000000000002</v>
      </c>
      <c r="F2067">
        <v>-1</v>
      </c>
      <c r="G2067">
        <v>0.70745000000000002</v>
      </c>
    </row>
    <row r="2068" spans="1:7">
      <c r="A2068" t="s">
        <v>144</v>
      </c>
      <c r="B2068">
        <v>32</v>
      </c>
      <c r="C2068">
        <v>20</v>
      </c>
      <c r="D2068">
        <v>0.68251600000000001</v>
      </c>
      <c r="E2068">
        <v>0.39298699999999998</v>
      </c>
      <c r="F2068">
        <v>0.77749000000000001</v>
      </c>
      <c r="G2068">
        <v>0.51505999999999996</v>
      </c>
    </row>
    <row r="2069" spans="1:7">
      <c r="A2069" t="s">
        <v>144</v>
      </c>
      <c r="B2069">
        <v>32</v>
      </c>
      <c r="C2069">
        <v>21</v>
      </c>
      <c r="D2069">
        <v>0.68251600000000001</v>
      </c>
      <c r="E2069">
        <v>0.89495499999999995</v>
      </c>
      <c r="F2069">
        <v>-0.48280299999999998</v>
      </c>
      <c r="G2069">
        <v>0.45753899999999997</v>
      </c>
    </row>
    <row r="2070" spans="1:7">
      <c r="A2070" t="s">
        <v>144</v>
      </c>
      <c r="B2070">
        <v>32</v>
      </c>
      <c r="C2070">
        <v>22</v>
      </c>
      <c r="D2070">
        <v>0.68251600000000001</v>
      </c>
      <c r="E2070">
        <v>-0.99948099999999995</v>
      </c>
      <c r="F2070">
        <v>0.28189900000000001</v>
      </c>
      <c r="G2070">
        <v>-0.59266300000000005</v>
      </c>
    </row>
    <row r="2071" spans="1:7">
      <c r="A2071" t="s">
        <v>144</v>
      </c>
      <c r="B2071">
        <v>32</v>
      </c>
      <c r="C2071">
        <v>23</v>
      </c>
      <c r="D2071">
        <v>0.68251600000000001</v>
      </c>
      <c r="E2071">
        <v>-0.60188600000000003</v>
      </c>
      <c r="F2071">
        <v>0.66295400000000004</v>
      </c>
      <c r="G2071">
        <v>-0.20032</v>
      </c>
    </row>
    <row r="2072" spans="1:7">
      <c r="A2072" t="s">
        <v>144</v>
      </c>
      <c r="B2072">
        <v>32</v>
      </c>
      <c r="C2072">
        <v>24</v>
      </c>
      <c r="D2072">
        <v>0.68251600000000001</v>
      </c>
      <c r="E2072">
        <v>0.38978200000000002</v>
      </c>
      <c r="F2072">
        <v>-0.95318499999999995</v>
      </c>
      <c r="G2072">
        <v>-3.6588000000000002E-2</v>
      </c>
    </row>
    <row r="2073" spans="1:7">
      <c r="A2073" t="s">
        <v>144</v>
      </c>
      <c r="B2073">
        <v>32</v>
      </c>
      <c r="C2073">
        <v>25</v>
      </c>
      <c r="D2073">
        <v>0.68251600000000001</v>
      </c>
      <c r="E2073">
        <v>-0.46699400000000002</v>
      </c>
      <c r="F2073">
        <v>0.75643199999999999</v>
      </c>
      <c r="G2073">
        <v>-7.8575999999999993E-2</v>
      </c>
    </row>
    <row r="2074" spans="1:7">
      <c r="A2074" t="s">
        <v>144</v>
      </c>
      <c r="B2074">
        <v>32</v>
      </c>
      <c r="C2074">
        <v>26</v>
      </c>
      <c r="D2074">
        <v>0.68251600000000001</v>
      </c>
      <c r="E2074">
        <v>-0.25852199999999997</v>
      </c>
      <c r="F2074">
        <v>-0.67696199999999995</v>
      </c>
      <c r="G2074">
        <v>-0.39137</v>
      </c>
    </row>
    <row r="2075" spans="1:7">
      <c r="A2075" t="s">
        <v>144</v>
      </c>
      <c r="B2075">
        <v>32</v>
      </c>
      <c r="C2075">
        <v>27</v>
      </c>
      <c r="D2075">
        <v>0.68251600000000001</v>
      </c>
      <c r="E2075">
        <v>-0.25760699999999997</v>
      </c>
      <c r="F2075">
        <v>-0.93832199999999999</v>
      </c>
      <c r="G2075">
        <v>-0.47372300000000001</v>
      </c>
    </row>
    <row r="2076" spans="1:7">
      <c r="A2076" t="s">
        <v>144</v>
      </c>
      <c r="B2076">
        <v>32</v>
      </c>
      <c r="C2076">
        <v>28</v>
      </c>
      <c r="D2076">
        <v>0.68251600000000001</v>
      </c>
      <c r="E2076">
        <v>-0.16132099999999999</v>
      </c>
      <c r="F2076">
        <v>0.86553500000000005</v>
      </c>
      <c r="G2076">
        <v>0.16469</v>
      </c>
    </row>
    <row r="2077" spans="1:7">
      <c r="A2077" t="s">
        <v>144</v>
      </c>
      <c r="B2077">
        <v>32</v>
      </c>
      <c r="C2077">
        <v>29</v>
      </c>
      <c r="D2077">
        <v>0.68251600000000001</v>
      </c>
      <c r="E2077">
        <v>-0.81960500000000003</v>
      </c>
      <c r="F2077">
        <v>0.45188800000000001</v>
      </c>
      <c r="G2077">
        <v>-0.41592600000000002</v>
      </c>
    </row>
    <row r="2078" spans="1:7">
      <c r="A2078" t="s">
        <v>144</v>
      </c>
      <c r="B2078">
        <v>32</v>
      </c>
      <c r="C2078">
        <v>30</v>
      </c>
      <c r="D2078">
        <v>0.68251600000000001</v>
      </c>
      <c r="E2078">
        <v>0.31351699999999999</v>
      </c>
      <c r="F2078">
        <v>0.49861100000000003</v>
      </c>
      <c r="G2078">
        <v>0.37228099999999997</v>
      </c>
    </row>
    <row r="2079" spans="1:7">
      <c r="A2079" t="s">
        <v>144</v>
      </c>
      <c r="B2079">
        <v>32</v>
      </c>
      <c r="C2079">
        <v>31</v>
      </c>
      <c r="D2079">
        <v>0.68251600000000001</v>
      </c>
      <c r="E2079">
        <v>0.51350399999999996</v>
      </c>
      <c r="F2079">
        <v>0.224525</v>
      </c>
      <c r="G2079">
        <v>0.42175800000000002</v>
      </c>
    </row>
    <row r="2080" spans="1:7">
      <c r="A2080" t="s">
        <v>144</v>
      </c>
      <c r="B2080">
        <v>32</v>
      </c>
      <c r="C2080">
        <v>32</v>
      </c>
      <c r="D2080">
        <v>0.68251600000000001</v>
      </c>
      <c r="E2080">
        <v>-0.76543499999999998</v>
      </c>
      <c r="F2080">
        <v>0.91579900000000003</v>
      </c>
      <c r="G2080">
        <v>-0.23166999999999999</v>
      </c>
    </row>
    <row r="2081" spans="1:7">
      <c r="A2081" t="s">
        <v>144</v>
      </c>
      <c r="B2081">
        <v>32</v>
      </c>
      <c r="C2081">
        <v>33</v>
      </c>
      <c r="D2081">
        <v>0.68251600000000001</v>
      </c>
      <c r="E2081">
        <v>4.3184E-2</v>
      </c>
      <c r="F2081">
        <v>-0.251106</v>
      </c>
      <c r="G2081">
        <v>-5.0249000000000002E-2</v>
      </c>
    </row>
    <row r="2082" spans="1:7">
      <c r="A2082" t="s">
        <v>144</v>
      </c>
      <c r="B2082">
        <v>32</v>
      </c>
      <c r="C2082">
        <v>34</v>
      </c>
      <c r="D2082">
        <v>0.68251600000000001</v>
      </c>
      <c r="E2082">
        <v>0.11096499999999999</v>
      </c>
      <c r="F2082">
        <v>-0.51741099999999995</v>
      </c>
      <c r="G2082">
        <v>-8.8534000000000002E-2</v>
      </c>
    </row>
    <row r="2083" spans="1:7">
      <c r="A2083" t="s">
        <v>144</v>
      </c>
      <c r="B2083">
        <v>32</v>
      </c>
      <c r="C2083">
        <v>35</v>
      </c>
      <c r="D2083">
        <v>0.68251600000000001</v>
      </c>
      <c r="E2083">
        <v>8.3589999999999998E-2</v>
      </c>
      <c r="F2083">
        <v>-0.151341</v>
      </c>
      <c r="G2083">
        <v>9.0030000000000006E-3</v>
      </c>
    </row>
    <row r="2084" spans="1:7">
      <c r="A2084" t="s">
        <v>144</v>
      </c>
      <c r="B2084">
        <v>32</v>
      </c>
      <c r="C2084">
        <v>36</v>
      </c>
      <c r="D2084">
        <v>0.68251600000000001</v>
      </c>
      <c r="E2084">
        <v>-0.385907</v>
      </c>
      <c r="F2084">
        <v>-2.9786E-2</v>
      </c>
      <c r="G2084">
        <v>-0.27284399999999998</v>
      </c>
    </row>
    <row r="2085" spans="1:7">
      <c r="A2085" t="s">
        <v>144</v>
      </c>
      <c r="B2085">
        <v>32</v>
      </c>
      <c r="C2085">
        <v>37</v>
      </c>
      <c r="D2085">
        <v>0.68251600000000001</v>
      </c>
      <c r="E2085">
        <v>0.61311700000000002</v>
      </c>
      <c r="F2085">
        <v>-0.80696999999999997</v>
      </c>
      <c r="G2085">
        <v>0.16226199999999999</v>
      </c>
    </row>
    <row r="2086" spans="1:7">
      <c r="A2086" t="s">
        <v>144</v>
      </c>
      <c r="B2086">
        <v>32</v>
      </c>
      <c r="C2086">
        <v>38</v>
      </c>
      <c r="D2086">
        <v>0.68251600000000001</v>
      </c>
      <c r="E2086">
        <v>-0.31141099999999999</v>
      </c>
      <c r="F2086">
        <v>-0.49125600000000003</v>
      </c>
      <c r="G2086">
        <v>-0.36850899999999998</v>
      </c>
    </row>
    <row r="2087" spans="1:7">
      <c r="A2087" t="s">
        <v>144</v>
      </c>
      <c r="B2087">
        <v>32</v>
      </c>
      <c r="C2087">
        <v>39</v>
      </c>
      <c r="D2087">
        <v>0.68251600000000001</v>
      </c>
      <c r="E2087">
        <v>0.35776799999999997</v>
      </c>
      <c r="F2087">
        <v>-0.485458</v>
      </c>
      <c r="G2087">
        <v>9.0057999999999999E-2</v>
      </c>
    </row>
    <row r="2088" spans="1:7">
      <c r="A2088" t="s">
        <v>144</v>
      </c>
      <c r="B2088">
        <v>32</v>
      </c>
      <c r="C2088">
        <v>40</v>
      </c>
      <c r="D2088">
        <v>0.68251600000000001</v>
      </c>
      <c r="E2088">
        <v>-0.53987200000000002</v>
      </c>
      <c r="F2088">
        <v>-0.61494800000000005</v>
      </c>
      <c r="G2088">
        <v>-0.56370799999999999</v>
      </c>
    </row>
    <row r="2089" spans="1:7">
      <c r="A2089" t="s">
        <v>144</v>
      </c>
      <c r="B2089">
        <v>32</v>
      </c>
      <c r="C2089">
        <v>41</v>
      </c>
      <c r="D2089">
        <v>0.68251600000000001</v>
      </c>
      <c r="E2089">
        <v>0.25275399999999998</v>
      </c>
      <c r="F2089">
        <v>-0.35630400000000001</v>
      </c>
      <c r="G2089">
        <v>5.9388000000000003E-2</v>
      </c>
    </row>
    <row r="2090" spans="1:7">
      <c r="A2090" t="s">
        <v>144</v>
      </c>
      <c r="B2090">
        <v>32</v>
      </c>
      <c r="C2090">
        <v>42</v>
      </c>
      <c r="D2090">
        <v>0.68251600000000001</v>
      </c>
      <c r="E2090">
        <v>-5.8840000000000003E-2</v>
      </c>
      <c r="F2090">
        <v>0.68504900000000002</v>
      </c>
      <c r="G2090">
        <v>0.17733299999999999</v>
      </c>
    </row>
    <row r="2091" spans="1:7">
      <c r="A2091" t="s">
        <v>144</v>
      </c>
      <c r="B2091">
        <v>32</v>
      </c>
      <c r="C2091">
        <v>43</v>
      </c>
      <c r="D2091">
        <v>0.68251600000000001</v>
      </c>
      <c r="E2091">
        <v>0.327677</v>
      </c>
      <c r="F2091">
        <v>0.80605499999999997</v>
      </c>
      <c r="G2091">
        <v>0.47955500000000001</v>
      </c>
    </row>
    <row r="2092" spans="1:7">
      <c r="A2092" t="s">
        <v>144</v>
      </c>
      <c r="B2092">
        <v>32</v>
      </c>
      <c r="C2092">
        <v>44</v>
      </c>
      <c r="D2092">
        <v>0.68251600000000001</v>
      </c>
      <c r="E2092">
        <v>-0.40943600000000002</v>
      </c>
      <c r="F2092">
        <v>0.64223200000000003</v>
      </c>
      <c r="G2092">
        <v>-7.5549000000000005E-2</v>
      </c>
    </row>
    <row r="2093" spans="1:7">
      <c r="A2093" t="s">
        <v>144</v>
      </c>
      <c r="B2093">
        <v>32</v>
      </c>
      <c r="C2093">
        <v>45</v>
      </c>
      <c r="D2093">
        <v>0.68251600000000001</v>
      </c>
      <c r="E2093">
        <v>-0.92208599999999996</v>
      </c>
      <c r="F2093">
        <v>-0.45838800000000002</v>
      </c>
      <c r="G2093">
        <v>-0.77486900000000003</v>
      </c>
    </row>
    <row r="2094" spans="1:7">
      <c r="A2094" t="s">
        <v>144</v>
      </c>
      <c r="B2094">
        <v>32</v>
      </c>
      <c r="C2094">
        <v>46</v>
      </c>
      <c r="D2094">
        <v>0.68251600000000001</v>
      </c>
      <c r="E2094">
        <v>-0.87536199999999997</v>
      </c>
      <c r="F2094">
        <v>0.51512199999999997</v>
      </c>
      <c r="G2094">
        <v>-0.43390600000000001</v>
      </c>
    </row>
    <row r="2095" spans="1:7">
      <c r="A2095" t="s">
        <v>144</v>
      </c>
      <c r="B2095">
        <v>32</v>
      </c>
      <c r="C2095">
        <v>47</v>
      </c>
      <c r="D2095">
        <v>0.68251600000000001</v>
      </c>
      <c r="E2095">
        <v>-0.63731800000000005</v>
      </c>
      <c r="F2095">
        <v>-0.30576500000000001</v>
      </c>
      <c r="G2095">
        <v>-0.53205499999999994</v>
      </c>
    </row>
    <row r="2096" spans="1:7">
      <c r="A2096" t="s">
        <v>144</v>
      </c>
      <c r="B2096">
        <v>32</v>
      </c>
      <c r="C2096">
        <v>48</v>
      </c>
      <c r="D2096">
        <v>0.68251600000000001</v>
      </c>
      <c r="E2096">
        <v>0.29895899999999997</v>
      </c>
      <c r="F2096">
        <v>0.853298</v>
      </c>
      <c r="G2096">
        <v>0.47495300000000001</v>
      </c>
    </row>
    <row r="2097" spans="1:7">
      <c r="A2097" t="s">
        <v>144</v>
      </c>
      <c r="B2097">
        <v>32</v>
      </c>
      <c r="C2097">
        <v>49</v>
      </c>
      <c r="D2097">
        <v>0.68251600000000001</v>
      </c>
      <c r="E2097">
        <v>0.93075399999999997</v>
      </c>
      <c r="F2097">
        <v>0.85824100000000003</v>
      </c>
      <c r="G2097">
        <v>0.90773199999999998</v>
      </c>
    </row>
    <row r="2098" spans="1:7">
      <c r="A2098" t="s">
        <v>144</v>
      </c>
      <c r="B2098" t="s">
        <v>145</v>
      </c>
      <c r="C2098">
        <v>33</v>
      </c>
    </row>
    <row r="2099" spans="1:7">
      <c r="A2099" t="s">
        <v>144</v>
      </c>
      <c r="B2099" t="s">
        <v>146</v>
      </c>
      <c r="C2099">
        <v>0</v>
      </c>
    </row>
    <row r="2100" spans="1:7">
      <c r="A2100" t="s">
        <v>144</v>
      </c>
      <c r="B2100" t="s">
        <v>147</v>
      </c>
      <c r="C2100">
        <v>0</v>
      </c>
    </row>
    <row r="2101" spans="1:7">
      <c r="A2101" t="s">
        <v>144</v>
      </c>
      <c r="B2101" t="s">
        <v>148</v>
      </c>
      <c r="C2101">
        <v>0.237342</v>
      </c>
    </row>
    <row r="2102" spans="1:7">
      <c r="A2102" t="s">
        <v>144</v>
      </c>
      <c r="B2102" t="s">
        <v>149</v>
      </c>
      <c r="C2102">
        <v>0.237342</v>
      </c>
    </row>
    <row r="2103" spans="1:7">
      <c r="A2103" t="s">
        <v>144</v>
      </c>
      <c r="B2103" t="s">
        <v>150</v>
      </c>
      <c r="C2103">
        <v>-1</v>
      </c>
    </row>
    <row r="2104" spans="1:7">
      <c r="A2104" t="s">
        <v>144</v>
      </c>
      <c r="B2104" t="s">
        <v>151</v>
      </c>
      <c r="C2104">
        <v>-1</v>
      </c>
    </row>
    <row r="2105" spans="1:7">
      <c r="A2105" t="s">
        <v>144</v>
      </c>
      <c r="B2105" t="s">
        <v>152</v>
      </c>
      <c r="C2105">
        <v>2</v>
      </c>
    </row>
    <row r="2106" spans="1:7">
      <c r="A2106" t="s">
        <v>144</v>
      </c>
      <c r="B2106" t="s">
        <v>153</v>
      </c>
      <c r="C2106">
        <v>2</v>
      </c>
    </row>
    <row r="2107" spans="1:7">
      <c r="A2107" t="s">
        <v>144</v>
      </c>
      <c r="B2107" t="s">
        <v>154</v>
      </c>
      <c r="C2107">
        <v>0</v>
      </c>
    </row>
    <row r="2108" spans="1:7">
      <c r="A2108" t="s">
        <v>144</v>
      </c>
      <c r="B2108" t="s">
        <v>155</v>
      </c>
    </row>
    <row r="2109" spans="1:7">
      <c r="A2109" t="s">
        <v>144</v>
      </c>
      <c r="B2109" t="s">
        <v>150</v>
      </c>
      <c r="C2109">
        <v>0.32755499999999999</v>
      </c>
    </row>
    <row r="2110" spans="1:7">
      <c r="A2110" t="s">
        <v>144</v>
      </c>
      <c r="B2110" t="s">
        <v>151</v>
      </c>
      <c r="C2110">
        <v>0.32755499999999999</v>
      </c>
    </row>
    <row r="2111" spans="1:7">
      <c r="A2111" t="s">
        <v>144</v>
      </c>
      <c r="B2111" t="s">
        <v>156</v>
      </c>
      <c r="C2111" t="s">
        <v>157</v>
      </c>
      <c r="D2111" t="s">
        <v>63</v>
      </c>
      <c r="E2111" t="s">
        <v>158</v>
      </c>
      <c r="F2111" t="s">
        <v>159</v>
      </c>
      <c r="G2111" t="s">
        <v>160</v>
      </c>
    </row>
    <row r="2112" spans="1:7">
      <c r="A2112" t="s">
        <v>144</v>
      </c>
      <c r="B2112">
        <v>33</v>
      </c>
      <c r="C2112">
        <v>0</v>
      </c>
      <c r="D2112">
        <v>0.32755499999999999</v>
      </c>
      <c r="E2112">
        <v>-0.184423</v>
      </c>
      <c r="F2112">
        <v>-1</v>
      </c>
      <c r="G2112">
        <v>-0.184423</v>
      </c>
    </row>
    <row r="2113" spans="1:7">
      <c r="A2113" t="s">
        <v>144</v>
      </c>
      <c r="B2113">
        <v>33</v>
      </c>
      <c r="C2113">
        <v>1</v>
      </c>
      <c r="D2113">
        <v>0.32755499999999999</v>
      </c>
      <c r="E2113">
        <v>-0.97405900000000001</v>
      </c>
      <c r="F2113">
        <v>-1</v>
      </c>
      <c r="G2113">
        <v>-0.97405900000000001</v>
      </c>
    </row>
    <row r="2114" spans="1:7">
      <c r="A2114" t="s">
        <v>144</v>
      </c>
      <c r="B2114">
        <v>33</v>
      </c>
      <c r="C2114">
        <v>2</v>
      </c>
      <c r="D2114">
        <v>0.32755499999999999</v>
      </c>
      <c r="E2114">
        <v>9.6652000000000002E-2</v>
      </c>
      <c r="F2114">
        <v>-0.28070899999999999</v>
      </c>
      <c r="G2114">
        <v>-0.15710299999999999</v>
      </c>
    </row>
    <row r="2115" spans="1:7">
      <c r="A2115" t="s">
        <v>144</v>
      </c>
      <c r="B2115">
        <v>33</v>
      </c>
      <c r="C2115">
        <v>3</v>
      </c>
      <c r="D2115">
        <v>0.32755499999999999</v>
      </c>
      <c r="E2115">
        <v>0.97592100000000004</v>
      </c>
      <c r="F2115">
        <v>0.54429799999999995</v>
      </c>
      <c r="G2115">
        <v>0.68567800000000001</v>
      </c>
    </row>
    <row r="2116" spans="1:7">
      <c r="A2116" t="s">
        <v>144</v>
      </c>
      <c r="B2116">
        <v>33</v>
      </c>
      <c r="C2116">
        <v>4</v>
      </c>
      <c r="D2116">
        <v>0.32755499999999999</v>
      </c>
      <c r="E2116">
        <v>0.53029000000000004</v>
      </c>
      <c r="F2116">
        <v>-0.165349</v>
      </c>
      <c r="G2116">
        <v>6.2510999999999997E-2</v>
      </c>
    </row>
    <row r="2117" spans="1:7">
      <c r="A2117" t="s">
        <v>144</v>
      </c>
      <c r="B2117">
        <v>33</v>
      </c>
      <c r="C2117">
        <v>5</v>
      </c>
      <c r="D2117">
        <v>0.32755499999999999</v>
      </c>
      <c r="E2117">
        <v>0.23105600000000001</v>
      </c>
      <c r="F2117">
        <v>0.43519400000000003</v>
      </c>
      <c r="G2117">
        <v>0.36832700000000002</v>
      </c>
    </row>
    <row r="2118" spans="1:7">
      <c r="A2118" t="s">
        <v>144</v>
      </c>
      <c r="B2118">
        <v>33</v>
      </c>
      <c r="C2118">
        <v>6</v>
      </c>
      <c r="D2118">
        <v>0.32755499999999999</v>
      </c>
      <c r="E2118">
        <v>-0.41175600000000001</v>
      </c>
      <c r="F2118">
        <v>0.95837300000000003</v>
      </c>
      <c r="G2118">
        <v>0.50958000000000003</v>
      </c>
    </row>
    <row r="2119" spans="1:7">
      <c r="A2119" t="s">
        <v>144</v>
      </c>
      <c r="B2119">
        <v>33</v>
      </c>
      <c r="C2119">
        <v>7</v>
      </c>
      <c r="D2119">
        <v>0.32755499999999999</v>
      </c>
      <c r="E2119">
        <v>0.15595000000000001</v>
      </c>
      <c r="F2119">
        <v>-0.27338499999999999</v>
      </c>
      <c r="G2119">
        <v>-0.13275400000000001</v>
      </c>
    </row>
    <row r="2120" spans="1:7">
      <c r="A2120" t="s">
        <v>144</v>
      </c>
      <c r="B2120">
        <v>33</v>
      </c>
      <c r="C2120">
        <v>8</v>
      </c>
      <c r="D2120">
        <v>0.32755499999999999</v>
      </c>
      <c r="E2120">
        <v>0.200903</v>
      </c>
      <c r="F2120">
        <v>0.35254999999999997</v>
      </c>
      <c r="G2120">
        <v>0.30287700000000001</v>
      </c>
    </row>
    <row r="2121" spans="1:7">
      <c r="A2121" t="s">
        <v>144</v>
      </c>
      <c r="B2121">
        <v>33</v>
      </c>
      <c r="C2121">
        <v>9</v>
      </c>
      <c r="D2121">
        <v>0.32755499999999999</v>
      </c>
      <c r="E2121">
        <v>-0.29676200000000003</v>
      </c>
      <c r="F2121">
        <v>0.32682299999999997</v>
      </c>
      <c r="G2121">
        <v>0.12256400000000001</v>
      </c>
    </row>
    <row r="2122" spans="1:7">
      <c r="A2122" t="s">
        <v>144</v>
      </c>
      <c r="B2122">
        <v>33</v>
      </c>
      <c r="C2122">
        <v>10</v>
      </c>
      <c r="D2122">
        <v>0.32755499999999999</v>
      </c>
      <c r="E2122">
        <v>0.47868300000000003</v>
      </c>
      <c r="F2122">
        <v>4.9501000000000003E-2</v>
      </c>
      <c r="G2122">
        <v>0.190082</v>
      </c>
    </row>
    <row r="2123" spans="1:7">
      <c r="A2123" t="s">
        <v>144</v>
      </c>
      <c r="B2123">
        <v>33</v>
      </c>
      <c r="C2123">
        <v>11</v>
      </c>
      <c r="D2123">
        <v>0.32755499999999999</v>
      </c>
      <c r="E2123">
        <v>-0.86721400000000004</v>
      </c>
      <c r="F2123">
        <v>-0.52021799999999996</v>
      </c>
      <c r="G2123">
        <v>-0.63387899999999997</v>
      </c>
    </row>
    <row r="2124" spans="1:7">
      <c r="A2124" t="s">
        <v>144</v>
      </c>
      <c r="B2124">
        <v>33</v>
      </c>
      <c r="C2124">
        <v>12</v>
      </c>
      <c r="D2124">
        <v>0.32755499999999999</v>
      </c>
      <c r="E2124">
        <v>-3.6499999999999998E-2</v>
      </c>
      <c r="F2124">
        <v>0.86471100000000001</v>
      </c>
      <c r="G2124">
        <v>0.56951499999999999</v>
      </c>
    </row>
    <row r="2125" spans="1:7">
      <c r="A2125" t="s">
        <v>144</v>
      </c>
      <c r="B2125">
        <v>33</v>
      </c>
      <c r="C2125">
        <v>13</v>
      </c>
      <c r="D2125">
        <v>0.32755499999999999</v>
      </c>
      <c r="E2125">
        <v>-0.80376599999999998</v>
      </c>
      <c r="F2125">
        <v>-0.63090900000000005</v>
      </c>
      <c r="G2125">
        <v>-0.68752899999999995</v>
      </c>
    </row>
    <row r="2126" spans="1:7">
      <c r="A2126" t="s">
        <v>144</v>
      </c>
      <c r="B2126">
        <v>33</v>
      </c>
      <c r="C2126">
        <v>14</v>
      </c>
      <c r="D2126">
        <v>0.32755499999999999</v>
      </c>
      <c r="E2126">
        <v>-0.62404300000000001</v>
      </c>
      <c r="F2126">
        <v>0.74071500000000001</v>
      </c>
      <c r="G2126">
        <v>0.29368100000000003</v>
      </c>
    </row>
    <row r="2127" spans="1:7">
      <c r="A2127" t="s">
        <v>144</v>
      </c>
      <c r="B2127">
        <v>33</v>
      </c>
      <c r="C2127">
        <v>15</v>
      </c>
      <c r="D2127">
        <v>0.32755499999999999</v>
      </c>
      <c r="E2127">
        <v>-0.74483500000000002</v>
      </c>
      <c r="F2127">
        <v>-0.65871100000000005</v>
      </c>
      <c r="G2127">
        <v>-0.68692200000000003</v>
      </c>
    </row>
    <row r="2128" spans="1:7">
      <c r="A2128" t="s">
        <v>144</v>
      </c>
      <c r="B2128">
        <v>33</v>
      </c>
      <c r="C2128">
        <v>16</v>
      </c>
      <c r="D2128">
        <v>0.32755499999999999</v>
      </c>
      <c r="E2128">
        <v>-1.1261E-2</v>
      </c>
      <c r="F2128">
        <v>-0.324961</v>
      </c>
      <c r="G2128">
        <v>-0.22220699999999999</v>
      </c>
    </row>
    <row r="2129" spans="1:7">
      <c r="A2129" t="s">
        <v>144</v>
      </c>
      <c r="B2129">
        <v>33</v>
      </c>
      <c r="C2129">
        <v>17</v>
      </c>
      <c r="D2129">
        <v>0.32755499999999999</v>
      </c>
      <c r="E2129">
        <v>0.83992999999999995</v>
      </c>
      <c r="F2129">
        <v>-0.275613</v>
      </c>
      <c r="G2129">
        <v>8.9788999999999994E-2</v>
      </c>
    </row>
    <row r="2130" spans="1:7">
      <c r="A2130" t="s">
        <v>144</v>
      </c>
      <c r="B2130">
        <v>33</v>
      </c>
      <c r="C2130">
        <v>18</v>
      </c>
      <c r="D2130">
        <v>0.32755499999999999</v>
      </c>
      <c r="E2130">
        <v>-0.52134800000000003</v>
      </c>
      <c r="F2130">
        <v>-0.26831899999999997</v>
      </c>
      <c r="G2130">
        <v>-0.35120000000000001</v>
      </c>
    </row>
    <row r="2131" spans="1:7">
      <c r="A2131" t="s">
        <v>144</v>
      </c>
      <c r="B2131">
        <v>33</v>
      </c>
      <c r="C2131">
        <v>19</v>
      </c>
      <c r="D2131">
        <v>0.32755499999999999</v>
      </c>
      <c r="E2131">
        <v>-0.79522099999999996</v>
      </c>
      <c r="F2131">
        <v>0.76213900000000001</v>
      </c>
      <c r="G2131">
        <v>0.25201800000000002</v>
      </c>
    </row>
    <row r="2132" spans="1:7">
      <c r="A2132" t="s">
        <v>144</v>
      </c>
      <c r="B2132">
        <v>33</v>
      </c>
      <c r="C2132">
        <v>20</v>
      </c>
      <c r="D2132">
        <v>0.32755499999999999</v>
      </c>
      <c r="E2132">
        <v>0.69035899999999994</v>
      </c>
      <c r="F2132">
        <v>-0.90047900000000003</v>
      </c>
      <c r="G2132">
        <v>-0.37939200000000001</v>
      </c>
    </row>
    <row r="2133" spans="1:7">
      <c r="A2133" t="s">
        <v>144</v>
      </c>
      <c r="B2133">
        <v>33</v>
      </c>
      <c r="C2133">
        <v>21</v>
      </c>
      <c r="D2133">
        <v>0.32755499999999999</v>
      </c>
      <c r="E2133">
        <v>-6.1556E-2</v>
      </c>
      <c r="F2133">
        <v>-0.33576499999999998</v>
      </c>
      <c r="G2133">
        <v>-0.245946</v>
      </c>
    </row>
    <row r="2134" spans="1:7">
      <c r="A2134" t="s">
        <v>144</v>
      </c>
      <c r="B2134">
        <v>33</v>
      </c>
      <c r="C2134">
        <v>22</v>
      </c>
      <c r="D2134">
        <v>0.32755499999999999</v>
      </c>
      <c r="E2134">
        <v>-0.21033399999999999</v>
      </c>
      <c r="F2134">
        <v>-0.43833699999999998</v>
      </c>
      <c r="G2134">
        <v>-0.36365399999999998</v>
      </c>
    </row>
    <row r="2135" spans="1:7">
      <c r="A2135" t="s">
        <v>144</v>
      </c>
      <c r="B2135">
        <v>33</v>
      </c>
      <c r="C2135">
        <v>23</v>
      </c>
      <c r="D2135">
        <v>0.32755499999999999</v>
      </c>
      <c r="E2135">
        <v>0.57167299999999999</v>
      </c>
      <c r="F2135">
        <v>0.27884799999999998</v>
      </c>
      <c r="G2135">
        <v>0.37476399999999999</v>
      </c>
    </row>
    <row r="2136" spans="1:7">
      <c r="A2136" t="s">
        <v>144</v>
      </c>
      <c r="B2136">
        <v>33</v>
      </c>
      <c r="C2136">
        <v>24</v>
      </c>
      <c r="D2136">
        <v>0.32755499999999999</v>
      </c>
      <c r="E2136">
        <v>0.81179199999999996</v>
      </c>
      <c r="F2136">
        <v>-0.38447199999999998</v>
      </c>
      <c r="G2136">
        <v>7.3699999999999998E-3</v>
      </c>
    </row>
    <row r="2137" spans="1:7">
      <c r="A2137" t="s">
        <v>144</v>
      </c>
      <c r="B2137">
        <v>33</v>
      </c>
      <c r="C2137">
        <v>25</v>
      </c>
      <c r="D2137">
        <v>0.32755499999999999</v>
      </c>
      <c r="E2137">
        <v>0.93182200000000004</v>
      </c>
      <c r="F2137">
        <v>-0.77102000000000004</v>
      </c>
      <c r="G2137">
        <v>-0.21324499999999999</v>
      </c>
    </row>
    <row r="2138" spans="1:7">
      <c r="A2138" t="s">
        <v>144</v>
      </c>
      <c r="B2138">
        <v>33</v>
      </c>
      <c r="C2138">
        <v>26</v>
      </c>
      <c r="D2138">
        <v>0.32755499999999999</v>
      </c>
      <c r="E2138">
        <v>-0.241646</v>
      </c>
      <c r="F2138">
        <v>0.27057700000000001</v>
      </c>
      <c r="G2138">
        <v>0.102796</v>
      </c>
    </row>
    <row r="2139" spans="1:7">
      <c r="A2139" t="s">
        <v>144</v>
      </c>
      <c r="B2139">
        <v>33</v>
      </c>
      <c r="C2139">
        <v>27</v>
      </c>
      <c r="D2139">
        <v>0.32755499999999999</v>
      </c>
      <c r="E2139">
        <v>-0.475387</v>
      </c>
      <c r="F2139">
        <v>0.83318599999999998</v>
      </c>
      <c r="G2139">
        <v>0.40455600000000003</v>
      </c>
    </row>
    <row r="2140" spans="1:7">
      <c r="A2140" t="s">
        <v>144</v>
      </c>
      <c r="B2140">
        <v>33</v>
      </c>
      <c r="C2140">
        <v>28</v>
      </c>
      <c r="D2140">
        <v>0.32755499999999999</v>
      </c>
      <c r="E2140">
        <v>0.99368299999999998</v>
      </c>
      <c r="F2140">
        <v>0.40339399999999997</v>
      </c>
      <c r="G2140">
        <v>0.596746</v>
      </c>
    </row>
    <row r="2141" spans="1:7">
      <c r="A2141" t="s">
        <v>144</v>
      </c>
      <c r="B2141">
        <v>33</v>
      </c>
      <c r="C2141">
        <v>29</v>
      </c>
      <c r="D2141">
        <v>0.32755499999999999</v>
      </c>
      <c r="E2141">
        <v>-8.3742999999999998E-2</v>
      </c>
      <c r="F2141">
        <v>-0.289163</v>
      </c>
      <c r="G2141">
        <v>-0.22187599999999999</v>
      </c>
    </row>
    <row r="2142" spans="1:7">
      <c r="A2142" t="s">
        <v>144</v>
      </c>
      <c r="B2142">
        <v>33</v>
      </c>
      <c r="C2142">
        <v>30</v>
      </c>
      <c r="D2142">
        <v>0.32755499999999999</v>
      </c>
      <c r="E2142">
        <v>-0.94640999999999997</v>
      </c>
      <c r="F2142">
        <v>0.76848700000000003</v>
      </c>
      <c r="G2142">
        <v>0.206764</v>
      </c>
    </row>
    <row r="2143" spans="1:7">
      <c r="A2143" t="s">
        <v>144</v>
      </c>
      <c r="B2143">
        <v>33</v>
      </c>
      <c r="C2143">
        <v>31</v>
      </c>
      <c r="D2143">
        <v>0.32755499999999999</v>
      </c>
      <c r="E2143">
        <v>0.181005</v>
      </c>
      <c r="F2143">
        <v>0.15106700000000001</v>
      </c>
      <c r="G2143">
        <v>0.16087299999999999</v>
      </c>
    </row>
    <row r="2144" spans="1:7">
      <c r="A2144" t="s">
        <v>144</v>
      </c>
      <c r="B2144">
        <v>33</v>
      </c>
      <c r="C2144">
        <v>32</v>
      </c>
      <c r="D2144">
        <v>0.32755499999999999</v>
      </c>
      <c r="E2144">
        <v>-0.56614900000000001</v>
      </c>
      <c r="F2144">
        <v>-0.74877199999999999</v>
      </c>
      <c r="G2144">
        <v>-0.68895300000000004</v>
      </c>
    </row>
    <row r="2145" spans="1:7">
      <c r="A2145" t="s">
        <v>144</v>
      </c>
      <c r="B2145">
        <v>33</v>
      </c>
      <c r="C2145">
        <v>33</v>
      </c>
      <c r="D2145">
        <v>0.32755499999999999</v>
      </c>
      <c r="E2145">
        <v>0.80889299999999997</v>
      </c>
      <c r="F2145">
        <v>-0.33460499999999999</v>
      </c>
      <c r="G2145">
        <v>3.9954000000000003E-2</v>
      </c>
    </row>
    <row r="2146" spans="1:7">
      <c r="A2146" t="s">
        <v>144</v>
      </c>
      <c r="B2146">
        <v>33</v>
      </c>
      <c r="C2146">
        <v>34</v>
      </c>
      <c r="D2146">
        <v>0.32755499999999999</v>
      </c>
      <c r="E2146">
        <v>0.83047000000000004</v>
      </c>
      <c r="F2146">
        <v>-0.81350100000000003</v>
      </c>
      <c r="G2146">
        <v>-0.27500999999999998</v>
      </c>
    </row>
    <row r="2147" spans="1:7">
      <c r="A2147" t="s">
        <v>144</v>
      </c>
      <c r="B2147">
        <v>33</v>
      </c>
      <c r="C2147">
        <v>35</v>
      </c>
      <c r="D2147">
        <v>0.32755499999999999</v>
      </c>
      <c r="E2147">
        <v>-0.18765799999999999</v>
      </c>
      <c r="F2147">
        <v>-0.11096499999999999</v>
      </c>
      <c r="G2147">
        <v>-0.13608600000000001</v>
      </c>
    </row>
    <row r="2148" spans="1:7">
      <c r="A2148" t="s">
        <v>144</v>
      </c>
      <c r="B2148">
        <v>33</v>
      </c>
      <c r="C2148">
        <v>36</v>
      </c>
      <c r="D2148">
        <v>0.32755499999999999</v>
      </c>
      <c r="E2148">
        <v>0.52842800000000001</v>
      </c>
      <c r="F2148">
        <v>-0.83437600000000001</v>
      </c>
      <c r="G2148">
        <v>-0.38798300000000002</v>
      </c>
    </row>
    <row r="2149" spans="1:7">
      <c r="A2149" t="s">
        <v>144</v>
      </c>
      <c r="B2149">
        <v>33</v>
      </c>
      <c r="C2149">
        <v>37</v>
      </c>
      <c r="D2149">
        <v>0.32755499999999999</v>
      </c>
      <c r="E2149">
        <v>0.67024700000000004</v>
      </c>
      <c r="F2149">
        <v>0.20127</v>
      </c>
      <c r="G2149">
        <v>0.35488599999999998</v>
      </c>
    </row>
    <row r="2150" spans="1:7">
      <c r="A2150" t="s">
        <v>144</v>
      </c>
      <c r="B2150">
        <v>33</v>
      </c>
      <c r="C2150">
        <v>38</v>
      </c>
      <c r="D2150">
        <v>0.32755499999999999</v>
      </c>
      <c r="E2150">
        <v>-9.4301999999999997E-2</v>
      </c>
      <c r="F2150">
        <v>-0.184637</v>
      </c>
      <c r="G2150">
        <v>-0.15504699999999999</v>
      </c>
    </row>
    <row r="2151" spans="1:7">
      <c r="A2151" t="s">
        <v>144</v>
      </c>
      <c r="B2151">
        <v>33</v>
      </c>
      <c r="C2151">
        <v>39</v>
      </c>
      <c r="D2151">
        <v>0.32755499999999999</v>
      </c>
      <c r="E2151">
        <v>-0.49446099999999998</v>
      </c>
      <c r="F2151">
        <v>-0.91958399999999996</v>
      </c>
      <c r="G2151">
        <v>-0.78033300000000005</v>
      </c>
    </row>
    <row r="2152" spans="1:7">
      <c r="A2152" t="s">
        <v>144</v>
      </c>
      <c r="B2152">
        <v>33</v>
      </c>
      <c r="C2152">
        <v>40</v>
      </c>
      <c r="D2152">
        <v>0.32755499999999999</v>
      </c>
      <c r="E2152">
        <v>-0.63078699999999999</v>
      </c>
      <c r="F2152">
        <v>0.278115</v>
      </c>
      <c r="G2152">
        <v>-1.9599999999999999E-2</v>
      </c>
    </row>
    <row r="2153" spans="1:7">
      <c r="A2153" t="s">
        <v>144</v>
      </c>
      <c r="B2153">
        <v>33</v>
      </c>
      <c r="C2153">
        <v>41</v>
      </c>
      <c r="D2153">
        <v>0.32755499999999999</v>
      </c>
      <c r="E2153">
        <v>-0.24079100000000001</v>
      </c>
      <c r="F2153">
        <v>-0.27121800000000001</v>
      </c>
      <c r="G2153">
        <v>-0.26125100000000001</v>
      </c>
    </row>
    <row r="2154" spans="1:7">
      <c r="A2154" t="s">
        <v>144</v>
      </c>
      <c r="B2154">
        <v>33</v>
      </c>
      <c r="C2154">
        <v>42</v>
      </c>
      <c r="D2154">
        <v>0.32755499999999999</v>
      </c>
      <c r="E2154">
        <v>0.27738299999999999</v>
      </c>
      <c r="F2154">
        <v>0.70314600000000005</v>
      </c>
      <c r="G2154">
        <v>0.56368499999999999</v>
      </c>
    </row>
    <row r="2155" spans="1:7">
      <c r="A2155" t="s">
        <v>144</v>
      </c>
      <c r="B2155">
        <v>33</v>
      </c>
      <c r="C2155">
        <v>43</v>
      </c>
      <c r="D2155">
        <v>0.32755499999999999</v>
      </c>
      <c r="E2155">
        <v>0.40144000000000002</v>
      </c>
      <c r="F2155">
        <v>0.412549</v>
      </c>
      <c r="G2155">
        <v>0.40891</v>
      </c>
    </row>
    <row r="2156" spans="1:7">
      <c r="A2156" t="s">
        <v>144</v>
      </c>
      <c r="B2156">
        <v>33</v>
      </c>
      <c r="C2156">
        <v>44</v>
      </c>
      <c r="D2156">
        <v>0.32755499999999999</v>
      </c>
      <c r="E2156">
        <v>0.58162199999999997</v>
      </c>
      <c r="F2156">
        <v>-0.60927200000000004</v>
      </c>
      <c r="G2156">
        <v>-0.21918799999999999</v>
      </c>
    </row>
    <row r="2157" spans="1:7">
      <c r="A2157" t="s">
        <v>144</v>
      </c>
      <c r="B2157">
        <v>33</v>
      </c>
      <c r="C2157">
        <v>45</v>
      </c>
      <c r="D2157">
        <v>0.32755499999999999</v>
      </c>
      <c r="E2157">
        <v>-0.96673500000000001</v>
      </c>
      <c r="F2157">
        <v>-0.37781900000000002</v>
      </c>
      <c r="G2157">
        <v>-0.57072199999999995</v>
      </c>
    </row>
    <row r="2158" spans="1:7">
      <c r="A2158" t="s">
        <v>144</v>
      </c>
      <c r="B2158">
        <v>33</v>
      </c>
      <c r="C2158">
        <v>46</v>
      </c>
      <c r="D2158">
        <v>0.32755499999999999</v>
      </c>
      <c r="E2158">
        <v>2.7588999999999999E-2</v>
      </c>
      <c r="F2158">
        <v>-0.50169399999999997</v>
      </c>
      <c r="G2158">
        <v>-0.32832499999999998</v>
      </c>
    </row>
    <row r="2159" spans="1:7">
      <c r="A2159" t="s">
        <v>144</v>
      </c>
      <c r="B2159">
        <v>33</v>
      </c>
      <c r="C2159">
        <v>47</v>
      </c>
      <c r="D2159">
        <v>0.32755499999999999</v>
      </c>
      <c r="E2159">
        <v>-0.43543799999999999</v>
      </c>
      <c r="F2159">
        <v>-0.48045300000000002</v>
      </c>
      <c r="G2159">
        <v>-0.46570800000000001</v>
      </c>
    </row>
    <row r="2160" spans="1:7">
      <c r="A2160" t="s">
        <v>144</v>
      </c>
      <c r="B2160">
        <v>33</v>
      </c>
      <c r="C2160">
        <v>48</v>
      </c>
      <c r="D2160">
        <v>0.32755499999999999</v>
      </c>
      <c r="E2160">
        <v>-0.37955899999999998</v>
      </c>
      <c r="F2160">
        <v>-0.100314</v>
      </c>
      <c r="G2160">
        <v>-0.19178200000000001</v>
      </c>
    </row>
    <row r="2161" spans="1:9">
      <c r="A2161" t="s">
        <v>144</v>
      </c>
      <c r="B2161">
        <v>33</v>
      </c>
      <c r="C2161">
        <v>49</v>
      </c>
      <c r="D2161">
        <v>0.32755499999999999</v>
      </c>
      <c r="E2161">
        <v>0.15549199999999999</v>
      </c>
      <c r="F2161">
        <v>-0.29395399999999999</v>
      </c>
      <c r="G2161">
        <v>-0.14673600000000001</v>
      </c>
    </row>
    <row r="2162" spans="1:9">
      <c r="A2162" t="s">
        <v>144</v>
      </c>
      <c r="B2162" t="s">
        <v>145</v>
      </c>
      <c r="C2162">
        <v>34</v>
      </c>
    </row>
    <row r="2163" spans="1:9">
      <c r="A2163" t="s">
        <v>144</v>
      </c>
      <c r="B2163" t="s">
        <v>146</v>
      </c>
      <c r="C2163">
        <v>33</v>
      </c>
    </row>
    <row r="2164" spans="1:9">
      <c r="A2164" t="s">
        <v>144</v>
      </c>
      <c r="B2164" t="s">
        <v>147</v>
      </c>
      <c r="C2164">
        <v>33</v>
      </c>
    </row>
    <row r="2165" spans="1:9">
      <c r="A2165" t="s">
        <v>144</v>
      </c>
      <c r="B2165" t="s">
        <v>148</v>
      </c>
      <c r="C2165">
        <v>0.30921399999999999</v>
      </c>
    </row>
    <row r="2166" spans="1:9">
      <c r="A2166" t="s">
        <v>144</v>
      </c>
      <c r="B2166" t="s">
        <v>149</v>
      </c>
      <c r="C2166">
        <v>0.30921399999999999</v>
      </c>
    </row>
    <row r="2167" spans="1:9">
      <c r="A2167" t="s">
        <v>144</v>
      </c>
      <c r="B2167" t="s">
        <v>150</v>
      </c>
      <c r="C2167">
        <v>-1</v>
      </c>
    </row>
    <row r="2168" spans="1:9">
      <c r="A2168" t="s">
        <v>144</v>
      </c>
      <c r="B2168" t="s">
        <v>151</v>
      </c>
      <c r="C2168">
        <v>-1</v>
      </c>
    </row>
    <row r="2169" spans="1:9">
      <c r="A2169" t="s">
        <v>144</v>
      </c>
      <c r="B2169" t="s">
        <v>152</v>
      </c>
      <c r="C2169">
        <v>2</v>
      </c>
    </row>
    <row r="2170" spans="1:9">
      <c r="A2170" t="s">
        <v>144</v>
      </c>
      <c r="B2170" t="s">
        <v>153</v>
      </c>
      <c r="C2170">
        <v>2</v>
      </c>
    </row>
    <row r="2171" spans="1:9">
      <c r="A2171" t="s">
        <v>144</v>
      </c>
      <c r="B2171" t="s">
        <v>154</v>
      </c>
      <c r="C2171">
        <v>0</v>
      </c>
    </row>
    <row r="2172" spans="1:9">
      <c r="A2172" t="s">
        <v>144</v>
      </c>
      <c r="B2172" t="s">
        <v>155</v>
      </c>
    </row>
    <row r="2173" spans="1:9">
      <c r="A2173" t="s">
        <v>144</v>
      </c>
      <c r="B2173" t="s">
        <v>150</v>
      </c>
      <c r="C2173">
        <v>0.37964999999999999</v>
      </c>
      <c r="H2173" s="38" t="s">
        <v>164</v>
      </c>
      <c r="I2173" s="44">
        <f>MIN(I2176:I2225)</f>
        <v>-7.6374999991024595E-7</v>
      </c>
    </row>
    <row r="2174" spans="1:9">
      <c r="A2174" t="s">
        <v>144</v>
      </c>
      <c r="B2174" t="s">
        <v>151</v>
      </c>
      <c r="C2174">
        <v>0.37964999999999999</v>
      </c>
      <c r="H2174" s="38" t="s">
        <v>165</v>
      </c>
      <c r="I2174" s="44">
        <f>MAX(I2176:I2225)</f>
        <v>9.5240000008711689E-7</v>
      </c>
    </row>
    <row r="2175" spans="1:9">
      <c r="A2175" t="s">
        <v>144</v>
      </c>
      <c r="B2175" t="s">
        <v>156</v>
      </c>
      <c r="C2175" t="s">
        <v>157</v>
      </c>
      <c r="D2175" t="s">
        <v>63</v>
      </c>
      <c r="E2175" t="s">
        <v>158</v>
      </c>
      <c r="F2175" t="s">
        <v>159</v>
      </c>
      <c r="G2175" t="s">
        <v>160</v>
      </c>
      <c r="H2175" s="43" t="s">
        <v>162</v>
      </c>
      <c r="I2175" s="43" t="s">
        <v>163</v>
      </c>
    </row>
    <row r="2176" spans="1:9">
      <c r="A2176" t="s">
        <v>144</v>
      </c>
      <c r="B2176">
        <v>34</v>
      </c>
      <c r="C2176">
        <v>0</v>
      </c>
      <c r="D2176">
        <v>0.37964999999999999</v>
      </c>
      <c r="E2176">
        <v>-0.307199</v>
      </c>
      <c r="F2176">
        <v>-1</v>
      </c>
      <c r="G2176">
        <v>-0.307199</v>
      </c>
      <c r="H2176" s="42">
        <f>IF(C2176&lt;$C$2169,E2176,D2176*E2176 + (1 - D2176)*F2176)</f>
        <v>-0.307199</v>
      </c>
      <c r="I2176" s="42">
        <f>H2176-G2176</f>
        <v>0</v>
      </c>
    </row>
    <row r="2177" spans="1:9">
      <c r="A2177" t="s">
        <v>144</v>
      </c>
      <c r="B2177">
        <v>34</v>
      </c>
      <c r="C2177">
        <v>1</v>
      </c>
      <c r="D2177">
        <v>0.37964999999999999</v>
      </c>
      <c r="E2177">
        <v>0.20847199999999999</v>
      </c>
      <c r="F2177">
        <v>-1</v>
      </c>
      <c r="G2177">
        <v>0.20847199999999999</v>
      </c>
      <c r="H2177" s="42">
        <f t="shared" ref="H2177:H2225" si="18">IF(C2177&lt;$C$2169,E2177,D2177*E2177 + (1 - D2177)*F2177)</f>
        <v>0.20847199999999999</v>
      </c>
      <c r="I2177" s="42">
        <f t="shared" ref="I2177:I2225" si="19">H2177-G2177</f>
        <v>0</v>
      </c>
    </row>
    <row r="2178" spans="1:9">
      <c r="A2178" t="s">
        <v>144</v>
      </c>
      <c r="B2178">
        <v>34</v>
      </c>
      <c r="C2178">
        <v>2</v>
      </c>
      <c r="D2178">
        <v>0.37964999999999999</v>
      </c>
      <c r="E2178">
        <v>-0.63820299999999996</v>
      </c>
      <c r="F2178">
        <v>9.6652000000000002E-2</v>
      </c>
      <c r="G2178">
        <v>-0.182336</v>
      </c>
      <c r="H2178" s="42">
        <f t="shared" si="18"/>
        <v>-0.18233570075</v>
      </c>
      <c r="I2178" s="42">
        <f t="shared" si="19"/>
        <v>2.9925000000208257E-7</v>
      </c>
    </row>
    <row r="2179" spans="1:9">
      <c r="A2179" t="s">
        <v>144</v>
      </c>
      <c r="B2179">
        <v>34</v>
      </c>
      <c r="C2179">
        <v>3</v>
      </c>
      <c r="D2179">
        <v>0.37964999999999999</v>
      </c>
      <c r="E2179">
        <v>-0.124912</v>
      </c>
      <c r="F2179">
        <v>0.97592100000000004</v>
      </c>
      <c r="G2179">
        <v>0.55798899999999996</v>
      </c>
      <c r="H2179" s="42">
        <f t="shared" si="18"/>
        <v>0.55798975154999997</v>
      </c>
      <c r="I2179" s="42">
        <f t="shared" si="19"/>
        <v>7.5155000001103645E-7</v>
      </c>
    </row>
    <row r="2180" spans="1:9">
      <c r="A2180" t="s">
        <v>144</v>
      </c>
      <c r="B2180">
        <v>34</v>
      </c>
      <c r="C2180">
        <v>4</v>
      </c>
      <c r="D2180">
        <v>0.37964999999999999</v>
      </c>
      <c r="E2180">
        <v>0.86361299999999996</v>
      </c>
      <c r="F2180">
        <v>0.53029000000000004</v>
      </c>
      <c r="G2180">
        <v>0.65683599999999998</v>
      </c>
      <c r="H2180" s="42">
        <f t="shared" si="18"/>
        <v>0.6568360769499999</v>
      </c>
      <c r="I2180" s="42">
        <f t="shared" si="19"/>
        <v>7.6949999927578006E-8</v>
      </c>
    </row>
    <row r="2181" spans="1:9">
      <c r="A2181" t="s">
        <v>144</v>
      </c>
      <c r="B2181">
        <v>34</v>
      </c>
      <c r="C2181">
        <v>5</v>
      </c>
      <c r="D2181">
        <v>0.37964999999999999</v>
      </c>
      <c r="E2181">
        <v>0.80190399999999995</v>
      </c>
      <c r="F2181">
        <v>0.23105600000000001</v>
      </c>
      <c r="G2181">
        <v>0.44777899999999998</v>
      </c>
      <c r="H2181" s="42">
        <f t="shared" si="18"/>
        <v>0.44777844319999993</v>
      </c>
      <c r="I2181" s="42">
        <f t="shared" si="19"/>
        <v>-5.568000000510942E-7</v>
      </c>
    </row>
    <row r="2182" spans="1:9">
      <c r="A2182" t="s">
        <v>144</v>
      </c>
      <c r="B2182">
        <v>34</v>
      </c>
      <c r="C2182">
        <v>6</v>
      </c>
      <c r="D2182">
        <v>0.37964999999999999</v>
      </c>
      <c r="E2182">
        <v>0.45576299999999997</v>
      </c>
      <c r="F2182">
        <v>-0.41175600000000001</v>
      </c>
      <c r="G2182">
        <v>-8.2402000000000003E-2</v>
      </c>
      <c r="H2182" s="42">
        <f t="shared" si="18"/>
        <v>-8.2402411650000007E-2</v>
      </c>
      <c r="I2182" s="42">
        <f t="shared" si="19"/>
        <v>-4.1165000000398244E-7</v>
      </c>
    </row>
    <row r="2183" spans="1:9">
      <c r="A2183" t="s">
        <v>144</v>
      </c>
      <c r="B2183">
        <v>34</v>
      </c>
      <c r="C2183">
        <v>7</v>
      </c>
      <c r="D2183">
        <v>0.37964999999999999</v>
      </c>
      <c r="E2183">
        <v>0.60090900000000003</v>
      </c>
      <c r="F2183">
        <v>0.15595000000000001</v>
      </c>
      <c r="G2183">
        <v>0.32487899999999997</v>
      </c>
      <c r="H2183" s="42">
        <f t="shared" si="18"/>
        <v>0.32487868435</v>
      </c>
      <c r="I2183" s="42">
        <f t="shared" si="19"/>
        <v>-3.1564999997124588E-7</v>
      </c>
    </row>
    <row r="2184" spans="1:9">
      <c r="A2184" t="s">
        <v>144</v>
      </c>
      <c r="B2184">
        <v>34</v>
      </c>
      <c r="C2184">
        <v>8</v>
      </c>
      <c r="D2184">
        <v>0.37964999999999999</v>
      </c>
      <c r="E2184">
        <v>0.66106100000000001</v>
      </c>
      <c r="F2184">
        <v>0.200903</v>
      </c>
      <c r="G2184">
        <v>0.37560199999999999</v>
      </c>
      <c r="H2184" s="42">
        <f t="shared" si="18"/>
        <v>0.3756019847</v>
      </c>
      <c r="I2184" s="42">
        <f t="shared" si="19"/>
        <v>-1.5299999989171198E-8</v>
      </c>
    </row>
    <row r="2185" spans="1:9">
      <c r="A2185" t="s">
        <v>144</v>
      </c>
      <c r="B2185">
        <v>34</v>
      </c>
      <c r="C2185">
        <v>9</v>
      </c>
      <c r="D2185">
        <v>0.37964999999999999</v>
      </c>
      <c r="E2185">
        <v>-0.67747999999999997</v>
      </c>
      <c r="F2185">
        <v>-0.29676200000000003</v>
      </c>
      <c r="G2185">
        <v>-0.44130200000000003</v>
      </c>
      <c r="H2185" s="42">
        <f t="shared" si="18"/>
        <v>-0.44130158869999997</v>
      </c>
      <c r="I2185" s="42">
        <f t="shared" si="19"/>
        <v>4.1130000005829004E-7</v>
      </c>
    </row>
    <row r="2186" spans="1:9">
      <c r="A2186" t="s">
        <v>144</v>
      </c>
      <c r="B2186">
        <v>34</v>
      </c>
      <c r="C2186">
        <v>10</v>
      </c>
      <c r="D2186">
        <v>0.37964999999999999</v>
      </c>
      <c r="E2186">
        <v>0.325571</v>
      </c>
      <c r="F2186">
        <v>0.47868300000000003</v>
      </c>
      <c r="G2186">
        <v>0.42055399999999998</v>
      </c>
      <c r="H2186" s="42">
        <f t="shared" si="18"/>
        <v>0.42055402920000001</v>
      </c>
      <c r="I2186" s="42">
        <f t="shared" si="19"/>
        <v>2.920000002903933E-8</v>
      </c>
    </row>
    <row r="2187" spans="1:9">
      <c r="A2187" t="s">
        <v>144</v>
      </c>
      <c r="B2187">
        <v>34</v>
      </c>
      <c r="C2187">
        <v>11</v>
      </c>
      <c r="D2187">
        <v>0.37964999999999999</v>
      </c>
      <c r="E2187">
        <v>-0.66347199999999995</v>
      </c>
      <c r="F2187">
        <v>-0.86721400000000004</v>
      </c>
      <c r="G2187">
        <v>-0.78986299999999998</v>
      </c>
      <c r="H2187" s="42">
        <f t="shared" si="18"/>
        <v>-0.78986334969999994</v>
      </c>
      <c r="I2187" s="42">
        <f t="shared" si="19"/>
        <v>-3.496999999574868E-7</v>
      </c>
    </row>
    <row r="2188" spans="1:9">
      <c r="A2188" t="s">
        <v>144</v>
      </c>
      <c r="B2188">
        <v>34</v>
      </c>
      <c r="C2188">
        <v>12</v>
      </c>
      <c r="D2188">
        <v>0.37964999999999999</v>
      </c>
      <c r="E2188">
        <v>0.28556199999999998</v>
      </c>
      <c r="F2188">
        <v>-3.6499999999999998E-2</v>
      </c>
      <c r="G2188">
        <v>8.5771E-2</v>
      </c>
      <c r="H2188" s="42">
        <f t="shared" si="18"/>
        <v>8.5770838299999985E-2</v>
      </c>
      <c r="I2188" s="42">
        <f t="shared" si="19"/>
        <v>-1.6170000001480833E-7</v>
      </c>
    </row>
    <row r="2189" spans="1:9">
      <c r="A2189" t="s">
        <v>144</v>
      </c>
      <c r="B2189">
        <v>34</v>
      </c>
      <c r="C2189">
        <v>13</v>
      </c>
      <c r="D2189">
        <v>0.37964999999999999</v>
      </c>
      <c r="E2189">
        <v>-0.42939500000000003</v>
      </c>
      <c r="F2189">
        <v>-0.80376599999999998</v>
      </c>
      <c r="G2189">
        <v>-0.661636</v>
      </c>
      <c r="H2189" s="42">
        <f t="shared" si="18"/>
        <v>-0.66163604984999991</v>
      </c>
      <c r="I2189" s="42">
        <f t="shared" si="19"/>
        <v>-4.9849999905760001E-8</v>
      </c>
    </row>
    <row r="2190" spans="1:9">
      <c r="A2190" t="s">
        <v>144</v>
      </c>
      <c r="B2190">
        <v>34</v>
      </c>
      <c r="C2190">
        <v>14</v>
      </c>
      <c r="D2190">
        <v>0.37964999999999999</v>
      </c>
      <c r="E2190">
        <v>0.47819499999999998</v>
      </c>
      <c r="F2190">
        <v>-0.62404300000000001</v>
      </c>
      <c r="G2190">
        <v>-0.20557800000000001</v>
      </c>
      <c r="H2190" s="42">
        <f t="shared" si="18"/>
        <v>-0.20557834329999999</v>
      </c>
      <c r="I2190" s="42">
        <f t="shared" si="19"/>
        <v>-3.4329999998305993E-7</v>
      </c>
    </row>
    <row r="2191" spans="1:9">
      <c r="A2191" t="s">
        <v>144</v>
      </c>
      <c r="B2191">
        <v>34</v>
      </c>
      <c r="C2191">
        <v>15</v>
      </c>
      <c r="D2191">
        <v>0.37964999999999999</v>
      </c>
      <c r="E2191">
        <v>0.33311000000000002</v>
      </c>
      <c r="F2191">
        <v>-0.74483500000000002</v>
      </c>
      <c r="G2191">
        <v>-0.33559299999999997</v>
      </c>
      <c r="H2191" s="42">
        <f t="shared" si="18"/>
        <v>-0.33559318075</v>
      </c>
      <c r="I2191" s="42">
        <f t="shared" si="19"/>
        <v>-1.8075000002282238E-7</v>
      </c>
    </row>
    <row r="2192" spans="1:9">
      <c r="A2192" t="s">
        <v>144</v>
      </c>
      <c r="B2192">
        <v>34</v>
      </c>
      <c r="C2192">
        <v>16</v>
      </c>
      <c r="D2192">
        <v>0.37964999999999999</v>
      </c>
      <c r="E2192">
        <v>0.42967</v>
      </c>
      <c r="F2192">
        <v>-1.1261E-2</v>
      </c>
      <c r="G2192">
        <v>0.156138</v>
      </c>
      <c r="H2192" s="42">
        <f t="shared" si="18"/>
        <v>0.15613845414999999</v>
      </c>
      <c r="I2192" s="42">
        <f t="shared" si="19"/>
        <v>4.5414999999549011E-7</v>
      </c>
    </row>
    <row r="2193" spans="1:9">
      <c r="A2193" t="s">
        <v>144</v>
      </c>
      <c r="B2193">
        <v>34</v>
      </c>
      <c r="C2193">
        <v>17</v>
      </c>
      <c r="D2193">
        <v>0.37964999999999999</v>
      </c>
      <c r="E2193">
        <v>0.86098799999999998</v>
      </c>
      <c r="F2193">
        <v>0.83992999999999995</v>
      </c>
      <c r="G2193">
        <v>0.84792500000000004</v>
      </c>
      <c r="H2193" s="42">
        <f t="shared" si="18"/>
        <v>0.8479246696999998</v>
      </c>
      <c r="I2193" s="42">
        <f t="shared" si="19"/>
        <v>-3.3030000023970274E-7</v>
      </c>
    </row>
    <row r="2194" spans="1:9">
      <c r="A2194" t="s">
        <v>144</v>
      </c>
      <c r="B2194">
        <v>34</v>
      </c>
      <c r="C2194">
        <v>18</v>
      </c>
      <c r="D2194">
        <v>0.37964999999999999</v>
      </c>
      <c r="E2194">
        <v>-0.27616200000000002</v>
      </c>
      <c r="F2194">
        <v>-0.52134800000000003</v>
      </c>
      <c r="G2194">
        <v>-0.428263</v>
      </c>
      <c r="H2194" s="42">
        <f t="shared" si="18"/>
        <v>-0.42826313510000003</v>
      </c>
      <c r="I2194" s="42">
        <f t="shared" si="19"/>
        <v>-1.3510000002048272E-7</v>
      </c>
    </row>
    <row r="2195" spans="1:9">
      <c r="A2195" t="s">
        <v>144</v>
      </c>
      <c r="B2195">
        <v>34</v>
      </c>
      <c r="C2195">
        <v>19</v>
      </c>
      <c r="D2195">
        <v>0.37964999999999999</v>
      </c>
      <c r="E2195">
        <v>-6.7964999999999998E-2</v>
      </c>
      <c r="F2195">
        <v>-0.79522099999999996</v>
      </c>
      <c r="G2195">
        <v>-0.51911799999999997</v>
      </c>
      <c r="H2195" s="42">
        <f t="shared" si="18"/>
        <v>-0.51911825959999991</v>
      </c>
      <c r="I2195" s="42">
        <f t="shared" si="19"/>
        <v>-2.5959999994107363E-7</v>
      </c>
    </row>
    <row r="2196" spans="1:9">
      <c r="A2196" t="s">
        <v>144</v>
      </c>
      <c r="B2196">
        <v>34</v>
      </c>
      <c r="C2196">
        <v>20</v>
      </c>
      <c r="D2196">
        <v>0.37964999999999999</v>
      </c>
      <c r="E2196">
        <v>-0.97454799999999997</v>
      </c>
      <c r="F2196">
        <v>0.69035899999999994</v>
      </c>
      <c r="G2196">
        <v>5.8277000000000002E-2</v>
      </c>
      <c r="H2196" s="42">
        <f t="shared" si="18"/>
        <v>5.8277057450000003E-2</v>
      </c>
      <c r="I2196" s="42">
        <f t="shared" si="19"/>
        <v>5.745000000029199E-8</v>
      </c>
    </row>
    <row r="2197" spans="1:9">
      <c r="A2197" t="s">
        <v>144</v>
      </c>
      <c r="B2197">
        <v>34</v>
      </c>
      <c r="C2197">
        <v>21</v>
      </c>
      <c r="D2197">
        <v>0.37964999999999999</v>
      </c>
      <c r="E2197">
        <v>-0.72289199999999998</v>
      </c>
      <c r="F2197">
        <v>-6.1556E-2</v>
      </c>
      <c r="G2197">
        <v>-0.31263200000000002</v>
      </c>
      <c r="H2197" s="42">
        <f t="shared" si="18"/>
        <v>-0.3126322124</v>
      </c>
      <c r="I2197" s="42">
        <f t="shared" si="19"/>
        <v>-2.1239999997701986E-7</v>
      </c>
    </row>
    <row r="2198" spans="1:9">
      <c r="A2198" t="s">
        <v>144</v>
      </c>
      <c r="B2198">
        <v>34</v>
      </c>
      <c r="C2198">
        <v>22</v>
      </c>
      <c r="D2198">
        <v>0.37964999999999999</v>
      </c>
      <c r="E2198">
        <v>0.85854699999999995</v>
      </c>
      <c r="F2198">
        <v>-0.21033399999999999</v>
      </c>
      <c r="G2198">
        <v>0.195467</v>
      </c>
      <c r="H2198" s="42">
        <f t="shared" si="18"/>
        <v>0.19546667164999995</v>
      </c>
      <c r="I2198" s="42">
        <f t="shared" si="19"/>
        <v>-3.2835000005060344E-7</v>
      </c>
    </row>
    <row r="2199" spans="1:9">
      <c r="A2199" t="s">
        <v>144</v>
      </c>
      <c r="B2199">
        <v>34</v>
      </c>
      <c r="C2199">
        <v>23</v>
      </c>
      <c r="D2199">
        <v>0.37964999999999999</v>
      </c>
      <c r="E2199">
        <v>0.56462299999999999</v>
      </c>
      <c r="F2199">
        <v>0.57167299999999999</v>
      </c>
      <c r="G2199">
        <v>0.56899599999999995</v>
      </c>
      <c r="H2199" s="42">
        <f t="shared" si="18"/>
        <v>0.56899646749999999</v>
      </c>
      <c r="I2199" s="42">
        <f t="shared" si="19"/>
        <v>4.6750000004536219E-7</v>
      </c>
    </row>
    <row r="2200" spans="1:9">
      <c r="A2200" t="s">
        <v>144</v>
      </c>
      <c r="B2200">
        <v>34</v>
      </c>
      <c r="C2200">
        <v>24</v>
      </c>
      <c r="D2200">
        <v>0.37964999999999999</v>
      </c>
      <c r="E2200">
        <v>-0.196966</v>
      </c>
      <c r="F2200">
        <v>0.81179199999999996</v>
      </c>
      <c r="G2200">
        <v>0.428817</v>
      </c>
      <c r="H2200" s="42">
        <f t="shared" si="18"/>
        <v>0.42881702529999999</v>
      </c>
      <c r="I2200" s="42">
        <f t="shared" si="19"/>
        <v>2.5299999983907639E-8</v>
      </c>
    </row>
    <row r="2201" spans="1:9">
      <c r="A2201" t="s">
        <v>144</v>
      </c>
      <c r="B2201">
        <v>34</v>
      </c>
      <c r="C2201">
        <v>25</v>
      </c>
      <c r="D2201">
        <v>0.37964999999999999</v>
      </c>
      <c r="E2201">
        <v>0.57646399999999998</v>
      </c>
      <c r="F2201">
        <v>0.93182200000000004</v>
      </c>
      <c r="G2201">
        <v>0.79691000000000001</v>
      </c>
      <c r="H2201" s="42">
        <f t="shared" si="18"/>
        <v>0.79691033529999988</v>
      </c>
      <c r="I2201" s="42">
        <f t="shared" si="19"/>
        <v>3.3529999987624848E-7</v>
      </c>
    </row>
    <row r="2202" spans="1:9">
      <c r="A2202" t="s">
        <v>144</v>
      </c>
      <c r="B2202">
        <v>34</v>
      </c>
      <c r="C2202">
        <v>26</v>
      </c>
      <c r="D2202">
        <v>0.37964999999999999</v>
      </c>
      <c r="E2202">
        <v>-0.91030599999999995</v>
      </c>
      <c r="F2202">
        <v>-0.241646</v>
      </c>
      <c r="G2202">
        <v>-0.49550300000000003</v>
      </c>
      <c r="H2202" s="42">
        <f t="shared" si="18"/>
        <v>-0.49550276900000001</v>
      </c>
      <c r="I2202" s="42">
        <f t="shared" si="19"/>
        <v>2.3100000001718968E-7</v>
      </c>
    </row>
    <row r="2203" spans="1:9">
      <c r="A2203" t="s">
        <v>144</v>
      </c>
      <c r="B2203">
        <v>34</v>
      </c>
      <c r="C2203">
        <v>27</v>
      </c>
      <c r="D2203">
        <v>0.37964999999999999</v>
      </c>
      <c r="E2203">
        <v>0.68379800000000002</v>
      </c>
      <c r="F2203">
        <v>-0.475387</v>
      </c>
      <c r="G2203">
        <v>-3.5302E-2</v>
      </c>
      <c r="H2203" s="42">
        <f t="shared" si="18"/>
        <v>-3.5302414750000011E-2</v>
      </c>
      <c r="I2203" s="42">
        <f t="shared" si="19"/>
        <v>-4.1475000001067741E-7</v>
      </c>
    </row>
    <row r="2204" spans="1:9">
      <c r="A2204" t="s">
        <v>144</v>
      </c>
      <c r="B2204">
        <v>34</v>
      </c>
      <c r="C2204">
        <v>28</v>
      </c>
      <c r="D2204">
        <v>0.37964999999999999</v>
      </c>
      <c r="E2204">
        <v>0.101352</v>
      </c>
      <c r="F2204">
        <v>0.99368299999999998</v>
      </c>
      <c r="G2204">
        <v>0.65490899999999996</v>
      </c>
      <c r="H2204" s="42">
        <f t="shared" si="18"/>
        <v>0.65490953584999989</v>
      </c>
      <c r="I2204" s="42">
        <f t="shared" si="19"/>
        <v>5.3584999992750681E-7</v>
      </c>
    </row>
    <row r="2205" spans="1:9">
      <c r="A2205" t="s">
        <v>144</v>
      </c>
      <c r="B2205">
        <v>34</v>
      </c>
      <c r="C2205">
        <v>29</v>
      </c>
      <c r="D2205">
        <v>0.37964999999999999</v>
      </c>
      <c r="E2205">
        <v>0.78206699999999996</v>
      </c>
      <c r="F2205">
        <v>-8.3742999999999998E-2</v>
      </c>
      <c r="G2205">
        <v>0.24496200000000001</v>
      </c>
      <c r="H2205" s="42">
        <f t="shared" si="18"/>
        <v>0.24496176649999998</v>
      </c>
      <c r="I2205" s="42">
        <f t="shared" si="19"/>
        <v>-2.3350000002975158E-7</v>
      </c>
    </row>
    <row r="2206" spans="1:9">
      <c r="A2206" t="s">
        <v>144</v>
      </c>
      <c r="B2206">
        <v>34</v>
      </c>
      <c r="C2206">
        <v>30</v>
      </c>
      <c r="D2206">
        <v>0.37964999999999999</v>
      </c>
      <c r="E2206">
        <v>-0.55708500000000005</v>
      </c>
      <c r="F2206">
        <v>-0.94640999999999997</v>
      </c>
      <c r="G2206">
        <v>-0.79860200000000003</v>
      </c>
      <c r="H2206" s="42">
        <f t="shared" si="18"/>
        <v>-0.79860276374999994</v>
      </c>
      <c r="I2206" s="42">
        <f t="shared" si="19"/>
        <v>-7.6374999991024595E-7</v>
      </c>
    </row>
    <row r="2207" spans="1:9">
      <c r="A2207" t="s">
        <v>144</v>
      </c>
      <c r="B2207">
        <v>34</v>
      </c>
      <c r="C2207">
        <v>31</v>
      </c>
      <c r="D2207">
        <v>0.37964999999999999</v>
      </c>
      <c r="E2207">
        <v>-0.50114400000000003</v>
      </c>
      <c r="F2207">
        <v>0.181005</v>
      </c>
      <c r="G2207">
        <v>-7.7973000000000001E-2</v>
      </c>
      <c r="H2207" s="42">
        <f t="shared" si="18"/>
        <v>-7.7972867850000016E-2</v>
      </c>
      <c r="I2207" s="42">
        <f t="shared" si="19"/>
        <v>1.3214999998456545E-7</v>
      </c>
    </row>
    <row r="2208" spans="1:9">
      <c r="A2208" t="s">
        <v>144</v>
      </c>
      <c r="B2208">
        <v>34</v>
      </c>
      <c r="C2208">
        <v>32</v>
      </c>
      <c r="D2208">
        <v>0.37964999999999999</v>
      </c>
      <c r="E2208">
        <v>-0.876919</v>
      </c>
      <c r="F2208">
        <v>-0.56614900000000001</v>
      </c>
      <c r="G2208">
        <v>-0.68413299999999999</v>
      </c>
      <c r="H2208" s="42">
        <f t="shared" si="18"/>
        <v>-0.68413283049999996</v>
      </c>
      <c r="I2208" s="42">
        <f t="shared" si="19"/>
        <v>1.6950000003568277E-7</v>
      </c>
    </row>
    <row r="2209" spans="1:9">
      <c r="A2209" t="s">
        <v>144</v>
      </c>
      <c r="B2209">
        <v>34</v>
      </c>
      <c r="C2209">
        <v>33</v>
      </c>
      <c r="D2209">
        <v>0.37964999999999999</v>
      </c>
      <c r="E2209">
        <v>0.612201</v>
      </c>
      <c r="F2209">
        <v>0.80889299999999997</v>
      </c>
      <c r="G2209">
        <v>0.73421899999999996</v>
      </c>
      <c r="H2209" s="42">
        <f t="shared" si="18"/>
        <v>0.73421888219999998</v>
      </c>
      <c r="I2209" s="42">
        <f t="shared" si="19"/>
        <v>-1.1779999997685309E-7</v>
      </c>
    </row>
    <row r="2210" spans="1:9">
      <c r="A2210" t="s">
        <v>144</v>
      </c>
      <c r="B2210">
        <v>34</v>
      </c>
      <c r="C2210">
        <v>34</v>
      </c>
      <c r="D2210">
        <v>0.37964999999999999</v>
      </c>
      <c r="E2210">
        <v>-0.38459399999999999</v>
      </c>
      <c r="F2210">
        <v>0.83047000000000004</v>
      </c>
      <c r="G2210">
        <v>0.36917</v>
      </c>
      <c r="H2210" s="42">
        <f t="shared" si="18"/>
        <v>0.36917095240000009</v>
      </c>
      <c r="I2210" s="42">
        <f t="shared" si="19"/>
        <v>9.5240000008711689E-7</v>
      </c>
    </row>
    <row r="2211" spans="1:9">
      <c r="A2211" t="s">
        <v>144</v>
      </c>
      <c r="B2211">
        <v>34</v>
      </c>
      <c r="C2211">
        <v>35</v>
      </c>
      <c r="D2211">
        <v>0.37964999999999999</v>
      </c>
      <c r="E2211">
        <v>0.48320000000000002</v>
      </c>
      <c r="F2211">
        <v>-0.18765799999999999</v>
      </c>
      <c r="G2211">
        <v>6.7032999999999995E-2</v>
      </c>
      <c r="H2211" s="42">
        <f t="shared" si="18"/>
        <v>6.7033239700000025E-2</v>
      </c>
      <c r="I2211" s="42">
        <f t="shared" si="19"/>
        <v>2.3970000002926373E-7</v>
      </c>
    </row>
    <row r="2212" spans="1:9">
      <c r="A2212" t="s">
        <v>144</v>
      </c>
      <c r="B2212">
        <v>34</v>
      </c>
      <c r="C2212">
        <v>36</v>
      </c>
      <c r="D2212">
        <v>0.37964999999999999</v>
      </c>
      <c r="E2212">
        <v>0.47941499999999998</v>
      </c>
      <c r="F2212">
        <v>0.52842800000000001</v>
      </c>
      <c r="G2212">
        <v>0.50982000000000005</v>
      </c>
      <c r="H2212" s="42">
        <f t="shared" si="18"/>
        <v>0.50982021454999993</v>
      </c>
      <c r="I2212" s="42">
        <f t="shared" si="19"/>
        <v>2.145499998773559E-7</v>
      </c>
    </row>
    <row r="2213" spans="1:9">
      <c r="A2213" t="s">
        <v>144</v>
      </c>
      <c r="B2213">
        <v>34</v>
      </c>
      <c r="C2213">
        <v>37</v>
      </c>
      <c r="D2213">
        <v>0.37964999999999999</v>
      </c>
      <c r="E2213">
        <v>-0.48991400000000002</v>
      </c>
      <c r="F2213">
        <v>0.67024700000000004</v>
      </c>
      <c r="G2213">
        <v>0.229792</v>
      </c>
      <c r="H2213" s="42">
        <f t="shared" si="18"/>
        <v>0.22979187635000001</v>
      </c>
      <c r="I2213" s="42">
        <f t="shared" si="19"/>
        <v>-1.2364999998903947E-7</v>
      </c>
    </row>
    <row r="2214" spans="1:9">
      <c r="A2214" t="s">
        <v>144</v>
      </c>
      <c r="B2214">
        <v>34</v>
      </c>
      <c r="C2214">
        <v>38</v>
      </c>
      <c r="D2214">
        <v>0.37964999999999999</v>
      </c>
      <c r="E2214">
        <v>0.58308700000000002</v>
      </c>
      <c r="F2214">
        <v>-9.4301999999999997E-2</v>
      </c>
      <c r="G2214">
        <v>0.16286900000000001</v>
      </c>
      <c r="H2214" s="42">
        <f t="shared" si="18"/>
        <v>0.16286873385</v>
      </c>
      <c r="I2214" s="42">
        <f t="shared" si="19"/>
        <v>-2.6615000001117828E-7</v>
      </c>
    </row>
    <row r="2215" spans="1:9">
      <c r="A2215" t="s">
        <v>144</v>
      </c>
      <c r="B2215">
        <v>34</v>
      </c>
      <c r="C2215">
        <v>39</v>
      </c>
      <c r="D2215">
        <v>0.37964999999999999</v>
      </c>
      <c r="E2215">
        <v>-0.78789600000000004</v>
      </c>
      <c r="F2215">
        <v>-0.49446099999999998</v>
      </c>
      <c r="G2215">
        <v>-0.60586399999999996</v>
      </c>
      <c r="H2215" s="42">
        <f t="shared" si="18"/>
        <v>-0.60586359774999998</v>
      </c>
      <c r="I2215" s="42">
        <f t="shared" si="19"/>
        <v>4.022499999756235E-7</v>
      </c>
    </row>
    <row r="2216" spans="1:9">
      <c r="A2216" t="s">
        <v>144</v>
      </c>
      <c r="B2216">
        <v>34</v>
      </c>
      <c r="C2216">
        <v>40</v>
      </c>
      <c r="D2216">
        <v>0.37964999999999999</v>
      </c>
      <c r="E2216">
        <v>0.33854200000000001</v>
      </c>
      <c r="F2216">
        <v>-0.63078699999999999</v>
      </c>
      <c r="G2216">
        <v>-0.26278099999999999</v>
      </c>
      <c r="H2216" s="42">
        <f t="shared" si="18"/>
        <v>-0.26278124514999995</v>
      </c>
      <c r="I2216" s="42">
        <f t="shared" si="19"/>
        <v>-2.451499999667206E-7</v>
      </c>
    </row>
    <row r="2217" spans="1:9">
      <c r="A2217" t="s">
        <v>144</v>
      </c>
      <c r="B2217">
        <v>34</v>
      </c>
      <c r="C2217">
        <v>41</v>
      </c>
      <c r="D2217">
        <v>0.37964999999999999</v>
      </c>
      <c r="E2217">
        <v>-0.35209200000000002</v>
      </c>
      <c r="F2217">
        <v>-0.24079100000000001</v>
      </c>
      <c r="G2217">
        <v>-0.28304699999999999</v>
      </c>
      <c r="H2217" s="42">
        <f t="shared" si="18"/>
        <v>-0.28304642464999996</v>
      </c>
      <c r="I2217" s="42">
        <f t="shared" si="19"/>
        <v>5.7535000003161585E-7</v>
      </c>
    </row>
    <row r="2218" spans="1:9">
      <c r="A2218" t="s">
        <v>144</v>
      </c>
      <c r="B2218">
        <v>34</v>
      </c>
      <c r="C2218">
        <v>42</v>
      </c>
      <c r="D2218">
        <v>0.37964999999999999</v>
      </c>
      <c r="E2218">
        <v>0.21701699999999999</v>
      </c>
      <c r="F2218">
        <v>0.27738299999999999</v>
      </c>
      <c r="G2218">
        <v>0.254465</v>
      </c>
      <c r="H2218" s="42">
        <f t="shared" si="18"/>
        <v>0.25446504809999998</v>
      </c>
      <c r="I2218" s="42">
        <f t="shared" si="19"/>
        <v>4.8099999983008956E-8</v>
      </c>
    </row>
    <row r="2219" spans="1:9">
      <c r="A2219" t="s">
        <v>144</v>
      </c>
      <c r="B2219">
        <v>34</v>
      </c>
      <c r="C2219">
        <v>43</v>
      </c>
      <c r="D2219">
        <v>0.37964999999999999</v>
      </c>
      <c r="E2219">
        <v>0.69054199999999999</v>
      </c>
      <c r="F2219">
        <v>0.40144000000000002</v>
      </c>
      <c r="G2219">
        <v>0.51119800000000004</v>
      </c>
      <c r="H2219" s="42">
        <f t="shared" si="18"/>
        <v>0.51119757430000001</v>
      </c>
      <c r="I2219" s="42">
        <f t="shared" si="19"/>
        <v>-4.2570000002850605E-7</v>
      </c>
    </row>
    <row r="2220" spans="1:9">
      <c r="A2220" t="s">
        <v>144</v>
      </c>
      <c r="B2220">
        <v>34</v>
      </c>
      <c r="C2220">
        <v>44</v>
      </c>
      <c r="D2220">
        <v>0.37964999999999999</v>
      </c>
      <c r="E2220">
        <v>-0.18964200000000001</v>
      </c>
      <c r="F2220">
        <v>0.58162199999999997</v>
      </c>
      <c r="G2220">
        <v>0.28881099999999998</v>
      </c>
      <c r="H2220" s="42">
        <f t="shared" si="18"/>
        <v>0.28881162239999997</v>
      </c>
      <c r="I2220" s="42">
        <f t="shared" si="19"/>
        <v>6.2239999998325857E-7</v>
      </c>
    </row>
    <row r="2221" spans="1:9">
      <c r="A2221" t="s">
        <v>144</v>
      </c>
      <c r="B2221">
        <v>34</v>
      </c>
      <c r="C2221">
        <v>45</v>
      </c>
      <c r="D2221">
        <v>0.37964999999999999</v>
      </c>
      <c r="E2221">
        <v>-0.13763800000000001</v>
      </c>
      <c r="F2221">
        <v>-0.96673500000000001</v>
      </c>
      <c r="G2221">
        <v>-0.65196799999999999</v>
      </c>
      <c r="H2221" s="42">
        <f t="shared" si="18"/>
        <v>-0.65196832394999993</v>
      </c>
      <c r="I2221" s="42">
        <f t="shared" si="19"/>
        <v>-3.2394999993634599E-7</v>
      </c>
    </row>
    <row r="2222" spans="1:9">
      <c r="A2222" t="s">
        <v>144</v>
      </c>
      <c r="B2222">
        <v>34</v>
      </c>
      <c r="C2222">
        <v>46</v>
      </c>
      <c r="D2222">
        <v>0.37964999999999999</v>
      </c>
      <c r="E2222">
        <v>0.61952600000000002</v>
      </c>
      <c r="F2222">
        <v>2.7588999999999999E-2</v>
      </c>
      <c r="G2222">
        <v>0.25231799999999999</v>
      </c>
      <c r="H2222" s="42">
        <f t="shared" si="18"/>
        <v>0.25231788205</v>
      </c>
      <c r="I2222" s="42">
        <f t="shared" si="19"/>
        <v>-1.1794999998926414E-7</v>
      </c>
    </row>
    <row r="2223" spans="1:9">
      <c r="A2223" t="s">
        <v>144</v>
      </c>
      <c r="B2223">
        <v>34</v>
      </c>
      <c r="C2223">
        <v>47</v>
      </c>
      <c r="D2223">
        <v>0.37964999999999999</v>
      </c>
      <c r="E2223">
        <v>0.134434</v>
      </c>
      <c r="F2223">
        <v>-0.43543799999999999</v>
      </c>
      <c r="G2223">
        <v>-0.219086</v>
      </c>
      <c r="H2223" s="42">
        <f t="shared" si="18"/>
        <v>-0.2190860952</v>
      </c>
      <c r="I2223" s="42">
        <f t="shared" si="19"/>
        <v>-9.5199999994299844E-8</v>
      </c>
    </row>
    <row r="2224" spans="1:9">
      <c r="A2224" t="s">
        <v>144</v>
      </c>
      <c r="B2224">
        <v>34</v>
      </c>
      <c r="C2224">
        <v>48</v>
      </c>
      <c r="D2224">
        <v>0.37964999999999999</v>
      </c>
      <c r="E2224">
        <v>3.0976E-2</v>
      </c>
      <c r="F2224">
        <v>-0.37955899999999998</v>
      </c>
      <c r="G2224">
        <v>-0.22369900000000001</v>
      </c>
      <c r="H2224" s="42">
        <f t="shared" si="18"/>
        <v>-0.22369938724999996</v>
      </c>
      <c r="I2224" s="42">
        <f t="shared" si="19"/>
        <v>-3.8724999995576326E-7</v>
      </c>
    </row>
    <row r="2225" spans="1:9">
      <c r="A2225" t="s">
        <v>144</v>
      </c>
      <c r="B2225">
        <v>34</v>
      </c>
      <c r="C2225">
        <v>49</v>
      </c>
      <c r="D2225">
        <v>0.37964999999999999</v>
      </c>
      <c r="E2225">
        <v>0.40083000000000002</v>
      </c>
      <c r="F2225">
        <v>0.15549199999999999</v>
      </c>
      <c r="G2225">
        <v>0.24863499999999999</v>
      </c>
      <c r="H2225" s="42">
        <f t="shared" si="18"/>
        <v>0.24863457169999997</v>
      </c>
      <c r="I2225" s="42">
        <f t="shared" si="19"/>
        <v>-4.2830000002158641E-7</v>
      </c>
    </row>
    <row r="2226" spans="1:9">
      <c r="A2226" t="s">
        <v>144</v>
      </c>
      <c r="B2226" t="s">
        <v>145</v>
      </c>
      <c r="C2226">
        <v>35</v>
      </c>
    </row>
    <row r="2227" spans="1:9">
      <c r="A2227" t="s">
        <v>144</v>
      </c>
      <c r="B2227" t="s">
        <v>146</v>
      </c>
      <c r="C2227">
        <v>68</v>
      </c>
    </row>
    <row r="2228" spans="1:9">
      <c r="A2228" t="s">
        <v>144</v>
      </c>
      <c r="B2228" t="s">
        <v>147</v>
      </c>
      <c r="C2228">
        <v>68</v>
      </c>
    </row>
    <row r="2229" spans="1:9">
      <c r="A2229" t="s">
        <v>144</v>
      </c>
      <c r="B2229" t="s">
        <v>148</v>
      </c>
      <c r="C2229">
        <v>0.49534600000000001</v>
      </c>
    </row>
    <row r="2230" spans="1:9">
      <c r="A2230" t="s">
        <v>144</v>
      </c>
      <c r="B2230" t="s">
        <v>149</v>
      </c>
      <c r="C2230">
        <v>0.49534600000000001</v>
      </c>
    </row>
    <row r="2231" spans="1:9">
      <c r="A2231" t="s">
        <v>144</v>
      </c>
      <c r="B2231" t="s">
        <v>150</v>
      </c>
      <c r="C2231">
        <v>-1</v>
      </c>
    </row>
    <row r="2232" spans="1:9">
      <c r="A2232" t="s">
        <v>144</v>
      </c>
      <c r="B2232" t="s">
        <v>151</v>
      </c>
      <c r="C2232">
        <v>-1</v>
      </c>
    </row>
    <row r="2233" spans="1:9">
      <c r="A2233" t="s">
        <v>144</v>
      </c>
      <c r="B2233" t="s">
        <v>152</v>
      </c>
      <c r="C2233">
        <v>22</v>
      </c>
    </row>
    <row r="2234" spans="1:9">
      <c r="A2234" t="s">
        <v>144</v>
      </c>
      <c r="B2234" t="s">
        <v>153</v>
      </c>
      <c r="C2234">
        <v>22</v>
      </c>
    </row>
    <row r="2235" spans="1:9">
      <c r="A2235" t="s">
        <v>144</v>
      </c>
      <c r="B2235" t="s">
        <v>154</v>
      </c>
      <c r="C2235">
        <v>0</v>
      </c>
    </row>
    <row r="2236" spans="1:9">
      <c r="A2236" t="s">
        <v>144</v>
      </c>
      <c r="B2236" t="s">
        <v>155</v>
      </c>
    </row>
    <row r="2237" spans="1:9">
      <c r="A2237" t="s">
        <v>144</v>
      </c>
      <c r="B2237" t="s">
        <v>150</v>
      </c>
      <c r="C2237">
        <v>0.14160600000000001</v>
      </c>
    </row>
    <row r="2238" spans="1:9">
      <c r="A2238" t="s">
        <v>144</v>
      </c>
      <c r="B2238" t="s">
        <v>151</v>
      </c>
      <c r="C2238">
        <v>0.14160600000000001</v>
      </c>
    </row>
    <row r="2239" spans="1:9">
      <c r="A2239" t="s">
        <v>144</v>
      </c>
      <c r="B2239" t="s">
        <v>156</v>
      </c>
      <c r="C2239" t="s">
        <v>157</v>
      </c>
      <c r="D2239" t="s">
        <v>63</v>
      </c>
      <c r="E2239" t="s">
        <v>158</v>
      </c>
      <c r="F2239" t="s">
        <v>159</v>
      </c>
      <c r="G2239" t="s">
        <v>160</v>
      </c>
    </row>
    <row r="2240" spans="1:9">
      <c r="A2240" t="s">
        <v>144</v>
      </c>
      <c r="B2240">
        <v>35</v>
      </c>
      <c r="C2240">
        <v>0</v>
      </c>
      <c r="D2240">
        <v>0.14160600000000001</v>
      </c>
      <c r="E2240">
        <v>0.426954</v>
      </c>
      <c r="F2240">
        <v>-1</v>
      </c>
      <c r="G2240">
        <v>0.426954</v>
      </c>
    </row>
    <row r="2241" spans="1:7">
      <c r="A2241" t="s">
        <v>144</v>
      </c>
      <c r="B2241">
        <v>35</v>
      </c>
      <c r="C2241">
        <v>1</v>
      </c>
      <c r="D2241">
        <v>0.14160600000000001</v>
      </c>
      <c r="E2241">
        <v>-0.66484600000000005</v>
      </c>
      <c r="F2241">
        <v>-1</v>
      </c>
      <c r="G2241">
        <v>-0.66484600000000005</v>
      </c>
    </row>
    <row r="2242" spans="1:7">
      <c r="A2242" t="s">
        <v>144</v>
      </c>
      <c r="B2242">
        <v>35</v>
      </c>
      <c r="C2242">
        <v>2</v>
      </c>
      <c r="D2242">
        <v>0.14160600000000001</v>
      </c>
      <c r="E2242">
        <v>-0.77123299999999995</v>
      </c>
      <c r="F2242">
        <v>-1</v>
      </c>
      <c r="G2242">
        <v>-0.77123299999999995</v>
      </c>
    </row>
    <row r="2243" spans="1:7">
      <c r="A2243" t="s">
        <v>144</v>
      </c>
      <c r="B2243">
        <v>35</v>
      </c>
      <c r="C2243">
        <v>3</v>
      </c>
      <c r="D2243">
        <v>0.14160600000000001</v>
      </c>
      <c r="E2243">
        <v>0.10650999999999999</v>
      </c>
      <c r="F2243">
        <v>-1</v>
      </c>
      <c r="G2243">
        <v>0.10650999999999999</v>
      </c>
    </row>
    <row r="2244" spans="1:7">
      <c r="A2244" t="s">
        <v>144</v>
      </c>
      <c r="B2244">
        <v>35</v>
      </c>
      <c r="C2244">
        <v>4</v>
      </c>
      <c r="D2244">
        <v>0.14160600000000001</v>
      </c>
      <c r="E2244">
        <v>-0.74987000000000004</v>
      </c>
      <c r="F2244">
        <v>-1</v>
      </c>
      <c r="G2244">
        <v>-0.74987000000000004</v>
      </c>
    </row>
    <row r="2245" spans="1:7">
      <c r="A2245" t="s">
        <v>144</v>
      </c>
      <c r="B2245">
        <v>35</v>
      </c>
      <c r="C2245">
        <v>5</v>
      </c>
      <c r="D2245">
        <v>0.14160600000000001</v>
      </c>
      <c r="E2245">
        <v>-0.174535</v>
      </c>
      <c r="F2245">
        <v>-1</v>
      </c>
      <c r="G2245">
        <v>-0.174535</v>
      </c>
    </row>
    <row r="2246" spans="1:7">
      <c r="A2246" t="s">
        <v>144</v>
      </c>
      <c r="B2246">
        <v>35</v>
      </c>
      <c r="C2246">
        <v>6</v>
      </c>
      <c r="D2246">
        <v>0.14160600000000001</v>
      </c>
      <c r="E2246">
        <v>0.74221000000000004</v>
      </c>
      <c r="F2246">
        <v>-1</v>
      </c>
      <c r="G2246">
        <v>0.74221000000000004</v>
      </c>
    </row>
    <row r="2247" spans="1:7">
      <c r="A2247" t="s">
        <v>144</v>
      </c>
      <c r="B2247">
        <v>35</v>
      </c>
      <c r="C2247">
        <v>7</v>
      </c>
      <c r="D2247">
        <v>0.14160600000000001</v>
      </c>
      <c r="E2247">
        <v>-0.87731599999999998</v>
      </c>
      <c r="F2247">
        <v>-1</v>
      </c>
      <c r="G2247">
        <v>-0.87731599999999998</v>
      </c>
    </row>
    <row r="2248" spans="1:7">
      <c r="A2248" t="s">
        <v>144</v>
      </c>
      <c r="B2248">
        <v>35</v>
      </c>
      <c r="C2248">
        <v>8</v>
      </c>
      <c r="D2248">
        <v>0.14160600000000001</v>
      </c>
      <c r="E2248">
        <v>-0.175817</v>
      </c>
      <c r="F2248">
        <v>-1</v>
      </c>
      <c r="G2248">
        <v>-0.175817</v>
      </c>
    </row>
    <row r="2249" spans="1:7">
      <c r="A2249" t="s">
        <v>144</v>
      </c>
      <c r="B2249">
        <v>35</v>
      </c>
      <c r="C2249">
        <v>9</v>
      </c>
      <c r="D2249">
        <v>0.14160600000000001</v>
      </c>
      <c r="E2249">
        <v>-0.235817</v>
      </c>
      <c r="F2249">
        <v>-1</v>
      </c>
      <c r="G2249">
        <v>-0.235817</v>
      </c>
    </row>
    <row r="2250" spans="1:7">
      <c r="A2250" t="s">
        <v>144</v>
      </c>
      <c r="B2250">
        <v>35</v>
      </c>
      <c r="C2250">
        <v>10</v>
      </c>
      <c r="D2250">
        <v>0.14160600000000001</v>
      </c>
      <c r="E2250">
        <v>-0.79574</v>
      </c>
      <c r="F2250">
        <v>-1</v>
      </c>
      <c r="G2250">
        <v>-0.79574</v>
      </c>
    </row>
    <row r="2251" spans="1:7">
      <c r="A2251" t="s">
        <v>144</v>
      </c>
      <c r="B2251">
        <v>35</v>
      </c>
      <c r="C2251">
        <v>11</v>
      </c>
      <c r="D2251">
        <v>0.14160600000000001</v>
      </c>
      <c r="E2251">
        <v>-0.95632799999999996</v>
      </c>
      <c r="F2251">
        <v>-1</v>
      </c>
      <c r="G2251">
        <v>-0.95632799999999996</v>
      </c>
    </row>
    <row r="2252" spans="1:7">
      <c r="A2252" t="s">
        <v>144</v>
      </c>
      <c r="B2252">
        <v>35</v>
      </c>
      <c r="C2252">
        <v>12</v>
      </c>
      <c r="D2252">
        <v>0.14160600000000001</v>
      </c>
      <c r="E2252">
        <v>-0.96676499999999999</v>
      </c>
      <c r="F2252">
        <v>-1</v>
      </c>
      <c r="G2252">
        <v>-0.96676499999999999</v>
      </c>
    </row>
    <row r="2253" spans="1:7">
      <c r="A2253" t="s">
        <v>144</v>
      </c>
      <c r="B2253">
        <v>35</v>
      </c>
      <c r="C2253">
        <v>13</v>
      </c>
      <c r="D2253">
        <v>0.14160600000000001</v>
      </c>
      <c r="E2253">
        <v>0.401532</v>
      </c>
      <c r="F2253">
        <v>-1</v>
      </c>
      <c r="G2253">
        <v>0.401532</v>
      </c>
    </row>
    <row r="2254" spans="1:7">
      <c r="A2254" t="s">
        <v>144</v>
      </c>
      <c r="B2254">
        <v>35</v>
      </c>
      <c r="C2254">
        <v>14</v>
      </c>
      <c r="D2254">
        <v>0.14160600000000001</v>
      </c>
      <c r="E2254">
        <v>0.66542599999999996</v>
      </c>
      <c r="F2254">
        <v>-1</v>
      </c>
      <c r="G2254">
        <v>0.66542599999999996</v>
      </c>
    </row>
    <row r="2255" spans="1:7">
      <c r="A2255" t="s">
        <v>144</v>
      </c>
      <c r="B2255">
        <v>35</v>
      </c>
      <c r="C2255">
        <v>15</v>
      </c>
      <c r="D2255">
        <v>0.14160600000000001</v>
      </c>
      <c r="E2255">
        <v>-0.76708299999999996</v>
      </c>
      <c r="F2255">
        <v>-1</v>
      </c>
      <c r="G2255">
        <v>-0.76708299999999996</v>
      </c>
    </row>
    <row r="2256" spans="1:7">
      <c r="A2256" t="s">
        <v>144</v>
      </c>
      <c r="B2256">
        <v>35</v>
      </c>
      <c r="C2256">
        <v>16</v>
      </c>
      <c r="D2256">
        <v>0.14160600000000001</v>
      </c>
      <c r="E2256">
        <v>-0.31736199999999998</v>
      </c>
      <c r="F2256">
        <v>-1</v>
      </c>
      <c r="G2256">
        <v>-0.31736199999999998</v>
      </c>
    </row>
    <row r="2257" spans="1:7">
      <c r="A2257" t="s">
        <v>144</v>
      </c>
      <c r="B2257">
        <v>35</v>
      </c>
      <c r="C2257">
        <v>17</v>
      </c>
      <c r="D2257">
        <v>0.14160600000000001</v>
      </c>
      <c r="E2257">
        <v>0.86919800000000003</v>
      </c>
      <c r="F2257">
        <v>-1</v>
      </c>
      <c r="G2257">
        <v>0.86919800000000003</v>
      </c>
    </row>
    <row r="2258" spans="1:7">
      <c r="A2258" t="s">
        <v>144</v>
      </c>
      <c r="B2258">
        <v>35</v>
      </c>
      <c r="C2258">
        <v>18</v>
      </c>
      <c r="D2258">
        <v>0.14160600000000001</v>
      </c>
      <c r="E2258">
        <v>0.136906</v>
      </c>
      <c r="F2258">
        <v>-1</v>
      </c>
      <c r="G2258">
        <v>0.136906</v>
      </c>
    </row>
    <row r="2259" spans="1:7">
      <c r="A2259" t="s">
        <v>144</v>
      </c>
      <c r="B2259">
        <v>35</v>
      </c>
      <c r="C2259">
        <v>19</v>
      </c>
      <c r="D2259">
        <v>0.14160600000000001</v>
      </c>
      <c r="E2259">
        <v>-0.45005600000000001</v>
      </c>
      <c r="F2259">
        <v>-1</v>
      </c>
      <c r="G2259">
        <v>-0.45005600000000001</v>
      </c>
    </row>
    <row r="2260" spans="1:7">
      <c r="A2260" t="s">
        <v>144</v>
      </c>
      <c r="B2260">
        <v>35</v>
      </c>
      <c r="C2260">
        <v>20</v>
      </c>
      <c r="D2260">
        <v>0.14160600000000001</v>
      </c>
      <c r="E2260">
        <v>0.124607</v>
      </c>
      <c r="F2260">
        <v>-1</v>
      </c>
      <c r="G2260">
        <v>0.124607</v>
      </c>
    </row>
    <row r="2261" spans="1:7">
      <c r="A2261" t="s">
        <v>144</v>
      </c>
      <c r="B2261">
        <v>35</v>
      </c>
      <c r="C2261">
        <v>21</v>
      </c>
      <c r="D2261">
        <v>0.14160600000000001</v>
      </c>
      <c r="E2261">
        <v>-0.40681200000000001</v>
      </c>
      <c r="F2261">
        <v>-1</v>
      </c>
      <c r="G2261">
        <v>-0.40681200000000001</v>
      </c>
    </row>
    <row r="2262" spans="1:7">
      <c r="A2262" t="s">
        <v>144</v>
      </c>
      <c r="B2262">
        <v>35</v>
      </c>
      <c r="C2262">
        <v>22</v>
      </c>
      <c r="D2262">
        <v>0.14160600000000001</v>
      </c>
      <c r="E2262">
        <v>0.37962000000000001</v>
      </c>
      <c r="F2262">
        <v>-0.69362500000000005</v>
      </c>
      <c r="G2262">
        <v>-0.54164699999999999</v>
      </c>
    </row>
    <row r="2263" spans="1:7">
      <c r="A2263" t="s">
        <v>144</v>
      </c>
      <c r="B2263">
        <v>35</v>
      </c>
      <c r="C2263">
        <v>23</v>
      </c>
      <c r="D2263">
        <v>0.14160600000000001</v>
      </c>
      <c r="E2263">
        <v>0.85091700000000003</v>
      </c>
      <c r="F2263">
        <v>0.58458200000000005</v>
      </c>
      <c r="G2263">
        <v>0.62229699999999999</v>
      </c>
    </row>
    <row r="2264" spans="1:7">
      <c r="A2264" t="s">
        <v>144</v>
      </c>
      <c r="B2264">
        <v>35</v>
      </c>
      <c r="C2264">
        <v>24</v>
      </c>
      <c r="D2264">
        <v>0.14160600000000001</v>
      </c>
      <c r="E2264">
        <v>0.88229000000000002</v>
      </c>
      <c r="F2264">
        <v>0.943693</v>
      </c>
      <c r="G2264">
        <v>0.934998</v>
      </c>
    </row>
    <row r="2265" spans="1:7">
      <c r="A2265" t="s">
        <v>144</v>
      </c>
      <c r="B2265">
        <v>35</v>
      </c>
      <c r="C2265">
        <v>25</v>
      </c>
      <c r="D2265">
        <v>0.14160600000000001</v>
      </c>
      <c r="E2265">
        <v>-0.40351599999999999</v>
      </c>
      <c r="F2265">
        <v>0.68205800000000005</v>
      </c>
      <c r="G2265">
        <v>0.52833399999999997</v>
      </c>
    </row>
    <row r="2266" spans="1:7">
      <c r="A2266" t="s">
        <v>144</v>
      </c>
      <c r="B2266">
        <v>35</v>
      </c>
      <c r="C2266">
        <v>26</v>
      </c>
      <c r="D2266">
        <v>0.14160600000000001</v>
      </c>
      <c r="E2266">
        <v>-0.40403499999999998</v>
      </c>
      <c r="F2266">
        <v>0.85753999999999997</v>
      </c>
      <c r="G2266">
        <v>0.67889299999999997</v>
      </c>
    </row>
    <row r="2267" spans="1:7">
      <c r="A2267" t="s">
        <v>144</v>
      </c>
      <c r="B2267">
        <v>35</v>
      </c>
      <c r="C2267">
        <v>27</v>
      </c>
      <c r="D2267">
        <v>0.14160600000000001</v>
      </c>
      <c r="E2267">
        <v>-0.63377799999999995</v>
      </c>
      <c r="F2267">
        <v>0.96350000000000002</v>
      </c>
      <c r="G2267">
        <v>0.73731599999999997</v>
      </c>
    </row>
    <row r="2268" spans="1:7">
      <c r="A2268" t="s">
        <v>144</v>
      </c>
      <c r="B2268">
        <v>35</v>
      </c>
      <c r="C2268">
        <v>28</v>
      </c>
      <c r="D2268">
        <v>0.14160600000000001</v>
      </c>
      <c r="E2268">
        <v>0.70043</v>
      </c>
      <c r="F2268">
        <v>0.440077</v>
      </c>
      <c r="G2268">
        <v>0.47694500000000001</v>
      </c>
    </row>
    <row r="2269" spans="1:7">
      <c r="A2269" t="s">
        <v>144</v>
      </c>
      <c r="B2269">
        <v>35</v>
      </c>
      <c r="C2269">
        <v>29</v>
      </c>
      <c r="D2269">
        <v>0.14160600000000001</v>
      </c>
      <c r="E2269">
        <v>-4.5533999999999998E-2</v>
      </c>
      <c r="F2269">
        <v>-0.50492899999999996</v>
      </c>
      <c r="G2269">
        <v>-0.43987599999999999</v>
      </c>
    </row>
    <row r="2270" spans="1:7">
      <c r="A2270" t="s">
        <v>144</v>
      </c>
      <c r="B2270">
        <v>35</v>
      </c>
      <c r="C2270">
        <v>30</v>
      </c>
      <c r="D2270">
        <v>0.14160600000000001</v>
      </c>
      <c r="E2270">
        <v>-0.643513</v>
      </c>
      <c r="F2270">
        <v>-0.66579200000000005</v>
      </c>
      <c r="G2270">
        <v>-0.66263700000000003</v>
      </c>
    </row>
    <row r="2271" spans="1:7">
      <c r="A2271" t="s">
        <v>144</v>
      </c>
      <c r="B2271">
        <v>35</v>
      </c>
      <c r="C2271">
        <v>31</v>
      </c>
      <c r="D2271">
        <v>0.14160600000000001</v>
      </c>
      <c r="E2271">
        <v>-0.51957799999999998</v>
      </c>
      <c r="F2271">
        <v>-0.68761300000000003</v>
      </c>
      <c r="G2271">
        <v>-0.66381800000000002</v>
      </c>
    </row>
    <row r="2272" spans="1:7">
      <c r="A2272" t="s">
        <v>144</v>
      </c>
      <c r="B2272">
        <v>35</v>
      </c>
      <c r="C2272">
        <v>32</v>
      </c>
      <c r="D2272">
        <v>0.14160600000000001</v>
      </c>
      <c r="E2272">
        <v>-0.45002599999999998</v>
      </c>
      <c r="F2272">
        <v>-0.45905899999999999</v>
      </c>
      <c r="G2272">
        <v>-0.45778000000000002</v>
      </c>
    </row>
    <row r="2273" spans="1:7">
      <c r="A2273" t="s">
        <v>144</v>
      </c>
      <c r="B2273">
        <v>35</v>
      </c>
      <c r="C2273">
        <v>33</v>
      </c>
      <c r="D2273">
        <v>0.14160600000000001</v>
      </c>
      <c r="E2273">
        <v>0.61680999999999997</v>
      </c>
      <c r="F2273">
        <v>-0.26892899999999997</v>
      </c>
      <c r="G2273">
        <v>-0.14350299999999999</v>
      </c>
    </row>
    <row r="2274" spans="1:7">
      <c r="A2274" t="s">
        <v>144</v>
      </c>
      <c r="B2274">
        <v>35</v>
      </c>
      <c r="C2274">
        <v>34</v>
      </c>
      <c r="D2274">
        <v>0.14160600000000001</v>
      </c>
      <c r="E2274">
        <v>0.66148899999999999</v>
      </c>
      <c r="F2274">
        <v>0.58226299999999998</v>
      </c>
      <c r="G2274">
        <v>0.59348199999999995</v>
      </c>
    </row>
    <row r="2275" spans="1:7">
      <c r="A2275" t="s">
        <v>144</v>
      </c>
      <c r="B2275">
        <v>35</v>
      </c>
      <c r="C2275">
        <v>35</v>
      </c>
      <c r="D2275">
        <v>0.14160600000000001</v>
      </c>
      <c r="E2275">
        <v>-0.64925100000000002</v>
      </c>
      <c r="F2275">
        <v>-0.62703299999999995</v>
      </c>
      <c r="G2275">
        <v>-0.63017900000000004</v>
      </c>
    </row>
    <row r="2276" spans="1:7">
      <c r="A2276" t="s">
        <v>144</v>
      </c>
      <c r="B2276">
        <v>35</v>
      </c>
      <c r="C2276">
        <v>36</v>
      </c>
      <c r="D2276">
        <v>0.14160600000000001</v>
      </c>
      <c r="E2276">
        <v>-3.2440999999999998E-2</v>
      </c>
      <c r="F2276">
        <v>8.8625999999999996E-2</v>
      </c>
      <c r="G2276">
        <v>7.1482000000000004E-2</v>
      </c>
    </row>
    <row r="2277" spans="1:7">
      <c r="A2277" t="s">
        <v>144</v>
      </c>
      <c r="B2277">
        <v>35</v>
      </c>
      <c r="C2277">
        <v>37</v>
      </c>
      <c r="D2277">
        <v>0.14160600000000001</v>
      </c>
      <c r="E2277">
        <v>0.92483300000000002</v>
      </c>
      <c r="F2277">
        <v>-8.5848999999999995E-2</v>
      </c>
      <c r="G2277">
        <v>5.7270000000000001E-2</v>
      </c>
    </row>
    <row r="2278" spans="1:7">
      <c r="A2278" t="s">
        <v>144</v>
      </c>
      <c r="B2278">
        <v>35</v>
      </c>
      <c r="C2278">
        <v>38</v>
      </c>
      <c r="D2278">
        <v>0.14160600000000001</v>
      </c>
      <c r="E2278">
        <v>0.98336699999999999</v>
      </c>
      <c r="F2278">
        <v>0.49571199999999999</v>
      </c>
      <c r="G2278">
        <v>0.56476700000000002</v>
      </c>
    </row>
    <row r="2279" spans="1:7">
      <c r="A2279" t="s">
        <v>144</v>
      </c>
      <c r="B2279">
        <v>35</v>
      </c>
      <c r="C2279">
        <v>39</v>
      </c>
      <c r="D2279">
        <v>0.14160600000000001</v>
      </c>
      <c r="E2279">
        <v>-7.2054000000000007E-2</v>
      </c>
      <c r="F2279">
        <v>-0.72609599999999996</v>
      </c>
      <c r="G2279">
        <v>-0.63348000000000004</v>
      </c>
    </row>
    <row r="2280" spans="1:7">
      <c r="A2280" t="s">
        <v>144</v>
      </c>
      <c r="B2280">
        <v>35</v>
      </c>
      <c r="C2280">
        <v>40</v>
      </c>
      <c r="D2280">
        <v>0.14160600000000001</v>
      </c>
      <c r="E2280">
        <v>0.773949</v>
      </c>
      <c r="F2280">
        <v>-0.33573399999999998</v>
      </c>
      <c r="G2280">
        <v>-0.178596</v>
      </c>
    </row>
    <row r="2281" spans="1:7">
      <c r="A2281" t="s">
        <v>144</v>
      </c>
      <c r="B2281">
        <v>35</v>
      </c>
      <c r="C2281">
        <v>41</v>
      </c>
      <c r="D2281">
        <v>0.14160600000000001</v>
      </c>
      <c r="E2281">
        <v>-0.85143599999999997</v>
      </c>
      <c r="F2281">
        <v>0.58906800000000004</v>
      </c>
      <c r="G2281">
        <v>0.38508399999999998</v>
      </c>
    </row>
    <row r="2282" spans="1:7">
      <c r="A2282" t="s">
        <v>144</v>
      </c>
      <c r="B2282">
        <v>35</v>
      </c>
      <c r="C2282">
        <v>42</v>
      </c>
      <c r="D2282">
        <v>0.14160600000000001</v>
      </c>
      <c r="E2282">
        <v>-5.3651999999999998E-2</v>
      </c>
      <c r="F2282">
        <v>0.23935699999999999</v>
      </c>
      <c r="G2282">
        <v>0.19786500000000001</v>
      </c>
    </row>
    <row r="2283" spans="1:7">
      <c r="A2283" t="s">
        <v>144</v>
      </c>
      <c r="B2283">
        <v>35</v>
      </c>
      <c r="C2283">
        <v>43</v>
      </c>
      <c r="D2283">
        <v>0.14160600000000001</v>
      </c>
      <c r="E2283">
        <v>-0.35892800000000002</v>
      </c>
      <c r="F2283">
        <v>0.67925000000000002</v>
      </c>
      <c r="G2283">
        <v>0.53223799999999999</v>
      </c>
    </row>
    <row r="2284" spans="1:7">
      <c r="A2284" t="s">
        <v>144</v>
      </c>
      <c r="B2284">
        <v>35</v>
      </c>
      <c r="C2284">
        <v>44</v>
      </c>
      <c r="D2284">
        <v>0.14160600000000001</v>
      </c>
      <c r="E2284">
        <v>0.94531100000000001</v>
      </c>
      <c r="F2284">
        <v>0.208533</v>
      </c>
      <c r="G2284">
        <v>0.312865</v>
      </c>
    </row>
    <row r="2285" spans="1:7">
      <c r="A2285" t="s">
        <v>144</v>
      </c>
      <c r="B2285">
        <v>35</v>
      </c>
      <c r="C2285">
        <v>45</v>
      </c>
      <c r="D2285">
        <v>0.14160600000000001</v>
      </c>
      <c r="E2285">
        <v>2.8625999999999999E-2</v>
      </c>
      <c r="F2285">
        <v>-0.67186500000000005</v>
      </c>
      <c r="G2285">
        <v>-0.57267100000000004</v>
      </c>
    </row>
    <row r="2286" spans="1:7">
      <c r="A2286" t="s">
        <v>144</v>
      </c>
      <c r="B2286">
        <v>35</v>
      </c>
      <c r="C2286">
        <v>46</v>
      </c>
      <c r="D2286">
        <v>0.14160600000000001</v>
      </c>
      <c r="E2286">
        <v>-0.31800299999999998</v>
      </c>
      <c r="F2286">
        <v>-0.235481</v>
      </c>
      <c r="G2286">
        <v>-0.247166</v>
      </c>
    </row>
    <row r="2287" spans="1:7">
      <c r="A2287" t="s">
        <v>144</v>
      </c>
      <c r="B2287">
        <v>35</v>
      </c>
      <c r="C2287">
        <v>47</v>
      </c>
      <c r="D2287">
        <v>0.14160600000000001</v>
      </c>
      <c r="E2287">
        <v>0.34055600000000003</v>
      </c>
      <c r="F2287">
        <v>-0.73189499999999996</v>
      </c>
      <c r="G2287">
        <v>-0.58003000000000005</v>
      </c>
    </row>
    <row r="2288" spans="1:7">
      <c r="A2288" t="s">
        <v>144</v>
      </c>
      <c r="B2288">
        <v>35</v>
      </c>
      <c r="C2288">
        <v>48</v>
      </c>
      <c r="D2288">
        <v>0.14160600000000001</v>
      </c>
      <c r="E2288">
        <v>-0.40620099999999998</v>
      </c>
      <c r="F2288">
        <v>-0.92327599999999999</v>
      </c>
      <c r="G2288">
        <v>-0.85005600000000003</v>
      </c>
    </row>
    <row r="2289" spans="1:7">
      <c r="A2289" t="s">
        <v>144</v>
      </c>
      <c r="B2289">
        <v>35</v>
      </c>
      <c r="C2289">
        <v>49</v>
      </c>
      <c r="D2289">
        <v>0.14160600000000001</v>
      </c>
      <c r="E2289">
        <v>0.63936300000000001</v>
      </c>
      <c r="F2289">
        <v>0.35065800000000003</v>
      </c>
      <c r="G2289">
        <v>0.39154</v>
      </c>
    </row>
    <row r="2290" spans="1:7">
      <c r="A2290" t="s">
        <v>144</v>
      </c>
      <c r="B2290" t="s">
        <v>145</v>
      </c>
      <c r="C2290">
        <v>36</v>
      </c>
    </row>
    <row r="2291" spans="1:7">
      <c r="A2291" t="s">
        <v>144</v>
      </c>
      <c r="B2291" t="s">
        <v>146</v>
      </c>
      <c r="C2291">
        <v>67</v>
      </c>
    </row>
    <row r="2292" spans="1:7">
      <c r="A2292" t="s">
        <v>144</v>
      </c>
      <c r="B2292" t="s">
        <v>147</v>
      </c>
      <c r="C2292">
        <v>67</v>
      </c>
    </row>
    <row r="2293" spans="1:7">
      <c r="A2293" t="s">
        <v>144</v>
      </c>
      <c r="B2293" t="s">
        <v>148</v>
      </c>
      <c r="C2293">
        <v>0.83037799999999995</v>
      </c>
    </row>
    <row r="2294" spans="1:7">
      <c r="A2294" t="s">
        <v>144</v>
      </c>
      <c r="B2294" t="s">
        <v>149</v>
      </c>
      <c r="C2294">
        <v>0.83037799999999995</v>
      </c>
    </row>
    <row r="2295" spans="1:7">
      <c r="A2295" t="s">
        <v>144</v>
      </c>
      <c r="B2295" t="s">
        <v>150</v>
      </c>
      <c r="C2295">
        <v>-1</v>
      </c>
    </row>
    <row r="2296" spans="1:7">
      <c r="A2296" t="s">
        <v>144</v>
      </c>
      <c r="B2296" t="s">
        <v>151</v>
      </c>
      <c r="C2296">
        <v>-1</v>
      </c>
    </row>
    <row r="2297" spans="1:7">
      <c r="A2297" t="s">
        <v>144</v>
      </c>
      <c r="B2297" t="s">
        <v>152</v>
      </c>
      <c r="C2297">
        <v>46</v>
      </c>
    </row>
    <row r="2298" spans="1:7">
      <c r="A2298" t="s">
        <v>144</v>
      </c>
      <c r="B2298" t="s">
        <v>153</v>
      </c>
      <c r="C2298">
        <v>46</v>
      </c>
    </row>
    <row r="2299" spans="1:7">
      <c r="A2299" t="s">
        <v>144</v>
      </c>
      <c r="B2299" t="s">
        <v>154</v>
      </c>
      <c r="C2299">
        <v>0</v>
      </c>
    </row>
    <row r="2300" spans="1:7">
      <c r="A2300" t="s">
        <v>144</v>
      </c>
      <c r="B2300" t="s">
        <v>161</v>
      </c>
    </row>
    <row r="2301" spans="1:7">
      <c r="A2301" t="s">
        <v>144</v>
      </c>
      <c r="B2301">
        <v>36</v>
      </c>
      <c r="C2301">
        <v>0</v>
      </c>
      <c r="D2301">
        <v>-1</v>
      </c>
      <c r="E2301">
        <v>0.72530300000000003</v>
      </c>
      <c r="F2301">
        <v>-1</v>
      </c>
      <c r="G2301">
        <v>0.72530300000000003</v>
      </c>
    </row>
    <row r="2302" spans="1:7">
      <c r="A2302" t="s">
        <v>144</v>
      </c>
      <c r="B2302">
        <v>36</v>
      </c>
      <c r="C2302">
        <v>1</v>
      </c>
      <c r="D2302">
        <v>-1</v>
      </c>
      <c r="E2302">
        <v>0.742363</v>
      </c>
      <c r="F2302">
        <v>-1</v>
      </c>
      <c r="G2302">
        <v>0.742363</v>
      </c>
    </row>
    <row r="2303" spans="1:7">
      <c r="A2303" t="s">
        <v>144</v>
      </c>
      <c r="B2303">
        <v>36</v>
      </c>
      <c r="C2303">
        <v>2</v>
      </c>
      <c r="D2303">
        <v>-1</v>
      </c>
      <c r="E2303">
        <v>0.17902199999999999</v>
      </c>
      <c r="F2303">
        <v>-1</v>
      </c>
      <c r="G2303">
        <v>0.17902199999999999</v>
      </c>
    </row>
    <row r="2304" spans="1:7">
      <c r="A2304" t="s">
        <v>144</v>
      </c>
      <c r="B2304">
        <v>36</v>
      </c>
      <c r="C2304">
        <v>3</v>
      </c>
      <c r="D2304">
        <v>-1</v>
      </c>
      <c r="E2304">
        <v>0.78624799999999995</v>
      </c>
      <c r="F2304">
        <v>-1</v>
      </c>
      <c r="G2304">
        <v>0.78624799999999995</v>
      </c>
    </row>
    <row r="2305" spans="1:7">
      <c r="A2305" t="s">
        <v>144</v>
      </c>
      <c r="B2305">
        <v>36</v>
      </c>
      <c r="C2305">
        <v>4</v>
      </c>
      <c r="D2305">
        <v>-1</v>
      </c>
      <c r="E2305">
        <v>-0.50666800000000001</v>
      </c>
      <c r="F2305">
        <v>-1</v>
      </c>
      <c r="G2305">
        <v>-0.50666800000000001</v>
      </c>
    </row>
    <row r="2306" spans="1:7">
      <c r="A2306" t="s">
        <v>144</v>
      </c>
      <c r="B2306">
        <v>36</v>
      </c>
      <c r="C2306">
        <v>5</v>
      </c>
      <c r="D2306">
        <v>-1</v>
      </c>
      <c r="E2306">
        <v>-0.73229200000000005</v>
      </c>
      <c r="F2306">
        <v>-1</v>
      </c>
      <c r="G2306">
        <v>-0.73229200000000005</v>
      </c>
    </row>
    <row r="2307" spans="1:7">
      <c r="A2307" t="s">
        <v>144</v>
      </c>
      <c r="B2307">
        <v>36</v>
      </c>
      <c r="C2307">
        <v>6</v>
      </c>
      <c r="D2307">
        <v>-1</v>
      </c>
      <c r="E2307">
        <v>0.41123700000000002</v>
      </c>
      <c r="F2307">
        <v>-1</v>
      </c>
      <c r="G2307">
        <v>0.41123700000000002</v>
      </c>
    </row>
    <row r="2308" spans="1:7">
      <c r="A2308" t="s">
        <v>144</v>
      </c>
      <c r="B2308">
        <v>36</v>
      </c>
      <c r="C2308">
        <v>7</v>
      </c>
      <c r="D2308">
        <v>-1</v>
      </c>
      <c r="E2308">
        <v>0.111972</v>
      </c>
      <c r="F2308">
        <v>-1</v>
      </c>
      <c r="G2308">
        <v>0.111972</v>
      </c>
    </row>
    <row r="2309" spans="1:7">
      <c r="A2309" t="s">
        <v>144</v>
      </c>
      <c r="B2309">
        <v>36</v>
      </c>
      <c r="C2309">
        <v>8</v>
      </c>
      <c r="D2309">
        <v>-1</v>
      </c>
      <c r="E2309">
        <v>-0.51313799999999998</v>
      </c>
      <c r="F2309">
        <v>-1</v>
      </c>
      <c r="G2309">
        <v>-0.51313799999999998</v>
      </c>
    </row>
    <row r="2310" spans="1:7">
      <c r="A2310" t="s">
        <v>144</v>
      </c>
      <c r="B2310">
        <v>36</v>
      </c>
      <c r="C2310">
        <v>9</v>
      </c>
      <c r="D2310">
        <v>-1</v>
      </c>
      <c r="E2310">
        <v>-4.0711999999999998E-2</v>
      </c>
      <c r="F2310">
        <v>-1</v>
      </c>
      <c r="G2310">
        <v>-4.0711999999999998E-2</v>
      </c>
    </row>
    <row r="2311" spans="1:7">
      <c r="A2311" t="s">
        <v>144</v>
      </c>
      <c r="B2311">
        <v>36</v>
      </c>
      <c r="C2311">
        <v>10</v>
      </c>
      <c r="D2311">
        <v>-1</v>
      </c>
      <c r="E2311">
        <v>-0.64067499999999999</v>
      </c>
      <c r="F2311">
        <v>-1</v>
      </c>
      <c r="G2311">
        <v>-0.64067499999999999</v>
      </c>
    </row>
    <row r="2312" spans="1:7">
      <c r="A2312" t="s">
        <v>144</v>
      </c>
      <c r="B2312">
        <v>36</v>
      </c>
      <c r="C2312">
        <v>11</v>
      </c>
      <c r="D2312">
        <v>-1</v>
      </c>
      <c r="E2312">
        <v>-8.3589999999999998E-2</v>
      </c>
      <c r="F2312">
        <v>-1</v>
      </c>
      <c r="G2312">
        <v>-8.3589999999999998E-2</v>
      </c>
    </row>
    <row r="2313" spans="1:7">
      <c r="A2313" t="s">
        <v>144</v>
      </c>
      <c r="B2313">
        <v>36</v>
      </c>
      <c r="C2313">
        <v>12</v>
      </c>
      <c r="D2313">
        <v>-1</v>
      </c>
      <c r="E2313">
        <v>0.87267700000000004</v>
      </c>
      <c r="F2313">
        <v>-1</v>
      </c>
      <c r="G2313">
        <v>0.87267700000000004</v>
      </c>
    </row>
    <row r="2314" spans="1:7">
      <c r="A2314" t="s">
        <v>144</v>
      </c>
      <c r="B2314">
        <v>36</v>
      </c>
      <c r="C2314">
        <v>13</v>
      </c>
      <c r="D2314">
        <v>-1</v>
      </c>
      <c r="E2314">
        <v>-0.88882099999999997</v>
      </c>
      <c r="F2314">
        <v>-1</v>
      </c>
      <c r="G2314">
        <v>-0.88882099999999997</v>
      </c>
    </row>
    <row r="2315" spans="1:7">
      <c r="A2315" t="s">
        <v>144</v>
      </c>
      <c r="B2315">
        <v>36</v>
      </c>
      <c r="C2315">
        <v>14</v>
      </c>
      <c r="D2315">
        <v>-1</v>
      </c>
      <c r="E2315">
        <v>0.48933399999999999</v>
      </c>
      <c r="F2315">
        <v>-1</v>
      </c>
      <c r="G2315">
        <v>0.48933399999999999</v>
      </c>
    </row>
    <row r="2316" spans="1:7">
      <c r="A2316" t="s">
        <v>144</v>
      </c>
      <c r="B2316">
        <v>36</v>
      </c>
      <c r="C2316">
        <v>15</v>
      </c>
      <c r="D2316">
        <v>-1</v>
      </c>
      <c r="E2316">
        <v>0.99493399999999999</v>
      </c>
      <c r="F2316">
        <v>-1</v>
      </c>
      <c r="G2316">
        <v>0.99493399999999999</v>
      </c>
    </row>
    <row r="2317" spans="1:7">
      <c r="A2317" t="s">
        <v>144</v>
      </c>
      <c r="B2317">
        <v>36</v>
      </c>
      <c r="C2317">
        <v>16</v>
      </c>
      <c r="D2317">
        <v>-1</v>
      </c>
      <c r="E2317">
        <v>0.487564</v>
      </c>
      <c r="F2317">
        <v>-1</v>
      </c>
      <c r="G2317">
        <v>0.487564</v>
      </c>
    </row>
    <row r="2318" spans="1:7">
      <c r="A2318" t="s">
        <v>144</v>
      </c>
      <c r="B2318">
        <v>36</v>
      </c>
      <c r="C2318">
        <v>17</v>
      </c>
      <c r="D2318">
        <v>-1</v>
      </c>
      <c r="E2318">
        <v>-0.71831400000000001</v>
      </c>
      <c r="F2318">
        <v>-1</v>
      </c>
      <c r="G2318">
        <v>-0.71831400000000001</v>
      </c>
    </row>
    <row r="2319" spans="1:7">
      <c r="A2319" t="s">
        <v>144</v>
      </c>
      <c r="B2319">
        <v>36</v>
      </c>
      <c r="C2319">
        <v>18</v>
      </c>
      <c r="D2319">
        <v>-1</v>
      </c>
      <c r="E2319">
        <v>0.81673600000000002</v>
      </c>
      <c r="F2319">
        <v>-1</v>
      </c>
      <c r="G2319">
        <v>0.81673600000000002</v>
      </c>
    </row>
    <row r="2320" spans="1:7">
      <c r="A2320" t="s">
        <v>144</v>
      </c>
      <c r="B2320">
        <v>36</v>
      </c>
      <c r="C2320">
        <v>19</v>
      </c>
      <c r="D2320">
        <v>-1</v>
      </c>
      <c r="E2320">
        <v>0.52662699999999996</v>
      </c>
      <c r="F2320">
        <v>-1</v>
      </c>
      <c r="G2320">
        <v>0.52662699999999996</v>
      </c>
    </row>
    <row r="2321" spans="1:7">
      <c r="A2321" t="s">
        <v>144</v>
      </c>
      <c r="B2321">
        <v>36</v>
      </c>
      <c r="C2321">
        <v>20</v>
      </c>
      <c r="D2321">
        <v>-1</v>
      </c>
      <c r="E2321">
        <v>-0.99182099999999995</v>
      </c>
      <c r="F2321">
        <v>-1</v>
      </c>
      <c r="G2321">
        <v>-0.99182099999999995</v>
      </c>
    </row>
    <row r="2322" spans="1:7">
      <c r="A2322" t="s">
        <v>144</v>
      </c>
      <c r="B2322">
        <v>36</v>
      </c>
      <c r="C2322">
        <v>21</v>
      </c>
      <c r="D2322">
        <v>-1</v>
      </c>
      <c r="E2322">
        <v>0.80520000000000003</v>
      </c>
      <c r="F2322">
        <v>-1</v>
      </c>
      <c r="G2322">
        <v>0.80520000000000003</v>
      </c>
    </row>
    <row r="2323" spans="1:7">
      <c r="A2323" t="s">
        <v>144</v>
      </c>
      <c r="B2323">
        <v>36</v>
      </c>
      <c r="C2323">
        <v>22</v>
      </c>
      <c r="D2323">
        <v>-1</v>
      </c>
      <c r="E2323">
        <v>-0.23929600000000001</v>
      </c>
      <c r="F2323">
        <v>-1</v>
      </c>
      <c r="G2323">
        <v>-0.23929600000000001</v>
      </c>
    </row>
    <row r="2324" spans="1:7">
      <c r="A2324" t="s">
        <v>144</v>
      </c>
      <c r="B2324">
        <v>36</v>
      </c>
      <c r="C2324">
        <v>23</v>
      </c>
      <c r="D2324">
        <v>-1</v>
      </c>
      <c r="E2324">
        <v>-0.42201</v>
      </c>
      <c r="F2324">
        <v>-1</v>
      </c>
      <c r="G2324">
        <v>-0.42201</v>
      </c>
    </row>
    <row r="2325" spans="1:7">
      <c r="A2325" t="s">
        <v>144</v>
      </c>
      <c r="B2325">
        <v>36</v>
      </c>
      <c r="C2325">
        <v>24</v>
      </c>
      <c r="D2325">
        <v>-1</v>
      </c>
      <c r="E2325">
        <v>-0.83300300000000005</v>
      </c>
      <c r="F2325">
        <v>-1</v>
      </c>
      <c r="G2325">
        <v>-0.83300300000000005</v>
      </c>
    </row>
    <row r="2326" spans="1:7">
      <c r="A2326" t="s">
        <v>144</v>
      </c>
      <c r="B2326">
        <v>36</v>
      </c>
      <c r="C2326">
        <v>25</v>
      </c>
      <c r="D2326">
        <v>-1</v>
      </c>
      <c r="E2326">
        <v>-0.99786399999999997</v>
      </c>
      <c r="F2326">
        <v>-1</v>
      </c>
      <c r="G2326">
        <v>-0.99786399999999997</v>
      </c>
    </row>
    <row r="2327" spans="1:7">
      <c r="A2327" t="s">
        <v>144</v>
      </c>
      <c r="B2327">
        <v>36</v>
      </c>
      <c r="C2327">
        <v>26</v>
      </c>
      <c r="D2327">
        <v>-1</v>
      </c>
      <c r="E2327">
        <v>-0.77501799999999998</v>
      </c>
      <c r="F2327">
        <v>-1</v>
      </c>
      <c r="G2327">
        <v>-0.77501799999999998</v>
      </c>
    </row>
    <row r="2328" spans="1:7">
      <c r="A2328" t="s">
        <v>144</v>
      </c>
      <c r="B2328">
        <v>36</v>
      </c>
      <c r="C2328">
        <v>27</v>
      </c>
      <c r="D2328">
        <v>-1</v>
      </c>
      <c r="E2328">
        <v>-0.28778999999999999</v>
      </c>
      <c r="F2328">
        <v>-1</v>
      </c>
      <c r="G2328">
        <v>-0.28778999999999999</v>
      </c>
    </row>
    <row r="2329" spans="1:7">
      <c r="A2329" t="s">
        <v>144</v>
      </c>
      <c r="B2329">
        <v>36</v>
      </c>
      <c r="C2329">
        <v>28</v>
      </c>
      <c r="D2329">
        <v>-1</v>
      </c>
      <c r="E2329">
        <v>0.47926299999999999</v>
      </c>
      <c r="F2329">
        <v>-1</v>
      </c>
      <c r="G2329">
        <v>0.47926299999999999</v>
      </c>
    </row>
    <row r="2330" spans="1:7">
      <c r="A2330" t="s">
        <v>144</v>
      </c>
      <c r="B2330">
        <v>36</v>
      </c>
      <c r="C2330">
        <v>29</v>
      </c>
      <c r="D2330">
        <v>-1</v>
      </c>
      <c r="E2330">
        <v>-0.58027899999999999</v>
      </c>
      <c r="F2330">
        <v>-1</v>
      </c>
      <c r="G2330">
        <v>-0.58027899999999999</v>
      </c>
    </row>
    <row r="2331" spans="1:7">
      <c r="A2331" t="s">
        <v>144</v>
      </c>
      <c r="B2331">
        <v>36</v>
      </c>
      <c r="C2331">
        <v>30</v>
      </c>
      <c r="D2331">
        <v>-1</v>
      </c>
      <c r="E2331">
        <v>0.61275100000000005</v>
      </c>
      <c r="F2331">
        <v>-1</v>
      </c>
      <c r="G2331">
        <v>0.61275100000000005</v>
      </c>
    </row>
    <row r="2332" spans="1:7">
      <c r="A2332" t="s">
        <v>144</v>
      </c>
      <c r="B2332">
        <v>36</v>
      </c>
      <c r="C2332">
        <v>31</v>
      </c>
      <c r="D2332">
        <v>-1</v>
      </c>
      <c r="E2332">
        <v>-0.51988299999999998</v>
      </c>
      <c r="F2332">
        <v>-1</v>
      </c>
      <c r="G2332">
        <v>-0.51988299999999998</v>
      </c>
    </row>
    <row r="2333" spans="1:7">
      <c r="A2333" t="s">
        <v>144</v>
      </c>
      <c r="B2333">
        <v>36</v>
      </c>
      <c r="C2333">
        <v>32</v>
      </c>
      <c r="D2333">
        <v>-1</v>
      </c>
      <c r="E2333">
        <v>0.75151800000000002</v>
      </c>
      <c r="F2333">
        <v>-1</v>
      </c>
      <c r="G2333">
        <v>0.75151800000000002</v>
      </c>
    </row>
    <row r="2334" spans="1:7">
      <c r="A2334" t="s">
        <v>144</v>
      </c>
      <c r="B2334">
        <v>36</v>
      </c>
      <c r="C2334">
        <v>33</v>
      </c>
      <c r="D2334">
        <v>-1</v>
      </c>
      <c r="E2334">
        <v>0.26041399999999998</v>
      </c>
      <c r="F2334">
        <v>-1</v>
      </c>
      <c r="G2334">
        <v>0.26041399999999998</v>
      </c>
    </row>
    <row r="2335" spans="1:7">
      <c r="A2335" t="s">
        <v>144</v>
      </c>
      <c r="B2335">
        <v>36</v>
      </c>
      <c r="C2335">
        <v>34</v>
      </c>
      <c r="D2335">
        <v>-1</v>
      </c>
      <c r="E2335">
        <v>7.0800000000000004E-3</v>
      </c>
      <c r="F2335">
        <v>-1</v>
      </c>
      <c r="G2335">
        <v>7.0800000000000004E-3</v>
      </c>
    </row>
    <row r="2336" spans="1:7">
      <c r="A2336" t="s">
        <v>144</v>
      </c>
      <c r="B2336">
        <v>36</v>
      </c>
      <c r="C2336">
        <v>35</v>
      </c>
      <c r="D2336">
        <v>-1</v>
      </c>
      <c r="E2336">
        <v>-0.35410599999999998</v>
      </c>
      <c r="F2336">
        <v>-1</v>
      </c>
      <c r="G2336">
        <v>-0.35410599999999998</v>
      </c>
    </row>
    <row r="2337" spans="1:7">
      <c r="A2337" t="s">
        <v>144</v>
      </c>
      <c r="B2337">
        <v>36</v>
      </c>
      <c r="C2337">
        <v>36</v>
      </c>
      <c r="D2337">
        <v>-1</v>
      </c>
      <c r="E2337">
        <v>-0.280221</v>
      </c>
      <c r="F2337">
        <v>-1</v>
      </c>
      <c r="G2337">
        <v>-0.280221</v>
      </c>
    </row>
    <row r="2338" spans="1:7">
      <c r="A2338" t="s">
        <v>144</v>
      </c>
      <c r="B2338">
        <v>36</v>
      </c>
      <c r="C2338">
        <v>37</v>
      </c>
      <c r="D2338">
        <v>-1</v>
      </c>
      <c r="E2338">
        <v>-0.28348600000000002</v>
      </c>
      <c r="F2338">
        <v>-1</v>
      </c>
      <c r="G2338">
        <v>-0.28348600000000002</v>
      </c>
    </row>
    <row r="2339" spans="1:7">
      <c r="A2339" t="s">
        <v>144</v>
      </c>
      <c r="B2339">
        <v>36</v>
      </c>
      <c r="C2339">
        <v>38</v>
      </c>
      <c r="D2339">
        <v>-1</v>
      </c>
      <c r="E2339">
        <v>0.29755500000000001</v>
      </c>
      <c r="F2339">
        <v>-1</v>
      </c>
      <c r="G2339">
        <v>0.29755500000000001</v>
      </c>
    </row>
    <row r="2340" spans="1:7">
      <c r="A2340" t="s">
        <v>144</v>
      </c>
      <c r="B2340">
        <v>36</v>
      </c>
      <c r="C2340">
        <v>39</v>
      </c>
      <c r="D2340">
        <v>-1</v>
      </c>
      <c r="E2340">
        <v>4.2084999999999997E-2</v>
      </c>
      <c r="F2340">
        <v>-1</v>
      </c>
      <c r="G2340">
        <v>4.2084999999999997E-2</v>
      </c>
    </row>
    <row r="2341" spans="1:7">
      <c r="A2341" t="s">
        <v>144</v>
      </c>
      <c r="B2341">
        <v>36</v>
      </c>
      <c r="C2341">
        <v>40</v>
      </c>
      <c r="D2341">
        <v>-1</v>
      </c>
      <c r="E2341">
        <v>-8.7741E-2</v>
      </c>
      <c r="F2341">
        <v>-1</v>
      </c>
      <c r="G2341">
        <v>-8.7741E-2</v>
      </c>
    </row>
    <row r="2342" spans="1:7">
      <c r="A2342" t="s">
        <v>144</v>
      </c>
      <c r="B2342">
        <v>36</v>
      </c>
      <c r="C2342">
        <v>41</v>
      </c>
      <c r="D2342">
        <v>-1</v>
      </c>
      <c r="E2342">
        <v>-0.67021699999999995</v>
      </c>
      <c r="F2342">
        <v>-1</v>
      </c>
      <c r="G2342">
        <v>-0.67021699999999995</v>
      </c>
    </row>
    <row r="2343" spans="1:7">
      <c r="A2343" t="s">
        <v>144</v>
      </c>
      <c r="B2343">
        <v>36</v>
      </c>
      <c r="C2343">
        <v>42</v>
      </c>
      <c r="D2343">
        <v>-1</v>
      </c>
      <c r="E2343">
        <v>5.3407000000000003E-2</v>
      </c>
      <c r="F2343">
        <v>-1</v>
      </c>
      <c r="G2343">
        <v>5.3407000000000003E-2</v>
      </c>
    </row>
    <row r="2344" spans="1:7">
      <c r="A2344" t="s">
        <v>144</v>
      </c>
      <c r="B2344">
        <v>36</v>
      </c>
      <c r="C2344">
        <v>43</v>
      </c>
      <c r="D2344">
        <v>-1</v>
      </c>
      <c r="E2344">
        <v>0.151952</v>
      </c>
      <c r="F2344">
        <v>-1</v>
      </c>
      <c r="G2344">
        <v>0.151952</v>
      </c>
    </row>
    <row r="2345" spans="1:7">
      <c r="A2345" t="s">
        <v>144</v>
      </c>
      <c r="B2345">
        <v>36</v>
      </c>
      <c r="C2345">
        <v>44</v>
      </c>
      <c r="D2345">
        <v>-1</v>
      </c>
      <c r="E2345">
        <v>0.29505300000000001</v>
      </c>
      <c r="F2345">
        <v>-1</v>
      </c>
      <c r="G2345">
        <v>0.29505300000000001</v>
      </c>
    </row>
    <row r="2346" spans="1:7">
      <c r="A2346" t="s">
        <v>144</v>
      </c>
      <c r="B2346">
        <v>36</v>
      </c>
      <c r="C2346">
        <v>45</v>
      </c>
      <c r="D2346">
        <v>-1</v>
      </c>
      <c r="E2346">
        <v>0.58006500000000005</v>
      </c>
      <c r="F2346">
        <v>-1</v>
      </c>
      <c r="G2346">
        <v>0.58006500000000005</v>
      </c>
    </row>
    <row r="2347" spans="1:7">
      <c r="A2347" t="s">
        <v>144</v>
      </c>
      <c r="B2347">
        <v>36</v>
      </c>
      <c r="C2347">
        <v>46</v>
      </c>
      <c r="D2347">
        <v>-1</v>
      </c>
      <c r="E2347">
        <v>-0.34296700000000002</v>
      </c>
      <c r="F2347">
        <v>-1</v>
      </c>
      <c r="G2347">
        <v>-0.34296700000000002</v>
      </c>
    </row>
    <row r="2348" spans="1:7">
      <c r="A2348" t="s">
        <v>144</v>
      </c>
      <c r="B2348">
        <v>36</v>
      </c>
      <c r="C2348">
        <v>47</v>
      </c>
      <c r="D2348">
        <v>-1</v>
      </c>
      <c r="E2348">
        <v>-0.99417100000000003</v>
      </c>
      <c r="F2348">
        <v>-1</v>
      </c>
      <c r="G2348">
        <v>-0.99417100000000003</v>
      </c>
    </row>
    <row r="2349" spans="1:7">
      <c r="A2349" t="s">
        <v>144</v>
      </c>
      <c r="B2349">
        <v>36</v>
      </c>
      <c r="C2349">
        <v>48</v>
      </c>
      <c r="D2349">
        <v>-1</v>
      </c>
      <c r="E2349">
        <v>0.95394800000000002</v>
      </c>
      <c r="F2349">
        <v>-1</v>
      </c>
      <c r="G2349">
        <v>0.95394800000000002</v>
      </c>
    </row>
    <row r="2350" spans="1:7">
      <c r="A2350" t="s">
        <v>144</v>
      </c>
      <c r="B2350">
        <v>36</v>
      </c>
      <c r="C2350">
        <v>49</v>
      </c>
      <c r="D2350">
        <v>-1</v>
      </c>
      <c r="E2350">
        <v>0.79961499999999996</v>
      </c>
      <c r="F2350">
        <v>-1</v>
      </c>
      <c r="G2350">
        <v>0.79961499999999996</v>
      </c>
    </row>
    <row r="2351" spans="1:7">
      <c r="A2351" t="s">
        <v>144</v>
      </c>
      <c r="B2351" t="s">
        <v>145</v>
      </c>
      <c r="C2351">
        <v>37</v>
      </c>
    </row>
    <row r="2352" spans="1:7">
      <c r="A2352" t="s">
        <v>144</v>
      </c>
      <c r="B2352" t="s">
        <v>146</v>
      </c>
      <c r="C2352">
        <v>70</v>
      </c>
    </row>
    <row r="2353" spans="1:7">
      <c r="A2353" t="s">
        <v>144</v>
      </c>
      <c r="B2353" t="s">
        <v>147</v>
      </c>
      <c r="C2353">
        <v>70</v>
      </c>
    </row>
    <row r="2354" spans="1:7">
      <c r="A2354" t="s">
        <v>144</v>
      </c>
      <c r="B2354" t="s">
        <v>148</v>
      </c>
      <c r="C2354">
        <v>0.104953</v>
      </c>
    </row>
    <row r="2355" spans="1:7">
      <c r="A2355" t="s">
        <v>144</v>
      </c>
      <c r="B2355" t="s">
        <v>149</v>
      </c>
      <c r="C2355">
        <v>0.104953</v>
      </c>
    </row>
    <row r="2356" spans="1:7">
      <c r="A2356" t="s">
        <v>144</v>
      </c>
      <c r="B2356" t="s">
        <v>150</v>
      </c>
      <c r="C2356">
        <v>-1</v>
      </c>
    </row>
    <row r="2357" spans="1:7">
      <c r="A2357" t="s">
        <v>144</v>
      </c>
      <c r="B2357" t="s">
        <v>151</v>
      </c>
      <c r="C2357">
        <v>-1</v>
      </c>
    </row>
    <row r="2358" spans="1:7">
      <c r="A2358" t="s">
        <v>144</v>
      </c>
      <c r="B2358" t="s">
        <v>152</v>
      </c>
      <c r="C2358">
        <v>13</v>
      </c>
    </row>
    <row r="2359" spans="1:7">
      <c r="A2359" t="s">
        <v>144</v>
      </c>
      <c r="B2359" t="s">
        <v>153</v>
      </c>
      <c r="C2359">
        <v>13</v>
      </c>
    </row>
    <row r="2360" spans="1:7">
      <c r="A2360" t="s">
        <v>144</v>
      </c>
      <c r="B2360" t="s">
        <v>154</v>
      </c>
      <c r="C2360">
        <v>0</v>
      </c>
    </row>
    <row r="2361" spans="1:7">
      <c r="A2361" t="s">
        <v>144</v>
      </c>
      <c r="B2361" t="s">
        <v>155</v>
      </c>
    </row>
    <row r="2362" spans="1:7">
      <c r="A2362" t="s">
        <v>144</v>
      </c>
      <c r="B2362" t="s">
        <v>150</v>
      </c>
      <c r="C2362">
        <v>0.301981</v>
      </c>
    </row>
    <row r="2363" spans="1:7">
      <c r="A2363" t="s">
        <v>144</v>
      </c>
      <c r="B2363" t="s">
        <v>151</v>
      </c>
      <c r="C2363">
        <v>0.301981</v>
      </c>
    </row>
    <row r="2364" spans="1:7">
      <c r="A2364" t="s">
        <v>144</v>
      </c>
      <c r="B2364" t="s">
        <v>156</v>
      </c>
      <c r="C2364" t="s">
        <v>157</v>
      </c>
      <c r="D2364" t="s">
        <v>63</v>
      </c>
      <c r="E2364" t="s">
        <v>158</v>
      </c>
      <c r="F2364" t="s">
        <v>159</v>
      </c>
      <c r="G2364" t="s">
        <v>160</v>
      </c>
    </row>
    <row r="2365" spans="1:7">
      <c r="A2365" t="s">
        <v>144</v>
      </c>
      <c r="B2365">
        <v>37</v>
      </c>
      <c r="C2365">
        <v>0</v>
      </c>
      <c r="D2365">
        <v>0.301981</v>
      </c>
      <c r="E2365">
        <v>-0.184423</v>
      </c>
      <c r="F2365">
        <v>-1</v>
      </c>
      <c r="G2365">
        <v>-0.184423</v>
      </c>
    </row>
    <row r="2366" spans="1:7">
      <c r="A2366" t="s">
        <v>144</v>
      </c>
      <c r="B2366">
        <v>37</v>
      </c>
      <c r="C2366">
        <v>1</v>
      </c>
      <c r="D2366">
        <v>0.301981</v>
      </c>
      <c r="E2366">
        <v>-0.97405900000000001</v>
      </c>
      <c r="F2366">
        <v>-1</v>
      </c>
      <c r="G2366">
        <v>-0.97405900000000001</v>
      </c>
    </row>
    <row r="2367" spans="1:7">
      <c r="A2367" t="s">
        <v>144</v>
      </c>
      <c r="B2367">
        <v>37</v>
      </c>
      <c r="C2367">
        <v>2</v>
      </c>
      <c r="D2367">
        <v>0.301981</v>
      </c>
      <c r="E2367">
        <v>9.6652000000000002E-2</v>
      </c>
      <c r="F2367">
        <v>-1</v>
      </c>
      <c r="G2367">
        <v>9.6652000000000002E-2</v>
      </c>
    </row>
    <row r="2368" spans="1:7">
      <c r="A2368" t="s">
        <v>144</v>
      </c>
      <c r="B2368">
        <v>37</v>
      </c>
      <c r="C2368">
        <v>3</v>
      </c>
      <c r="D2368">
        <v>0.301981</v>
      </c>
      <c r="E2368">
        <v>0.97592100000000004</v>
      </c>
      <c r="F2368">
        <v>-1</v>
      </c>
      <c r="G2368">
        <v>0.97592100000000004</v>
      </c>
    </row>
    <row r="2369" spans="1:7">
      <c r="A2369" t="s">
        <v>144</v>
      </c>
      <c r="B2369">
        <v>37</v>
      </c>
      <c r="C2369">
        <v>4</v>
      </c>
      <c r="D2369">
        <v>0.301981</v>
      </c>
      <c r="E2369">
        <v>0.53029000000000004</v>
      </c>
      <c r="F2369">
        <v>-1</v>
      </c>
      <c r="G2369">
        <v>0.53029000000000004</v>
      </c>
    </row>
    <row r="2370" spans="1:7">
      <c r="A2370" t="s">
        <v>144</v>
      </c>
      <c r="B2370">
        <v>37</v>
      </c>
      <c r="C2370">
        <v>5</v>
      </c>
      <c r="D2370">
        <v>0.301981</v>
      </c>
      <c r="E2370">
        <v>0.23105600000000001</v>
      </c>
      <c r="F2370">
        <v>-1</v>
      </c>
      <c r="G2370">
        <v>0.23105600000000001</v>
      </c>
    </row>
    <row r="2371" spans="1:7">
      <c r="A2371" t="s">
        <v>144</v>
      </c>
      <c r="B2371">
        <v>37</v>
      </c>
      <c r="C2371">
        <v>6</v>
      </c>
      <c r="D2371">
        <v>0.301981</v>
      </c>
      <c r="E2371">
        <v>-0.41175600000000001</v>
      </c>
      <c r="F2371">
        <v>-1</v>
      </c>
      <c r="G2371">
        <v>-0.41175600000000001</v>
      </c>
    </row>
    <row r="2372" spans="1:7">
      <c r="A2372" t="s">
        <v>144</v>
      </c>
      <c r="B2372">
        <v>37</v>
      </c>
      <c r="C2372">
        <v>7</v>
      </c>
      <c r="D2372">
        <v>0.301981</v>
      </c>
      <c r="E2372">
        <v>0.15595000000000001</v>
      </c>
      <c r="F2372">
        <v>-1</v>
      </c>
      <c r="G2372">
        <v>0.15595000000000001</v>
      </c>
    </row>
    <row r="2373" spans="1:7">
      <c r="A2373" t="s">
        <v>144</v>
      </c>
      <c r="B2373">
        <v>37</v>
      </c>
      <c r="C2373">
        <v>8</v>
      </c>
      <c r="D2373">
        <v>0.301981</v>
      </c>
      <c r="E2373">
        <v>0.200903</v>
      </c>
      <c r="F2373">
        <v>-1</v>
      </c>
      <c r="G2373">
        <v>0.200903</v>
      </c>
    </row>
    <row r="2374" spans="1:7">
      <c r="A2374" t="s">
        <v>144</v>
      </c>
      <c r="B2374">
        <v>37</v>
      </c>
      <c r="C2374">
        <v>9</v>
      </c>
      <c r="D2374">
        <v>0.301981</v>
      </c>
      <c r="E2374">
        <v>-0.29676200000000003</v>
      </c>
      <c r="F2374">
        <v>-1</v>
      </c>
      <c r="G2374">
        <v>-0.29676200000000003</v>
      </c>
    </row>
    <row r="2375" spans="1:7">
      <c r="A2375" t="s">
        <v>144</v>
      </c>
      <c r="B2375">
        <v>37</v>
      </c>
      <c r="C2375">
        <v>10</v>
      </c>
      <c r="D2375">
        <v>0.301981</v>
      </c>
      <c r="E2375">
        <v>0.47868300000000003</v>
      </c>
      <c r="F2375">
        <v>-1</v>
      </c>
      <c r="G2375">
        <v>0.47868300000000003</v>
      </c>
    </row>
    <row r="2376" spans="1:7">
      <c r="A2376" t="s">
        <v>144</v>
      </c>
      <c r="B2376">
        <v>37</v>
      </c>
      <c r="C2376">
        <v>11</v>
      </c>
      <c r="D2376">
        <v>0.301981</v>
      </c>
      <c r="E2376">
        <v>-0.86721400000000004</v>
      </c>
      <c r="F2376">
        <v>-1</v>
      </c>
      <c r="G2376">
        <v>-0.86721400000000004</v>
      </c>
    </row>
    <row r="2377" spans="1:7">
      <c r="A2377" t="s">
        <v>144</v>
      </c>
      <c r="B2377">
        <v>37</v>
      </c>
      <c r="C2377">
        <v>12</v>
      </c>
      <c r="D2377">
        <v>0.301981</v>
      </c>
      <c r="E2377">
        <v>-3.6499999999999998E-2</v>
      </c>
      <c r="F2377">
        <v>-1</v>
      </c>
      <c r="G2377">
        <v>-3.6499999999999998E-2</v>
      </c>
    </row>
    <row r="2378" spans="1:7">
      <c r="A2378" t="s">
        <v>144</v>
      </c>
      <c r="B2378">
        <v>37</v>
      </c>
      <c r="C2378">
        <v>13</v>
      </c>
      <c r="D2378">
        <v>0.301981</v>
      </c>
      <c r="E2378">
        <v>-0.80376599999999998</v>
      </c>
      <c r="F2378">
        <v>0.49031000000000002</v>
      </c>
      <c r="G2378">
        <v>9.9524000000000001E-2</v>
      </c>
    </row>
    <row r="2379" spans="1:7">
      <c r="A2379" t="s">
        <v>144</v>
      </c>
      <c r="B2379">
        <v>37</v>
      </c>
      <c r="C2379">
        <v>14</v>
      </c>
      <c r="D2379">
        <v>0.301981</v>
      </c>
      <c r="E2379">
        <v>-0.62404300000000001</v>
      </c>
      <c r="F2379">
        <v>0.155858</v>
      </c>
      <c r="G2379">
        <v>-7.9657000000000006E-2</v>
      </c>
    </row>
    <row r="2380" spans="1:7">
      <c r="A2380" t="s">
        <v>144</v>
      </c>
      <c r="B2380">
        <v>37</v>
      </c>
      <c r="C2380">
        <v>15</v>
      </c>
      <c r="D2380">
        <v>0.301981</v>
      </c>
      <c r="E2380">
        <v>-0.74483500000000002</v>
      </c>
      <c r="F2380">
        <v>-0.15268399999999999</v>
      </c>
      <c r="G2380">
        <v>-0.33150200000000002</v>
      </c>
    </row>
    <row r="2381" spans="1:7">
      <c r="A2381" t="s">
        <v>144</v>
      </c>
      <c r="B2381">
        <v>37</v>
      </c>
      <c r="C2381">
        <v>16</v>
      </c>
      <c r="D2381">
        <v>0.301981</v>
      </c>
      <c r="E2381">
        <v>-1.1261E-2</v>
      </c>
      <c r="F2381">
        <v>-0.28193000000000001</v>
      </c>
      <c r="G2381">
        <v>-0.20019300000000001</v>
      </c>
    </row>
    <row r="2382" spans="1:7">
      <c r="A2382" t="s">
        <v>144</v>
      </c>
      <c r="B2382">
        <v>37</v>
      </c>
      <c r="C2382">
        <v>17</v>
      </c>
      <c r="D2382">
        <v>0.301981</v>
      </c>
      <c r="E2382">
        <v>0.83992999999999995</v>
      </c>
      <c r="F2382">
        <v>0.74651299999999998</v>
      </c>
      <c r="G2382">
        <v>0.77472300000000005</v>
      </c>
    </row>
    <row r="2383" spans="1:7">
      <c r="A2383" t="s">
        <v>144</v>
      </c>
      <c r="B2383">
        <v>37</v>
      </c>
      <c r="C2383">
        <v>18</v>
      </c>
      <c r="D2383">
        <v>0.301981</v>
      </c>
      <c r="E2383">
        <v>-0.52134800000000003</v>
      </c>
      <c r="F2383">
        <v>0.54817300000000002</v>
      </c>
      <c r="G2383">
        <v>0.22519900000000001</v>
      </c>
    </row>
    <row r="2384" spans="1:7">
      <c r="A2384" t="s">
        <v>144</v>
      </c>
      <c r="B2384">
        <v>37</v>
      </c>
      <c r="C2384">
        <v>19</v>
      </c>
      <c r="D2384">
        <v>0.301981</v>
      </c>
      <c r="E2384">
        <v>-0.79522099999999996</v>
      </c>
      <c r="F2384">
        <v>0.54100199999999998</v>
      </c>
      <c r="G2384">
        <v>0.137488</v>
      </c>
    </row>
    <row r="2385" spans="1:7">
      <c r="A2385" t="s">
        <v>144</v>
      </c>
      <c r="B2385">
        <v>37</v>
      </c>
      <c r="C2385">
        <v>20</v>
      </c>
      <c r="D2385">
        <v>0.301981</v>
      </c>
      <c r="E2385">
        <v>0.69035899999999994</v>
      </c>
      <c r="F2385">
        <v>-0.199072</v>
      </c>
      <c r="G2385">
        <v>6.9518999999999997E-2</v>
      </c>
    </row>
    <row r="2386" spans="1:7">
      <c r="A2386" t="s">
        <v>144</v>
      </c>
      <c r="B2386">
        <v>37</v>
      </c>
      <c r="C2386">
        <v>21</v>
      </c>
      <c r="D2386">
        <v>0.301981</v>
      </c>
      <c r="E2386">
        <v>-6.1556E-2</v>
      </c>
      <c r="F2386">
        <v>0.12845200000000001</v>
      </c>
      <c r="G2386">
        <v>7.1073999999999998E-2</v>
      </c>
    </row>
    <row r="2387" spans="1:7">
      <c r="A2387" t="s">
        <v>144</v>
      </c>
      <c r="B2387">
        <v>37</v>
      </c>
      <c r="C2387">
        <v>22</v>
      </c>
      <c r="D2387">
        <v>0.301981</v>
      </c>
      <c r="E2387">
        <v>-0.21033399999999999</v>
      </c>
      <c r="F2387">
        <v>8.9328000000000005E-2</v>
      </c>
      <c r="G2387">
        <v>-1.1640000000000001E-3</v>
      </c>
    </row>
    <row r="2388" spans="1:7">
      <c r="A2388" t="s">
        <v>144</v>
      </c>
      <c r="B2388">
        <v>37</v>
      </c>
      <c r="C2388">
        <v>23</v>
      </c>
      <c r="D2388">
        <v>0.301981</v>
      </c>
      <c r="E2388">
        <v>0.57167299999999999</v>
      </c>
      <c r="F2388">
        <v>-0.92086500000000004</v>
      </c>
      <c r="G2388">
        <v>-0.47014800000000001</v>
      </c>
    </row>
    <row r="2389" spans="1:7">
      <c r="A2389" t="s">
        <v>144</v>
      </c>
      <c r="B2389">
        <v>37</v>
      </c>
      <c r="C2389">
        <v>24</v>
      </c>
      <c r="D2389">
        <v>0.301981</v>
      </c>
      <c r="E2389">
        <v>0.81179199999999996</v>
      </c>
      <c r="F2389">
        <v>0.40418700000000002</v>
      </c>
      <c r="G2389">
        <v>0.52727599999999997</v>
      </c>
    </row>
    <row r="2390" spans="1:7">
      <c r="A2390" t="s">
        <v>144</v>
      </c>
      <c r="B2390">
        <v>37</v>
      </c>
      <c r="C2390">
        <v>25</v>
      </c>
      <c r="D2390">
        <v>0.301981</v>
      </c>
      <c r="E2390">
        <v>0.93182200000000004</v>
      </c>
      <c r="F2390">
        <v>0.88283900000000004</v>
      </c>
      <c r="G2390">
        <v>0.89763099999999996</v>
      </c>
    </row>
    <row r="2391" spans="1:7">
      <c r="A2391" t="s">
        <v>144</v>
      </c>
      <c r="B2391">
        <v>37</v>
      </c>
      <c r="C2391">
        <v>26</v>
      </c>
      <c r="D2391">
        <v>0.301981</v>
      </c>
      <c r="E2391">
        <v>-0.241646</v>
      </c>
      <c r="F2391">
        <v>0.50660700000000003</v>
      </c>
      <c r="G2391">
        <v>0.28064899999999998</v>
      </c>
    </row>
    <row r="2392" spans="1:7">
      <c r="A2392" t="s">
        <v>144</v>
      </c>
      <c r="B2392">
        <v>37</v>
      </c>
      <c r="C2392">
        <v>27</v>
      </c>
      <c r="D2392">
        <v>0.301981</v>
      </c>
      <c r="E2392">
        <v>-0.475387</v>
      </c>
      <c r="F2392">
        <v>-0.40748299999999998</v>
      </c>
      <c r="G2392">
        <v>-0.42798900000000001</v>
      </c>
    </row>
    <row r="2393" spans="1:7">
      <c r="A2393" t="s">
        <v>144</v>
      </c>
      <c r="B2393">
        <v>37</v>
      </c>
      <c r="C2393">
        <v>28</v>
      </c>
      <c r="D2393">
        <v>0.301981</v>
      </c>
      <c r="E2393">
        <v>0.99368299999999998</v>
      </c>
      <c r="F2393">
        <v>-6.7933999999999994E-2</v>
      </c>
      <c r="G2393">
        <v>0.25265399999999999</v>
      </c>
    </row>
    <row r="2394" spans="1:7">
      <c r="A2394" t="s">
        <v>144</v>
      </c>
      <c r="B2394">
        <v>37</v>
      </c>
      <c r="C2394">
        <v>29</v>
      </c>
      <c r="D2394">
        <v>0.301981</v>
      </c>
      <c r="E2394">
        <v>-8.3742999999999998E-2</v>
      </c>
      <c r="F2394">
        <v>0.74065400000000003</v>
      </c>
      <c r="G2394">
        <v>0.49170199999999997</v>
      </c>
    </row>
    <row r="2395" spans="1:7">
      <c r="A2395" t="s">
        <v>144</v>
      </c>
      <c r="B2395">
        <v>37</v>
      </c>
      <c r="C2395">
        <v>30</v>
      </c>
      <c r="D2395">
        <v>0.301981</v>
      </c>
      <c r="E2395">
        <v>-0.94640999999999997</v>
      </c>
      <c r="F2395">
        <v>-0.13766900000000001</v>
      </c>
      <c r="G2395">
        <v>-0.38189299999999998</v>
      </c>
    </row>
    <row r="2396" spans="1:7">
      <c r="A2396" t="s">
        <v>144</v>
      </c>
      <c r="B2396">
        <v>37</v>
      </c>
      <c r="C2396">
        <v>31</v>
      </c>
      <c r="D2396">
        <v>0.301981</v>
      </c>
      <c r="E2396">
        <v>0.181005</v>
      </c>
      <c r="F2396">
        <v>-0.86050000000000004</v>
      </c>
      <c r="G2396">
        <v>-0.54598599999999997</v>
      </c>
    </row>
    <row r="2397" spans="1:7">
      <c r="A2397" t="s">
        <v>144</v>
      </c>
      <c r="B2397">
        <v>37</v>
      </c>
      <c r="C2397">
        <v>32</v>
      </c>
      <c r="D2397">
        <v>0.301981</v>
      </c>
      <c r="E2397">
        <v>-0.56614900000000001</v>
      </c>
      <c r="F2397">
        <v>-0.309305</v>
      </c>
      <c r="G2397">
        <v>-0.38686700000000002</v>
      </c>
    </row>
    <row r="2398" spans="1:7">
      <c r="A2398" t="s">
        <v>144</v>
      </c>
      <c r="B2398">
        <v>37</v>
      </c>
      <c r="C2398">
        <v>33</v>
      </c>
      <c r="D2398">
        <v>0.301981</v>
      </c>
      <c r="E2398">
        <v>0.80889299999999997</v>
      </c>
      <c r="F2398">
        <v>-0.218329</v>
      </c>
      <c r="G2398">
        <v>9.1871999999999995E-2</v>
      </c>
    </row>
    <row r="2399" spans="1:7">
      <c r="A2399" t="s">
        <v>144</v>
      </c>
      <c r="B2399">
        <v>37</v>
      </c>
      <c r="C2399">
        <v>34</v>
      </c>
      <c r="D2399">
        <v>0.301981</v>
      </c>
      <c r="E2399">
        <v>0.83047000000000004</v>
      </c>
      <c r="F2399">
        <v>0.63774500000000001</v>
      </c>
      <c r="G2399">
        <v>0.69594400000000001</v>
      </c>
    </row>
    <row r="2400" spans="1:7">
      <c r="A2400" t="s">
        <v>144</v>
      </c>
      <c r="B2400">
        <v>37</v>
      </c>
      <c r="C2400">
        <v>35</v>
      </c>
      <c r="D2400">
        <v>0.301981</v>
      </c>
      <c r="E2400">
        <v>-0.18765799999999999</v>
      </c>
      <c r="F2400">
        <v>0.24704699999999999</v>
      </c>
      <c r="G2400">
        <v>0.115775</v>
      </c>
    </row>
    <row r="2401" spans="1:7">
      <c r="A2401" t="s">
        <v>144</v>
      </c>
      <c r="B2401">
        <v>37</v>
      </c>
      <c r="C2401">
        <v>36</v>
      </c>
      <c r="D2401">
        <v>0.301981</v>
      </c>
      <c r="E2401">
        <v>0.52842800000000001</v>
      </c>
      <c r="F2401">
        <v>-0.46522400000000003</v>
      </c>
      <c r="G2401">
        <v>-0.16516</v>
      </c>
    </row>
    <row r="2402" spans="1:7">
      <c r="A2402" t="s">
        <v>144</v>
      </c>
      <c r="B2402">
        <v>37</v>
      </c>
      <c r="C2402">
        <v>37</v>
      </c>
      <c r="D2402">
        <v>0.301981</v>
      </c>
      <c r="E2402">
        <v>0.67024700000000004</v>
      </c>
      <c r="F2402">
        <v>4.3305999999999997E-2</v>
      </c>
      <c r="G2402">
        <v>0.23263</v>
      </c>
    </row>
    <row r="2403" spans="1:7">
      <c r="A2403" t="s">
        <v>144</v>
      </c>
      <c r="B2403">
        <v>37</v>
      </c>
      <c r="C2403">
        <v>38</v>
      </c>
      <c r="D2403">
        <v>0.301981</v>
      </c>
      <c r="E2403">
        <v>-9.4301999999999997E-2</v>
      </c>
      <c r="F2403">
        <v>-0.81154800000000005</v>
      </c>
      <c r="G2403">
        <v>-0.59495399999999998</v>
      </c>
    </row>
    <row r="2404" spans="1:7">
      <c r="A2404" t="s">
        <v>144</v>
      </c>
      <c r="B2404">
        <v>37</v>
      </c>
      <c r="C2404">
        <v>39</v>
      </c>
      <c r="D2404">
        <v>0.301981</v>
      </c>
      <c r="E2404">
        <v>-0.49446099999999998</v>
      </c>
      <c r="F2404">
        <v>0.13003899999999999</v>
      </c>
      <c r="G2404">
        <v>-5.8548000000000003E-2</v>
      </c>
    </row>
    <row r="2405" spans="1:7">
      <c r="A2405" t="s">
        <v>144</v>
      </c>
      <c r="B2405">
        <v>37</v>
      </c>
      <c r="C2405">
        <v>40</v>
      </c>
      <c r="D2405">
        <v>0.301981</v>
      </c>
      <c r="E2405">
        <v>-0.63078699999999999</v>
      </c>
      <c r="F2405">
        <v>0.48499999999999999</v>
      </c>
      <c r="G2405">
        <v>0.14805399999999999</v>
      </c>
    </row>
    <row r="2406" spans="1:7">
      <c r="A2406" t="s">
        <v>144</v>
      </c>
      <c r="B2406">
        <v>37</v>
      </c>
      <c r="C2406">
        <v>41</v>
      </c>
      <c r="D2406">
        <v>0.301981</v>
      </c>
      <c r="E2406">
        <v>-0.24079100000000001</v>
      </c>
      <c r="F2406">
        <v>-0.70488600000000001</v>
      </c>
      <c r="G2406">
        <v>-0.56473799999999996</v>
      </c>
    </row>
    <row r="2407" spans="1:7">
      <c r="A2407" t="s">
        <v>144</v>
      </c>
      <c r="B2407">
        <v>37</v>
      </c>
      <c r="C2407">
        <v>42</v>
      </c>
      <c r="D2407">
        <v>0.301981</v>
      </c>
      <c r="E2407">
        <v>0.27738299999999999</v>
      </c>
      <c r="F2407">
        <v>0.57035999999999998</v>
      </c>
      <c r="G2407">
        <v>0.48188700000000001</v>
      </c>
    </row>
    <row r="2408" spans="1:7">
      <c r="A2408" t="s">
        <v>144</v>
      </c>
      <c r="B2408">
        <v>37</v>
      </c>
      <c r="C2408">
        <v>43</v>
      </c>
      <c r="D2408">
        <v>0.301981</v>
      </c>
      <c r="E2408">
        <v>0.40144000000000002</v>
      </c>
      <c r="F2408">
        <v>-0.28153299999999998</v>
      </c>
      <c r="G2408">
        <v>-7.5287999999999994E-2</v>
      </c>
    </row>
    <row r="2409" spans="1:7">
      <c r="A2409" t="s">
        <v>144</v>
      </c>
      <c r="B2409">
        <v>37</v>
      </c>
      <c r="C2409">
        <v>44</v>
      </c>
      <c r="D2409">
        <v>0.301981</v>
      </c>
      <c r="E2409">
        <v>0.58162199999999997</v>
      </c>
      <c r="F2409">
        <v>0.449934</v>
      </c>
      <c r="G2409">
        <v>0.489701</v>
      </c>
    </row>
    <row r="2410" spans="1:7">
      <c r="A2410" t="s">
        <v>144</v>
      </c>
      <c r="B2410">
        <v>37</v>
      </c>
      <c r="C2410">
        <v>45</v>
      </c>
      <c r="D2410">
        <v>0.301981</v>
      </c>
      <c r="E2410">
        <v>-0.96673500000000001</v>
      </c>
      <c r="F2410">
        <v>0.129887</v>
      </c>
      <c r="G2410">
        <v>-0.20127200000000001</v>
      </c>
    </row>
    <row r="2411" spans="1:7">
      <c r="A2411" t="s">
        <v>144</v>
      </c>
      <c r="B2411">
        <v>37</v>
      </c>
      <c r="C2411">
        <v>46</v>
      </c>
      <c r="D2411">
        <v>0.301981</v>
      </c>
      <c r="E2411">
        <v>2.7588999999999999E-2</v>
      </c>
      <c r="F2411">
        <v>-1.413E-2</v>
      </c>
      <c r="G2411">
        <v>-1.5319999999999999E-3</v>
      </c>
    </row>
    <row r="2412" spans="1:7">
      <c r="A2412" t="s">
        <v>144</v>
      </c>
      <c r="B2412">
        <v>37</v>
      </c>
      <c r="C2412">
        <v>47</v>
      </c>
      <c r="D2412">
        <v>0.301981</v>
      </c>
      <c r="E2412">
        <v>-0.43543799999999999</v>
      </c>
      <c r="F2412">
        <v>-0.42100300000000002</v>
      </c>
      <c r="G2412">
        <v>-0.42536200000000002</v>
      </c>
    </row>
    <row r="2413" spans="1:7">
      <c r="A2413" t="s">
        <v>144</v>
      </c>
      <c r="B2413">
        <v>37</v>
      </c>
      <c r="C2413">
        <v>48</v>
      </c>
      <c r="D2413">
        <v>0.301981</v>
      </c>
      <c r="E2413">
        <v>-0.37955899999999998</v>
      </c>
      <c r="F2413">
        <v>-0.21778</v>
      </c>
      <c r="G2413">
        <v>-0.26663399999999998</v>
      </c>
    </row>
    <row r="2414" spans="1:7">
      <c r="A2414" t="s">
        <v>144</v>
      </c>
      <c r="B2414">
        <v>37</v>
      </c>
      <c r="C2414">
        <v>49</v>
      </c>
      <c r="D2414">
        <v>0.301981</v>
      </c>
      <c r="E2414">
        <v>0.15549199999999999</v>
      </c>
      <c r="F2414">
        <v>0.48368800000000001</v>
      </c>
      <c r="G2414">
        <v>0.384579</v>
      </c>
    </row>
    <row r="2415" spans="1:7">
      <c r="A2415" t="s">
        <v>144</v>
      </c>
      <c r="B2415" t="s">
        <v>145</v>
      </c>
      <c r="C2415">
        <v>38</v>
      </c>
    </row>
    <row r="2416" spans="1:7">
      <c r="A2416" t="s">
        <v>144</v>
      </c>
      <c r="B2416" t="s">
        <v>146</v>
      </c>
      <c r="C2416">
        <v>38</v>
      </c>
    </row>
    <row r="2417" spans="1:7">
      <c r="A2417" t="s">
        <v>144</v>
      </c>
      <c r="B2417" t="s">
        <v>147</v>
      </c>
      <c r="C2417">
        <v>38</v>
      </c>
    </row>
    <row r="2418" spans="1:7">
      <c r="A2418" t="s">
        <v>144</v>
      </c>
      <c r="B2418" t="s">
        <v>148</v>
      </c>
      <c r="C2418">
        <v>0.77684900000000001</v>
      </c>
    </row>
    <row r="2419" spans="1:7">
      <c r="A2419" t="s">
        <v>144</v>
      </c>
      <c r="B2419" t="s">
        <v>149</v>
      </c>
      <c r="C2419">
        <v>0.77684900000000001</v>
      </c>
    </row>
    <row r="2420" spans="1:7">
      <c r="A2420" t="s">
        <v>144</v>
      </c>
      <c r="B2420" t="s">
        <v>150</v>
      </c>
      <c r="C2420">
        <v>-1</v>
      </c>
    </row>
    <row r="2421" spans="1:7">
      <c r="A2421" t="s">
        <v>144</v>
      </c>
      <c r="B2421" t="s">
        <v>151</v>
      </c>
      <c r="C2421">
        <v>-1</v>
      </c>
    </row>
    <row r="2422" spans="1:7">
      <c r="A2422" t="s">
        <v>144</v>
      </c>
      <c r="B2422" t="s">
        <v>152</v>
      </c>
      <c r="C2422">
        <v>30</v>
      </c>
    </row>
    <row r="2423" spans="1:7">
      <c r="A2423" t="s">
        <v>144</v>
      </c>
      <c r="B2423" t="s">
        <v>153</v>
      </c>
      <c r="C2423">
        <v>30</v>
      </c>
    </row>
    <row r="2424" spans="1:7">
      <c r="A2424" t="s">
        <v>144</v>
      </c>
      <c r="B2424" t="s">
        <v>154</v>
      </c>
      <c r="C2424">
        <v>0</v>
      </c>
    </row>
    <row r="2425" spans="1:7">
      <c r="A2425" t="s">
        <v>144</v>
      </c>
      <c r="B2425" t="s">
        <v>161</v>
      </c>
    </row>
    <row r="2426" spans="1:7">
      <c r="A2426" t="s">
        <v>144</v>
      </c>
      <c r="B2426">
        <v>38</v>
      </c>
      <c r="C2426">
        <v>0</v>
      </c>
      <c r="D2426">
        <v>-1</v>
      </c>
      <c r="E2426">
        <v>-0.99050899999999997</v>
      </c>
      <c r="F2426">
        <v>-1</v>
      </c>
      <c r="G2426">
        <v>-0.99050899999999997</v>
      </c>
    </row>
    <row r="2427" spans="1:7">
      <c r="A2427" t="s">
        <v>144</v>
      </c>
      <c r="B2427">
        <v>38</v>
      </c>
      <c r="C2427">
        <v>1</v>
      </c>
      <c r="D2427">
        <v>-1</v>
      </c>
      <c r="E2427">
        <v>-0.97244200000000003</v>
      </c>
      <c r="F2427">
        <v>-1</v>
      </c>
      <c r="G2427">
        <v>-0.97244200000000003</v>
      </c>
    </row>
    <row r="2428" spans="1:7">
      <c r="A2428" t="s">
        <v>144</v>
      </c>
      <c r="B2428">
        <v>38</v>
      </c>
      <c r="C2428">
        <v>2</v>
      </c>
      <c r="D2428">
        <v>-1</v>
      </c>
      <c r="E2428">
        <v>-0.71559799999999996</v>
      </c>
      <c r="F2428">
        <v>-1</v>
      </c>
      <c r="G2428">
        <v>-0.71559799999999996</v>
      </c>
    </row>
    <row r="2429" spans="1:7">
      <c r="A2429" t="s">
        <v>144</v>
      </c>
      <c r="B2429">
        <v>38</v>
      </c>
      <c r="C2429">
        <v>3</v>
      </c>
      <c r="D2429">
        <v>-1</v>
      </c>
      <c r="E2429">
        <v>-0.68443900000000002</v>
      </c>
      <c r="F2429">
        <v>-1</v>
      </c>
      <c r="G2429">
        <v>-0.68443900000000002</v>
      </c>
    </row>
    <row r="2430" spans="1:7">
      <c r="A2430" t="s">
        <v>144</v>
      </c>
      <c r="B2430">
        <v>38</v>
      </c>
      <c r="C2430">
        <v>4</v>
      </c>
      <c r="D2430">
        <v>-1</v>
      </c>
      <c r="E2430">
        <v>-8.6703000000000002E-2</v>
      </c>
      <c r="F2430">
        <v>-1</v>
      </c>
      <c r="G2430">
        <v>-8.6703000000000002E-2</v>
      </c>
    </row>
    <row r="2431" spans="1:7">
      <c r="A2431" t="s">
        <v>144</v>
      </c>
      <c r="B2431">
        <v>38</v>
      </c>
      <c r="C2431">
        <v>5</v>
      </c>
      <c r="D2431">
        <v>-1</v>
      </c>
      <c r="E2431">
        <v>0.29425899999999999</v>
      </c>
      <c r="F2431">
        <v>-1</v>
      </c>
      <c r="G2431">
        <v>0.29425899999999999</v>
      </c>
    </row>
    <row r="2432" spans="1:7">
      <c r="A2432" t="s">
        <v>144</v>
      </c>
      <c r="B2432">
        <v>38</v>
      </c>
      <c r="C2432">
        <v>6</v>
      </c>
      <c r="D2432">
        <v>-1</v>
      </c>
      <c r="E2432">
        <v>-0.41758499999999998</v>
      </c>
      <c r="F2432">
        <v>-1</v>
      </c>
      <c r="G2432">
        <v>-0.41758499999999998</v>
      </c>
    </row>
    <row r="2433" spans="1:7">
      <c r="A2433" t="s">
        <v>144</v>
      </c>
      <c r="B2433">
        <v>38</v>
      </c>
      <c r="C2433">
        <v>7</v>
      </c>
      <c r="D2433">
        <v>-1</v>
      </c>
      <c r="E2433">
        <v>-0.57988200000000001</v>
      </c>
      <c r="F2433">
        <v>-1</v>
      </c>
      <c r="G2433">
        <v>-0.57988200000000001</v>
      </c>
    </row>
    <row r="2434" spans="1:7">
      <c r="A2434" t="s">
        <v>144</v>
      </c>
      <c r="B2434">
        <v>38</v>
      </c>
      <c r="C2434">
        <v>8</v>
      </c>
      <c r="D2434">
        <v>-1</v>
      </c>
      <c r="E2434">
        <v>-0.29673100000000002</v>
      </c>
      <c r="F2434">
        <v>-1</v>
      </c>
      <c r="G2434">
        <v>-0.29673100000000002</v>
      </c>
    </row>
    <row r="2435" spans="1:7">
      <c r="A2435" t="s">
        <v>144</v>
      </c>
      <c r="B2435">
        <v>38</v>
      </c>
      <c r="C2435">
        <v>9</v>
      </c>
      <c r="D2435">
        <v>-1</v>
      </c>
      <c r="E2435">
        <v>-0.119907</v>
      </c>
      <c r="F2435">
        <v>-1</v>
      </c>
      <c r="G2435">
        <v>-0.119907</v>
      </c>
    </row>
    <row r="2436" spans="1:7">
      <c r="A2436" t="s">
        <v>144</v>
      </c>
      <c r="B2436">
        <v>38</v>
      </c>
      <c r="C2436">
        <v>10</v>
      </c>
      <c r="D2436">
        <v>-1</v>
      </c>
      <c r="E2436">
        <v>0.47172500000000001</v>
      </c>
      <c r="F2436">
        <v>-1</v>
      </c>
      <c r="G2436">
        <v>0.47172500000000001</v>
      </c>
    </row>
    <row r="2437" spans="1:7">
      <c r="A2437" t="s">
        <v>144</v>
      </c>
      <c r="B2437">
        <v>38</v>
      </c>
      <c r="C2437">
        <v>11</v>
      </c>
      <c r="D2437">
        <v>-1</v>
      </c>
      <c r="E2437">
        <v>0.50324999999999998</v>
      </c>
      <c r="F2437">
        <v>-1</v>
      </c>
      <c r="G2437">
        <v>0.50324999999999998</v>
      </c>
    </row>
    <row r="2438" spans="1:7">
      <c r="A2438" t="s">
        <v>144</v>
      </c>
      <c r="B2438">
        <v>38</v>
      </c>
      <c r="C2438">
        <v>12</v>
      </c>
      <c r="D2438">
        <v>-1</v>
      </c>
      <c r="E2438">
        <v>-0.98568699999999998</v>
      </c>
      <c r="F2438">
        <v>-1</v>
      </c>
      <c r="G2438">
        <v>-0.98568699999999998</v>
      </c>
    </row>
    <row r="2439" spans="1:7">
      <c r="A2439" t="s">
        <v>144</v>
      </c>
      <c r="B2439">
        <v>38</v>
      </c>
      <c r="C2439">
        <v>13</v>
      </c>
      <c r="D2439">
        <v>-1</v>
      </c>
      <c r="E2439">
        <v>-0.80620700000000001</v>
      </c>
      <c r="F2439">
        <v>-1</v>
      </c>
      <c r="G2439">
        <v>-0.80620700000000001</v>
      </c>
    </row>
    <row r="2440" spans="1:7">
      <c r="A2440" t="s">
        <v>144</v>
      </c>
      <c r="B2440">
        <v>38</v>
      </c>
      <c r="C2440">
        <v>14</v>
      </c>
      <c r="D2440">
        <v>-1</v>
      </c>
      <c r="E2440">
        <v>-0.72173200000000004</v>
      </c>
      <c r="F2440">
        <v>-1</v>
      </c>
      <c r="G2440">
        <v>-0.72173200000000004</v>
      </c>
    </row>
    <row r="2441" spans="1:7">
      <c r="A2441" t="s">
        <v>144</v>
      </c>
      <c r="B2441">
        <v>38</v>
      </c>
      <c r="C2441">
        <v>15</v>
      </c>
      <c r="D2441">
        <v>-1</v>
      </c>
      <c r="E2441">
        <v>0.74352200000000002</v>
      </c>
      <c r="F2441">
        <v>-1</v>
      </c>
      <c r="G2441">
        <v>0.74352200000000002</v>
      </c>
    </row>
    <row r="2442" spans="1:7">
      <c r="A2442" t="s">
        <v>144</v>
      </c>
      <c r="B2442">
        <v>38</v>
      </c>
      <c r="C2442">
        <v>16</v>
      </c>
      <c r="D2442">
        <v>-1</v>
      </c>
      <c r="E2442">
        <v>-1.2024E-2</v>
      </c>
      <c r="F2442">
        <v>-1</v>
      </c>
      <c r="G2442">
        <v>-1.2024E-2</v>
      </c>
    </row>
    <row r="2443" spans="1:7">
      <c r="A2443" t="s">
        <v>144</v>
      </c>
      <c r="B2443">
        <v>38</v>
      </c>
      <c r="C2443">
        <v>17</v>
      </c>
      <c r="D2443">
        <v>-1</v>
      </c>
      <c r="E2443">
        <v>0.399426</v>
      </c>
      <c r="F2443">
        <v>-1</v>
      </c>
      <c r="G2443">
        <v>0.399426</v>
      </c>
    </row>
    <row r="2444" spans="1:7">
      <c r="A2444" t="s">
        <v>144</v>
      </c>
      <c r="B2444">
        <v>38</v>
      </c>
      <c r="C2444">
        <v>18</v>
      </c>
      <c r="D2444">
        <v>-1</v>
      </c>
      <c r="E2444">
        <v>0.46754400000000002</v>
      </c>
      <c r="F2444">
        <v>-1</v>
      </c>
      <c r="G2444">
        <v>0.46754400000000002</v>
      </c>
    </row>
    <row r="2445" spans="1:7">
      <c r="A2445" t="s">
        <v>144</v>
      </c>
      <c r="B2445">
        <v>38</v>
      </c>
      <c r="C2445">
        <v>19</v>
      </c>
      <c r="D2445">
        <v>-1</v>
      </c>
      <c r="E2445">
        <v>-0.94515800000000005</v>
      </c>
      <c r="F2445">
        <v>-1</v>
      </c>
      <c r="G2445">
        <v>-0.94515800000000005</v>
      </c>
    </row>
    <row r="2446" spans="1:7">
      <c r="A2446" t="s">
        <v>144</v>
      </c>
      <c r="B2446">
        <v>38</v>
      </c>
      <c r="C2446">
        <v>20</v>
      </c>
      <c r="D2446">
        <v>-1</v>
      </c>
      <c r="E2446">
        <v>0.68459099999999995</v>
      </c>
      <c r="F2446">
        <v>-1</v>
      </c>
      <c r="G2446">
        <v>0.68459099999999995</v>
      </c>
    </row>
    <row r="2447" spans="1:7">
      <c r="A2447" t="s">
        <v>144</v>
      </c>
      <c r="B2447">
        <v>38</v>
      </c>
      <c r="C2447">
        <v>21</v>
      </c>
      <c r="D2447">
        <v>-1</v>
      </c>
      <c r="E2447">
        <v>-0.24878700000000001</v>
      </c>
      <c r="F2447">
        <v>-1</v>
      </c>
      <c r="G2447">
        <v>-0.24878700000000001</v>
      </c>
    </row>
    <row r="2448" spans="1:7">
      <c r="A2448" t="s">
        <v>144</v>
      </c>
      <c r="B2448">
        <v>38</v>
      </c>
      <c r="C2448">
        <v>22</v>
      </c>
      <c r="D2448">
        <v>-1</v>
      </c>
      <c r="E2448">
        <v>-0.98477099999999995</v>
      </c>
      <c r="F2448">
        <v>-1</v>
      </c>
      <c r="G2448">
        <v>-0.98477099999999995</v>
      </c>
    </row>
    <row r="2449" spans="1:7">
      <c r="A2449" t="s">
        <v>144</v>
      </c>
      <c r="B2449">
        <v>38</v>
      </c>
      <c r="C2449">
        <v>23</v>
      </c>
      <c r="D2449">
        <v>-1</v>
      </c>
      <c r="E2449">
        <v>-0.78417300000000001</v>
      </c>
      <c r="F2449">
        <v>-1</v>
      </c>
      <c r="G2449">
        <v>-0.78417300000000001</v>
      </c>
    </row>
    <row r="2450" spans="1:7">
      <c r="A2450" t="s">
        <v>144</v>
      </c>
      <c r="B2450">
        <v>38</v>
      </c>
      <c r="C2450">
        <v>24</v>
      </c>
      <c r="D2450">
        <v>-1</v>
      </c>
      <c r="E2450">
        <v>0.84438599999999997</v>
      </c>
      <c r="F2450">
        <v>-1</v>
      </c>
      <c r="G2450">
        <v>0.84438599999999997</v>
      </c>
    </row>
    <row r="2451" spans="1:7">
      <c r="A2451" t="s">
        <v>144</v>
      </c>
      <c r="B2451">
        <v>38</v>
      </c>
      <c r="C2451">
        <v>25</v>
      </c>
      <c r="D2451">
        <v>-1</v>
      </c>
      <c r="E2451">
        <v>-0.74465199999999998</v>
      </c>
      <c r="F2451">
        <v>-1</v>
      </c>
      <c r="G2451">
        <v>-0.74465199999999998</v>
      </c>
    </row>
    <row r="2452" spans="1:7">
      <c r="A2452" t="s">
        <v>144</v>
      </c>
      <c r="B2452">
        <v>38</v>
      </c>
      <c r="C2452">
        <v>26</v>
      </c>
      <c r="D2452">
        <v>-1</v>
      </c>
      <c r="E2452">
        <v>-0.16925599999999999</v>
      </c>
      <c r="F2452">
        <v>-1</v>
      </c>
      <c r="G2452">
        <v>-0.16925599999999999</v>
      </c>
    </row>
    <row r="2453" spans="1:7">
      <c r="A2453" t="s">
        <v>144</v>
      </c>
      <c r="B2453">
        <v>38</v>
      </c>
      <c r="C2453">
        <v>27</v>
      </c>
      <c r="D2453">
        <v>-1</v>
      </c>
      <c r="E2453">
        <v>0.76857799999999998</v>
      </c>
      <c r="F2453">
        <v>-1</v>
      </c>
      <c r="G2453">
        <v>0.76857799999999998</v>
      </c>
    </row>
    <row r="2454" spans="1:7">
      <c r="A2454" t="s">
        <v>144</v>
      </c>
      <c r="B2454">
        <v>38</v>
      </c>
      <c r="C2454">
        <v>28</v>
      </c>
      <c r="D2454">
        <v>-1</v>
      </c>
      <c r="E2454">
        <v>7.1931999999999996E-2</v>
      </c>
      <c r="F2454">
        <v>-1</v>
      </c>
      <c r="G2454">
        <v>7.1931999999999996E-2</v>
      </c>
    </row>
    <row r="2455" spans="1:7">
      <c r="A2455" t="s">
        <v>144</v>
      </c>
      <c r="B2455">
        <v>38</v>
      </c>
      <c r="C2455">
        <v>29</v>
      </c>
      <c r="D2455">
        <v>-1</v>
      </c>
      <c r="E2455">
        <v>0.18176800000000001</v>
      </c>
      <c r="F2455">
        <v>-1</v>
      </c>
      <c r="G2455">
        <v>0.18176800000000001</v>
      </c>
    </row>
    <row r="2456" spans="1:7">
      <c r="A2456" t="s">
        <v>144</v>
      </c>
      <c r="B2456">
        <v>38</v>
      </c>
      <c r="C2456">
        <v>30</v>
      </c>
      <c r="D2456">
        <v>-1</v>
      </c>
      <c r="E2456">
        <v>-0.30668099999999998</v>
      </c>
      <c r="F2456">
        <v>-1</v>
      </c>
      <c r="G2456">
        <v>-0.30668099999999998</v>
      </c>
    </row>
    <row r="2457" spans="1:7">
      <c r="A2457" t="s">
        <v>144</v>
      </c>
      <c r="B2457">
        <v>38</v>
      </c>
      <c r="C2457">
        <v>31</v>
      </c>
      <c r="D2457">
        <v>-1</v>
      </c>
      <c r="E2457">
        <v>-0.16440299999999999</v>
      </c>
      <c r="F2457">
        <v>-1</v>
      </c>
      <c r="G2457">
        <v>-0.16440299999999999</v>
      </c>
    </row>
    <row r="2458" spans="1:7">
      <c r="A2458" t="s">
        <v>144</v>
      </c>
      <c r="B2458">
        <v>38</v>
      </c>
      <c r="C2458">
        <v>32</v>
      </c>
      <c r="D2458">
        <v>-1</v>
      </c>
      <c r="E2458">
        <v>-1.9196000000000001E-2</v>
      </c>
      <c r="F2458">
        <v>-1</v>
      </c>
      <c r="G2458">
        <v>-1.9196000000000001E-2</v>
      </c>
    </row>
    <row r="2459" spans="1:7">
      <c r="A2459" t="s">
        <v>144</v>
      </c>
      <c r="B2459">
        <v>38</v>
      </c>
      <c r="C2459">
        <v>33</v>
      </c>
      <c r="D2459">
        <v>-1</v>
      </c>
      <c r="E2459">
        <v>-0.74758100000000005</v>
      </c>
      <c r="F2459">
        <v>-1</v>
      </c>
      <c r="G2459">
        <v>-0.74758100000000005</v>
      </c>
    </row>
    <row r="2460" spans="1:7">
      <c r="A2460" t="s">
        <v>144</v>
      </c>
      <c r="B2460">
        <v>38</v>
      </c>
      <c r="C2460">
        <v>34</v>
      </c>
      <c r="D2460">
        <v>-1</v>
      </c>
      <c r="E2460">
        <v>0.96697900000000003</v>
      </c>
      <c r="F2460">
        <v>-1</v>
      </c>
      <c r="G2460">
        <v>0.96697900000000003</v>
      </c>
    </row>
    <row r="2461" spans="1:7">
      <c r="A2461" t="s">
        <v>144</v>
      </c>
      <c r="B2461">
        <v>38</v>
      </c>
      <c r="C2461">
        <v>35</v>
      </c>
      <c r="D2461">
        <v>-1</v>
      </c>
      <c r="E2461">
        <v>-4.6387999999999999E-2</v>
      </c>
      <c r="F2461">
        <v>-1</v>
      </c>
      <c r="G2461">
        <v>-4.6387999999999999E-2</v>
      </c>
    </row>
    <row r="2462" spans="1:7">
      <c r="A2462" t="s">
        <v>144</v>
      </c>
      <c r="B2462">
        <v>38</v>
      </c>
      <c r="C2462">
        <v>36</v>
      </c>
      <c r="D2462">
        <v>-1</v>
      </c>
      <c r="E2462">
        <v>0.86651199999999995</v>
      </c>
      <c r="F2462">
        <v>-1</v>
      </c>
      <c r="G2462">
        <v>0.86651199999999995</v>
      </c>
    </row>
    <row r="2463" spans="1:7">
      <c r="A2463" t="s">
        <v>144</v>
      </c>
      <c r="B2463">
        <v>38</v>
      </c>
      <c r="C2463">
        <v>37</v>
      </c>
      <c r="D2463">
        <v>-1</v>
      </c>
      <c r="E2463">
        <v>0.635548</v>
      </c>
      <c r="F2463">
        <v>-1</v>
      </c>
      <c r="G2463">
        <v>0.635548</v>
      </c>
    </row>
    <row r="2464" spans="1:7">
      <c r="A2464" t="s">
        <v>144</v>
      </c>
      <c r="B2464">
        <v>38</v>
      </c>
      <c r="C2464">
        <v>38</v>
      </c>
      <c r="D2464">
        <v>-1</v>
      </c>
      <c r="E2464">
        <v>2.3834999999999999E-2</v>
      </c>
      <c r="F2464">
        <v>-1</v>
      </c>
      <c r="G2464">
        <v>2.3834999999999999E-2</v>
      </c>
    </row>
    <row r="2465" spans="1:7">
      <c r="A2465" t="s">
        <v>144</v>
      </c>
      <c r="B2465">
        <v>38</v>
      </c>
      <c r="C2465">
        <v>39</v>
      </c>
      <c r="D2465">
        <v>-1</v>
      </c>
      <c r="E2465">
        <v>0.473769</v>
      </c>
      <c r="F2465">
        <v>-1</v>
      </c>
      <c r="G2465">
        <v>0.473769</v>
      </c>
    </row>
    <row r="2466" spans="1:7">
      <c r="A2466" t="s">
        <v>144</v>
      </c>
      <c r="B2466">
        <v>38</v>
      </c>
      <c r="C2466">
        <v>40</v>
      </c>
      <c r="D2466">
        <v>-1</v>
      </c>
      <c r="E2466">
        <v>-0.90463000000000005</v>
      </c>
      <c r="F2466">
        <v>-1</v>
      </c>
      <c r="G2466">
        <v>-0.90463000000000005</v>
      </c>
    </row>
    <row r="2467" spans="1:7">
      <c r="A2467" t="s">
        <v>144</v>
      </c>
      <c r="B2467">
        <v>38</v>
      </c>
      <c r="C2467">
        <v>41</v>
      </c>
      <c r="D2467">
        <v>-1</v>
      </c>
      <c r="E2467">
        <v>0.28333399999999997</v>
      </c>
      <c r="F2467">
        <v>-1</v>
      </c>
      <c r="G2467">
        <v>0.28333399999999997</v>
      </c>
    </row>
    <row r="2468" spans="1:7">
      <c r="A2468" t="s">
        <v>144</v>
      </c>
      <c r="B2468">
        <v>38</v>
      </c>
      <c r="C2468">
        <v>42</v>
      </c>
      <c r="D2468">
        <v>-1</v>
      </c>
      <c r="E2468">
        <v>-0.79949300000000001</v>
      </c>
      <c r="F2468">
        <v>-1</v>
      </c>
      <c r="G2468">
        <v>-0.79949300000000001</v>
      </c>
    </row>
    <row r="2469" spans="1:7">
      <c r="A2469" t="s">
        <v>144</v>
      </c>
      <c r="B2469">
        <v>38</v>
      </c>
      <c r="C2469">
        <v>43</v>
      </c>
      <c r="D2469">
        <v>-1</v>
      </c>
      <c r="E2469">
        <v>-0.79100899999999996</v>
      </c>
      <c r="F2469">
        <v>-1</v>
      </c>
      <c r="G2469">
        <v>-0.79100899999999996</v>
      </c>
    </row>
    <row r="2470" spans="1:7">
      <c r="A2470" t="s">
        <v>144</v>
      </c>
      <c r="B2470">
        <v>38</v>
      </c>
      <c r="C2470">
        <v>44</v>
      </c>
      <c r="D2470">
        <v>-1</v>
      </c>
      <c r="E2470">
        <v>0.24188999999999999</v>
      </c>
      <c r="F2470">
        <v>-1</v>
      </c>
      <c r="G2470">
        <v>0.24188999999999999</v>
      </c>
    </row>
    <row r="2471" spans="1:7">
      <c r="A2471" t="s">
        <v>144</v>
      </c>
      <c r="B2471">
        <v>38</v>
      </c>
      <c r="C2471">
        <v>45</v>
      </c>
      <c r="D2471">
        <v>-1</v>
      </c>
      <c r="E2471">
        <v>-0.736259</v>
      </c>
      <c r="F2471">
        <v>-1</v>
      </c>
      <c r="G2471">
        <v>-0.736259</v>
      </c>
    </row>
    <row r="2472" spans="1:7">
      <c r="A2472" t="s">
        <v>144</v>
      </c>
      <c r="B2472">
        <v>38</v>
      </c>
      <c r="C2472">
        <v>46</v>
      </c>
      <c r="D2472">
        <v>-1</v>
      </c>
      <c r="E2472">
        <v>0.333872</v>
      </c>
      <c r="F2472">
        <v>-1</v>
      </c>
      <c r="G2472">
        <v>0.333872</v>
      </c>
    </row>
    <row r="2473" spans="1:7">
      <c r="A2473" t="s">
        <v>144</v>
      </c>
      <c r="B2473">
        <v>38</v>
      </c>
      <c r="C2473">
        <v>47</v>
      </c>
      <c r="D2473">
        <v>-1</v>
      </c>
      <c r="E2473">
        <v>-5.3651999999999998E-2</v>
      </c>
      <c r="F2473">
        <v>-1</v>
      </c>
      <c r="G2473">
        <v>-5.3651999999999998E-2</v>
      </c>
    </row>
    <row r="2474" spans="1:7">
      <c r="A2474" t="s">
        <v>144</v>
      </c>
      <c r="B2474">
        <v>38</v>
      </c>
      <c r="C2474">
        <v>48</v>
      </c>
      <c r="D2474">
        <v>-1</v>
      </c>
      <c r="E2474">
        <v>0.63624999999999998</v>
      </c>
      <c r="F2474">
        <v>-1</v>
      </c>
      <c r="G2474">
        <v>0.63624999999999998</v>
      </c>
    </row>
    <row r="2475" spans="1:7">
      <c r="A2475" t="s">
        <v>144</v>
      </c>
      <c r="B2475">
        <v>38</v>
      </c>
      <c r="C2475">
        <v>49</v>
      </c>
      <c r="D2475">
        <v>-1</v>
      </c>
      <c r="E2475">
        <v>0.13528899999999999</v>
      </c>
      <c r="F2475">
        <v>-1</v>
      </c>
      <c r="G2475">
        <v>0.13528899999999999</v>
      </c>
    </row>
    <row r="2476" spans="1:7">
      <c r="A2476" t="s">
        <v>144</v>
      </c>
      <c r="B2476" t="s">
        <v>145</v>
      </c>
      <c r="C2476">
        <v>39</v>
      </c>
    </row>
    <row r="2477" spans="1:7">
      <c r="A2477" t="s">
        <v>144</v>
      </c>
      <c r="B2477" t="s">
        <v>146</v>
      </c>
      <c r="C2477">
        <v>70</v>
      </c>
    </row>
    <row r="2478" spans="1:7">
      <c r="A2478" t="s">
        <v>144</v>
      </c>
      <c r="B2478" t="s">
        <v>147</v>
      </c>
      <c r="C2478">
        <v>70</v>
      </c>
    </row>
    <row r="2479" spans="1:7">
      <c r="A2479" t="s">
        <v>144</v>
      </c>
      <c r="B2479" t="s">
        <v>148</v>
      </c>
      <c r="C2479">
        <v>0.17627499999999999</v>
      </c>
    </row>
    <row r="2480" spans="1:7">
      <c r="A2480" t="s">
        <v>144</v>
      </c>
      <c r="B2480" t="s">
        <v>149</v>
      </c>
      <c r="C2480">
        <v>0.17627499999999999</v>
      </c>
    </row>
    <row r="2481" spans="1:7">
      <c r="A2481" t="s">
        <v>144</v>
      </c>
      <c r="B2481" t="s">
        <v>150</v>
      </c>
      <c r="C2481">
        <v>-1</v>
      </c>
    </row>
    <row r="2482" spans="1:7">
      <c r="A2482" t="s">
        <v>144</v>
      </c>
      <c r="B2482" t="s">
        <v>151</v>
      </c>
      <c r="C2482">
        <v>-1</v>
      </c>
    </row>
    <row r="2483" spans="1:7">
      <c r="A2483" t="s">
        <v>144</v>
      </c>
      <c r="B2483" t="s">
        <v>152</v>
      </c>
      <c r="C2483">
        <v>11</v>
      </c>
    </row>
    <row r="2484" spans="1:7">
      <c r="A2484" t="s">
        <v>144</v>
      </c>
      <c r="B2484" t="s">
        <v>153</v>
      </c>
      <c r="C2484">
        <v>11</v>
      </c>
    </row>
    <row r="2485" spans="1:7">
      <c r="A2485" t="s">
        <v>144</v>
      </c>
      <c r="B2485" t="s">
        <v>154</v>
      </c>
      <c r="C2485">
        <v>0</v>
      </c>
    </row>
    <row r="2486" spans="1:7">
      <c r="A2486" t="s">
        <v>144</v>
      </c>
      <c r="B2486" t="s">
        <v>155</v>
      </c>
    </row>
    <row r="2487" spans="1:7">
      <c r="A2487" t="s">
        <v>144</v>
      </c>
      <c r="B2487" t="s">
        <v>150</v>
      </c>
      <c r="C2487">
        <v>0.21674199999999999</v>
      </c>
    </row>
    <row r="2488" spans="1:7">
      <c r="A2488" t="s">
        <v>144</v>
      </c>
      <c r="B2488" t="s">
        <v>151</v>
      </c>
      <c r="C2488">
        <v>0.21674199999999999</v>
      </c>
    </row>
    <row r="2489" spans="1:7">
      <c r="A2489" t="s">
        <v>144</v>
      </c>
      <c r="B2489" t="s">
        <v>156</v>
      </c>
      <c r="C2489" t="s">
        <v>157</v>
      </c>
      <c r="D2489" t="s">
        <v>63</v>
      </c>
      <c r="E2489" t="s">
        <v>158</v>
      </c>
      <c r="F2489" t="s">
        <v>159</v>
      </c>
      <c r="G2489" t="s">
        <v>160</v>
      </c>
    </row>
    <row r="2490" spans="1:7">
      <c r="A2490" t="s">
        <v>144</v>
      </c>
      <c r="B2490">
        <v>39</v>
      </c>
      <c r="C2490">
        <v>0</v>
      </c>
      <c r="D2490">
        <v>0.21674199999999999</v>
      </c>
      <c r="E2490">
        <v>-0.21262200000000001</v>
      </c>
      <c r="F2490">
        <v>-1</v>
      </c>
      <c r="G2490">
        <v>-0.21262200000000001</v>
      </c>
    </row>
    <row r="2491" spans="1:7">
      <c r="A2491" t="s">
        <v>144</v>
      </c>
      <c r="B2491">
        <v>39</v>
      </c>
      <c r="C2491">
        <v>1</v>
      </c>
      <c r="D2491">
        <v>0.21674199999999999</v>
      </c>
      <c r="E2491">
        <v>-0.5927</v>
      </c>
      <c r="F2491">
        <v>-1</v>
      </c>
      <c r="G2491">
        <v>-0.5927</v>
      </c>
    </row>
    <row r="2492" spans="1:7">
      <c r="A2492" t="s">
        <v>144</v>
      </c>
      <c r="B2492">
        <v>39</v>
      </c>
      <c r="C2492">
        <v>2</v>
      </c>
      <c r="D2492">
        <v>0.21674199999999999</v>
      </c>
      <c r="E2492">
        <v>-0.43345400000000001</v>
      </c>
      <c r="F2492">
        <v>-1</v>
      </c>
      <c r="G2492">
        <v>-0.43345400000000001</v>
      </c>
    </row>
    <row r="2493" spans="1:7">
      <c r="A2493" t="s">
        <v>144</v>
      </c>
      <c r="B2493">
        <v>39</v>
      </c>
      <c r="C2493">
        <v>3</v>
      </c>
      <c r="D2493">
        <v>0.21674199999999999</v>
      </c>
      <c r="E2493">
        <v>-0.286966</v>
      </c>
      <c r="F2493">
        <v>-1</v>
      </c>
      <c r="G2493">
        <v>-0.286966</v>
      </c>
    </row>
    <row r="2494" spans="1:7">
      <c r="A2494" t="s">
        <v>144</v>
      </c>
      <c r="B2494">
        <v>39</v>
      </c>
      <c r="C2494">
        <v>4</v>
      </c>
      <c r="D2494">
        <v>0.21674199999999999</v>
      </c>
      <c r="E2494">
        <v>-8.3101999999999995E-2</v>
      </c>
      <c r="F2494">
        <v>-1</v>
      </c>
      <c r="G2494">
        <v>-8.3101999999999995E-2</v>
      </c>
    </row>
    <row r="2495" spans="1:7">
      <c r="A2495" t="s">
        <v>144</v>
      </c>
      <c r="B2495">
        <v>39</v>
      </c>
      <c r="C2495">
        <v>5</v>
      </c>
      <c r="D2495">
        <v>0.21674199999999999</v>
      </c>
      <c r="E2495">
        <v>-9.4454999999999997E-2</v>
      </c>
      <c r="F2495">
        <v>-1</v>
      </c>
      <c r="G2495">
        <v>-9.4454999999999997E-2</v>
      </c>
    </row>
    <row r="2496" spans="1:7">
      <c r="A2496" t="s">
        <v>144</v>
      </c>
      <c r="B2496">
        <v>39</v>
      </c>
      <c r="C2496">
        <v>6</v>
      </c>
      <c r="D2496">
        <v>0.21674199999999999</v>
      </c>
      <c r="E2496">
        <v>0.159886</v>
      </c>
      <c r="F2496">
        <v>-1</v>
      </c>
      <c r="G2496">
        <v>0.159886</v>
      </c>
    </row>
    <row r="2497" spans="1:7">
      <c r="A2497" t="s">
        <v>144</v>
      </c>
      <c r="B2497">
        <v>39</v>
      </c>
      <c r="C2497">
        <v>7</v>
      </c>
      <c r="D2497">
        <v>0.21674199999999999</v>
      </c>
      <c r="E2497">
        <v>0.54780700000000004</v>
      </c>
      <c r="F2497">
        <v>-1</v>
      </c>
      <c r="G2497">
        <v>0.54780700000000004</v>
      </c>
    </row>
    <row r="2498" spans="1:7">
      <c r="A2498" t="s">
        <v>144</v>
      </c>
      <c r="B2498">
        <v>39</v>
      </c>
      <c r="C2498">
        <v>8</v>
      </c>
      <c r="D2498">
        <v>0.21674199999999999</v>
      </c>
      <c r="E2498">
        <v>0.38877499999999998</v>
      </c>
      <c r="F2498">
        <v>-1</v>
      </c>
      <c r="G2498">
        <v>0.38877499999999998</v>
      </c>
    </row>
    <row r="2499" spans="1:7">
      <c r="A2499" t="s">
        <v>144</v>
      </c>
      <c r="B2499">
        <v>39</v>
      </c>
      <c r="C2499">
        <v>9</v>
      </c>
      <c r="D2499">
        <v>0.21674199999999999</v>
      </c>
      <c r="E2499">
        <v>-0.54756300000000002</v>
      </c>
      <c r="F2499">
        <v>-1</v>
      </c>
      <c r="G2499">
        <v>-0.54756300000000002</v>
      </c>
    </row>
    <row r="2500" spans="1:7">
      <c r="A2500" t="s">
        <v>144</v>
      </c>
      <c r="B2500">
        <v>39</v>
      </c>
      <c r="C2500">
        <v>10</v>
      </c>
      <c r="D2500">
        <v>0.21674199999999999</v>
      </c>
      <c r="E2500">
        <v>0.25809500000000002</v>
      </c>
      <c r="F2500">
        <v>-1</v>
      </c>
      <c r="G2500">
        <v>0.25809500000000002</v>
      </c>
    </row>
    <row r="2501" spans="1:7">
      <c r="A2501" t="s">
        <v>144</v>
      </c>
      <c r="B2501">
        <v>39</v>
      </c>
      <c r="C2501">
        <v>11</v>
      </c>
      <c r="D2501">
        <v>0.21674199999999999</v>
      </c>
      <c r="E2501">
        <v>0.94268600000000002</v>
      </c>
      <c r="F2501">
        <v>0.14651900000000001</v>
      </c>
      <c r="G2501">
        <v>0.31908300000000001</v>
      </c>
    </row>
    <row r="2502" spans="1:7">
      <c r="A2502" t="s">
        <v>144</v>
      </c>
      <c r="B2502">
        <v>39</v>
      </c>
      <c r="C2502">
        <v>12</v>
      </c>
      <c r="D2502">
        <v>0.21674199999999999</v>
      </c>
      <c r="E2502">
        <v>-0.49571199999999999</v>
      </c>
      <c r="F2502">
        <v>0.28598899999999999</v>
      </c>
      <c r="G2502">
        <v>0.116561</v>
      </c>
    </row>
    <row r="2503" spans="1:7">
      <c r="A2503" t="s">
        <v>144</v>
      </c>
      <c r="B2503">
        <v>39</v>
      </c>
      <c r="C2503">
        <v>13</v>
      </c>
      <c r="D2503">
        <v>0.21674199999999999</v>
      </c>
      <c r="E2503">
        <v>-6.6407999999999995E-2</v>
      </c>
      <c r="F2503">
        <v>0.49031000000000002</v>
      </c>
      <c r="G2503">
        <v>0.36964599999999997</v>
      </c>
    </row>
    <row r="2504" spans="1:7">
      <c r="A2504" t="s">
        <v>144</v>
      </c>
      <c r="B2504">
        <v>39</v>
      </c>
      <c r="C2504">
        <v>14</v>
      </c>
      <c r="D2504">
        <v>0.21674199999999999</v>
      </c>
      <c r="E2504">
        <v>-0.14096500000000001</v>
      </c>
      <c r="F2504">
        <v>0.155858</v>
      </c>
      <c r="G2504">
        <v>9.1523999999999994E-2</v>
      </c>
    </row>
    <row r="2505" spans="1:7">
      <c r="A2505" t="s">
        <v>144</v>
      </c>
      <c r="B2505">
        <v>39</v>
      </c>
      <c r="C2505">
        <v>15</v>
      </c>
      <c r="D2505">
        <v>0.21674199999999999</v>
      </c>
      <c r="E2505">
        <v>0.63344199999999995</v>
      </c>
      <c r="F2505">
        <v>-0.15268399999999999</v>
      </c>
      <c r="G2505">
        <v>1.7703E-2</v>
      </c>
    </row>
    <row r="2506" spans="1:7">
      <c r="A2506" t="s">
        <v>144</v>
      </c>
      <c r="B2506">
        <v>39</v>
      </c>
      <c r="C2506">
        <v>16</v>
      </c>
      <c r="D2506">
        <v>0.21674199999999999</v>
      </c>
      <c r="E2506">
        <v>0.868618</v>
      </c>
      <c r="F2506">
        <v>-0.28193000000000001</v>
      </c>
      <c r="G2506">
        <v>-3.2557000000000003E-2</v>
      </c>
    </row>
    <row r="2507" spans="1:7">
      <c r="A2507" t="s">
        <v>144</v>
      </c>
      <c r="B2507">
        <v>39</v>
      </c>
      <c r="C2507">
        <v>17</v>
      </c>
      <c r="D2507">
        <v>0.21674199999999999</v>
      </c>
      <c r="E2507">
        <v>0.90435500000000002</v>
      </c>
      <c r="F2507">
        <v>0.74651299999999998</v>
      </c>
      <c r="G2507">
        <v>0.78072399999999997</v>
      </c>
    </row>
    <row r="2508" spans="1:7">
      <c r="A2508" t="s">
        <v>144</v>
      </c>
      <c r="B2508">
        <v>39</v>
      </c>
      <c r="C2508">
        <v>18</v>
      </c>
      <c r="D2508">
        <v>0.21674199999999999</v>
      </c>
      <c r="E2508">
        <v>-0.72066399999999997</v>
      </c>
      <c r="F2508">
        <v>0.54817300000000002</v>
      </c>
      <c r="G2508">
        <v>0.27316299999999999</v>
      </c>
    </row>
    <row r="2509" spans="1:7">
      <c r="A2509" t="s">
        <v>144</v>
      </c>
      <c r="B2509">
        <v>39</v>
      </c>
      <c r="C2509">
        <v>19</v>
      </c>
      <c r="D2509">
        <v>0.21674199999999999</v>
      </c>
      <c r="E2509">
        <v>0.52433799999999997</v>
      </c>
      <c r="F2509">
        <v>0.54100199999999998</v>
      </c>
      <c r="G2509">
        <v>0.53739000000000003</v>
      </c>
    </row>
    <row r="2510" spans="1:7">
      <c r="A2510" t="s">
        <v>144</v>
      </c>
      <c r="B2510">
        <v>39</v>
      </c>
      <c r="C2510">
        <v>20</v>
      </c>
      <c r="D2510">
        <v>0.21674199999999999</v>
      </c>
      <c r="E2510">
        <v>-0.90310400000000002</v>
      </c>
      <c r="F2510">
        <v>-0.199072</v>
      </c>
      <c r="G2510">
        <v>-0.35166599999999998</v>
      </c>
    </row>
    <row r="2511" spans="1:7">
      <c r="A2511" t="s">
        <v>144</v>
      </c>
      <c r="B2511">
        <v>39</v>
      </c>
      <c r="C2511">
        <v>21</v>
      </c>
      <c r="D2511">
        <v>0.21674199999999999</v>
      </c>
      <c r="E2511">
        <v>0.94164899999999996</v>
      </c>
      <c r="F2511">
        <v>0.12845200000000001</v>
      </c>
      <c r="G2511">
        <v>0.30470700000000001</v>
      </c>
    </row>
    <row r="2512" spans="1:7">
      <c r="A2512" t="s">
        <v>144</v>
      </c>
      <c r="B2512">
        <v>39</v>
      </c>
      <c r="C2512">
        <v>22</v>
      </c>
      <c r="D2512">
        <v>0.21674199999999999</v>
      </c>
      <c r="E2512">
        <v>0.80294200000000004</v>
      </c>
      <c r="F2512">
        <v>8.9328000000000005E-2</v>
      </c>
      <c r="G2512">
        <v>0.24399799999999999</v>
      </c>
    </row>
    <row r="2513" spans="1:7">
      <c r="A2513" t="s">
        <v>144</v>
      </c>
      <c r="B2513">
        <v>39</v>
      </c>
      <c r="C2513">
        <v>23</v>
      </c>
      <c r="D2513">
        <v>0.21674199999999999</v>
      </c>
      <c r="E2513">
        <v>-0.812616</v>
      </c>
      <c r="F2513">
        <v>-0.92086500000000004</v>
      </c>
      <c r="G2513">
        <v>-0.89740299999999995</v>
      </c>
    </row>
    <row r="2514" spans="1:7">
      <c r="A2514" t="s">
        <v>144</v>
      </c>
      <c r="B2514">
        <v>39</v>
      </c>
      <c r="C2514">
        <v>24</v>
      </c>
      <c r="D2514">
        <v>0.21674199999999999</v>
      </c>
      <c r="E2514">
        <v>-0.88250399999999996</v>
      </c>
      <c r="F2514">
        <v>0.40418700000000002</v>
      </c>
      <c r="G2514">
        <v>0.125307</v>
      </c>
    </row>
    <row r="2515" spans="1:7">
      <c r="A2515" t="s">
        <v>144</v>
      </c>
      <c r="B2515">
        <v>39</v>
      </c>
      <c r="C2515">
        <v>25</v>
      </c>
      <c r="D2515">
        <v>0.21674199999999999</v>
      </c>
      <c r="E2515">
        <v>-0.29898999999999998</v>
      </c>
      <c r="F2515">
        <v>0.88283900000000004</v>
      </c>
      <c r="G2515">
        <v>0.62668699999999999</v>
      </c>
    </row>
    <row r="2516" spans="1:7">
      <c r="A2516" t="s">
        <v>144</v>
      </c>
      <c r="B2516">
        <v>39</v>
      </c>
      <c r="C2516">
        <v>26</v>
      </c>
      <c r="D2516">
        <v>0.21674199999999999</v>
      </c>
      <c r="E2516">
        <v>0.60673900000000003</v>
      </c>
      <c r="F2516">
        <v>0.50660700000000003</v>
      </c>
      <c r="G2516">
        <v>0.52830999999999995</v>
      </c>
    </row>
    <row r="2517" spans="1:7">
      <c r="A2517" t="s">
        <v>144</v>
      </c>
      <c r="B2517">
        <v>39</v>
      </c>
      <c r="C2517">
        <v>27</v>
      </c>
      <c r="D2517">
        <v>0.21674199999999999</v>
      </c>
      <c r="E2517">
        <v>-0.66441799999999995</v>
      </c>
      <c r="F2517">
        <v>-0.40748299999999998</v>
      </c>
      <c r="G2517">
        <v>-0.46317199999999997</v>
      </c>
    </row>
    <row r="2518" spans="1:7">
      <c r="A2518" t="s">
        <v>144</v>
      </c>
      <c r="B2518">
        <v>39</v>
      </c>
      <c r="C2518">
        <v>28</v>
      </c>
      <c r="D2518">
        <v>0.21674199999999999</v>
      </c>
      <c r="E2518">
        <v>6.003E-2</v>
      </c>
      <c r="F2518">
        <v>-6.7933999999999994E-2</v>
      </c>
      <c r="G2518">
        <v>-4.0198999999999999E-2</v>
      </c>
    </row>
    <row r="2519" spans="1:7">
      <c r="A2519" t="s">
        <v>144</v>
      </c>
      <c r="B2519">
        <v>39</v>
      </c>
      <c r="C2519">
        <v>29</v>
      </c>
      <c r="D2519">
        <v>0.21674199999999999</v>
      </c>
      <c r="E2519">
        <v>7.5686000000000003E-2</v>
      </c>
      <c r="F2519">
        <v>0.74065400000000003</v>
      </c>
      <c r="G2519">
        <v>0.59652700000000003</v>
      </c>
    </row>
    <row r="2520" spans="1:7">
      <c r="A2520" t="s">
        <v>144</v>
      </c>
      <c r="B2520">
        <v>39</v>
      </c>
      <c r="C2520">
        <v>30</v>
      </c>
      <c r="D2520">
        <v>0.21674199999999999</v>
      </c>
      <c r="E2520">
        <v>-0.40882600000000002</v>
      </c>
      <c r="F2520">
        <v>-0.13766900000000001</v>
      </c>
      <c r="G2520">
        <v>-0.19644</v>
      </c>
    </row>
    <row r="2521" spans="1:7">
      <c r="A2521" t="s">
        <v>144</v>
      </c>
      <c r="B2521">
        <v>39</v>
      </c>
      <c r="C2521">
        <v>31</v>
      </c>
      <c r="D2521">
        <v>0.21674199999999999</v>
      </c>
      <c r="E2521">
        <v>-1.5564E-2</v>
      </c>
      <c r="F2521">
        <v>-0.86050000000000004</v>
      </c>
      <c r="G2521">
        <v>-0.67736700000000005</v>
      </c>
    </row>
    <row r="2522" spans="1:7">
      <c r="A2522" t="s">
        <v>144</v>
      </c>
      <c r="B2522">
        <v>39</v>
      </c>
      <c r="C2522">
        <v>32</v>
      </c>
      <c r="D2522">
        <v>0.21674199999999999</v>
      </c>
      <c r="E2522">
        <v>0.86587099999999995</v>
      </c>
      <c r="F2522">
        <v>-0.309305</v>
      </c>
      <c r="G2522">
        <v>-5.4594999999999998E-2</v>
      </c>
    </row>
    <row r="2523" spans="1:7">
      <c r="A2523" t="s">
        <v>144</v>
      </c>
      <c r="B2523">
        <v>39</v>
      </c>
      <c r="C2523">
        <v>33</v>
      </c>
      <c r="D2523">
        <v>0.21674199999999999</v>
      </c>
      <c r="E2523">
        <v>-0.21304999999999999</v>
      </c>
      <c r="F2523">
        <v>-0.218329</v>
      </c>
      <c r="G2523">
        <v>-0.21718499999999999</v>
      </c>
    </row>
    <row r="2524" spans="1:7">
      <c r="A2524" t="s">
        <v>144</v>
      </c>
      <c r="B2524">
        <v>39</v>
      </c>
      <c r="C2524">
        <v>34</v>
      </c>
      <c r="D2524">
        <v>0.21674199999999999</v>
      </c>
      <c r="E2524">
        <v>0.31314999999999998</v>
      </c>
      <c r="F2524">
        <v>0.63774500000000001</v>
      </c>
      <c r="G2524">
        <v>0.56739200000000001</v>
      </c>
    </row>
    <row r="2525" spans="1:7">
      <c r="A2525" t="s">
        <v>144</v>
      </c>
      <c r="B2525">
        <v>39</v>
      </c>
      <c r="C2525">
        <v>35</v>
      </c>
      <c r="D2525">
        <v>0.21674199999999999</v>
      </c>
      <c r="E2525">
        <v>-0.49736000000000002</v>
      </c>
      <c r="F2525">
        <v>0.24704699999999999</v>
      </c>
      <c r="G2525">
        <v>8.5703000000000001E-2</v>
      </c>
    </row>
    <row r="2526" spans="1:7">
      <c r="A2526" t="s">
        <v>144</v>
      </c>
      <c r="B2526">
        <v>39</v>
      </c>
      <c r="C2526">
        <v>36</v>
      </c>
      <c r="D2526">
        <v>0.21674199999999999</v>
      </c>
      <c r="E2526">
        <v>0.238929</v>
      </c>
      <c r="F2526">
        <v>-0.46522400000000003</v>
      </c>
      <c r="G2526">
        <v>-0.31260399999999999</v>
      </c>
    </row>
    <row r="2527" spans="1:7">
      <c r="A2527" t="s">
        <v>144</v>
      </c>
      <c r="B2527">
        <v>39</v>
      </c>
      <c r="C2527">
        <v>37</v>
      </c>
      <c r="D2527">
        <v>0.21674199999999999</v>
      </c>
      <c r="E2527">
        <v>0.482437</v>
      </c>
      <c r="F2527">
        <v>4.3305999999999997E-2</v>
      </c>
      <c r="G2527">
        <v>0.138484</v>
      </c>
    </row>
    <row r="2528" spans="1:7">
      <c r="A2528" t="s">
        <v>144</v>
      </c>
      <c r="B2528">
        <v>39</v>
      </c>
      <c r="C2528">
        <v>38</v>
      </c>
      <c r="D2528">
        <v>0.21674199999999999</v>
      </c>
      <c r="E2528">
        <v>0.14554300000000001</v>
      </c>
      <c r="F2528">
        <v>-0.81154800000000005</v>
      </c>
      <c r="G2528">
        <v>-0.60410600000000003</v>
      </c>
    </row>
    <row r="2529" spans="1:7">
      <c r="A2529" t="s">
        <v>144</v>
      </c>
      <c r="B2529">
        <v>39</v>
      </c>
      <c r="C2529">
        <v>39</v>
      </c>
      <c r="D2529">
        <v>0.21674199999999999</v>
      </c>
      <c r="E2529">
        <v>-0.48722799999999999</v>
      </c>
      <c r="F2529">
        <v>0.13003899999999999</v>
      </c>
      <c r="G2529">
        <v>-3.7490000000000002E-3</v>
      </c>
    </row>
    <row r="2530" spans="1:7">
      <c r="A2530" t="s">
        <v>144</v>
      </c>
      <c r="B2530">
        <v>39</v>
      </c>
      <c r="C2530">
        <v>40</v>
      </c>
      <c r="D2530">
        <v>0.21674199999999999</v>
      </c>
      <c r="E2530">
        <v>8.4262000000000004E-2</v>
      </c>
      <c r="F2530">
        <v>0.48499999999999999</v>
      </c>
      <c r="G2530">
        <v>0.39814300000000002</v>
      </c>
    </row>
    <row r="2531" spans="1:7">
      <c r="A2531" t="s">
        <v>144</v>
      </c>
      <c r="B2531">
        <v>39</v>
      </c>
      <c r="C2531">
        <v>41</v>
      </c>
      <c r="D2531">
        <v>0.21674199999999999</v>
      </c>
      <c r="E2531">
        <v>0.59883399999999998</v>
      </c>
      <c r="F2531">
        <v>-0.70488600000000001</v>
      </c>
      <c r="G2531">
        <v>-0.42231400000000002</v>
      </c>
    </row>
    <row r="2532" spans="1:7">
      <c r="A2532" t="s">
        <v>144</v>
      </c>
      <c r="B2532">
        <v>39</v>
      </c>
      <c r="C2532">
        <v>42</v>
      </c>
      <c r="D2532">
        <v>0.21674199999999999</v>
      </c>
      <c r="E2532">
        <v>-0.473159</v>
      </c>
      <c r="F2532">
        <v>0.57035999999999998</v>
      </c>
      <c r="G2532">
        <v>0.34418500000000002</v>
      </c>
    </row>
    <row r="2533" spans="1:7">
      <c r="A2533" t="s">
        <v>144</v>
      </c>
      <c r="B2533">
        <v>39</v>
      </c>
      <c r="C2533">
        <v>43</v>
      </c>
      <c r="D2533">
        <v>0.21674199999999999</v>
      </c>
      <c r="E2533">
        <v>0.28458499999999998</v>
      </c>
      <c r="F2533">
        <v>-0.28153299999999998</v>
      </c>
      <c r="G2533">
        <v>-0.158831</v>
      </c>
    </row>
    <row r="2534" spans="1:7">
      <c r="A2534" t="s">
        <v>144</v>
      </c>
      <c r="B2534">
        <v>39</v>
      </c>
      <c r="C2534">
        <v>44</v>
      </c>
      <c r="D2534">
        <v>0.21674199999999999</v>
      </c>
      <c r="E2534">
        <v>-0.85476200000000002</v>
      </c>
      <c r="F2534">
        <v>0.449934</v>
      </c>
      <c r="G2534">
        <v>0.16715099999999999</v>
      </c>
    </row>
    <row r="2535" spans="1:7">
      <c r="A2535" t="s">
        <v>144</v>
      </c>
      <c r="B2535">
        <v>39</v>
      </c>
      <c r="C2535">
        <v>45</v>
      </c>
      <c r="D2535">
        <v>0.21674199999999999</v>
      </c>
      <c r="E2535">
        <v>0.45890700000000001</v>
      </c>
      <c r="F2535">
        <v>0.129887</v>
      </c>
      <c r="G2535">
        <v>0.20119899999999999</v>
      </c>
    </row>
    <row r="2536" spans="1:7">
      <c r="A2536" t="s">
        <v>144</v>
      </c>
      <c r="B2536">
        <v>39</v>
      </c>
      <c r="C2536">
        <v>46</v>
      </c>
      <c r="D2536">
        <v>0.21674199999999999</v>
      </c>
      <c r="E2536">
        <v>-0.74895500000000004</v>
      </c>
      <c r="F2536">
        <v>-1.413E-2</v>
      </c>
      <c r="G2536">
        <v>-0.173398</v>
      </c>
    </row>
    <row r="2537" spans="1:7">
      <c r="A2537" t="s">
        <v>144</v>
      </c>
      <c r="B2537">
        <v>39</v>
      </c>
      <c r="C2537">
        <v>47</v>
      </c>
      <c r="D2537">
        <v>0.21674199999999999</v>
      </c>
      <c r="E2537">
        <v>-0.41169499999999998</v>
      </c>
      <c r="F2537">
        <v>-0.42100300000000002</v>
      </c>
      <c r="G2537">
        <v>-0.418985</v>
      </c>
    </row>
    <row r="2538" spans="1:7">
      <c r="A2538" t="s">
        <v>144</v>
      </c>
      <c r="B2538">
        <v>39</v>
      </c>
      <c r="C2538">
        <v>48</v>
      </c>
      <c r="D2538">
        <v>0.21674199999999999</v>
      </c>
      <c r="E2538">
        <v>-0.25830900000000001</v>
      </c>
      <c r="F2538">
        <v>-0.21778</v>
      </c>
      <c r="G2538">
        <v>-0.22656399999999999</v>
      </c>
    </row>
    <row r="2539" spans="1:7">
      <c r="A2539" t="s">
        <v>144</v>
      </c>
      <c r="B2539">
        <v>39</v>
      </c>
      <c r="C2539">
        <v>49</v>
      </c>
      <c r="D2539">
        <v>0.21674199999999999</v>
      </c>
      <c r="E2539">
        <v>0.50434900000000005</v>
      </c>
      <c r="F2539">
        <v>0.48368800000000001</v>
      </c>
      <c r="G2539">
        <v>0.48816599999999999</v>
      </c>
    </row>
    <row r="2540" spans="1:7">
      <c r="A2540" t="s">
        <v>144</v>
      </c>
      <c r="B2540" t="s">
        <v>145</v>
      </c>
      <c r="C2540">
        <v>40</v>
      </c>
    </row>
    <row r="2541" spans="1:7">
      <c r="A2541" t="s">
        <v>144</v>
      </c>
      <c r="B2541" t="s">
        <v>146</v>
      </c>
      <c r="C2541">
        <v>86</v>
      </c>
    </row>
    <row r="2542" spans="1:7">
      <c r="A2542" t="s">
        <v>144</v>
      </c>
      <c r="B2542" t="s">
        <v>147</v>
      </c>
      <c r="C2542">
        <v>86</v>
      </c>
    </row>
    <row r="2543" spans="1:7">
      <c r="A2543" t="s">
        <v>144</v>
      </c>
      <c r="B2543" t="s">
        <v>148</v>
      </c>
      <c r="C2543">
        <v>0.38084000000000001</v>
      </c>
    </row>
    <row r="2544" spans="1:7">
      <c r="A2544" t="s">
        <v>144</v>
      </c>
      <c r="B2544" t="s">
        <v>149</v>
      </c>
      <c r="C2544">
        <v>0.38084000000000001</v>
      </c>
    </row>
    <row r="2545" spans="1:7">
      <c r="A2545" t="s">
        <v>144</v>
      </c>
      <c r="B2545" t="s">
        <v>150</v>
      </c>
      <c r="C2545">
        <v>-1</v>
      </c>
    </row>
    <row r="2546" spans="1:7">
      <c r="A2546" t="s">
        <v>144</v>
      </c>
      <c r="B2546" t="s">
        <v>151</v>
      </c>
      <c r="C2546">
        <v>-1</v>
      </c>
    </row>
    <row r="2547" spans="1:7">
      <c r="A2547" t="s">
        <v>144</v>
      </c>
      <c r="B2547" t="s">
        <v>152</v>
      </c>
      <c r="C2547">
        <v>47</v>
      </c>
    </row>
    <row r="2548" spans="1:7">
      <c r="A2548" t="s">
        <v>144</v>
      </c>
      <c r="B2548" t="s">
        <v>153</v>
      </c>
      <c r="C2548">
        <v>47</v>
      </c>
    </row>
    <row r="2549" spans="1:7">
      <c r="A2549" t="s">
        <v>144</v>
      </c>
      <c r="B2549" t="s">
        <v>154</v>
      </c>
      <c r="C2549">
        <v>0</v>
      </c>
    </row>
    <row r="2550" spans="1:7">
      <c r="A2550" t="s">
        <v>144</v>
      </c>
      <c r="B2550" t="s">
        <v>155</v>
      </c>
    </row>
    <row r="2551" spans="1:7">
      <c r="A2551" t="s">
        <v>144</v>
      </c>
      <c r="B2551" t="s">
        <v>150</v>
      </c>
      <c r="C2551">
        <v>0.73467199999999999</v>
      </c>
    </row>
    <row r="2552" spans="1:7">
      <c r="A2552" t="s">
        <v>144</v>
      </c>
      <c r="B2552" t="s">
        <v>151</v>
      </c>
      <c r="C2552">
        <v>0.73467199999999999</v>
      </c>
    </row>
    <row r="2553" spans="1:7">
      <c r="A2553" t="s">
        <v>144</v>
      </c>
      <c r="B2553" t="s">
        <v>156</v>
      </c>
      <c r="C2553" t="s">
        <v>157</v>
      </c>
      <c r="D2553" t="s">
        <v>63</v>
      </c>
      <c r="E2553" t="s">
        <v>158</v>
      </c>
      <c r="F2553" t="s">
        <v>159</v>
      </c>
      <c r="G2553" t="s">
        <v>160</v>
      </c>
    </row>
    <row r="2554" spans="1:7">
      <c r="A2554" t="s">
        <v>144</v>
      </c>
      <c r="B2554">
        <v>40</v>
      </c>
      <c r="C2554">
        <v>0</v>
      </c>
      <c r="D2554">
        <v>0.73467199999999999</v>
      </c>
      <c r="E2554">
        <v>-0.69780600000000004</v>
      </c>
      <c r="F2554">
        <v>-1</v>
      </c>
      <c r="G2554">
        <v>-0.69780600000000004</v>
      </c>
    </row>
    <row r="2555" spans="1:7">
      <c r="A2555" t="s">
        <v>144</v>
      </c>
      <c r="B2555">
        <v>40</v>
      </c>
      <c r="C2555">
        <v>1</v>
      </c>
      <c r="D2555">
        <v>0.73467199999999999</v>
      </c>
      <c r="E2555">
        <v>-0.59309699999999999</v>
      </c>
      <c r="F2555">
        <v>-1</v>
      </c>
      <c r="G2555">
        <v>-0.59309699999999999</v>
      </c>
    </row>
    <row r="2556" spans="1:7">
      <c r="A2556" t="s">
        <v>144</v>
      </c>
      <c r="B2556">
        <v>40</v>
      </c>
      <c r="C2556">
        <v>2</v>
      </c>
      <c r="D2556">
        <v>0.73467199999999999</v>
      </c>
      <c r="E2556">
        <v>0.75072499999999998</v>
      </c>
      <c r="F2556">
        <v>-1</v>
      </c>
      <c r="G2556">
        <v>0.75072499999999998</v>
      </c>
    </row>
    <row r="2557" spans="1:7">
      <c r="A2557" t="s">
        <v>144</v>
      </c>
      <c r="B2557">
        <v>40</v>
      </c>
      <c r="C2557">
        <v>3</v>
      </c>
      <c r="D2557">
        <v>0.73467199999999999</v>
      </c>
      <c r="E2557">
        <v>0.44999499999999998</v>
      </c>
      <c r="F2557">
        <v>-1</v>
      </c>
      <c r="G2557">
        <v>0.44999499999999998</v>
      </c>
    </row>
    <row r="2558" spans="1:7">
      <c r="A2558" t="s">
        <v>144</v>
      </c>
      <c r="B2558">
        <v>40</v>
      </c>
      <c r="C2558">
        <v>4</v>
      </c>
      <c r="D2558">
        <v>0.73467199999999999</v>
      </c>
      <c r="E2558">
        <v>0.67723599999999995</v>
      </c>
      <c r="F2558">
        <v>-1</v>
      </c>
      <c r="G2558">
        <v>0.67723599999999995</v>
      </c>
    </row>
    <row r="2559" spans="1:7">
      <c r="A2559" t="s">
        <v>144</v>
      </c>
      <c r="B2559">
        <v>40</v>
      </c>
      <c r="C2559">
        <v>5</v>
      </c>
      <c r="D2559">
        <v>0.73467199999999999</v>
      </c>
      <c r="E2559">
        <v>-0.81936100000000001</v>
      </c>
      <c r="F2559">
        <v>-1</v>
      </c>
      <c r="G2559">
        <v>-0.81936100000000001</v>
      </c>
    </row>
    <row r="2560" spans="1:7">
      <c r="A2560" t="s">
        <v>144</v>
      </c>
      <c r="B2560">
        <v>40</v>
      </c>
      <c r="C2560">
        <v>6</v>
      </c>
      <c r="D2560">
        <v>0.73467199999999999</v>
      </c>
      <c r="E2560">
        <v>-0.19272400000000001</v>
      </c>
      <c r="F2560">
        <v>-1</v>
      </c>
      <c r="G2560">
        <v>-0.19272400000000001</v>
      </c>
    </row>
    <row r="2561" spans="1:7">
      <c r="A2561" t="s">
        <v>144</v>
      </c>
      <c r="B2561">
        <v>40</v>
      </c>
      <c r="C2561">
        <v>7</v>
      </c>
      <c r="D2561">
        <v>0.73467199999999999</v>
      </c>
      <c r="E2561">
        <v>0.40638400000000002</v>
      </c>
      <c r="F2561">
        <v>-1</v>
      </c>
      <c r="G2561">
        <v>0.40638400000000002</v>
      </c>
    </row>
    <row r="2562" spans="1:7">
      <c r="A2562" t="s">
        <v>144</v>
      </c>
      <c r="B2562">
        <v>40</v>
      </c>
      <c r="C2562">
        <v>8</v>
      </c>
      <c r="D2562">
        <v>0.73467199999999999</v>
      </c>
      <c r="E2562">
        <v>-4.3672000000000002E-2</v>
      </c>
      <c r="F2562">
        <v>-1</v>
      </c>
      <c r="G2562">
        <v>-4.3672000000000002E-2</v>
      </c>
    </row>
    <row r="2563" spans="1:7">
      <c r="A2563" t="s">
        <v>144</v>
      </c>
      <c r="B2563">
        <v>40</v>
      </c>
      <c r="C2563">
        <v>9</v>
      </c>
      <c r="D2563">
        <v>0.73467199999999999</v>
      </c>
      <c r="E2563">
        <v>0.52415500000000004</v>
      </c>
      <c r="F2563">
        <v>-1</v>
      </c>
      <c r="G2563">
        <v>0.52415500000000004</v>
      </c>
    </row>
    <row r="2564" spans="1:7">
      <c r="A2564" t="s">
        <v>144</v>
      </c>
      <c r="B2564">
        <v>40</v>
      </c>
      <c r="C2564">
        <v>10</v>
      </c>
      <c r="D2564">
        <v>0.73467199999999999</v>
      </c>
      <c r="E2564">
        <v>0.39988400000000002</v>
      </c>
      <c r="F2564">
        <v>-1</v>
      </c>
      <c r="G2564">
        <v>0.39988400000000002</v>
      </c>
    </row>
    <row r="2565" spans="1:7">
      <c r="A2565" t="s">
        <v>144</v>
      </c>
      <c r="B2565">
        <v>40</v>
      </c>
      <c r="C2565">
        <v>11</v>
      </c>
      <c r="D2565">
        <v>0.73467199999999999</v>
      </c>
      <c r="E2565">
        <v>-0.87337900000000002</v>
      </c>
      <c r="F2565">
        <v>-1</v>
      </c>
      <c r="G2565">
        <v>-0.87337900000000002</v>
      </c>
    </row>
    <row r="2566" spans="1:7">
      <c r="A2566" t="s">
        <v>144</v>
      </c>
      <c r="B2566">
        <v>40</v>
      </c>
      <c r="C2566">
        <v>12</v>
      </c>
      <c r="D2566">
        <v>0.73467199999999999</v>
      </c>
      <c r="E2566">
        <v>0.12350800000000001</v>
      </c>
      <c r="F2566">
        <v>-1</v>
      </c>
      <c r="G2566">
        <v>0.12350800000000001</v>
      </c>
    </row>
    <row r="2567" spans="1:7">
      <c r="A2567" t="s">
        <v>144</v>
      </c>
      <c r="B2567">
        <v>40</v>
      </c>
      <c r="C2567">
        <v>13</v>
      </c>
      <c r="D2567">
        <v>0.73467199999999999</v>
      </c>
      <c r="E2567">
        <v>-0.21491099999999999</v>
      </c>
      <c r="F2567">
        <v>-1</v>
      </c>
      <c r="G2567">
        <v>-0.21491099999999999</v>
      </c>
    </row>
    <row r="2568" spans="1:7">
      <c r="A2568" t="s">
        <v>144</v>
      </c>
      <c r="B2568">
        <v>40</v>
      </c>
      <c r="C2568">
        <v>14</v>
      </c>
      <c r="D2568">
        <v>0.73467199999999999</v>
      </c>
      <c r="E2568">
        <v>-7.1596000000000007E-2</v>
      </c>
      <c r="F2568">
        <v>-1</v>
      </c>
      <c r="G2568">
        <v>-7.1596000000000007E-2</v>
      </c>
    </row>
    <row r="2569" spans="1:7">
      <c r="A2569" t="s">
        <v>144</v>
      </c>
      <c r="B2569">
        <v>40</v>
      </c>
      <c r="C2569">
        <v>15</v>
      </c>
      <c r="D2569">
        <v>0.73467199999999999</v>
      </c>
      <c r="E2569">
        <v>0.34125800000000001</v>
      </c>
      <c r="F2569">
        <v>-1</v>
      </c>
      <c r="G2569">
        <v>0.34125800000000001</v>
      </c>
    </row>
    <row r="2570" spans="1:7">
      <c r="A2570" t="s">
        <v>144</v>
      </c>
      <c r="B2570">
        <v>40</v>
      </c>
      <c r="C2570">
        <v>16</v>
      </c>
      <c r="D2570">
        <v>0.73467199999999999</v>
      </c>
      <c r="E2570">
        <v>-8.7862999999999997E-2</v>
      </c>
      <c r="F2570">
        <v>-1</v>
      </c>
      <c r="G2570">
        <v>-8.7862999999999997E-2</v>
      </c>
    </row>
    <row r="2571" spans="1:7">
      <c r="A2571" t="s">
        <v>144</v>
      </c>
      <c r="B2571">
        <v>40</v>
      </c>
      <c r="C2571">
        <v>17</v>
      </c>
      <c r="D2571">
        <v>0.73467199999999999</v>
      </c>
      <c r="E2571">
        <v>-0.25266300000000003</v>
      </c>
      <c r="F2571">
        <v>-1</v>
      </c>
      <c r="G2571">
        <v>-0.25266300000000003</v>
      </c>
    </row>
    <row r="2572" spans="1:7">
      <c r="A2572" t="s">
        <v>144</v>
      </c>
      <c r="B2572">
        <v>40</v>
      </c>
      <c r="C2572">
        <v>18</v>
      </c>
      <c r="D2572">
        <v>0.73467199999999999</v>
      </c>
      <c r="E2572">
        <v>-0.840144</v>
      </c>
      <c r="F2572">
        <v>-1</v>
      </c>
      <c r="G2572">
        <v>-0.840144</v>
      </c>
    </row>
    <row r="2573" spans="1:7">
      <c r="A2573" t="s">
        <v>144</v>
      </c>
      <c r="B2573">
        <v>40</v>
      </c>
      <c r="C2573">
        <v>19</v>
      </c>
      <c r="D2573">
        <v>0.73467199999999999</v>
      </c>
      <c r="E2573">
        <v>0.94509699999999996</v>
      </c>
      <c r="F2573">
        <v>-1</v>
      </c>
      <c r="G2573">
        <v>0.94509699999999996</v>
      </c>
    </row>
    <row r="2574" spans="1:7">
      <c r="A2574" t="s">
        <v>144</v>
      </c>
      <c r="B2574">
        <v>40</v>
      </c>
      <c r="C2574">
        <v>20</v>
      </c>
      <c r="D2574">
        <v>0.73467199999999999</v>
      </c>
      <c r="E2574">
        <v>0.159856</v>
      </c>
      <c r="F2574">
        <v>-1</v>
      </c>
      <c r="G2574">
        <v>0.159856</v>
      </c>
    </row>
    <row r="2575" spans="1:7">
      <c r="A2575" t="s">
        <v>144</v>
      </c>
      <c r="B2575">
        <v>40</v>
      </c>
      <c r="C2575">
        <v>21</v>
      </c>
      <c r="D2575">
        <v>0.73467199999999999</v>
      </c>
      <c r="E2575">
        <v>-0.71538400000000002</v>
      </c>
      <c r="F2575">
        <v>-1</v>
      </c>
      <c r="G2575">
        <v>-0.71538400000000002</v>
      </c>
    </row>
    <row r="2576" spans="1:7">
      <c r="A2576" t="s">
        <v>144</v>
      </c>
      <c r="B2576">
        <v>40</v>
      </c>
      <c r="C2576">
        <v>22</v>
      </c>
      <c r="D2576">
        <v>0.73467199999999999</v>
      </c>
      <c r="E2576">
        <v>-3.9888E-2</v>
      </c>
      <c r="F2576">
        <v>-1</v>
      </c>
      <c r="G2576">
        <v>-3.9888E-2</v>
      </c>
    </row>
    <row r="2577" spans="1:7">
      <c r="A2577" t="s">
        <v>144</v>
      </c>
      <c r="B2577">
        <v>40</v>
      </c>
      <c r="C2577">
        <v>23</v>
      </c>
      <c r="D2577">
        <v>0.73467199999999999</v>
      </c>
      <c r="E2577">
        <v>0.39036199999999999</v>
      </c>
      <c r="F2577">
        <v>-1</v>
      </c>
      <c r="G2577">
        <v>0.39036199999999999</v>
      </c>
    </row>
    <row r="2578" spans="1:7">
      <c r="A2578" t="s">
        <v>144</v>
      </c>
      <c r="B2578">
        <v>40</v>
      </c>
      <c r="C2578">
        <v>24</v>
      </c>
      <c r="D2578">
        <v>0.73467199999999999</v>
      </c>
      <c r="E2578">
        <v>0.94650100000000004</v>
      </c>
      <c r="F2578">
        <v>-1</v>
      </c>
      <c r="G2578">
        <v>0.94650100000000004</v>
      </c>
    </row>
    <row r="2579" spans="1:7">
      <c r="A2579" t="s">
        <v>144</v>
      </c>
      <c r="B2579">
        <v>40</v>
      </c>
      <c r="C2579">
        <v>25</v>
      </c>
      <c r="D2579">
        <v>0.73467199999999999</v>
      </c>
      <c r="E2579">
        <v>0.386181</v>
      </c>
      <c r="F2579">
        <v>-1</v>
      </c>
      <c r="G2579">
        <v>0.386181</v>
      </c>
    </row>
    <row r="2580" spans="1:7">
      <c r="A2580" t="s">
        <v>144</v>
      </c>
      <c r="B2580">
        <v>40</v>
      </c>
      <c r="C2580">
        <v>26</v>
      </c>
      <c r="D2580">
        <v>0.73467199999999999</v>
      </c>
      <c r="E2580">
        <v>0.60219100000000003</v>
      </c>
      <c r="F2580">
        <v>-1</v>
      </c>
      <c r="G2580">
        <v>0.60219100000000003</v>
      </c>
    </row>
    <row r="2581" spans="1:7">
      <c r="A2581" t="s">
        <v>144</v>
      </c>
      <c r="B2581">
        <v>40</v>
      </c>
      <c r="C2581">
        <v>27</v>
      </c>
      <c r="D2581">
        <v>0.73467199999999999</v>
      </c>
      <c r="E2581">
        <v>-3.6930000000000001E-3</v>
      </c>
      <c r="F2581">
        <v>-1</v>
      </c>
      <c r="G2581">
        <v>-3.6930000000000001E-3</v>
      </c>
    </row>
    <row r="2582" spans="1:7">
      <c r="A2582" t="s">
        <v>144</v>
      </c>
      <c r="B2582">
        <v>40</v>
      </c>
      <c r="C2582">
        <v>28</v>
      </c>
      <c r="D2582">
        <v>0.73467199999999999</v>
      </c>
      <c r="E2582">
        <v>0.89565700000000004</v>
      </c>
      <c r="F2582">
        <v>-1</v>
      </c>
      <c r="G2582">
        <v>0.89565700000000004</v>
      </c>
    </row>
    <row r="2583" spans="1:7">
      <c r="A2583" t="s">
        <v>144</v>
      </c>
      <c r="B2583">
        <v>40</v>
      </c>
      <c r="C2583">
        <v>29</v>
      </c>
      <c r="D2583">
        <v>0.73467199999999999</v>
      </c>
      <c r="E2583">
        <v>0.86675599999999997</v>
      </c>
      <c r="F2583">
        <v>-1</v>
      </c>
      <c r="G2583">
        <v>0.86675599999999997</v>
      </c>
    </row>
    <row r="2584" spans="1:7">
      <c r="A2584" t="s">
        <v>144</v>
      </c>
      <c r="B2584">
        <v>40</v>
      </c>
      <c r="C2584">
        <v>30</v>
      </c>
      <c r="D2584">
        <v>0.73467199999999999</v>
      </c>
      <c r="E2584">
        <v>-7.4556999999999998E-2</v>
      </c>
      <c r="F2584">
        <v>-1</v>
      </c>
      <c r="G2584">
        <v>-7.4556999999999998E-2</v>
      </c>
    </row>
    <row r="2585" spans="1:7">
      <c r="A2585" t="s">
        <v>144</v>
      </c>
      <c r="B2585">
        <v>40</v>
      </c>
      <c r="C2585">
        <v>31</v>
      </c>
      <c r="D2585">
        <v>0.73467199999999999</v>
      </c>
      <c r="E2585">
        <v>-0.90887200000000001</v>
      </c>
      <c r="F2585">
        <v>-1</v>
      </c>
      <c r="G2585">
        <v>-0.90887200000000001</v>
      </c>
    </row>
    <row r="2586" spans="1:7">
      <c r="A2586" t="s">
        <v>144</v>
      </c>
      <c r="B2586">
        <v>40</v>
      </c>
      <c r="C2586">
        <v>32</v>
      </c>
      <c r="D2586">
        <v>0.73467199999999999</v>
      </c>
      <c r="E2586">
        <v>0.87823099999999998</v>
      </c>
      <c r="F2586">
        <v>-1</v>
      </c>
      <c r="G2586">
        <v>0.87823099999999998</v>
      </c>
    </row>
    <row r="2587" spans="1:7">
      <c r="A2587" t="s">
        <v>144</v>
      </c>
      <c r="B2587">
        <v>40</v>
      </c>
      <c r="C2587">
        <v>33</v>
      </c>
      <c r="D2587">
        <v>0.73467199999999999</v>
      </c>
      <c r="E2587">
        <v>-0.81548500000000002</v>
      </c>
      <c r="F2587">
        <v>-1</v>
      </c>
      <c r="G2587">
        <v>-0.81548500000000002</v>
      </c>
    </row>
    <row r="2588" spans="1:7">
      <c r="A2588" t="s">
        <v>144</v>
      </c>
      <c r="B2588">
        <v>40</v>
      </c>
      <c r="C2588">
        <v>34</v>
      </c>
      <c r="D2588">
        <v>0.73467199999999999</v>
      </c>
      <c r="E2588">
        <v>0.76552600000000004</v>
      </c>
      <c r="F2588">
        <v>-1</v>
      </c>
      <c r="G2588">
        <v>0.76552600000000004</v>
      </c>
    </row>
    <row r="2589" spans="1:7">
      <c r="A2589" t="s">
        <v>144</v>
      </c>
      <c r="B2589">
        <v>40</v>
      </c>
      <c r="C2589">
        <v>35</v>
      </c>
      <c r="D2589">
        <v>0.73467199999999999</v>
      </c>
      <c r="E2589">
        <v>0.32721899999999998</v>
      </c>
      <c r="F2589">
        <v>-1</v>
      </c>
      <c r="G2589">
        <v>0.32721899999999998</v>
      </c>
    </row>
    <row r="2590" spans="1:7">
      <c r="A2590" t="s">
        <v>144</v>
      </c>
      <c r="B2590">
        <v>40</v>
      </c>
      <c r="C2590">
        <v>36</v>
      </c>
      <c r="D2590">
        <v>0.73467199999999999</v>
      </c>
      <c r="E2590">
        <v>0.89513799999999999</v>
      </c>
      <c r="F2590">
        <v>-1</v>
      </c>
      <c r="G2590">
        <v>0.89513799999999999</v>
      </c>
    </row>
    <row r="2591" spans="1:7">
      <c r="A2591" t="s">
        <v>144</v>
      </c>
      <c r="B2591">
        <v>40</v>
      </c>
      <c r="C2591">
        <v>37</v>
      </c>
      <c r="D2591">
        <v>0.73467199999999999</v>
      </c>
      <c r="E2591">
        <v>-0.31080000000000002</v>
      </c>
      <c r="F2591">
        <v>-1</v>
      </c>
      <c r="G2591">
        <v>-0.31080000000000002</v>
      </c>
    </row>
    <row r="2592" spans="1:7">
      <c r="A2592" t="s">
        <v>144</v>
      </c>
      <c r="B2592">
        <v>40</v>
      </c>
      <c r="C2592">
        <v>38</v>
      </c>
      <c r="D2592">
        <v>0.73467199999999999</v>
      </c>
      <c r="E2592">
        <v>1.3854999999999999E-2</v>
      </c>
      <c r="F2592">
        <v>-1</v>
      </c>
      <c r="G2592">
        <v>1.3854999999999999E-2</v>
      </c>
    </row>
    <row r="2593" spans="1:7">
      <c r="A2593" t="s">
        <v>144</v>
      </c>
      <c r="B2593">
        <v>40</v>
      </c>
      <c r="C2593">
        <v>39</v>
      </c>
      <c r="D2593">
        <v>0.73467199999999999</v>
      </c>
      <c r="E2593">
        <v>3.8149999999999998E-3</v>
      </c>
      <c r="F2593">
        <v>-1</v>
      </c>
      <c r="G2593">
        <v>3.8149999999999998E-3</v>
      </c>
    </row>
    <row r="2594" spans="1:7">
      <c r="A2594" t="s">
        <v>144</v>
      </c>
      <c r="B2594">
        <v>40</v>
      </c>
      <c r="C2594">
        <v>40</v>
      </c>
      <c r="D2594">
        <v>0.73467199999999999</v>
      </c>
      <c r="E2594">
        <v>-0.90935999999999995</v>
      </c>
      <c r="F2594">
        <v>-1</v>
      </c>
      <c r="G2594">
        <v>-0.90935999999999995</v>
      </c>
    </row>
    <row r="2595" spans="1:7">
      <c r="A2595" t="s">
        <v>144</v>
      </c>
      <c r="B2595">
        <v>40</v>
      </c>
      <c r="C2595">
        <v>41</v>
      </c>
      <c r="D2595">
        <v>0.73467199999999999</v>
      </c>
      <c r="E2595">
        <v>0.33951799999999999</v>
      </c>
      <c r="F2595">
        <v>-1</v>
      </c>
      <c r="G2595">
        <v>0.33951799999999999</v>
      </c>
    </row>
    <row r="2596" spans="1:7">
      <c r="A2596" t="s">
        <v>144</v>
      </c>
      <c r="B2596">
        <v>40</v>
      </c>
      <c r="C2596">
        <v>42</v>
      </c>
      <c r="D2596">
        <v>0.73467199999999999</v>
      </c>
      <c r="E2596">
        <v>-0.583453</v>
      </c>
      <c r="F2596">
        <v>-1</v>
      </c>
      <c r="G2596">
        <v>-0.583453</v>
      </c>
    </row>
    <row r="2597" spans="1:7">
      <c r="A2597" t="s">
        <v>144</v>
      </c>
      <c r="B2597">
        <v>40</v>
      </c>
      <c r="C2597">
        <v>43</v>
      </c>
      <c r="D2597">
        <v>0.73467199999999999</v>
      </c>
      <c r="E2597">
        <v>0.75804899999999997</v>
      </c>
      <c r="F2597">
        <v>-1</v>
      </c>
      <c r="G2597">
        <v>0.75804899999999997</v>
      </c>
    </row>
    <row r="2598" spans="1:7">
      <c r="A2598" t="s">
        <v>144</v>
      </c>
      <c r="B2598">
        <v>40</v>
      </c>
      <c r="C2598">
        <v>44</v>
      </c>
      <c r="D2598">
        <v>0.73467199999999999</v>
      </c>
      <c r="E2598">
        <v>-0.80284999999999995</v>
      </c>
      <c r="F2598">
        <v>-1</v>
      </c>
      <c r="G2598">
        <v>-0.80284999999999995</v>
      </c>
    </row>
    <row r="2599" spans="1:7">
      <c r="A2599" t="s">
        <v>144</v>
      </c>
      <c r="B2599">
        <v>40</v>
      </c>
      <c r="C2599">
        <v>45</v>
      </c>
      <c r="D2599">
        <v>0.73467199999999999</v>
      </c>
      <c r="E2599">
        <v>0.41001599999999999</v>
      </c>
      <c r="F2599">
        <v>-1</v>
      </c>
      <c r="G2599">
        <v>0.41001599999999999</v>
      </c>
    </row>
    <row r="2600" spans="1:7">
      <c r="A2600" t="s">
        <v>144</v>
      </c>
      <c r="B2600">
        <v>40</v>
      </c>
      <c r="C2600">
        <v>46</v>
      </c>
      <c r="D2600">
        <v>0.73467199999999999</v>
      </c>
      <c r="E2600">
        <v>-0.18246999999999999</v>
      </c>
      <c r="F2600">
        <v>-1</v>
      </c>
      <c r="G2600">
        <v>-0.18246999999999999</v>
      </c>
    </row>
    <row r="2601" spans="1:7">
      <c r="A2601" t="s">
        <v>144</v>
      </c>
      <c r="B2601">
        <v>40</v>
      </c>
      <c r="C2601">
        <v>47</v>
      </c>
      <c r="D2601">
        <v>0.73467199999999999</v>
      </c>
      <c r="E2601">
        <v>0.159307</v>
      </c>
      <c r="F2601">
        <v>-0.99417100000000003</v>
      </c>
      <c r="G2601">
        <v>-0.14674300000000001</v>
      </c>
    </row>
    <row r="2602" spans="1:7">
      <c r="A2602" t="s">
        <v>144</v>
      </c>
      <c r="B2602">
        <v>40</v>
      </c>
      <c r="C2602">
        <v>48</v>
      </c>
      <c r="D2602">
        <v>0.73467199999999999</v>
      </c>
      <c r="E2602">
        <v>-0.45872400000000002</v>
      </c>
      <c r="F2602">
        <v>0.95394800000000002</v>
      </c>
      <c r="G2602">
        <v>-8.3903000000000005E-2</v>
      </c>
    </row>
    <row r="2603" spans="1:7">
      <c r="A2603" t="s">
        <v>144</v>
      </c>
      <c r="B2603">
        <v>40</v>
      </c>
      <c r="C2603">
        <v>49</v>
      </c>
      <c r="D2603">
        <v>0.73467199999999999</v>
      </c>
      <c r="E2603">
        <v>0.29053600000000002</v>
      </c>
      <c r="F2603">
        <v>0.79961499999999996</v>
      </c>
      <c r="G2603">
        <v>0.42560900000000002</v>
      </c>
    </row>
    <row r="2604" spans="1:7">
      <c r="A2604" t="s">
        <v>144</v>
      </c>
      <c r="B2604" t="s">
        <v>145</v>
      </c>
      <c r="C2604">
        <v>41</v>
      </c>
    </row>
    <row r="2605" spans="1:7">
      <c r="A2605" t="s">
        <v>144</v>
      </c>
      <c r="B2605" t="s">
        <v>146</v>
      </c>
      <c r="C2605">
        <v>70</v>
      </c>
    </row>
    <row r="2606" spans="1:7">
      <c r="A2606" t="s">
        <v>144</v>
      </c>
      <c r="B2606" t="s">
        <v>147</v>
      </c>
      <c r="C2606">
        <v>70</v>
      </c>
    </row>
    <row r="2607" spans="1:7">
      <c r="A2607" t="s">
        <v>144</v>
      </c>
      <c r="B2607" t="s">
        <v>148</v>
      </c>
      <c r="C2607">
        <v>0.891934</v>
      </c>
    </row>
    <row r="2608" spans="1:7">
      <c r="A2608" t="s">
        <v>144</v>
      </c>
      <c r="B2608" t="s">
        <v>149</v>
      </c>
      <c r="C2608">
        <v>0.891934</v>
      </c>
    </row>
    <row r="2609" spans="1:7">
      <c r="A2609" t="s">
        <v>144</v>
      </c>
      <c r="B2609" t="s">
        <v>150</v>
      </c>
      <c r="C2609">
        <v>-1</v>
      </c>
    </row>
    <row r="2610" spans="1:7">
      <c r="A2610" t="s">
        <v>144</v>
      </c>
      <c r="B2610" t="s">
        <v>151</v>
      </c>
      <c r="C2610">
        <v>-1</v>
      </c>
    </row>
    <row r="2611" spans="1:7">
      <c r="A2611" t="s">
        <v>144</v>
      </c>
      <c r="B2611" t="s">
        <v>152</v>
      </c>
      <c r="C2611">
        <v>39</v>
      </c>
    </row>
    <row r="2612" spans="1:7">
      <c r="A2612" t="s">
        <v>144</v>
      </c>
      <c r="B2612" t="s">
        <v>153</v>
      </c>
      <c r="C2612">
        <v>39</v>
      </c>
    </row>
    <row r="2613" spans="1:7">
      <c r="A2613" t="s">
        <v>144</v>
      </c>
      <c r="B2613" t="s">
        <v>154</v>
      </c>
      <c r="C2613">
        <v>0</v>
      </c>
    </row>
    <row r="2614" spans="1:7">
      <c r="A2614" t="s">
        <v>144</v>
      </c>
      <c r="B2614" t="s">
        <v>161</v>
      </c>
    </row>
    <row r="2615" spans="1:7">
      <c r="A2615" t="s">
        <v>144</v>
      </c>
      <c r="B2615">
        <v>41</v>
      </c>
      <c r="C2615">
        <v>0</v>
      </c>
      <c r="D2615">
        <v>-1</v>
      </c>
      <c r="E2615">
        <v>-0.745201</v>
      </c>
      <c r="F2615">
        <v>-1</v>
      </c>
      <c r="G2615">
        <v>-0.745201</v>
      </c>
    </row>
    <row r="2616" spans="1:7">
      <c r="A2616" t="s">
        <v>144</v>
      </c>
      <c r="B2616">
        <v>41</v>
      </c>
      <c r="C2616">
        <v>1</v>
      </c>
      <c r="D2616">
        <v>-1</v>
      </c>
      <c r="E2616">
        <v>-0.613147</v>
      </c>
      <c r="F2616">
        <v>-1</v>
      </c>
      <c r="G2616">
        <v>-0.613147</v>
      </c>
    </row>
    <row r="2617" spans="1:7">
      <c r="A2617" t="s">
        <v>144</v>
      </c>
      <c r="B2617">
        <v>41</v>
      </c>
      <c r="C2617">
        <v>2</v>
      </c>
      <c r="D2617">
        <v>-1</v>
      </c>
      <c r="E2617">
        <v>0.89046899999999996</v>
      </c>
      <c r="F2617">
        <v>-1</v>
      </c>
      <c r="G2617">
        <v>0.89046899999999996</v>
      </c>
    </row>
    <row r="2618" spans="1:7">
      <c r="A2618" t="s">
        <v>144</v>
      </c>
      <c r="B2618">
        <v>41</v>
      </c>
      <c r="C2618">
        <v>3</v>
      </c>
      <c r="D2618">
        <v>-1</v>
      </c>
      <c r="E2618">
        <v>-0.89443600000000001</v>
      </c>
      <c r="F2618">
        <v>-1</v>
      </c>
      <c r="G2618">
        <v>-0.89443600000000001</v>
      </c>
    </row>
    <row r="2619" spans="1:7">
      <c r="A2619" t="s">
        <v>144</v>
      </c>
      <c r="B2619">
        <v>41</v>
      </c>
      <c r="C2619">
        <v>4</v>
      </c>
      <c r="D2619">
        <v>-1</v>
      </c>
      <c r="E2619">
        <v>-0.34998600000000002</v>
      </c>
      <c r="F2619">
        <v>-1</v>
      </c>
      <c r="G2619">
        <v>-0.34998600000000002</v>
      </c>
    </row>
    <row r="2620" spans="1:7">
      <c r="A2620" t="s">
        <v>144</v>
      </c>
      <c r="B2620">
        <v>41</v>
      </c>
      <c r="C2620">
        <v>5</v>
      </c>
      <c r="D2620">
        <v>-1</v>
      </c>
      <c r="E2620">
        <v>0.86013399999999995</v>
      </c>
      <c r="F2620">
        <v>-1</v>
      </c>
      <c r="G2620">
        <v>0.86013399999999995</v>
      </c>
    </row>
    <row r="2621" spans="1:7">
      <c r="A2621" t="s">
        <v>144</v>
      </c>
      <c r="B2621">
        <v>41</v>
      </c>
      <c r="C2621">
        <v>6</v>
      </c>
      <c r="D2621">
        <v>-1</v>
      </c>
      <c r="E2621">
        <v>0.80077500000000001</v>
      </c>
      <c r="F2621">
        <v>-1</v>
      </c>
      <c r="G2621">
        <v>0.80077500000000001</v>
      </c>
    </row>
    <row r="2622" spans="1:7">
      <c r="A2622" t="s">
        <v>144</v>
      </c>
      <c r="B2622">
        <v>41</v>
      </c>
      <c r="C2622">
        <v>7</v>
      </c>
      <c r="D2622">
        <v>-1</v>
      </c>
      <c r="E2622">
        <v>0.35453400000000002</v>
      </c>
      <c r="F2622">
        <v>-1</v>
      </c>
      <c r="G2622">
        <v>0.35453400000000002</v>
      </c>
    </row>
    <row r="2623" spans="1:7">
      <c r="A2623" t="s">
        <v>144</v>
      </c>
      <c r="B2623">
        <v>41</v>
      </c>
      <c r="C2623">
        <v>8</v>
      </c>
      <c r="D2623">
        <v>-1</v>
      </c>
      <c r="E2623">
        <v>0.60026900000000005</v>
      </c>
      <c r="F2623">
        <v>-1</v>
      </c>
      <c r="G2623">
        <v>0.60026900000000005</v>
      </c>
    </row>
    <row r="2624" spans="1:7">
      <c r="A2624" t="s">
        <v>144</v>
      </c>
      <c r="B2624">
        <v>41</v>
      </c>
      <c r="C2624">
        <v>9</v>
      </c>
      <c r="D2624">
        <v>-1</v>
      </c>
      <c r="E2624">
        <v>0.42338300000000001</v>
      </c>
      <c r="F2624">
        <v>-1</v>
      </c>
      <c r="G2624">
        <v>0.42338300000000001</v>
      </c>
    </row>
    <row r="2625" spans="1:7">
      <c r="A2625" t="s">
        <v>144</v>
      </c>
      <c r="B2625">
        <v>41</v>
      </c>
      <c r="C2625">
        <v>10</v>
      </c>
      <c r="D2625">
        <v>-1</v>
      </c>
      <c r="E2625">
        <v>0.62175400000000003</v>
      </c>
      <c r="F2625">
        <v>-1</v>
      </c>
      <c r="G2625">
        <v>0.62175400000000003</v>
      </c>
    </row>
    <row r="2626" spans="1:7">
      <c r="A2626" t="s">
        <v>144</v>
      </c>
      <c r="B2626">
        <v>41</v>
      </c>
      <c r="C2626">
        <v>11</v>
      </c>
      <c r="D2626">
        <v>-1</v>
      </c>
      <c r="E2626">
        <v>-8.3956000000000003E-2</v>
      </c>
      <c r="F2626">
        <v>-1</v>
      </c>
      <c r="G2626">
        <v>-8.3956000000000003E-2</v>
      </c>
    </row>
    <row r="2627" spans="1:7">
      <c r="A2627" t="s">
        <v>144</v>
      </c>
      <c r="B2627">
        <v>41</v>
      </c>
      <c r="C2627">
        <v>12</v>
      </c>
      <c r="D2627">
        <v>-1</v>
      </c>
      <c r="E2627">
        <v>-0.43580400000000002</v>
      </c>
      <c r="F2627">
        <v>-1</v>
      </c>
      <c r="G2627">
        <v>-0.43580400000000002</v>
      </c>
    </row>
    <row r="2628" spans="1:7">
      <c r="A2628" t="s">
        <v>144</v>
      </c>
      <c r="B2628">
        <v>41</v>
      </c>
      <c r="C2628">
        <v>13</v>
      </c>
      <c r="D2628">
        <v>-1</v>
      </c>
      <c r="E2628">
        <v>0.20658000000000001</v>
      </c>
      <c r="F2628">
        <v>-1</v>
      </c>
      <c r="G2628">
        <v>0.20658000000000001</v>
      </c>
    </row>
    <row r="2629" spans="1:7">
      <c r="A2629" t="s">
        <v>144</v>
      </c>
      <c r="B2629">
        <v>41</v>
      </c>
      <c r="C2629">
        <v>14</v>
      </c>
      <c r="D2629">
        <v>-1</v>
      </c>
      <c r="E2629">
        <v>-0.49339300000000003</v>
      </c>
      <c r="F2629">
        <v>-1</v>
      </c>
      <c r="G2629">
        <v>-0.49339300000000003</v>
      </c>
    </row>
    <row r="2630" spans="1:7">
      <c r="A2630" t="s">
        <v>144</v>
      </c>
      <c r="B2630">
        <v>41</v>
      </c>
      <c r="C2630">
        <v>15</v>
      </c>
      <c r="D2630">
        <v>-1</v>
      </c>
      <c r="E2630">
        <v>-0.41361700000000001</v>
      </c>
      <c r="F2630">
        <v>-1</v>
      </c>
      <c r="G2630">
        <v>-0.41361700000000001</v>
      </c>
    </row>
    <row r="2631" spans="1:7">
      <c r="A2631" t="s">
        <v>144</v>
      </c>
      <c r="B2631">
        <v>41</v>
      </c>
      <c r="C2631">
        <v>16</v>
      </c>
      <c r="D2631">
        <v>-1</v>
      </c>
      <c r="E2631">
        <v>0.46745199999999998</v>
      </c>
      <c r="F2631">
        <v>-1</v>
      </c>
      <c r="G2631">
        <v>0.46745199999999998</v>
      </c>
    </row>
    <row r="2632" spans="1:7">
      <c r="A2632" t="s">
        <v>144</v>
      </c>
      <c r="B2632">
        <v>41</v>
      </c>
      <c r="C2632">
        <v>17</v>
      </c>
      <c r="D2632">
        <v>-1</v>
      </c>
      <c r="E2632">
        <v>-0.40244799999999997</v>
      </c>
      <c r="F2632">
        <v>-1</v>
      </c>
      <c r="G2632">
        <v>-0.40244799999999997</v>
      </c>
    </row>
    <row r="2633" spans="1:7">
      <c r="A2633" t="s">
        <v>144</v>
      </c>
      <c r="B2633">
        <v>41</v>
      </c>
      <c r="C2633">
        <v>18</v>
      </c>
      <c r="D2633">
        <v>-1</v>
      </c>
      <c r="E2633">
        <v>-0.40852100000000002</v>
      </c>
      <c r="F2633">
        <v>-1</v>
      </c>
      <c r="G2633">
        <v>-0.40852100000000002</v>
      </c>
    </row>
    <row r="2634" spans="1:7">
      <c r="A2634" t="s">
        <v>144</v>
      </c>
      <c r="B2634">
        <v>41</v>
      </c>
      <c r="C2634">
        <v>19</v>
      </c>
      <c r="D2634">
        <v>-1</v>
      </c>
      <c r="E2634">
        <v>-0.59834600000000004</v>
      </c>
      <c r="F2634">
        <v>-1</v>
      </c>
      <c r="G2634">
        <v>-0.59834600000000004</v>
      </c>
    </row>
    <row r="2635" spans="1:7">
      <c r="A2635" t="s">
        <v>144</v>
      </c>
      <c r="B2635">
        <v>41</v>
      </c>
      <c r="C2635">
        <v>20</v>
      </c>
      <c r="D2635">
        <v>-1</v>
      </c>
      <c r="E2635">
        <v>-0.87157799999999996</v>
      </c>
      <c r="F2635">
        <v>-1</v>
      </c>
      <c r="G2635">
        <v>-0.87157799999999996</v>
      </c>
    </row>
    <row r="2636" spans="1:7">
      <c r="A2636" t="s">
        <v>144</v>
      </c>
      <c r="B2636">
        <v>41</v>
      </c>
      <c r="C2636">
        <v>21</v>
      </c>
      <c r="D2636">
        <v>-1</v>
      </c>
      <c r="E2636">
        <v>-0.54371800000000003</v>
      </c>
      <c r="F2636">
        <v>-1</v>
      </c>
      <c r="G2636">
        <v>-0.54371800000000003</v>
      </c>
    </row>
    <row r="2637" spans="1:7">
      <c r="A2637" t="s">
        <v>144</v>
      </c>
      <c r="B2637">
        <v>41</v>
      </c>
      <c r="C2637">
        <v>22</v>
      </c>
      <c r="D2637">
        <v>-1</v>
      </c>
      <c r="E2637">
        <v>-0.669485</v>
      </c>
      <c r="F2637">
        <v>-1</v>
      </c>
      <c r="G2637">
        <v>-0.669485</v>
      </c>
    </row>
    <row r="2638" spans="1:7">
      <c r="A2638" t="s">
        <v>144</v>
      </c>
      <c r="B2638">
        <v>41</v>
      </c>
      <c r="C2638">
        <v>23</v>
      </c>
      <c r="D2638">
        <v>-1</v>
      </c>
      <c r="E2638">
        <v>0.93017399999999995</v>
      </c>
      <c r="F2638">
        <v>-1</v>
      </c>
      <c r="G2638">
        <v>0.93017399999999995</v>
      </c>
    </row>
    <row r="2639" spans="1:7">
      <c r="A2639" t="s">
        <v>144</v>
      </c>
      <c r="B2639">
        <v>41</v>
      </c>
      <c r="C2639">
        <v>24</v>
      </c>
      <c r="D2639">
        <v>-1</v>
      </c>
      <c r="E2639">
        <v>-0.40967999999999999</v>
      </c>
      <c r="F2639">
        <v>-1</v>
      </c>
      <c r="G2639">
        <v>-0.40967999999999999</v>
      </c>
    </row>
    <row r="2640" spans="1:7">
      <c r="A2640" t="s">
        <v>144</v>
      </c>
      <c r="B2640">
        <v>41</v>
      </c>
      <c r="C2640">
        <v>25</v>
      </c>
      <c r="D2640">
        <v>-1</v>
      </c>
      <c r="E2640">
        <v>-0.67891500000000005</v>
      </c>
      <c r="F2640">
        <v>-1</v>
      </c>
      <c r="G2640">
        <v>-0.67891500000000005</v>
      </c>
    </row>
    <row r="2641" spans="1:7">
      <c r="A2641" t="s">
        <v>144</v>
      </c>
      <c r="B2641">
        <v>41</v>
      </c>
      <c r="C2641">
        <v>26</v>
      </c>
      <c r="D2641">
        <v>-1</v>
      </c>
      <c r="E2641">
        <v>-0.470443</v>
      </c>
      <c r="F2641">
        <v>-1</v>
      </c>
      <c r="G2641">
        <v>-0.470443</v>
      </c>
    </row>
    <row r="2642" spans="1:7">
      <c r="A2642" t="s">
        <v>144</v>
      </c>
      <c r="B2642">
        <v>41</v>
      </c>
      <c r="C2642">
        <v>27</v>
      </c>
      <c r="D2642">
        <v>-1</v>
      </c>
      <c r="E2642">
        <v>0.97671399999999997</v>
      </c>
      <c r="F2642">
        <v>-1</v>
      </c>
      <c r="G2642">
        <v>0.97671399999999997</v>
      </c>
    </row>
    <row r="2643" spans="1:7">
      <c r="A2643" t="s">
        <v>144</v>
      </c>
      <c r="B2643">
        <v>41</v>
      </c>
      <c r="C2643">
        <v>28</v>
      </c>
      <c r="D2643">
        <v>-1</v>
      </c>
      <c r="E2643">
        <v>0.57280200000000003</v>
      </c>
      <c r="F2643">
        <v>-1</v>
      </c>
      <c r="G2643">
        <v>0.57280200000000003</v>
      </c>
    </row>
    <row r="2644" spans="1:7">
      <c r="A2644" t="s">
        <v>144</v>
      </c>
      <c r="B2644">
        <v>41</v>
      </c>
      <c r="C2644">
        <v>29</v>
      </c>
      <c r="D2644">
        <v>-1</v>
      </c>
      <c r="E2644">
        <v>0.67299399999999998</v>
      </c>
      <c r="F2644">
        <v>-1</v>
      </c>
      <c r="G2644">
        <v>0.67299399999999998</v>
      </c>
    </row>
    <row r="2645" spans="1:7">
      <c r="A2645" t="s">
        <v>144</v>
      </c>
      <c r="B2645">
        <v>41</v>
      </c>
      <c r="C2645">
        <v>30</v>
      </c>
      <c r="D2645">
        <v>-1</v>
      </c>
      <c r="E2645">
        <v>0.60429699999999997</v>
      </c>
      <c r="F2645">
        <v>-1</v>
      </c>
      <c r="G2645">
        <v>0.60429699999999997</v>
      </c>
    </row>
    <row r="2646" spans="1:7">
      <c r="A2646" t="s">
        <v>144</v>
      </c>
      <c r="B2646">
        <v>41</v>
      </c>
      <c r="C2646">
        <v>31</v>
      </c>
      <c r="D2646">
        <v>-1</v>
      </c>
      <c r="E2646">
        <v>-0.94436500000000001</v>
      </c>
      <c r="F2646">
        <v>-1</v>
      </c>
      <c r="G2646">
        <v>-0.94436500000000001</v>
      </c>
    </row>
    <row r="2647" spans="1:7">
      <c r="A2647" t="s">
        <v>144</v>
      </c>
      <c r="B2647">
        <v>41</v>
      </c>
      <c r="C2647">
        <v>32</v>
      </c>
      <c r="D2647">
        <v>-1</v>
      </c>
      <c r="E2647">
        <v>-0.85116099999999995</v>
      </c>
      <c r="F2647">
        <v>-1</v>
      </c>
      <c r="G2647">
        <v>-0.85116099999999995</v>
      </c>
    </row>
    <row r="2648" spans="1:7">
      <c r="A2648" t="s">
        <v>144</v>
      </c>
      <c r="B2648">
        <v>41</v>
      </c>
      <c r="C2648">
        <v>33</v>
      </c>
      <c r="D2648">
        <v>-1</v>
      </c>
      <c r="E2648">
        <v>0.63325900000000002</v>
      </c>
      <c r="F2648">
        <v>-1</v>
      </c>
      <c r="G2648">
        <v>0.63325900000000002</v>
      </c>
    </row>
    <row r="2649" spans="1:7">
      <c r="A2649" t="s">
        <v>144</v>
      </c>
      <c r="B2649">
        <v>41</v>
      </c>
      <c r="C2649">
        <v>34</v>
      </c>
      <c r="D2649">
        <v>-1</v>
      </c>
      <c r="E2649">
        <v>0.29471700000000001</v>
      </c>
      <c r="F2649">
        <v>-1</v>
      </c>
      <c r="G2649">
        <v>0.29471700000000001</v>
      </c>
    </row>
    <row r="2650" spans="1:7">
      <c r="A2650" t="s">
        <v>144</v>
      </c>
      <c r="B2650">
        <v>41</v>
      </c>
      <c r="C2650">
        <v>35</v>
      </c>
      <c r="D2650">
        <v>-1</v>
      </c>
      <c r="E2650">
        <v>-0.16650899999999999</v>
      </c>
      <c r="F2650">
        <v>-1</v>
      </c>
      <c r="G2650">
        <v>-0.16650899999999999</v>
      </c>
    </row>
    <row r="2651" spans="1:7">
      <c r="A2651" t="s">
        <v>144</v>
      </c>
      <c r="B2651">
        <v>41</v>
      </c>
      <c r="C2651">
        <v>36</v>
      </c>
      <c r="D2651">
        <v>-1</v>
      </c>
      <c r="E2651">
        <v>0.128666</v>
      </c>
      <c r="F2651">
        <v>-1</v>
      </c>
      <c r="G2651">
        <v>0.128666</v>
      </c>
    </row>
    <row r="2652" spans="1:7">
      <c r="A2652" t="s">
        <v>144</v>
      </c>
      <c r="B2652">
        <v>41</v>
      </c>
      <c r="C2652">
        <v>37</v>
      </c>
      <c r="D2652">
        <v>-1</v>
      </c>
      <c r="E2652">
        <v>0.46018900000000001</v>
      </c>
      <c r="F2652">
        <v>-1</v>
      </c>
      <c r="G2652">
        <v>0.46018900000000001</v>
      </c>
    </row>
    <row r="2653" spans="1:7">
      <c r="A2653" t="s">
        <v>144</v>
      </c>
      <c r="B2653">
        <v>41</v>
      </c>
      <c r="C2653">
        <v>38</v>
      </c>
      <c r="D2653">
        <v>-1</v>
      </c>
      <c r="E2653">
        <v>-0.15323300000000001</v>
      </c>
      <c r="F2653">
        <v>-1</v>
      </c>
      <c r="G2653">
        <v>-0.15323300000000001</v>
      </c>
    </row>
    <row r="2654" spans="1:7">
      <c r="A2654" t="s">
        <v>144</v>
      </c>
      <c r="B2654">
        <v>41</v>
      </c>
      <c r="C2654">
        <v>39</v>
      </c>
      <c r="D2654">
        <v>-1</v>
      </c>
      <c r="E2654">
        <v>0.71706300000000001</v>
      </c>
      <c r="F2654">
        <v>-1</v>
      </c>
      <c r="G2654">
        <v>0.71706300000000001</v>
      </c>
    </row>
    <row r="2655" spans="1:7">
      <c r="A2655" t="s">
        <v>144</v>
      </c>
      <c r="B2655">
        <v>41</v>
      </c>
      <c r="C2655">
        <v>40</v>
      </c>
      <c r="D2655">
        <v>-1</v>
      </c>
      <c r="E2655">
        <v>-0.20246</v>
      </c>
      <c r="F2655">
        <v>-1</v>
      </c>
      <c r="G2655">
        <v>-0.20246</v>
      </c>
    </row>
    <row r="2656" spans="1:7">
      <c r="A2656" t="s">
        <v>144</v>
      </c>
      <c r="B2656">
        <v>41</v>
      </c>
      <c r="C2656">
        <v>41</v>
      </c>
      <c r="D2656">
        <v>-1</v>
      </c>
      <c r="E2656">
        <v>0.52302599999999999</v>
      </c>
      <c r="F2656">
        <v>-1</v>
      </c>
      <c r="G2656">
        <v>0.52302599999999999</v>
      </c>
    </row>
    <row r="2657" spans="1:7">
      <c r="A2657" t="s">
        <v>144</v>
      </c>
      <c r="B2657">
        <v>41</v>
      </c>
      <c r="C2657">
        <v>42</v>
      </c>
      <c r="D2657">
        <v>-1</v>
      </c>
      <c r="E2657">
        <v>-0.26114700000000002</v>
      </c>
      <c r="F2657">
        <v>-1</v>
      </c>
      <c r="G2657">
        <v>-0.26114700000000002</v>
      </c>
    </row>
    <row r="2658" spans="1:7">
      <c r="A2658" t="s">
        <v>144</v>
      </c>
      <c r="B2658">
        <v>41</v>
      </c>
      <c r="C2658">
        <v>43</v>
      </c>
      <c r="D2658">
        <v>-1</v>
      </c>
      <c r="E2658">
        <v>-0.14838100000000001</v>
      </c>
      <c r="F2658">
        <v>-1</v>
      </c>
      <c r="G2658">
        <v>-0.14838100000000001</v>
      </c>
    </row>
    <row r="2659" spans="1:7">
      <c r="A2659" t="s">
        <v>144</v>
      </c>
      <c r="B2659">
        <v>41</v>
      </c>
      <c r="C2659">
        <v>44</v>
      </c>
      <c r="D2659">
        <v>-1</v>
      </c>
      <c r="E2659">
        <v>-0.42735099999999998</v>
      </c>
      <c r="F2659">
        <v>-1</v>
      </c>
      <c r="G2659">
        <v>-0.42735099999999998</v>
      </c>
    </row>
    <row r="2660" spans="1:7">
      <c r="A2660" t="s">
        <v>144</v>
      </c>
      <c r="B2660">
        <v>41</v>
      </c>
      <c r="C2660">
        <v>45</v>
      </c>
      <c r="D2660">
        <v>-1</v>
      </c>
      <c r="E2660">
        <v>-0.46070699999999998</v>
      </c>
      <c r="F2660">
        <v>-1</v>
      </c>
      <c r="G2660">
        <v>-0.46070699999999998</v>
      </c>
    </row>
    <row r="2661" spans="1:7">
      <c r="A2661" t="s">
        <v>144</v>
      </c>
      <c r="B2661">
        <v>41</v>
      </c>
      <c r="C2661">
        <v>46</v>
      </c>
      <c r="D2661">
        <v>-1</v>
      </c>
      <c r="E2661">
        <v>-0.376751</v>
      </c>
      <c r="F2661">
        <v>-1</v>
      </c>
      <c r="G2661">
        <v>-0.376751</v>
      </c>
    </row>
    <row r="2662" spans="1:7">
      <c r="A2662" t="s">
        <v>144</v>
      </c>
      <c r="B2662">
        <v>41</v>
      </c>
      <c r="C2662">
        <v>47</v>
      </c>
      <c r="D2662">
        <v>-1</v>
      </c>
      <c r="E2662">
        <v>-0.35489999999999999</v>
      </c>
      <c r="F2662">
        <v>-1</v>
      </c>
      <c r="G2662">
        <v>-0.35489999999999999</v>
      </c>
    </row>
    <row r="2663" spans="1:7">
      <c r="A2663" t="s">
        <v>144</v>
      </c>
      <c r="B2663">
        <v>41</v>
      </c>
      <c r="C2663">
        <v>48</v>
      </c>
      <c r="D2663">
        <v>-1</v>
      </c>
      <c r="E2663">
        <v>0.485458</v>
      </c>
      <c r="F2663">
        <v>-1</v>
      </c>
      <c r="G2663">
        <v>0.485458</v>
      </c>
    </row>
    <row r="2664" spans="1:7">
      <c r="A2664" t="s">
        <v>144</v>
      </c>
      <c r="B2664">
        <v>41</v>
      </c>
      <c r="C2664">
        <v>49</v>
      </c>
      <c r="D2664">
        <v>-1</v>
      </c>
      <c r="E2664">
        <v>-0.10757799999999999</v>
      </c>
      <c r="F2664">
        <v>-1</v>
      </c>
      <c r="G2664">
        <v>-0.10757799999999999</v>
      </c>
    </row>
    <row r="2665" spans="1:7">
      <c r="A2665" t="s">
        <v>144</v>
      </c>
      <c r="B2665" t="s">
        <v>145</v>
      </c>
      <c r="C2665">
        <v>42</v>
      </c>
    </row>
    <row r="2666" spans="1:7">
      <c r="A2666" t="s">
        <v>144</v>
      </c>
      <c r="B2666" t="s">
        <v>146</v>
      </c>
      <c r="C2666">
        <v>79</v>
      </c>
    </row>
    <row r="2667" spans="1:7">
      <c r="A2667" t="s">
        <v>144</v>
      </c>
      <c r="B2667" t="s">
        <v>147</v>
      </c>
      <c r="C2667">
        <v>79</v>
      </c>
    </row>
    <row r="2668" spans="1:7">
      <c r="A2668" t="s">
        <v>144</v>
      </c>
      <c r="B2668" t="s">
        <v>148</v>
      </c>
      <c r="C2668">
        <v>0.62431700000000001</v>
      </c>
    </row>
    <row r="2669" spans="1:7">
      <c r="A2669" t="s">
        <v>144</v>
      </c>
      <c r="B2669" t="s">
        <v>149</v>
      </c>
      <c r="C2669">
        <v>0.62431700000000001</v>
      </c>
    </row>
    <row r="2670" spans="1:7">
      <c r="A2670" t="s">
        <v>144</v>
      </c>
      <c r="B2670" t="s">
        <v>150</v>
      </c>
      <c r="C2670">
        <v>-1</v>
      </c>
    </row>
    <row r="2671" spans="1:7">
      <c r="A2671" t="s">
        <v>144</v>
      </c>
      <c r="B2671" t="s">
        <v>151</v>
      </c>
      <c r="C2671">
        <v>-1</v>
      </c>
    </row>
    <row r="2672" spans="1:7">
      <c r="A2672" t="s">
        <v>144</v>
      </c>
      <c r="B2672" t="s">
        <v>152</v>
      </c>
      <c r="C2672">
        <v>5</v>
      </c>
    </row>
    <row r="2673" spans="1:7">
      <c r="A2673" t="s">
        <v>144</v>
      </c>
      <c r="B2673" t="s">
        <v>153</v>
      </c>
      <c r="C2673">
        <v>5</v>
      </c>
    </row>
    <row r="2674" spans="1:7">
      <c r="A2674" t="s">
        <v>144</v>
      </c>
      <c r="B2674" t="s">
        <v>154</v>
      </c>
      <c r="C2674">
        <v>0</v>
      </c>
    </row>
    <row r="2675" spans="1:7">
      <c r="A2675" t="s">
        <v>144</v>
      </c>
      <c r="B2675" t="s">
        <v>155</v>
      </c>
    </row>
    <row r="2676" spans="1:7">
      <c r="A2676" t="s">
        <v>144</v>
      </c>
      <c r="B2676" t="s">
        <v>150</v>
      </c>
      <c r="C2676">
        <v>0.154973</v>
      </c>
    </row>
    <row r="2677" spans="1:7">
      <c r="A2677" t="s">
        <v>144</v>
      </c>
      <c r="B2677" t="s">
        <v>151</v>
      </c>
      <c r="C2677">
        <v>0.154973</v>
      </c>
    </row>
    <row r="2678" spans="1:7">
      <c r="A2678" t="s">
        <v>144</v>
      </c>
      <c r="B2678" t="s">
        <v>156</v>
      </c>
      <c r="C2678" t="s">
        <v>157</v>
      </c>
      <c r="D2678" t="s">
        <v>63</v>
      </c>
      <c r="E2678" t="s">
        <v>158</v>
      </c>
      <c r="F2678" t="s">
        <v>159</v>
      </c>
      <c r="G2678" t="s">
        <v>160</v>
      </c>
    </row>
    <row r="2679" spans="1:7">
      <c r="A2679" t="s">
        <v>144</v>
      </c>
      <c r="B2679">
        <v>42</v>
      </c>
      <c r="C2679">
        <v>0</v>
      </c>
      <c r="D2679">
        <v>0.154973</v>
      </c>
      <c r="E2679">
        <v>-0.15350800000000001</v>
      </c>
      <c r="F2679">
        <v>-1</v>
      </c>
      <c r="G2679">
        <v>-0.15350800000000001</v>
      </c>
    </row>
    <row r="2680" spans="1:7">
      <c r="A2680" t="s">
        <v>144</v>
      </c>
      <c r="B2680">
        <v>42</v>
      </c>
      <c r="C2680">
        <v>1</v>
      </c>
      <c r="D2680">
        <v>0.154973</v>
      </c>
      <c r="E2680">
        <v>0.94976700000000003</v>
      </c>
      <c r="F2680">
        <v>-1</v>
      </c>
      <c r="G2680">
        <v>0.94976700000000003</v>
      </c>
    </row>
    <row r="2681" spans="1:7">
      <c r="A2681" t="s">
        <v>144</v>
      </c>
      <c r="B2681">
        <v>42</v>
      </c>
      <c r="C2681">
        <v>2</v>
      </c>
      <c r="D2681">
        <v>0.154973</v>
      </c>
      <c r="E2681">
        <v>0.36069800000000002</v>
      </c>
      <c r="F2681">
        <v>-1</v>
      </c>
      <c r="G2681">
        <v>0.36069800000000002</v>
      </c>
    </row>
    <row r="2682" spans="1:7">
      <c r="A2682" t="s">
        <v>144</v>
      </c>
      <c r="B2682">
        <v>42</v>
      </c>
      <c r="C2682">
        <v>3</v>
      </c>
      <c r="D2682">
        <v>0.154973</v>
      </c>
      <c r="E2682">
        <v>-0.45307799999999998</v>
      </c>
      <c r="F2682">
        <v>-1</v>
      </c>
      <c r="G2682">
        <v>-0.45307799999999998</v>
      </c>
    </row>
    <row r="2683" spans="1:7">
      <c r="A2683" t="s">
        <v>144</v>
      </c>
      <c r="B2683">
        <v>42</v>
      </c>
      <c r="C2683">
        <v>4</v>
      </c>
      <c r="D2683">
        <v>0.154973</v>
      </c>
      <c r="E2683">
        <v>-0.55317799999999995</v>
      </c>
      <c r="F2683">
        <v>-1</v>
      </c>
      <c r="G2683">
        <v>-0.55317799999999995</v>
      </c>
    </row>
    <row r="2684" spans="1:7">
      <c r="A2684" t="s">
        <v>144</v>
      </c>
      <c r="B2684">
        <v>42</v>
      </c>
      <c r="C2684">
        <v>5</v>
      </c>
      <c r="D2684">
        <v>0.154973</v>
      </c>
      <c r="E2684">
        <v>-0.37382100000000001</v>
      </c>
      <c r="F2684">
        <v>4.6998999999999999E-2</v>
      </c>
      <c r="G2684">
        <v>-1.8217000000000001E-2</v>
      </c>
    </row>
    <row r="2685" spans="1:7">
      <c r="A2685" t="s">
        <v>144</v>
      </c>
      <c r="B2685">
        <v>42</v>
      </c>
      <c r="C2685">
        <v>6</v>
      </c>
      <c r="D2685">
        <v>0.154973</v>
      </c>
      <c r="E2685">
        <v>0.57371700000000003</v>
      </c>
      <c r="F2685">
        <v>0.86934999999999996</v>
      </c>
      <c r="G2685">
        <v>0.82353500000000002</v>
      </c>
    </row>
    <row r="2686" spans="1:7">
      <c r="A2686" t="s">
        <v>144</v>
      </c>
      <c r="B2686">
        <v>42</v>
      </c>
      <c r="C2686">
        <v>7</v>
      </c>
      <c r="D2686">
        <v>0.154973</v>
      </c>
      <c r="E2686">
        <v>0.51622100000000004</v>
      </c>
      <c r="F2686">
        <v>-0.47962900000000003</v>
      </c>
      <c r="G2686">
        <v>-0.325299</v>
      </c>
    </row>
    <row r="2687" spans="1:7">
      <c r="A2687" t="s">
        <v>144</v>
      </c>
      <c r="B2687">
        <v>42</v>
      </c>
      <c r="C2687">
        <v>8</v>
      </c>
      <c r="D2687">
        <v>0.154973</v>
      </c>
      <c r="E2687">
        <v>-0.63847799999999999</v>
      </c>
      <c r="F2687">
        <v>-0.57957700000000001</v>
      </c>
      <c r="G2687">
        <v>-0.58870500000000003</v>
      </c>
    </row>
    <row r="2688" spans="1:7">
      <c r="A2688" t="s">
        <v>144</v>
      </c>
      <c r="B2688">
        <v>42</v>
      </c>
      <c r="C2688">
        <v>9</v>
      </c>
      <c r="D2688">
        <v>0.154973</v>
      </c>
      <c r="E2688">
        <v>-0.62407299999999999</v>
      </c>
      <c r="F2688">
        <v>0.44862200000000002</v>
      </c>
      <c r="G2688">
        <v>0.282383</v>
      </c>
    </row>
    <row r="2689" spans="1:7">
      <c r="A2689" t="s">
        <v>144</v>
      </c>
      <c r="B2689">
        <v>42</v>
      </c>
      <c r="C2689">
        <v>10</v>
      </c>
      <c r="D2689">
        <v>0.154973</v>
      </c>
      <c r="E2689">
        <v>-0.62199800000000005</v>
      </c>
      <c r="F2689">
        <v>-0.532609</v>
      </c>
      <c r="G2689">
        <v>-0.546462</v>
      </c>
    </row>
    <row r="2690" spans="1:7">
      <c r="A2690" t="s">
        <v>144</v>
      </c>
      <c r="B2690">
        <v>42</v>
      </c>
      <c r="C2690">
        <v>11</v>
      </c>
      <c r="D2690">
        <v>0.154973</v>
      </c>
      <c r="E2690">
        <v>-0.19367000000000001</v>
      </c>
      <c r="F2690">
        <v>-0.46607900000000002</v>
      </c>
      <c r="G2690">
        <v>-0.42386299999999999</v>
      </c>
    </row>
    <row r="2691" spans="1:7">
      <c r="A2691" t="s">
        <v>144</v>
      </c>
      <c r="B2691">
        <v>42</v>
      </c>
      <c r="C2691">
        <v>12</v>
      </c>
      <c r="D2691">
        <v>0.154973</v>
      </c>
      <c r="E2691">
        <v>-0.62495800000000001</v>
      </c>
      <c r="F2691">
        <v>0.81457000000000002</v>
      </c>
      <c r="G2691">
        <v>0.59148199999999995</v>
      </c>
    </row>
    <row r="2692" spans="1:7">
      <c r="A2692" t="s">
        <v>144</v>
      </c>
      <c r="B2692">
        <v>42</v>
      </c>
      <c r="C2692">
        <v>13</v>
      </c>
      <c r="D2692">
        <v>0.154973</v>
      </c>
      <c r="E2692">
        <v>0.83587100000000003</v>
      </c>
      <c r="F2692">
        <v>-0.60460199999999997</v>
      </c>
      <c r="G2692">
        <v>-0.38136799999999998</v>
      </c>
    </row>
    <row r="2693" spans="1:7">
      <c r="A2693" t="s">
        <v>144</v>
      </c>
      <c r="B2693">
        <v>42</v>
      </c>
      <c r="C2693">
        <v>14</v>
      </c>
      <c r="D2693">
        <v>0.154973</v>
      </c>
      <c r="E2693">
        <v>0.48188700000000001</v>
      </c>
      <c r="F2693">
        <v>0.759606</v>
      </c>
      <c r="G2693">
        <v>0.71656699999999995</v>
      </c>
    </row>
    <row r="2694" spans="1:7">
      <c r="A2694" t="s">
        <v>144</v>
      </c>
      <c r="B2694">
        <v>42</v>
      </c>
      <c r="C2694">
        <v>15</v>
      </c>
      <c r="D2694">
        <v>0.154973</v>
      </c>
      <c r="E2694">
        <v>-9.3050999999999995E-2</v>
      </c>
      <c r="F2694">
        <v>-0.99795500000000004</v>
      </c>
      <c r="G2694">
        <v>-0.85772000000000004</v>
      </c>
    </row>
    <row r="2695" spans="1:7">
      <c r="A2695" t="s">
        <v>144</v>
      </c>
      <c r="B2695">
        <v>42</v>
      </c>
      <c r="C2695">
        <v>16</v>
      </c>
      <c r="D2695">
        <v>0.154973</v>
      </c>
      <c r="E2695">
        <v>0.36408600000000002</v>
      </c>
      <c r="F2695">
        <v>-0.70555699999999999</v>
      </c>
      <c r="G2695">
        <v>-0.53979200000000005</v>
      </c>
    </row>
    <row r="2696" spans="1:7">
      <c r="A2696" t="s">
        <v>144</v>
      </c>
      <c r="B2696">
        <v>42</v>
      </c>
      <c r="C2696">
        <v>17</v>
      </c>
      <c r="D2696">
        <v>0.154973</v>
      </c>
      <c r="E2696">
        <v>-0.117435</v>
      </c>
      <c r="F2696">
        <v>-0.89053000000000004</v>
      </c>
      <c r="G2696">
        <v>-0.77072099999999999</v>
      </c>
    </row>
    <row r="2697" spans="1:7">
      <c r="A2697" t="s">
        <v>144</v>
      </c>
      <c r="B2697">
        <v>42</v>
      </c>
      <c r="C2697">
        <v>18</v>
      </c>
      <c r="D2697">
        <v>0.154973</v>
      </c>
      <c r="E2697">
        <v>-0.1348</v>
      </c>
      <c r="F2697">
        <v>-0.68877200000000005</v>
      </c>
      <c r="G2697">
        <v>-0.60292199999999996</v>
      </c>
    </row>
    <row r="2698" spans="1:7">
      <c r="A2698" t="s">
        <v>144</v>
      </c>
      <c r="B2698">
        <v>42</v>
      </c>
      <c r="C2698">
        <v>19</v>
      </c>
      <c r="D2698">
        <v>0.154973</v>
      </c>
      <c r="E2698">
        <v>0.117038</v>
      </c>
      <c r="F2698">
        <v>0.141789</v>
      </c>
      <c r="G2698">
        <v>0.13795299999999999</v>
      </c>
    </row>
    <row r="2699" spans="1:7">
      <c r="A2699" t="s">
        <v>144</v>
      </c>
      <c r="B2699">
        <v>42</v>
      </c>
      <c r="C2699">
        <v>20</v>
      </c>
      <c r="D2699">
        <v>0.154973</v>
      </c>
      <c r="E2699">
        <v>0.61265899999999995</v>
      </c>
      <c r="F2699">
        <v>0.23483999999999999</v>
      </c>
      <c r="G2699">
        <v>0.29339199999999999</v>
      </c>
    </row>
    <row r="2700" spans="1:7">
      <c r="A2700" t="s">
        <v>144</v>
      </c>
      <c r="B2700">
        <v>42</v>
      </c>
      <c r="C2700">
        <v>21</v>
      </c>
      <c r="D2700">
        <v>0.154973</v>
      </c>
      <c r="E2700">
        <v>0.97549399999999997</v>
      </c>
      <c r="F2700">
        <v>-0.59230300000000002</v>
      </c>
      <c r="G2700">
        <v>-0.34933700000000001</v>
      </c>
    </row>
    <row r="2701" spans="1:7">
      <c r="A2701" t="s">
        <v>144</v>
      </c>
      <c r="B2701">
        <v>42</v>
      </c>
      <c r="C2701">
        <v>22</v>
      </c>
      <c r="D2701">
        <v>0.154973</v>
      </c>
      <c r="E2701">
        <v>0.39915200000000001</v>
      </c>
      <c r="F2701">
        <v>0.90115100000000004</v>
      </c>
      <c r="G2701">
        <v>0.82335400000000003</v>
      </c>
    </row>
    <row r="2702" spans="1:7">
      <c r="A2702" t="s">
        <v>144</v>
      </c>
      <c r="B2702">
        <v>42</v>
      </c>
      <c r="C2702">
        <v>23</v>
      </c>
      <c r="D2702">
        <v>0.154973</v>
      </c>
      <c r="E2702">
        <v>-0.95168900000000001</v>
      </c>
      <c r="F2702">
        <v>0.19684399999999999</v>
      </c>
      <c r="G2702">
        <v>1.8853000000000002E-2</v>
      </c>
    </row>
    <row r="2703" spans="1:7">
      <c r="A2703" t="s">
        <v>144</v>
      </c>
      <c r="B2703">
        <v>42</v>
      </c>
      <c r="C2703">
        <v>24</v>
      </c>
      <c r="D2703">
        <v>0.154973</v>
      </c>
      <c r="E2703">
        <v>-0.42741200000000001</v>
      </c>
      <c r="F2703">
        <v>-0.72762199999999999</v>
      </c>
      <c r="G2703">
        <v>-0.68109799999999998</v>
      </c>
    </row>
    <row r="2704" spans="1:7">
      <c r="A2704" t="s">
        <v>144</v>
      </c>
      <c r="B2704">
        <v>42</v>
      </c>
      <c r="C2704">
        <v>25</v>
      </c>
      <c r="D2704">
        <v>0.154973</v>
      </c>
      <c r="E2704">
        <v>-0.86608499999999999</v>
      </c>
      <c r="F2704">
        <v>0.33195000000000002</v>
      </c>
      <c r="G2704">
        <v>0.146287</v>
      </c>
    </row>
    <row r="2705" spans="1:7">
      <c r="A2705" t="s">
        <v>144</v>
      </c>
      <c r="B2705">
        <v>42</v>
      </c>
      <c r="C2705">
        <v>26</v>
      </c>
      <c r="D2705">
        <v>0.154973</v>
      </c>
      <c r="E2705">
        <v>-0.88738700000000004</v>
      </c>
      <c r="F2705">
        <v>0.25217400000000001</v>
      </c>
      <c r="G2705">
        <v>7.5573000000000001E-2</v>
      </c>
    </row>
    <row r="2706" spans="1:7">
      <c r="A2706" t="s">
        <v>144</v>
      </c>
      <c r="B2706">
        <v>42</v>
      </c>
      <c r="C2706">
        <v>27</v>
      </c>
      <c r="D2706">
        <v>0.154973</v>
      </c>
      <c r="E2706">
        <v>0.67949499999999996</v>
      </c>
      <c r="F2706">
        <v>0.18304999999999999</v>
      </c>
      <c r="G2706">
        <v>0.25998599999999999</v>
      </c>
    </row>
    <row r="2707" spans="1:7">
      <c r="A2707" t="s">
        <v>144</v>
      </c>
      <c r="B2707">
        <v>42</v>
      </c>
      <c r="C2707">
        <v>28</v>
      </c>
      <c r="D2707">
        <v>0.154973</v>
      </c>
      <c r="E2707">
        <v>0.68459099999999995</v>
      </c>
      <c r="F2707">
        <v>-0.24649799999999999</v>
      </c>
      <c r="G2707">
        <v>-0.102204</v>
      </c>
    </row>
    <row r="2708" spans="1:7">
      <c r="A2708" t="s">
        <v>144</v>
      </c>
      <c r="B2708">
        <v>42</v>
      </c>
      <c r="C2708">
        <v>29</v>
      </c>
      <c r="D2708">
        <v>0.154973</v>
      </c>
      <c r="E2708">
        <v>0.87044900000000003</v>
      </c>
      <c r="F2708">
        <v>-0.61824400000000002</v>
      </c>
      <c r="G2708">
        <v>-0.38753700000000002</v>
      </c>
    </row>
    <row r="2709" spans="1:7">
      <c r="A2709" t="s">
        <v>144</v>
      </c>
      <c r="B2709">
        <v>42</v>
      </c>
      <c r="C2709">
        <v>30</v>
      </c>
      <c r="D2709">
        <v>0.154973</v>
      </c>
      <c r="E2709">
        <v>8.8076000000000002E-2</v>
      </c>
      <c r="F2709">
        <v>0.82903499999999997</v>
      </c>
      <c r="G2709">
        <v>0.71420700000000004</v>
      </c>
    </row>
    <row r="2710" spans="1:7">
      <c r="A2710" t="s">
        <v>144</v>
      </c>
      <c r="B2710">
        <v>42</v>
      </c>
      <c r="C2710">
        <v>31</v>
      </c>
      <c r="D2710">
        <v>0.154973</v>
      </c>
      <c r="E2710">
        <v>0.51799099999999998</v>
      </c>
      <c r="F2710">
        <v>0.454482</v>
      </c>
      <c r="G2710">
        <v>0.46432400000000001</v>
      </c>
    </row>
    <row r="2711" spans="1:7">
      <c r="A2711" t="s">
        <v>144</v>
      </c>
      <c r="B2711">
        <v>42</v>
      </c>
      <c r="C2711">
        <v>32</v>
      </c>
      <c r="D2711">
        <v>0.154973</v>
      </c>
      <c r="E2711">
        <v>0.72435700000000003</v>
      </c>
      <c r="F2711">
        <v>0.111057</v>
      </c>
      <c r="G2711">
        <v>0.20610200000000001</v>
      </c>
    </row>
    <row r="2712" spans="1:7">
      <c r="A2712" t="s">
        <v>144</v>
      </c>
      <c r="B2712">
        <v>42</v>
      </c>
      <c r="C2712">
        <v>33</v>
      </c>
      <c r="D2712">
        <v>0.154973</v>
      </c>
      <c r="E2712">
        <v>-0.49562099999999998</v>
      </c>
      <c r="F2712">
        <v>0.52262900000000001</v>
      </c>
      <c r="G2712">
        <v>0.36482799999999999</v>
      </c>
    </row>
    <row r="2713" spans="1:7">
      <c r="A2713" t="s">
        <v>144</v>
      </c>
      <c r="B2713">
        <v>42</v>
      </c>
      <c r="C2713">
        <v>34</v>
      </c>
      <c r="D2713">
        <v>0.154973</v>
      </c>
      <c r="E2713">
        <v>-0.57295399999999996</v>
      </c>
      <c r="F2713">
        <v>-3.2319000000000001E-2</v>
      </c>
      <c r="G2713">
        <v>-0.116103</v>
      </c>
    </row>
    <row r="2714" spans="1:7">
      <c r="A2714" t="s">
        <v>144</v>
      </c>
      <c r="B2714">
        <v>42</v>
      </c>
      <c r="C2714">
        <v>35</v>
      </c>
      <c r="D2714">
        <v>0.154973</v>
      </c>
      <c r="E2714">
        <v>0.68285200000000001</v>
      </c>
      <c r="F2714">
        <v>0.43760500000000002</v>
      </c>
      <c r="G2714">
        <v>0.47561199999999998</v>
      </c>
    </row>
    <row r="2715" spans="1:7">
      <c r="A2715" t="s">
        <v>144</v>
      </c>
      <c r="B2715">
        <v>42</v>
      </c>
      <c r="C2715">
        <v>36</v>
      </c>
      <c r="D2715">
        <v>0.154973</v>
      </c>
      <c r="E2715">
        <v>-0.12042600000000001</v>
      </c>
      <c r="F2715">
        <v>0.54234400000000005</v>
      </c>
      <c r="G2715">
        <v>0.439633</v>
      </c>
    </row>
    <row r="2716" spans="1:7">
      <c r="A2716" t="s">
        <v>144</v>
      </c>
      <c r="B2716">
        <v>42</v>
      </c>
      <c r="C2716">
        <v>37</v>
      </c>
      <c r="D2716">
        <v>0.154973</v>
      </c>
      <c r="E2716">
        <v>0.60045199999999999</v>
      </c>
      <c r="F2716">
        <v>-0.479904</v>
      </c>
      <c r="G2716">
        <v>-0.31247799999999998</v>
      </c>
    </row>
    <row r="2717" spans="1:7">
      <c r="A2717" t="s">
        <v>144</v>
      </c>
      <c r="B2717">
        <v>42</v>
      </c>
      <c r="C2717">
        <v>38</v>
      </c>
      <c r="D2717">
        <v>0.154973</v>
      </c>
      <c r="E2717">
        <v>0.32883699999999999</v>
      </c>
      <c r="F2717">
        <v>0.78344100000000005</v>
      </c>
      <c r="G2717">
        <v>0.71298899999999998</v>
      </c>
    </row>
    <row r="2718" spans="1:7">
      <c r="A2718" t="s">
        <v>144</v>
      </c>
      <c r="B2718">
        <v>42</v>
      </c>
      <c r="C2718">
        <v>39</v>
      </c>
      <c r="D2718">
        <v>0.154973</v>
      </c>
      <c r="E2718">
        <v>0.376141</v>
      </c>
      <c r="F2718">
        <v>0.49458299999999999</v>
      </c>
      <c r="G2718">
        <v>0.47622799999999998</v>
      </c>
    </row>
    <row r="2719" spans="1:7">
      <c r="A2719" t="s">
        <v>144</v>
      </c>
      <c r="B2719">
        <v>42</v>
      </c>
      <c r="C2719">
        <v>40</v>
      </c>
      <c r="D2719">
        <v>0.154973</v>
      </c>
      <c r="E2719">
        <v>-0.57466399999999995</v>
      </c>
      <c r="F2719">
        <v>-0.432417</v>
      </c>
      <c r="G2719">
        <v>-0.454461</v>
      </c>
    </row>
    <row r="2720" spans="1:7">
      <c r="A2720" t="s">
        <v>144</v>
      </c>
      <c r="B2720">
        <v>42</v>
      </c>
      <c r="C2720">
        <v>41</v>
      </c>
      <c r="D2720">
        <v>0.154973</v>
      </c>
      <c r="E2720">
        <v>0.44614999999999999</v>
      </c>
      <c r="F2720">
        <v>0.214118</v>
      </c>
      <c r="G2720">
        <v>0.25007699999999999</v>
      </c>
    </row>
    <row r="2721" spans="1:7">
      <c r="A2721" t="s">
        <v>144</v>
      </c>
      <c r="B2721">
        <v>42</v>
      </c>
      <c r="C2721">
        <v>42</v>
      </c>
      <c r="D2721">
        <v>0.154973</v>
      </c>
      <c r="E2721">
        <v>0.21485000000000001</v>
      </c>
      <c r="F2721">
        <v>-0.85628800000000005</v>
      </c>
      <c r="G2721">
        <v>-0.69029099999999999</v>
      </c>
    </row>
    <row r="2722" spans="1:7">
      <c r="A2722" t="s">
        <v>144</v>
      </c>
      <c r="B2722">
        <v>42</v>
      </c>
      <c r="C2722">
        <v>43</v>
      </c>
      <c r="D2722">
        <v>0.154973</v>
      </c>
      <c r="E2722">
        <v>-0.89974699999999996</v>
      </c>
      <c r="F2722">
        <v>-0.91152699999999998</v>
      </c>
      <c r="G2722">
        <v>-0.90970099999999998</v>
      </c>
    </row>
    <row r="2723" spans="1:7">
      <c r="A2723" t="s">
        <v>144</v>
      </c>
      <c r="B2723">
        <v>42</v>
      </c>
      <c r="C2723">
        <v>44</v>
      </c>
      <c r="D2723">
        <v>0.154973</v>
      </c>
      <c r="E2723">
        <v>0.93630800000000003</v>
      </c>
      <c r="F2723">
        <v>0.238929</v>
      </c>
      <c r="G2723">
        <v>0.34700399999999998</v>
      </c>
    </row>
    <row r="2724" spans="1:7">
      <c r="A2724" t="s">
        <v>144</v>
      </c>
      <c r="B2724">
        <v>42</v>
      </c>
      <c r="C2724">
        <v>45</v>
      </c>
      <c r="D2724">
        <v>0.154973</v>
      </c>
      <c r="E2724">
        <v>0.87228000000000006</v>
      </c>
      <c r="F2724">
        <v>0.7893</v>
      </c>
      <c r="G2724">
        <v>0.80215999999999998</v>
      </c>
    </row>
    <row r="2725" spans="1:7">
      <c r="A2725" t="s">
        <v>144</v>
      </c>
      <c r="B2725">
        <v>42</v>
      </c>
      <c r="C2725">
        <v>46</v>
      </c>
      <c r="D2725">
        <v>0.154973</v>
      </c>
      <c r="E2725">
        <v>0.54423699999999997</v>
      </c>
      <c r="F2725">
        <v>-0.33457399999999998</v>
      </c>
      <c r="G2725">
        <v>-0.198382</v>
      </c>
    </row>
    <row r="2726" spans="1:7">
      <c r="A2726" t="s">
        <v>144</v>
      </c>
      <c r="B2726">
        <v>42</v>
      </c>
      <c r="C2726">
        <v>47</v>
      </c>
      <c r="D2726">
        <v>0.154973</v>
      </c>
      <c r="E2726">
        <v>-0.89349000000000001</v>
      </c>
      <c r="F2726">
        <v>-1.1658E-2</v>
      </c>
      <c r="G2726">
        <v>-0.14831800000000001</v>
      </c>
    </row>
    <row r="2727" spans="1:7">
      <c r="A2727" t="s">
        <v>144</v>
      </c>
      <c r="B2727">
        <v>42</v>
      </c>
      <c r="C2727">
        <v>48</v>
      </c>
      <c r="D2727">
        <v>0.154973</v>
      </c>
      <c r="E2727">
        <v>0.34684300000000001</v>
      </c>
      <c r="F2727">
        <v>-4.5779999999999996E-3</v>
      </c>
      <c r="G2727">
        <v>4.9882999999999997E-2</v>
      </c>
    </row>
    <row r="2728" spans="1:7">
      <c r="A2728" t="s">
        <v>144</v>
      </c>
      <c r="B2728">
        <v>42</v>
      </c>
      <c r="C2728">
        <v>49</v>
      </c>
      <c r="D2728">
        <v>0.154973</v>
      </c>
      <c r="E2728">
        <v>0.59724699999999997</v>
      </c>
      <c r="F2728">
        <v>0.78508900000000004</v>
      </c>
      <c r="G2728">
        <v>0.75597800000000004</v>
      </c>
    </row>
    <row r="2729" spans="1:7">
      <c r="A2729" t="s">
        <v>144</v>
      </c>
      <c r="B2729" t="s">
        <v>145</v>
      </c>
      <c r="C2729">
        <v>43</v>
      </c>
    </row>
    <row r="2730" spans="1:7">
      <c r="A2730" t="s">
        <v>144</v>
      </c>
      <c r="B2730" t="s">
        <v>146</v>
      </c>
      <c r="C2730">
        <v>77</v>
      </c>
    </row>
    <row r="2731" spans="1:7">
      <c r="A2731" t="s">
        <v>144</v>
      </c>
      <c r="B2731" t="s">
        <v>147</v>
      </c>
      <c r="C2731">
        <v>77</v>
      </c>
    </row>
    <row r="2732" spans="1:7">
      <c r="A2732" t="s">
        <v>144</v>
      </c>
      <c r="B2732" t="s">
        <v>148</v>
      </c>
      <c r="C2732">
        <v>0.31840000000000002</v>
      </c>
    </row>
    <row r="2733" spans="1:7">
      <c r="A2733" t="s">
        <v>144</v>
      </c>
      <c r="B2733" t="s">
        <v>149</v>
      </c>
      <c r="C2733">
        <v>0.31840000000000002</v>
      </c>
    </row>
    <row r="2734" spans="1:7">
      <c r="A2734" t="s">
        <v>144</v>
      </c>
      <c r="B2734" t="s">
        <v>150</v>
      </c>
      <c r="C2734">
        <v>-1</v>
      </c>
    </row>
    <row r="2735" spans="1:7">
      <c r="A2735" t="s">
        <v>144</v>
      </c>
      <c r="B2735" t="s">
        <v>151</v>
      </c>
      <c r="C2735">
        <v>-1</v>
      </c>
    </row>
    <row r="2736" spans="1:7">
      <c r="A2736" t="s">
        <v>144</v>
      </c>
      <c r="B2736" t="s">
        <v>152</v>
      </c>
      <c r="C2736">
        <v>7</v>
      </c>
    </row>
    <row r="2737" spans="1:7">
      <c r="A2737" t="s">
        <v>144</v>
      </c>
      <c r="B2737" t="s">
        <v>153</v>
      </c>
      <c r="C2737">
        <v>7</v>
      </c>
    </row>
    <row r="2738" spans="1:7">
      <c r="A2738" t="s">
        <v>144</v>
      </c>
      <c r="B2738" t="s">
        <v>154</v>
      </c>
      <c r="C2738">
        <v>0</v>
      </c>
    </row>
    <row r="2739" spans="1:7">
      <c r="A2739" t="s">
        <v>144</v>
      </c>
      <c r="B2739" t="s">
        <v>155</v>
      </c>
    </row>
    <row r="2740" spans="1:7">
      <c r="A2740" t="s">
        <v>144</v>
      </c>
      <c r="B2740" t="s">
        <v>150</v>
      </c>
      <c r="C2740">
        <v>0.65346199999999999</v>
      </c>
    </row>
    <row r="2741" spans="1:7">
      <c r="A2741" t="s">
        <v>144</v>
      </c>
      <c r="B2741" t="s">
        <v>151</v>
      </c>
      <c r="C2741">
        <v>0.65346199999999999</v>
      </c>
    </row>
    <row r="2742" spans="1:7">
      <c r="A2742" t="s">
        <v>144</v>
      </c>
      <c r="B2742" t="s">
        <v>156</v>
      </c>
      <c r="C2742" t="s">
        <v>157</v>
      </c>
      <c r="D2742" t="s">
        <v>63</v>
      </c>
      <c r="E2742" t="s">
        <v>158</v>
      </c>
      <c r="F2742" t="s">
        <v>159</v>
      </c>
      <c r="G2742" t="s">
        <v>160</v>
      </c>
    </row>
    <row r="2743" spans="1:7">
      <c r="A2743" t="s">
        <v>144</v>
      </c>
      <c r="B2743">
        <v>43</v>
      </c>
      <c r="C2743">
        <v>0</v>
      </c>
      <c r="D2743">
        <v>0.65346199999999999</v>
      </c>
      <c r="E2743">
        <v>0.29325200000000001</v>
      </c>
      <c r="F2743">
        <v>-1</v>
      </c>
      <c r="G2743">
        <v>0.29325200000000001</v>
      </c>
    </row>
    <row r="2744" spans="1:7">
      <c r="A2744" t="s">
        <v>144</v>
      </c>
      <c r="B2744">
        <v>43</v>
      </c>
      <c r="C2744">
        <v>1</v>
      </c>
      <c r="D2744">
        <v>0.65346199999999999</v>
      </c>
      <c r="E2744">
        <v>0.96688700000000005</v>
      </c>
      <c r="F2744">
        <v>-1</v>
      </c>
      <c r="G2744">
        <v>0.96688700000000005</v>
      </c>
    </row>
    <row r="2745" spans="1:7">
      <c r="A2745" t="s">
        <v>144</v>
      </c>
      <c r="B2745">
        <v>43</v>
      </c>
      <c r="C2745">
        <v>2</v>
      </c>
      <c r="D2745">
        <v>0.65346199999999999</v>
      </c>
      <c r="E2745">
        <v>-0.98983699999999997</v>
      </c>
      <c r="F2745">
        <v>-1</v>
      </c>
      <c r="G2745">
        <v>-0.98983699999999997</v>
      </c>
    </row>
    <row r="2746" spans="1:7">
      <c r="A2746" t="s">
        <v>144</v>
      </c>
      <c r="B2746">
        <v>43</v>
      </c>
      <c r="C2746">
        <v>3</v>
      </c>
      <c r="D2746">
        <v>0.65346199999999999</v>
      </c>
      <c r="E2746">
        <v>-0.15604100000000001</v>
      </c>
      <c r="F2746">
        <v>-1</v>
      </c>
      <c r="G2746">
        <v>-0.15604100000000001</v>
      </c>
    </row>
    <row r="2747" spans="1:7">
      <c r="A2747" t="s">
        <v>144</v>
      </c>
      <c r="B2747">
        <v>43</v>
      </c>
      <c r="C2747">
        <v>4</v>
      </c>
      <c r="D2747">
        <v>0.65346199999999999</v>
      </c>
      <c r="E2747">
        <v>-0.13708899999999999</v>
      </c>
      <c r="F2747">
        <v>-1</v>
      </c>
      <c r="G2747">
        <v>-0.13708899999999999</v>
      </c>
    </row>
    <row r="2748" spans="1:7">
      <c r="A2748" t="s">
        <v>144</v>
      </c>
      <c r="B2748">
        <v>43</v>
      </c>
      <c r="C2748">
        <v>5</v>
      </c>
      <c r="D2748">
        <v>0.65346199999999999</v>
      </c>
      <c r="E2748">
        <v>0.96111899999999995</v>
      </c>
      <c r="F2748">
        <v>-1</v>
      </c>
      <c r="G2748">
        <v>0.96111899999999995</v>
      </c>
    </row>
    <row r="2749" spans="1:7">
      <c r="A2749" t="s">
        <v>144</v>
      </c>
      <c r="B2749">
        <v>43</v>
      </c>
      <c r="C2749">
        <v>6</v>
      </c>
      <c r="D2749">
        <v>0.65346199999999999</v>
      </c>
      <c r="E2749">
        <v>-0.98699899999999996</v>
      </c>
      <c r="F2749">
        <v>-1</v>
      </c>
      <c r="G2749">
        <v>-0.98699899999999996</v>
      </c>
    </row>
    <row r="2750" spans="1:7">
      <c r="A2750" t="s">
        <v>144</v>
      </c>
      <c r="B2750">
        <v>43</v>
      </c>
      <c r="C2750">
        <v>7</v>
      </c>
      <c r="D2750">
        <v>0.65346199999999999</v>
      </c>
      <c r="E2750">
        <v>0.64983100000000005</v>
      </c>
      <c r="F2750">
        <v>-0.79592300000000005</v>
      </c>
      <c r="G2750">
        <v>0.14882300000000001</v>
      </c>
    </row>
    <row r="2751" spans="1:7">
      <c r="A2751" t="s">
        <v>144</v>
      </c>
      <c r="B2751">
        <v>43</v>
      </c>
      <c r="C2751">
        <v>8</v>
      </c>
      <c r="D2751">
        <v>0.65346199999999999</v>
      </c>
      <c r="E2751">
        <v>0.95803700000000003</v>
      </c>
      <c r="F2751">
        <v>-0.86458900000000005</v>
      </c>
      <c r="G2751">
        <v>0.326428</v>
      </c>
    </row>
    <row r="2752" spans="1:7">
      <c r="A2752" t="s">
        <v>144</v>
      </c>
      <c r="B2752">
        <v>43</v>
      </c>
      <c r="C2752">
        <v>9</v>
      </c>
      <c r="D2752">
        <v>0.65346199999999999</v>
      </c>
      <c r="E2752">
        <v>-6.8331000000000003E-2</v>
      </c>
      <c r="F2752">
        <v>0.53178499999999995</v>
      </c>
      <c r="G2752">
        <v>0.13963200000000001</v>
      </c>
    </row>
    <row r="2753" spans="1:7">
      <c r="A2753" t="s">
        <v>144</v>
      </c>
      <c r="B2753">
        <v>43</v>
      </c>
      <c r="C2753">
        <v>10</v>
      </c>
      <c r="D2753">
        <v>0.65346199999999999</v>
      </c>
      <c r="E2753">
        <v>0.37723899999999999</v>
      </c>
      <c r="F2753">
        <v>7.7090000000000006E-2</v>
      </c>
      <c r="G2753">
        <v>0.27322600000000002</v>
      </c>
    </row>
    <row r="2754" spans="1:7">
      <c r="A2754" t="s">
        <v>144</v>
      </c>
      <c r="B2754">
        <v>43</v>
      </c>
      <c r="C2754">
        <v>11</v>
      </c>
      <c r="D2754">
        <v>0.65346199999999999</v>
      </c>
      <c r="E2754">
        <v>0.56752199999999997</v>
      </c>
      <c r="F2754">
        <v>0.72692000000000001</v>
      </c>
      <c r="G2754">
        <v>0.62275999999999998</v>
      </c>
    </row>
    <row r="2755" spans="1:7">
      <c r="A2755" t="s">
        <v>144</v>
      </c>
      <c r="B2755">
        <v>43</v>
      </c>
      <c r="C2755">
        <v>12</v>
      </c>
      <c r="D2755">
        <v>0.65346199999999999</v>
      </c>
      <c r="E2755">
        <v>-6.7811999999999997E-2</v>
      </c>
      <c r="F2755">
        <v>-0.16428100000000001</v>
      </c>
      <c r="G2755">
        <v>-0.101242</v>
      </c>
    </row>
    <row r="2756" spans="1:7">
      <c r="A2756" t="s">
        <v>144</v>
      </c>
      <c r="B2756">
        <v>43</v>
      </c>
      <c r="C2756">
        <v>13</v>
      </c>
      <c r="D2756">
        <v>0.65346199999999999</v>
      </c>
      <c r="E2756">
        <v>0.54075700000000004</v>
      </c>
      <c r="F2756">
        <v>-0.59279199999999999</v>
      </c>
      <c r="G2756">
        <v>0.14793999999999999</v>
      </c>
    </row>
    <row r="2757" spans="1:7">
      <c r="A2757" t="s">
        <v>144</v>
      </c>
      <c r="B2757">
        <v>43</v>
      </c>
      <c r="C2757">
        <v>14</v>
      </c>
      <c r="D2757">
        <v>0.65346199999999999</v>
      </c>
      <c r="E2757">
        <v>0.43836799999999998</v>
      </c>
      <c r="F2757">
        <v>0.60103200000000001</v>
      </c>
      <c r="G2757">
        <v>0.49473699999999998</v>
      </c>
    </row>
    <row r="2758" spans="1:7">
      <c r="A2758" t="s">
        <v>144</v>
      </c>
      <c r="B2758">
        <v>43</v>
      </c>
      <c r="C2758">
        <v>15</v>
      </c>
      <c r="D2758">
        <v>0.65346199999999999</v>
      </c>
      <c r="E2758">
        <v>0.47926299999999999</v>
      </c>
      <c r="F2758">
        <v>-0.54478599999999999</v>
      </c>
      <c r="G2758">
        <v>0.124391</v>
      </c>
    </row>
    <row r="2759" spans="1:7">
      <c r="A2759" t="s">
        <v>144</v>
      </c>
      <c r="B2759">
        <v>43</v>
      </c>
      <c r="C2759">
        <v>16</v>
      </c>
      <c r="D2759">
        <v>0.65346199999999999</v>
      </c>
      <c r="E2759">
        <v>-0.23072000000000001</v>
      </c>
      <c r="F2759">
        <v>0.40006700000000001</v>
      </c>
      <c r="G2759">
        <v>-1.2128E-2</v>
      </c>
    </row>
    <row r="2760" spans="1:7">
      <c r="A2760" t="s">
        <v>144</v>
      </c>
      <c r="B2760">
        <v>43</v>
      </c>
      <c r="C2760">
        <v>17</v>
      </c>
      <c r="D2760">
        <v>0.65346199999999999</v>
      </c>
      <c r="E2760">
        <v>0.951048</v>
      </c>
      <c r="F2760">
        <v>0.167577</v>
      </c>
      <c r="G2760">
        <v>0.67954599999999998</v>
      </c>
    </row>
    <row r="2761" spans="1:7">
      <c r="A2761" t="s">
        <v>144</v>
      </c>
      <c r="B2761">
        <v>43</v>
      </c>
      <c r="C2761">
        <v>18</v>
      </c>
      <c r="D2761">
        <v>0.65346199999999999</v>
      </c>
      <c r="E2761">
        <v>0.58204900000000004</v>
      </c>
      <c r="F2761">
        <v>-5.1209999999999999E-2</v>
      </c>
      <c r="G2761">
        <v>0.36260100000000001</v>
      </c>
    </row>
    <row r="2762" spans="1:7">
      <c r="A2762" t="s">
        <v>144</v>
      </c>
      <c r="B2762">
        <v>43</v>
      </c>
      <c r="C2762">
        <v>19</v>
      </c>
      <c r="D2762">
        <v>0.65346199999999999</v>
      </c>
      <c r="E2762">
        <v>0.41035199999999999</v>
      </c>
      <c r="F2762">
        <v>0.91701999999999995</v>
      </c>
      <c r="G2762">
        <v>0.58593200000000001</v>
      </c>
    </row>
    <row r="2763" spans="1:7">
      <c r="A2763" t="s">
        <v>144</v>
      </c>
      <c r="B2763">
        <v>43</v>
      </c>
      <c r="C2763">
        <v>20</v>
      </c>
      <c r="D2763">
        <v>0.65346199999999999</v>
      </c>
      <c r="E2763">
        <v>0.55766499999999997</v>
      </c>
      <c r="F2763">
        <v>8.7251999999999996E-2</v>
      </c>
      <c r="G2763">
        <v>0.39464900000000003</v>
      </c>
    </row>
    <row r="2764" spans="1:7">
      <c r="A2764" t="s">
        <v>144</v>
      </c>
      <c r="B2764">
        <v>43</v>
      </c>
      <c r="C2764">
        <v>21</v>
      </c>
      <c r="D2764">
        <v>0.65346199999999999</v>
      </c>
      <c r="E2764">
        <v>-0.24304899999999999</v>
      </c>
      <c r="F2764">
        <v>0.46430900000000003</v>
      </c>
      <c r="G2764">
        <v>2.0769999999999999E-3</v>
      </c>
    </row>
    <row r="2765" spans="1:7">
      <c r="A2765" t="s">
        <v>144</v>
      </c>
      <c r="B2765">
        <v>43</v>
      </c>
      <c r="C2765">
        <v>22</v>
      </c>
      <c r="D2765">
        <v>0.65346199999999999</v>
      </c>
      <c r="E2765">
        <v>0.81084599999999996</v>
      </c>
      <c r="F2765">
        <v>0.43330200000000002</v>
      </c>
      <c r="G2765">
        <v>0.68001299999999998</v>
      </c>
    </row>
    <row r="2766" spans="1:7">
      <c r="A2766" t="s">
        <v>144</v>
      </c>
      <c r="B2766">
        <v>43</v>
      </c>
      <c r="C2766">
        <v>23</v>
      </c>
      <c r="D2766">
        <v>0.65346199999999999</v>
      </c>
      <c r="E2766">
        <v>0.95471099999999998</v>
      </c>
      <c r="F2766">
        <v>-8.9328000000000005E-2</v>
      </c>
      <c r="G2766">
        <v>0.59291199999999999</v>
      </c>
    </row>
    <row r="2767" spans="1:7">
      <c r="A2767" t="s">
        <v>144</v>
      </c>
      <c r="B2767">
        <v>43</v>
      </c>
      <c r="C2767">
        <v>24</v>
      </c>
      <c r="D2767">
        <v>0.65346199999999999</v>
      </c>
      <c r="E2767">
        <v>0.525864</v>
      </c>
      <c r="F2767">
        <v>0.19534899999999999</v>
      </c>
      <c r="G2767">
        <v>0.41132800000000003</v>
      </c>
    </row>
    <row r="2768" spans="1:7">
      <c r="A2768" t="s">
        <v>144</v>
      </c>
      <c r="B2768">
        <v>43</v>
      </c>
      <c r="C2768">
        <v>25</v>
      </c>
      <c r="D2768">
        <v>0.65346199999999999</v>
      </c>
      <c r="E2768">
        <v>0.90765099999999999</v>
      </c>
      <c r="F2768">
        <v>-2.8993000000000001E-2</v>
      </c>
      <c r="G2768">
        <v>0.58306899999999995</v>
      </c>
    </row>
    <row r="2769" spans="1:7">
      <c r="A2769" t="s">
        <v>144</v>
      </c>
      <c r="B2769">
        <v>43</v>
      </c>
      <c r="C2769">
        <v>26</v>
      </c>
      <c r="D2769">
        <v>0.65346199999999999</v>
      </c>
      <c r="E2769">
        <v>-0.30036299999999999</v>
      </c>
      <c r="F2769">
        <v>-4.4922999999999998E-2</v>
      </c>
      <c r="G2769">
        <v>-0.211844</v>
      </c>
    </row>
    <row r="2770" spans="1:7">
      <c r="A2770" t="s">
        <v>144</v>
      </c>
      <c r="B2770">
        <v>43</v>
      </c>
      <c r="C2770">
        <v>27</v>
      </c>
      <c r="D2770">
        <v>0.65346199999999999</v>
      </c>
      <c r="E2770">
        <v>-0.51286399999999999</v>
      </c>
      <c r="F2770">
        <v>-0.18656</v>
      </c>
      <c r="G2770">
        <v>-0.399787</v>
      </c>
    </row>
    <row r="2771" spans="1:7">
      <c r="A2771" t="s">
        <v>144</v>
      </c>
      <c r="B2771">
        <v>43</v>
      </c>
      <c r="C2771">
        <v>28</v>
      </c>
      <c r="D2771">
        <v>0.65346199999999999</v>
      </c>
      <c r="E2771">
        <v>0.123539</v>
      </c>
      <c r="F2771">
        <v>-0.85519000000000001</v>
      </c>
      <c r="G2771">
        <v>-0.21562700000000001</v>
      </c>
    </row>
    <row r="2772" spans="1:7">
      <c r="A2772" t="s">
        <v>144</v>
      </c>
      <c r="B2772">
        <v>43</v>
      </c>
      <c r="C2772">
        <v>29</v>
      </c>
      <c r="D2772">
        <v>0.65346199999999999</v>
      </c>
      <c r="E2772">
        <v>0.28345599999999999</v>
      </c>
      <c r="F2772">
        <v>0.109073</v>
      </c>
      <c r="G2772">
        <v>0.223026</v>
      </c>
    </row>
    <row r="2773" spans="1:7">
      <c r="A2773" t="s">
        <v>144</v>
      </c>
      <c r="B2773">
        <v>43</v>
      </c>
      <c r="C2773">
        <v>30</v>
      </c>
      <c r="D2773">
        <v>0.65346199999999999</v>
      </c>
      <c r="E2773">
        <v>-0.106235</v>
      </c>
      <c r="F2773">
        <v>0.74553700000000001</v>
      </c>
      <c r="G2773">
        <v>0.18893599999999999</v>
      </c>
    </row>
    <row r="2774" spans="1:7">
      <c r="A2774" t="s">
        <v>144</v>
      </c>
      <c r="B2774">
        <v>43</v>
      </c>
      <c r="C2774">
        <v>31</v>
      </c>
      <c r="D2774">
        <v>0.65346199999999999</v>
      </c>
      <c r="E2774">
        <v>0.65547699999999998</v>
      </c>
      <c r="F2774">
        <v>-0.63826400000000005</v>
      </c>
      <c r="G2774">
        <v>0.207147</v>
      </c>
    </row>
    <row r="2775" spans="1:7">
      <c r="A2775" t="s">
        <v>144</v>
      </c>
      <c r="B2775">
        <v>43</v>
      </c>
      <c r="C2775">
        <v>32</v>
      </c>
      <c r="D2775">
        <v>0.65346199999999999</v>
      </c>
      <c r="E2775">
        <v>-0.11920500000000001</v>
      </c>
      <c r="F2775">
        <v>0.19074099999999999</v>
      </c>
      <c r="G2775">
        <v>-1.1797E-2</v>
      </c>
    </row>
    <row r="2776" spans="1:7">
      <c r="A2776" t="s">
        <v>144</v>
      </c>
      <c r="B2776">
        <v>43</v>
      </c>
      <c r="C2776">
        <v>33</v>
      </c>
      <c r="D2776">
        <v>0.65346199999999999</v>
      </c>
      <c r="E2776">
        <v>-0.98269600000000001</v>
      </c>
      <c r="F2776">
        <v>0.141514</v>
      </c>
      <c r="G2776">
        <v>-0.59311499999999995</v>
      </c>
    </row>
    <row r="2777" spans="1:7">
      <c r="A2777" t="s">
        <v>144</v>
      </c>
      <c r="B2777">
        <v>43</v>
      </c>
      <c r="C2777">
        <v>34</v>
      </c>
      <c r="D2777">
        <v>0.65346199999999999</v>
      </c>
      <c r="E2777">
        <v>-0.99606300000000003</v>
      </c>
      <c r="F2777">
        <v>0.35059699999999999</v>
      </c>
      <c r="G2777">
        <v>-0.52939499999999995</v>
      </c>
    </row>
    <row r="2778" spans="1:7">
      <c r="A2778" t="s">
        <v>144</v>
      </c>
      <c r="B2778">
        <v>43</v>
      </c>
      <c r="C2778">
        <v>35</v>
      </c>
      <c r="D2778">
        <v>0.65346199999999999</v>
      </c>
      <c r="E2778">
        <v>0.61149900000000001</v>
      </c>
      <c r="F2778">
        <v>0.729576</v>
      </c>
      <c r="G2778">
        <v>0.65241700000000002</v>
      </c>
    </row>
    <row r="2779" spans="1:7">
      <c r="A2779" t="s">
        <v>144</v>
      </c>
      <c r="B2779">
        <v>43</v>
      </c>
      <c r="C2779">
        <v>36</v>
      </c>
      <c r="D2779">
        <v>0.65346199999999999</v>
      </c>
      <c r="E2779">
        <v>0.456374</v>
      </c>
      <c r="F2779">
        <v>0.27649800000000002</v>
      </c>
      <c r="G2779">
        <v>0.39404</v>
      </c>
    </row>
    <row r="2780" spans="1:7">
      <c r="A2780" t="s">
        <v>144</v>
      </c>
      <c r="B2780">
        <v>43</v>
      </c>
      <c r="C2780">
        <v>37</v>
      </c>
      <c r="D2780">
        <v>0.65346199999999999</v>
      </c>
      <c r="E2780">
        <v>-0.44190800000000002</v>
      </c>
      <c r="F2780">
        <v>0.36616100000000001</v>
      </c>
      <c r="G2780">
        <v>-0.161882</v>
      </c>
    </row>
    <row r="2781" spans="1:7">
      <c r="A2781" t="s">
        <v>144</v>
      </c>
      <c r="B2781">
        <v>43</v>
      </c>
      <c r="C2781">
        <v>38</v>
      </c>
      <c r="D2781">
        <v>0.65346199999999999</v>
      </c>
      <c r="E2781">
        <v>0.406476</v>
      </c>
      <c r="F2781">
        <v>-0.15140200000000001</v>
      </c>
      <c r="G2781">
        <v>0.21315000000000001</v>
      </c>
    </row>
    <row r="2782" spans="1:7">
      <c r="A2782" t="s">
        <v>144</v>
      </c>
      <c r="B2782">
        <v>43</v>
      </c>
      <c r="C2782">
        <v>39</v>
      </c>
      <c r="D2782">
        <v>0.65346199999999999</v>
      </c>
      <c r="E2782">
        <v>0.88149699999999998</v>
      </c>
      <c r="F2782">
        <v>-0.27707799999999999</v>
      </c>
      <c r="G2782">
        <v>0.48000700000000002</v>
      </c>
    </row>
    <row r="2783" spans="1:7">
      <c r="A2783" t="s">
        <v>144</v>
      </c>
      <c r="B2783">
        <v>43</v>
      </c>
      <c r="C2783">
        <v>40</v>
      </c>
      <c r="D2783">
        <v>0.65346199999999999</v>
      </c>
      <c r="E2783">
        <v>0.77291200000000004</v>
      </c>
      <c r="F2783">
        <v>0.21915299999999999</v>
      </c>
      <c r="G2783">
        <v>0.58101400000000003</v>
      </c>
    </row>
    <row r="2784" spans="1:7">
      <c r="A2784" t="s">
        <v>144</v>
      </c>
      <c r="B2784">
        <v>43</v>
      </c>
      <c r="C2784">
        <v>41</v>
      </c>
      <c r="D2784">
        <v>0.65346199999999999</v>
      </c>
      <c r="E2784">
        <v>-0.59776600000000002</v>
      </c>
      <c r="F2784">
        <v>0.56395200000000001</v>
      </c>
      <c r="G2784">
        <v>-0.195187</v>
      </c>
    </row>
    <row r="2785" spans="1:7">
      <c r="A2785" t="s">
        <v>144</v>
      </c>
      <c r="B2785">
        <v>43</v>
      </c>
      <c r="C2785">
        <v>42</v>
      </c>
      <c r="D2785">
        <v>0.65346199999999999</v>
      </c>
      <c r="E2785">
        <v>-0.52537599999999995</v>
      </c>
      <c r="F2785">
        <v>0.55943500000000002</v>
      </c>
      <c r="G2785">
        <v>-0.149448</v>
      </c>
    </row>
    <row r="2786" spans="1:7">
      <c r="A2786" t="s">
        <v>144</v>
      </c>
      <c r="B2786">
        <v>43</v>
      </c>
      <c r="C2786">
        <v>43</v>
      </c>
      <c r="D2786">
        <v>0.65346199999999999</v>
      </c>
      <c r="E2786">
        <v>-0.97595100000000001</v>
      </c>
      <c r="F2786">
        <v>-0.429456</v>
      </c>
      <c r="G2786">
        <v>-0.78656999999999999</v>
      </c>
    </row>
    <row r="2787" spans="1:7">
      <c r="A2787" t="s">
        <v>144</v>
      </c>
      <c r="B2787">
        <v>43</v>
      </c>
      <c r="C2787">
        <v>44</v>
      </c>
      <c r="D2787">
        <v>0.65346199999999999</v>
      </c>
      <c r="E2787">
        <v>4.5747000000000003E-2</v>
      </c>
      <c r="F2787">
        <v>-0.36484899999999998</v>
      </c>
      <c r="G2787">
        <v>-9.6540000000000001E-2</v>
      </c>
    </row>
    <row r="2788" spans="1:7">
      <c r="A2788" t="s">
        <v>144</v>
      </c>
      <c r="B2788">
        <v>43</v>
      </c>
      <c r="C2788">
        <v>45</v>
      </c>
      <c r="D2788">
        <v>0.65346199999999999</v>
      </c>
      <c r="E2788">
        <v>-0.68782600000000005</v>
      </c>
      <c r="F2788">
        <v>0.92028600000000005</v>
      </c>
      <c r="G2788">
        <v>-0.130555</v>
      </c>
    </row>
    <row r="2789" spans="1:7">
      <c r="A2789" t="s">
        <v>144</v>
      </c>
      <c r="B2789">
        <v>43</v>
      </c>
      <c r="C2789">
        <v>46</v>
      </c>
      <c r="D2789">
        <v>0.65346199999999999</v>
      </c>
      <c r="E2789">
        <v>0.49864199999999997</v>
      </c>
      <c r="F2789">
        <v>0.875973</v>
      </c>
      <c r="G2789">
        <v>0.62940099999999999</v>
      </c>
    </row>
    <row r="2790" spans="1:7">
      <c r="A2790" t="s">
        <v>144</v>
      </c>
      <c r="B2790">
        <v>43</v>
      </c>
      <c r="C2790">
        <v>47</v>
      </c>
      <c r="D2790">
        <v>0.65346199999999999</v>
      </c>
      <c r="E2790">
        <v>0.27842</v>
      </c>
      <c r="F2790">
        <v>0.59340199999999999</v>
      </c>
      <c r="G2790">
        <v>0.387573</v>
      </c>
    </row>
    <row r="2791" spans="1:7">
      <c r="A2791" t="s">
        <v>144</v>
      </c>
      <c r="B2791">
        <v>43</v>
      </c>
      <c r="C2791">
        <v>48</v>
      </c>
      <c r="D2791">
        <v>0.65346199999999999</v>
      </c>
      <c r="E2791">
        <v>-0.36036299999999999</v>
      </c>
      <c r="F2791">
        <v>-0.63109199999999999</v>
      </c>
      <c r="G2791">
        <v>-0.454181</v>
      </c>
    </row>
    <row r="2792" spans="1:7">
      <c r="A2792" t="s">
        <v>144</v>
      </c>
      <c r="B2792">
        <v>43</v>
      </c>
      <c r="C2792">
        <v>49</v>
      </c>
      <c r="D2792">
        <v>0.65346199999999999</v>
      </c>
      <c r="E2792">
        <v>0.17630499999999999</v>
      </c>
      <c r="F2792">
        <v>-1.3184E-2</v>
      </c>
      <c r="G2792">
        <v>0.11064</v>
      </c>
    </row>
    <row r="2793" spans="1:7">
      <c r="A2793" t="s">
        <v>144</v>
      </c>
      <c r="B2793" t="s">
        <v>145</v>
      </c>
      <c r="C2793">
        <v>44</v>
      </c>
    </row>
    <row r="2794" spans="1:7">
      <c r="A2794" t="s">
        <v>144</v>
      </c>
      <c r="B2794" t="s">
        <v>146</v>
      </c>
      <c r="C2794">
        <v>43</v>
      </c>
    </row>
    <row r="2795" spans="1:7">
      <c r="A2795" t="s">
        <v>144</v>
      </c>
      <c r="B2795" t="s">
        <v>147</v>
      </c>
      <c r="C2795">
        <v>43</v>
      </c>
    </row>
    <row r="2796" spans="1:7">
      <c r="A2796" t="s">
        <v>144</v>
      </c>
      <c r="B2796" t="s">
        <v>148</v>
      </c>
      <c r="C2796">
        <v>0.85894300000000001</v>
      </c>
    </row>
    <row r="2797" spans="1:7">
      <c r="A2797" t="s">
        <v>144</v>
      </c>
      <c r="B2797" t="s">
        <v>149</v>
      </c>
      <c r="C2797">
        <v>0.85894300000000001</v>
      </c>
    </row>
    <row r="2798" spans="1:7">
      <c r="A2798" t="s">
        <v>144</v>
      </c>
      <c r="B2798" t="s">
        <v>150</v>
      </c>
      <c r="C2798">
        <v>-1</v>
      </c>
    </row>
    <row r="2799" spans="1:7">
      <c r="A2799" t="s">
        <v>144</v>
      </c>
      <c r="B2799" t="s">
        <v>151</v>
      </c>
      <c r="C2799">
        <v>-1</v>
      </c>
    </row>
    <row r="2800" spans="1:7">
      <c r="A2800" t="s">
        <v>144</v>
      </c>
      <c r="B2800" t="s">
        <v>152</v>
      </c>
      <c r="C2800">
        <v>9</v>
      </c>
    </row>
    <row r="2801" spans="1:7">
      <c r="A2801" t="s">
        <v>144</v>
      </c>
      <c r="B2801" t="s">
        <v>153</v>
      </c>
      <c r="C2801">
        <v>9</v>
      </c>
    </row>
    <row r="2802" spans="1:7">
      <c r="A2802" t="s">
        <v>144</v>
      </c>
      <c r="B2802" t="s">
        <v>154</v>
      </c>
      <c r="C2802">
        <v>0</v>
      </c>
    </row>
    <row r="2803" spans="1:7">
      <c r="A2803" t="s">
        <v>144</v>
      </c>
      <c r="B2803" t="s">
        <v>161</v>
      </c>
    </row>
    <row r="2804" spans="1:7">
      <c r="A2804" t="s">
        <v>144</v>
      </c>
      <c r="B2804">
        <v>44</v>
      </c>
      <c r="C2804">
        <v>0</v>
      </c>
      <c r="D2804">
        <v>-1</v>
      </c>
      <c r="E2804">
        <v>-0.54893599999999998</v>
      </c>
      <c r="F2804">
        <v>-1</v>
      </c>
      <c r="G2804">
        <v>-0.54893599999999998</v>
      </c>
    </row>
    <row r="2805" spans="1:7">
      <c r="A2805" t="s">
        <v>144</v>
      </c>
      <c r="B2805">
        <v>44</v>
      </c>
      <c r="C2805">
        <v>1</v>
      </c>
      <c r="D2805">
        <v>-1</v>
      </c>
      <c r="E2805">
        <v>-9.0950000000000007E-3</v>
      </c>
      <c r="F2805">
        <v>-1</v>
      </c>
      <c r="G2805">
        <v>-9.0950000000000007E-3</v>
      </c>
    </row>
    <row r="2806" spans="1:7">
      <c r="A2806" t="s">
        <v>144</v>
      </c>
      <c r="B2806">
        <v>44</v>
      </c>
      <c r="C2806">
        <v>2</v>
      </c>
      <c r="D2806">
        <v>-1</v>
      </c>
      <c r="E2806">
        <v>0.85372499999999996</v>
      </c>
      <c r="F2806">
        <v>-1</v>
      </c>
      <c r="G2806">
        <v>0.85372499999999996</v>
      </c>
    </row>
    <row r="2807" spans="1:7">
      <c r="A2807" t="s">
        <v>144</v>
      </c>
      <c r="B2807">
        <v>44</v>
      </c>
      <c r="C2807">
        <v>3</v>
      </c>
      <c r="D2807">
        <v>-1</v>
      </c>
      <c r="E2807">
        <v>-0.59666699999999995</v>
      </c>
      <c r="F2807">
        <v>-1</v>
      </c>
      <c r="G2807">
        <v>-0.59666699999999995</v>
      </c>
    </row>
    <row r="2808" spans="1:7">
      <c r="A2808" t="s">
        <v>144</v>
      </c>
      <c r="B2808">
        <v>44</v>
      </c>
      <c r="C2808">
        <v>4</v>
      </c>
      <c r="D2808">
        <v>-1</v>
      </c>
      <c r="E2808">
        <v>-0.90527100000000005</v>
      </c>
      <c r="F2808">
        <v>-1</v>
      </c>
      <c r="G2808">
        <v>-0.90527100000000005</v>
      </c>
    </row>
    <row r="2809" spans="1:7">
      <c r="A2809" t="s">
        <v>144</v>
      </c>
      <c r="B2809">
        <v>44</v>
      </c>
      <c r="C2809">
        <v>5</v>
      </c>
      <c r="D2809">
        <v>-1</v>
      </c>
      <c r="E2809">
        <v>0.409497</v>
      </c>
      <c r="F2809">
        <v>-1</v>
      </c>
      <c r="G2809">
        <v>0.409497</v>
      </c>
    </row>
    <row r="2810" spans="1:7">
      <c r="A2810" t="s">
        <v>144</v>
      </c>
      <c r="B2810">
        <v>44</v>
      </c>
      <c r="C2810">
        <v>6</v>
      </c>
      <c r="D2810">
        <v>-1</v>
      </c>
      <c r="E2810">
        <v>0.65172300000000005</v>
      </c>
      <c r="F2810">
        <v>-1</v>
      </c>
      <c r="G2810">
        <v>0.65172300000000005</v>
      </c>
    </row>
    <row r="2811" spans="1:7">
      <c r="A2811" t="s">
        <v>144</v>
      </c>
      <c r="B2811">
        <v>44</v>
      </c>
      <c r="C2811">
        <v>7</v>
      </c>
      <c r="D2811">
        <v>-1</v>
      </c>
      <c r="E2811">
        <v>0.60756200000000005</v>
      </c>
      <c r="F2811">
        <v>-1</v>
      </c>
      <c r="G2811">
        <v>0.60756200000000005</v>
      </c>
    </row>
    <row r="2812" spans="1:7">
      <c r="A2812" t="s">
        <v>144</v>
      </c>
      <c r="B2812">
        <v>44</v>
      </c>
      <c r="C2812">
        <v>8</v>
      </c>
      <c r="D2812">
        <v>-1</v>
      </c>
      <c r="E2812">
        <v>-0.166051</v>
      </c>
      <c r="F2812">
        <v>-1</v>
      </c>
      <c r="G2812">
        <v>-0.166051</v>
      </c>
    </row>
    <row r="2813" spans="1:7">
      <c r="A2813" t="s">
        <v>144</v>
      </c>
      <c r="B2813">
        <v>44</v>
      </c>
      <c r="C2813">
        <v>9</v>
      </c>
      <c r="D2813">
        <v>-1</v>
      </c>
      <c r="E2813">
        <v>0.55113400000000001</v>
      </c>
      <c r="F2813">
        <v>-1</v>
      </c>
      <c r="G2813">
        <v>0.55113400000000001</v>
      </c>
    </row>
    <row r="2814" spans="1:7">
      <c r="A2814" t="s">
        <v>144</v>
      </c>
      <c r="B2814">
        <v>44</v>
      </c>
      <c r="C2814">
        <v>10</v>
      </c>
      <c r="D2814">
        <v>-1</v>
      </c>
      <c r="E2814">
        <v>2.8320999999999999E-2</v>
      </c>
      <c r="F2814">
        <v>-1</v>
      </c>
      <c r="G2814">
        <v>2.8320999999999999E-2</v>
      </c>
    </row>
    <row r="2815" spans="1:7">
      <c r="A2815" t="s">
        <v>144</v>
      </c>
      <c r="B2815">
        <v>44</v>
      </c>
      <c r="C2815">
        <v>11</v>
      </c>
      <c r="D2815">
        <v>-1</v>
      </c>
      <c r="E2815">
        <v>0.49308800000000003</v>
      </c>
      <c r="F2815">
        <v>-1</v>
      </c>
      <c r="G2815">
        <v>0.49308800000000003</v>
      </c>
    </row>
    <row r="2816" spans="1:7">
      <c r="A2816" t="s">
        <v>144</v>
      </c>
      <c r="B2816">
        <v>44</v>
      </c>
      <c r="C2816">
        <v>12</v>
      </c>
      <c r="D2816">
        <v>-1</v>
      </c>
      <c r="E2816">
        <v>0.80388800000000005</v>
      </c>
      <c r="F2816">
        <v>-1</v>
      </c>
      <c r="G2816">
        <v>0.80388800000000005</v>
      </c>
    </row>
    <row r="2817" spans="1:7">
      <c r="A2817" t="s">
        <v>144</v>
      </c>
      <c r="B2817">
        <v>44</v>
      </c>
      <c r="C2817">
        <v>13</v>
      </c>
      <c r="D2817">
        <v>-1</v>
      </c>
      <c r="E2817">
        <v>-0.131993</v>
      </c>
      <c r="F2817">
        <v>-1</v>
      </c>
      <c r="G2817">
        <v>-0.131993</v>
      </c>
    </row>
    <row r="2818" spans="1:7">
      <c r="A2818" t="s">
        <v>144</v>
      </c>
      <c r="B2818">
        <v>44</v>
      </c>
      <c r="C2818">
        <v>14</v>
      </c>
      <c r="D2818">
        <v>-1</v>
      </c>
      <c r="E2818">
        <v>0.273476</v>
      </c>
      <c r="F2818">
        <v>-1</v>
      </c>
      <c r="G2818">
        <v>0.273476</v>
      </c>
    </row>
    <row r="2819" spans="1:7">
      <c r="A2819" t="s">
        <v>144</v>
      </c>
      <c r="B2819">
        <v>44</v>
      </c>
      <c r="C2819">
        <v>15</v>
      </c>
      <c r="D2819">
        <v>-1</v>
      </c>
      <c r="E2819">
        <v>0.93328699999999998</v>
      </c>
      <c r="F2819">
        <v>-1</v>
      </c>
      <c r="G2819">
        <v>0.93328699999999998</v>
      </c>
    </row>
    <row r="2820" spans="1:7">
      <c r="A2820" t="s">
        <v>144</v>
      </c>
      <c r="B2820">
        <v>44</v>
      </c>
      <c r="C2820">
        <v>16</v>
      </c>
      <c r="D2820">
        <v>-1</v>
      </c>
      <c r="E2820">
        <v>0.57164199999999998</v>
      </c>
      <c r="F2820">
        <v>-1</v>
      </c>
      <c r="G2820">
        <v>0.57164199999999998</v>
      </c>
    </row>
    <row r="2821" spans="1:7">
      <c r="A2821" t="s">
        <v>144</v>
      </c>
      <c r="B2821">
        <v>44</v>
      </c>
      <c r="C2821">
        <v>17</v>
      </c>
      <c r="D2821">
        <v>-1</v>
      </c>
      <c r="E2821">
        <v>0.62370700000000001</v>
      </c>
      <c r="F2821">
        <v>-1</v>
      </c>
      <c r="G2821">
        <v>0.62370700000000001</v>
      </c>
    </row>
    <row r="2822" spans="1:7">
      <c r="A2822" t="s">
        <v>144</v>
      </c>
      <c r="B2822">
        <v>44</v>
      </c>
      <c r="C2822">
        <v>18</v>
      </c>
      <c r="D2822">
        <v>-1</v>
      </c>
      <c r="E2822">
        <v>0.88924800000000004</v>
      </c>
      <c r="F2822">
        <v>-1</v>
      </c>
      <c r="G2822">
        <v>0.88924800000000004</v>
      </c>
    </row>
    <row r="2823" spans="1:7">
      <c r="A2823" t="s">
        <v>144</v>
      </c>
      <c r="B2823">
        <v>44</v>
      </c>
      <c r="C2823">
        <v>19</v>
      </c>
      <c r="D2823">
        <v>-1</v>
      </c>
      <c r="E2823">
        <v>0.76647200000000004</v>
      </c>
      <c r="F2823">
        <v>-1</v>
      </c>
      <c r="G2823">
        <v>0.76647200000000004</v>
      </c>
    </row>
    <row r="2824" spans="1:7">
      <c r="A2824" t="s">
        <v>144</v>
      </c>
      <c r="B2824">
        <v>44</v>
      </c>
      <c r="C2824">
        <v>20</v>
      </c>
      <c r="D2824">
        <v>-1</v>
      </c>
      <c r="E2824">
        <v>-0.89718299999999995</v>
      </c>
      <c r="F2824">
        <v>-1</v>
      </c>
      <c r="G2824">
        <v>-0.89718299999999995</v>
      </c>
    </row>
    <row r="2825" spans="1:7">
      <c r="A2825" t="s">
        <v>144</v>
      </c>
      <c r="B2825">
        <v>44</v>
      </c>
      <c r="C2825">
        <v>21</v>
      </c>
      <c r="D2825">
        <v>-1</v>
      </c>
      <c r="E2825">
        <v>-0.82216900000000004</v>
      </c>
      <c r="F2825">
        <v>-1</v>
      </c>
      <c r="G2825">
        <v>-0.82216900000000004</v>
      </c>
    </row>
    <row r="2826" spans="1:7">
      <c r="A2826" t="s">
        <v>144</v>
      </c>
      <c r="B2826">
        <v>44</v>
      </c>
      <c r="C2826">
        <v>22</v>
      </c>
      <c r="D2826">
        <v>-1</v>
      </c>
      <c r="E2826">
        <v>0.54661700000000002</v>
      </c>
      <c r="F2826">
        <v>-1</v>
      </c>
      <c r="G2826">
        <v>0.54661700000000002</v>
      </c>
    </row>
    <row r="2827" spans="1:7">
      <c r="A2827" t="s">
        <v>144</v>
      </c>
      <c r="B2827">
        <v>44</v>
      </c>
      <c r="C2827">
        <v>23</v>
      </c>
      <c r="D2827">
        <v>-1</v>
      </c>
      <c r="E2827">
        <v>0.60261900000000002</v>
      </c>
      <c r="F2827">
        <v>-1</v>
      </c>
      <c r="G2827">
        <v>0.60261900000000002</v>
      </c>
    </row>
    <row r="2828" spans="1:7">
      <c r="A2828" t="s">
        <v>144</v>
      </c>
      <c r="B2828">
        <v>44</v>
      </c>
      <c r="C2828">
        <v>24</v>
      </c>
      <c r="D2828">
        <v>-1</v>
      </c>
      <c r="E2828">
        <v>-0.402783</v>
      </c>
      <c r="F2828">
        <v>-1</v>
      </c>
      <c r="G2828">
        <v>-0.402783</v>
      </c>
    </row>
    <row r="2829" spans="1:7">
      <c r="A2829" t="s">
        <v>144</v>
      </c>
      <c r="B2829">
        <v>44</v>
      </c>
      <c r="C2829">
        <v>25</v>
      </c>
      <c r="D2829">
        <v>-1</v>
      </c>
      <c r="E2829">
        <v>-0.52342299999999997</v>
      </c>
      <c r="F2829">
        <v>-1</v>
      </c>
      <c r="G2829">
        <v>-0.52342299999999997</v>
      </c>
    </row>
    <row r="2830" spans="1:7">
      <c r="A2830" t="s">
        <v>144</v>
      </c>
      <c r="B2830">
        <v>44</v>
      </c>
      <c r="C2830">
        <v>26</v>
      </c>
      <c r="D2830">
        <v>-1</v>
      </c>
      <c r="E2830">
        <v>0.167821</v>
      </c>
      <c r="F2830">
        <v>-1</v>
      </c>
      <c r="G2830">
        <v>0.167821</v>
      </c>
    </row>
    <row r="2831" spans="1:7">
      <c r="A2831" t="s">
        <v>144</v>
      </c>
      <c r="B2831">
        <v>44</v>
      </c>
      <c r="C2831">
        <v>27</v>
      </c>
      <c r="D2831">
        <v>-1</v>
      </c>
      <c r="E2831">
        <v>-0.56154099999999996</v>
      </c>
      <c r="F2831">
        <v>-1</v>
      </c>
      <c r="G2831">
        <v>-0.56154099999999996</v>
      </c>
    </row>
    <row r="2832" spans="1:7">
      <c r="A2832" t="s">
        <v>144</v>
      </c>
      <c r="B2832">
        <v>44</v>
      </c>
      <c r="C2832">
        <v>28</v>
      </c>
      <c r="D2832">
        <v>-1</v>
      </c>
      <c r="E2832">
        <v>-0.54976000000000003</v>
      </c>
      <c r="F2832">
        <v>-1</v>
      </c>
      <c r="G2832">
        <v>-0.54976000000000003</v>
      </c>
    </row>
    <row r="2833" spans="1:7">
      <c r="A2833" t="s">
        <v>144</v>
      </c>
      <c r="B2833">
        <v>44</v>
      </c>
      <c r="C2833">
        <v>29</v>
      </c>
      <c r="D2833">
        <v>-1</v>
      </c>
      <c r="E2833">
        <v>0.32438099999999997</v>
      </c>
      <c r="F2833">
        <v>-1</v>
      </c>
      <c r="G2833">
        <v>0.32438099999999997</v>
      </c>
    </row>
    <row r="2834" spans="1:7">
      <c r="A2834" t="s">
        <v>144</v>
      </c>
      <c r="B2834">
        <v>44</v>
      </c>
      <c r="C2834">
        <v>30</v>
      </c>
      <c r="D2834">
        <v>-1</v>
      </c>
      <c r="E2834">
        <v>0.13312199999999999</v>
      </c>
      <c r="F2834">
        <v>-1</v>
      </c>
      <c r="G2834">
        <v>0.13312199999999999</v>
      </c>
    </row>
    <row r="2835" spans="1:7">
      <c r="A2835" t="s">
        <v>144</v>
      </c>
      <c r="B2835">
        <v>44</v>
      </c>
      <c r="C2835">
        <v>31</v>
      </c>
      <c r="D2835">
        <v>-1</v>
      </c>
      <c r="E2835">
        <v>0.13623499999999999</v>
      </c>
      <c r="F2835">
        <v>-1</v>
      </c>
      <c r="G2835">
        <v>0.13623499999999999</v>
      </c>
    </row>
    <row r="2836" spans="1:7">
      <c r="A2836" t="s">
        <v>144</v>
      </c>
      <c r="B2836">
        <v>44</v>
      </c>
      <c r="C2836">
        <v>32</v>
      </c>
      <c r="D2836">
        <v>-1</v>
      </c>
      <c r="E2836">
        <v>0.40790999999999999</v>
      </c>
      <c r="F2836">
        <v>-1</v>
      </c>
      <c r="G2836">
        <v>0.40790999999999999</v>
      </c>
    </row>
    <row r="2837" spans="1:7">
      <c r="A2837" t="s">
        <v>144</v>
      </c>
      <c r="B2837">
        <v>44</v>
      </c>
      <c r="C2837">
        <v>33</v>
      </c>
      <c r="D2837">
        <v>-1</v>
      </c>
      <c r="E2837">
        <v>0.54872299999999996</v>
      </c>
      <c r="F2837">
        <v>-1</v>
      </c>
      <c r="G2837">
        <v>0.54872299999999996</v>
      </c>
    </row>
    <row r="2838" spans="1:7">
      <c r="A2838" t="s">
        <v>144</v>
      </c>
      <c r="B2838">
        <v>44</v>
      </c>
      <c r="C2838">
        <v>34</v>
      </c>
      <c r="D2838">
        <v>-1</v>
      </c>
      <c r="E2838">
        <v>0.61299499999999996</v>
      </c>
      <c r="F2838">
        <v>-1</v>
      </c>
      <c r="G2838">
        <v>0.61299499999999996</v>
      </c>
    </row>
    <row r="2839" spans="1:7">
      <c r="A2839" t="s">
        <v>144</v>
      </c>
      <c r="B2839">
        <v>44</v>
      </c>
      <c r="C2839">
        <v>35</v>
      </c>
      <c r="D2839">
        <v>-1</v>
      </c>
      <c r="E2839">
        <v>0.18115800000000001</v>
      </c>
      <c r="F2839">
        <v>-1</v>
      </c>
      <c r="G2839">
        <v>0.18115800000000001</v>
      </c>
    </row>
    <row r="2840" spans="1:7">
      <c r="A2840" t="s">
        <v>144</v>
      </c>
      <c r="B2840">
        <v>44</v>
      </c>
      <c r="C2840">
        <v>36</v>
      </c>
      <c r="D2840">
        <v>-1</v>
      </c>
      <c r="E2840">
        <v>0.55012700000000003</v>
      </c>
      <c r="F2840">
        <v>-1</v>
      </c>
      <c r="G2840">
        <v>0.55012700000000003</v>
      </c>
    </row>
    <row r="2841" spans="1:7">
      <c r="A2841" t="s">
        <v>144</v>
      </c>
      <c r="B2841">
        <v>44</v>
      </c>
      <c r="C2841">
        <v>37</v>
      </c>
      <c r="D2841">
        <v>-1</v>
      </c>
      <c r="E2841">
        <v>-0.29749399999999998</v>
      </c>
      <c r="F2841">
        <v>-1</v>
      </c>
      <c r="G2841">
        <v>-0.29749399999999998</v>
      </c>
    </row>
    <row r="2842" spans="1:7">
      <c r="A2842" t="s">
        <v>144</v>
      </c>
      <c r="B2842">
        <v>44</v>
      </c>
      <c r="C2842">
        <v>38</v>
      </c>
      <c r="D2842">
        <v>-1</v>
      </c>
      <c r="E2842">
        <v>-2.5055999999999998E-2</v>
      </c>
      <c r="F2842">
        <v>-1</v>
      </c>
      <c r="G2842">
        <v>-2.5055999999999998E-2</v>
      </c>
    </row>
    <row r="2843" spans="1:7">
      <c r="A2843" t="s">
        <v>144</v>
      </c>
      <c r="B2843">
        <v>44</v>
      </c>
      <c r="C2843">
        <v>39</v>
      </c>
      <c r="D2843">
        <v>-1</v>
      </c>
      <c r="E2843">
        <v>2.5482999999999999E-2</v>
      </c>
      <c r="F2843">
        <v>-1</v>
      </c>
      <c r="G2843">
        <v>2.5482999999999999E-2</v>
      </c>
    </row>
    <row r="2844" spans="1:7">
      <c r="A2844" t="s">
        <v>144</v>
      </c>
      <c r="B2844">
        <v>44</v>
      </c>
      <c r="C2844">
        <v>40</v>
      </c>
      <c r="D2844">
        <v>-1</v>
      </c>
      <c r="E2844">
        <v>7.1809999999999999E-2</v>
      </c>
      <c r="F2844">
        <v>-1</v>
      </c>
      <c r="G2844">
        <v>7.1809999999999999E-2</v>
      </c>
    </row>
    <row r="2845" spans="1:7">
      <c r="A2845" t="s">
        <v>144</v>
      </c>
      <c r="B2845">
        <v>44</v>
      </c>
      <c r="C2845">
        <v>41</v>
      </c>
      <c r="D2845">
        <v>-1</v>
      </c>
      <c r="E2845">
        <v>-0.62507999999999997</v>
      </c>
      <c r="F2845">
        <v>-1</v>
      </c>
      <c r="G2845">
        <v>-0.62507999999999997</v>
      </c>
    </row>
    <row r="2846" spans="1:7">
      <c r="A2846" t="s">
        <v>144</v>
      </c>
      <c r="B2846">
        <v>44</v>
      </c>
      <c r="C2846">
        <v>42</v>
      </c>
      <c r="D2846">
        <v>-1</v>
      </c>
      <c r="E2846">
        <v>-0.61629100000000003</v>
      </c>
      <c r="F2846">
        <v>-1</v>
      </c>
      <c r="G2846">
        <v>-0.61629100000000003</v>
      </c>
    </row>
    <row r="2847" spans="1:7">
      <c r="A2847" t="s">
        <v>144</v>
      </c>
      <c r="B2847">
        <v>44</v>
      </c>
      <c r="C2847">
        <v>43</v>
      </c>
      <c r="D2847">
        <v>-1</v>
      </c>
      <c r="E2847">
        <v>0.71144700000000005</v>
      </c>
      <c r="F2847">
        <v>-1</v>
      </c>
      <c r="G2847">
        <v>0.71144700000000005</v>
      </c>
    </row>
    <row r="2848" spans="1:7">
      <c r="A2848" t="s">
        <v>144</v>
      </c>
      <c r="B2848">
        <v>44</v>
      </c>
      <c r="C2848">
        <v>44</v>
      </c>
      <c r="D2848">
        <v>-1</v>
      </c>
      <c r="E2848">
        <v>-0.73561799999999999</v>
      </c>
      <c r="F2848">
        <v>-1</v>
      </c>
      <c r="G2848">
        <v>-0.73561799999999999</v>
      </c>
    </row>
    <row r="2849" spans="1:7">
      <c r="A2849" t="s">
        <v>144</v>
      </c>
      <c r="B2849">
        <v>44</v>
      </c>
      <c r="C2849">
        <v>45</v>
      </c>
      <c r="D2849">
        <v>-1</v>
      </c>
      <c r="E2849">
        <v>-0.839839</v>
      </c>
      <c r="F2849">
        <v>-1</v>
      </c>
      <c r="G2849">
        <v>-0.839839</v>
      </c>
    </row>
    <row r="2850" spans="1:7">
      <c r="A2850" t="s">
        <v>144</v>
      </c>
      <c r="B2850">
        <v>44</v>
      </c>
      <c r="C2850">
        <v>46</v>
      </c>
      <c r="D2850">
        <v>-1</v>
      </c>
      <c r="E2850">
        <v>0.169683</v>
      </c>
      <c r="F2850">
        <v>-1</v>
      </c>
      <c r="G2850">
        <v>0.169683</v>
      </c>
    </row>
    <row r="2851" spans="1:7">
      <c r="A2851" t="s">
        <v>144</v>
      </c>
      <c r="B2851">
        <v>44</v>
      </c>
      <c r="C2851">
        <v>47</v>
      </c>
      <c r="D2851">
        <v>-1</v>
      </c>
      <c r="E2851">
        <v>0.35746299999999998</v>
      </c>
      <c r="F2851">
        <v>-1</v>
      </c>
      <c r="G2851">
        <v>0.35746299999999998</v>
      </c>
    </row>
    <row r="2852" spans="1:7">
      <c r="A2852" t="s">
        <v>144</v>
      </c>
      <c r="B2852">
        <v>44</v>
      </c>
      <c r="C2852">
        <v>48</v>
      </c>
      <c r="D2852">
        <v>-1</v>
      </c>
      <c r="E2852">
        <v>-0.24060799999999999</v>
      </c>
      <c r="F2852">
        <v>-1</v>
      </c>
      <c r="G2852">
        <v>-0.24060799999999999</v>
      </c>
    </row>
    <row r="2853" spans="1:7">
      <c r="A2853" t="s">
        <v>144</v>
      </c>
      <c r="B2853">
        <v>44</v>
      </c>
      <c r="C2853">
        <v>49</v>
      </c>
      <c r="D2853">
        <v>-1</v>
      </c>
      <c r="E2853">
        <v>-0.92989900000000003</v>
      </c>
      <c r="F2853">
        <v>-1</v>
      </c>
      <c r="G2853">
        <v>-0.92989900000000003</v>
      </c>
    </row>
    <row r="2854" spans="1:7">
      <c r="A2854" t="s">
        <v>144</v>
      </c>
      <c r="B2854" t="s">
        <v>145</v>
      </c>
      <c r="C2854">
        <v>45</v>
      </c>
    </row>
    <row r="2855" spans="1:7">
      <c r="A2855" t="s">
        <v>144</v>
      </c>
      <c r="B2855" t="s">
        <v>146</v>
      </c>
      <c r="C2855">
        <v>10</v>
      </c>
    </row>
    <row r="2856" spans="1:7">
      <c r="A2856" t="s">
        <v>144</v>
      </c>
      <c r="B2856" t="s">
        <v>147</v>
      </c>
      <c r="C2856">
        <v>10</v>
      </c>
    </row>
    <row r="2857" spans="1:7">
      <c r="A2857" t="s">
        <v>144</v>
      </c>
      <c r="B2857" t="s">
        <v>148</v>
      </c>
      <c r="C2857">
        <v>0.82326699999999997</v>
      </c>
    </row>
    <row r="2858" spans="1:7">
      <c r="A2858" t="s">
        <v>144</v>
      </c>
      <c r="B2858" t="s">
        <v>149</v>
      </c>
      <c r="C2858">
        <v>0.82326699999999997</v>
      </c>
    </row>
    <row r="2859" spans="1:7">
      <c r="A2859" t="s">
        <v>144</v>
      </c>
      <c r="B2859" t="s">
        <v>150</v>
      </c>
      <c r="C2859">
        <v>-1</v>
      </c>
    </row>
    <row r="2860" spans="1:7">
      <c r="A2860" t="s">
        <v>144</v>
      </c>
      <c r="B2860" t="s">
        <v>151</v>
      </c>
      <c r="C2860">
        <v>-1</v>
      </c>
    </row>
    <row r="2861" spans="1:7">
      <c r="A2861" t="s">
        <v>144</v>
      </c>
      <c r="B2861" t="s">
        <v>152</v>
      </c>
      <c r="C2861">
        <v>8</v>
      </c>
    </row>
    <row r="2862" spans="1:7">
      <c r="A2862" t="s">
        <v>144</v>
      </c>
      <c r="B2862" t="s">
        <v>153</v>
      </c>
      <c r="C2862">
        <v>8</v>
      </c>
    </row>
    <row r="2863" spans="1:7">
      <c r="A2863" t="s">
        <v>144</v>
      </c>
      <c r="B2863" t="s">
        <v>154</v>
      </c>
      <c r="C2863">
        <v>0</v>
      </c>
    </row>
    <row r="2864" spans="1:7">
      <c r="A2864" t="s">
        <v>144</v>
      </c>
      <c r="B2864" t="s">
        <v>161</v>
      </c>
    </row>
    <row r="2865" spans="1:7">
      <c r="A2865" t="s">
        <v>144</v>
      </c>
      <c r="B2865">
        <v>45</v>
      </c>
      <c r="C2865">
        <v>0</v>
      </c>
      <c r="D2865">
        <v>-1</v>
      </c>
      <c r="E2865">
        <v>-0.54893599999999998</v>
      </c>
      <c r="F2865">
        <v>-1</v>
      </c>
      <c r="G2865">
        <v>-0.54893599999999998</v>
      </c>
    </row>
    <row r="2866" spans="1:7">
      <c r="A2866" t="s">
        <v>144</v>
      </c>
      <c r="B2866">
        <v>45</v>
      </c>
      <c r="C2866">
        <v>1</v>
      </c>
      <c r="D2866">
        <v>-1</v>
      </c>
      <c r="E2866">
        <v>-9.0950000000000007E-3</v>
      </c>
      <c r="F2866">
        <v>-1</v>
      </c>
      <c r="G2866">
        <v>-9.0950000000000007E-3</v>
      </c>
    </row>
    <row r="2867" spans="1:7">
      <c r="A2867" t="s">
        <v>144</v>
      </c>
      <c r="B2867">
        <v>45</v>
      </c>
      <c r="C2867">
        <v>2</v>
      </c>
      <c r="D2867">
        <v>-1</v>
      </c>
      <c r="E2867">
        <v>0.85372499999999996</v>
      </c>
      <c r="F2867">
        <v>-1</v>
      </c>
      <c r="G2867">
        <v>0.85372499999999996</v>
      </c>
    </row>
    <row r="2868" spans="1:7">
      <c r="A2868" t="s">
        <v>144</v>
      </c>
      <c r="B2868">
        <v>45</v>
      </c>
      <c r="C2868">
        <v>3</v>
      </c>
      <c r="D2868">
        <v>-1</v>
      </c>
      <c r="E2868">
        <v>-0.59666699999999995</v>
      </c>
      <c r="F2868">
        <v>-1</v>
      </c>
      <c r="G2868">
        <v>-0.59666699999999995</v>
      </c>
    </row>
    <row r="2869" spans="1:7">
      <c r="A2869" t="s">
        <v>144</v>
      </c>
      <c r="B2869">
        <v>45</v>
      </c>
      <c r="C2869">
        <v>4</v>
      </c>
      <c r="D2869">
        <v>-1</v>
      </c>
      <c r="E2869">
        <v>-0.90527100000000005</v>
      </c>
      <c r="F2869">
        <v>-1</v>
      </c>
      <c r="G2869">
        <v>-0.90527100000000005</v>
      </c>
    </row>
    <row r="2870" spans="1:7">
      <c r="A2870" t="s">
        <v>144</v>
      </c>
      <c r="B2870">
        <v>45</v>
      </c>
      <c r="C2870">
        <v>5</v>
      </c>
      <c r="D2870">
        <v>-1</v>
      </c>
      <c r="E2870">
        <v>0.409497</v>
      </c>
      <c r="F2870">
        <v>-1</v>
      </c>
      <c r="G2870">
        <v>0.409497</v>
      </c>
    </row>
    <row r="2871" spans="1:7">
      <c r="A2871" t="s">
        <v>144</v>
      </c>
      <c r="B2871">
        <v>45</v>
      </c>
      <c r="C2871">
        <v>6</v>
      </c>
      <c r="D2871">
        <v>-1</v>
      </c>
      <c r="E2871">
        <v>0.65172300000000005</v>
      </c>
      <c r="F2871">
        <v>-1</v>
      </c>
      <c r="G2871">
        <v>0.65172300000000005</v>
      </c>
    </row>
    <row r="2872" spans="1:7">
      <c r="A2872" t="s">
        <v>144</v>
      </c>
      <c r="B2872">
        <v>45</v>
      </c>
      <c r="C2872">
        <v>7</v>
      </c>
      <c r="D2872">
        <v>-1</v>
      </c>
      <c r="E2872">
        <v>0.60756200000000005</v>
      </c>
      <c r="F2872">
        <v>-1</v>
      </c>
      <c r="G2872">
        <v>0.60756200000000005</v>
      </c>
    </row>
    <row r="2873" spans="1:7">
      <c r="A2873" t="s">
        <v>144</v>
      </c>
      <c r="B2873">
        <v>45</v>
      </c>
      <c r="C2873">
        <v>8</v>
      </c>
      <c r="D2873">
        <v>-1</v>
      </c>
      <c r="E2873">
        <v>-0.166051</v>
      </c>
      <c r="F2873">
        <v>-1</v>
      </c>
      <c r="G2873">
        <v>-0.166051</v>
      </c>
    </row>
    <row r="2874" spans="1:7">
      <c r="A2874" t="s">
        <v>144</v>
      </c>
      <c r="B2874">
        <v>45</v>
      </c>
      <c r="C2874">
        <v>9</v>
      </c>
      <c r="D2874">
        <v>-1</v>
      </c>
      <c r="E2874">
        <v>0.55113400000000001</v>
      </c>
      <c r="F2874">
        <v>-1</v>
      </c>
      <c r="G2874">
        <v>0.55113400000000001</v>
      </c>
    </row>
    <row r="2875" spans="1:7">
      <c r="A2875" t="s">
        <v>144</v>
      </c>
      <c r="B2875">
        <v>45</v>
      </c>
      <c r="C2875">
        <v>10</v>
      </c>
      <c r="D2875">
        <v>-1</v>
      </c>
      <c r="E2875">
        <v>2.8320999999999999E-2</v>
      </c>
      <c r="F2875">
        <v>-1</v>
      </c>
      <c r="G2875">
        <v>2.8320999999999999E-2</v>
      </c>
    </row>
    <row r="2876" spans="1:7">
      <c r="A2876" t="s">
        <v>144</v>
      </c>
      <c r="B2876">
        <v>45</v>
      </c>
      <c r="C2876">
        <v>11</v>
      </c>
      <c r="D2876">
        <v>-1</v>
      </c>
      <c r="E2876">
        <v>0.49308800000000003</v>
      </c>
      <c r="F2876">
        <v>-1</v>
      </c>
      <c r="G2876">
        <v>0.49308800000000003</v>
      </c>
    </row>
    <row r="2877" spans="1:7">
      <c r="A2877" t="s">
        <v>144</v>
      </c>
      <c r="B2877">
        <v>45</v>
      </c>
      <c r="C2877">
        <v>12</v>
      </c>
      <c r="D2877">
        <v>-1</v>
      </c>
      <c r="E2877">
        <v>0.80388800000000005</v>
      </c>
      <c r="F2877">
        <v>-1</v>
      </c>
      <c r="G2877">
        <v>0.80388800000000005</v>
      </c>
    </row>
    <row r="2878" spans="1:7">
      <c r="A2878" t="s">
        <v>144</v>
      </c>
      <c r="B2878">
        <v>45</v>
      </c>
      <c r="C2878">
        <v>13</v>
      </c>
      <c r="D2878">
        <v>-1</v>
      </c>
      <c r="E2878">
        <v>-0.131993</v>
      </c>
      <c r="F2878">
        <v>-1</v>
      </c>
      <c r="G2878">
        <v>-0.131993</v>
      </c>
    </row>
    <row r="2879" spans="1:7">
      <c r="A2879" t="s">
        <v>144</v>
      </c>
      <c r="B2879">
        <v>45</v>
      </c>
      <c r="C2879">
        <v>14</v>
      </c>
      <c r="D2879">
        <v>-1</v>
      </c>
      <c r="E2879">
        <v>0.273476</v>
      </c>
      <c r="F2879">
        <v>-1</v>
      </c>
      <c r="G2879">
        <v>0.273476</v>
      </c>
    </row>
    <row r="2880" spans="1:7">
      <c r="A2880" t="s">
        <v>144</v>
      </c>
      <c r="B2880">
        <v>45</v>
      </c>
      <c r="C2880">
        <v>15</v>
      </c>
      <c r="D2880">
        <v>-1</v>
      </c>
      <c r="E2880">
        <v>0.93328699999999998</v>
      </c>
      <c r="F2880">
        <v>-1</v>
      </c>
      <c r="G2880">
        <v>0.93328699999999998</v>
      </c>
    </row>
    <row r="2881" spans="1:7">
      <c r="A2881" t="s">
        <v>144</v>
      </c>
      <c r="B2881">
        <v>45</v>
      </c>
      <c r="C2881">
        <v>16</v>
      </c>
      <c r="D2881">
        <v>-1</v>
      </c>
      <c r="E2881">
        <v>0.57164199999999998</v>
      </c>
      <c r="F2881">
        <v>-1</v>
      </c>
      <c r="G2881">
        <v>0.57164199999999998</v>
      </c>
    </row>
    <row r="2882" spans="1:7">
      <c r="A2882" t="s">
        <v>144</v>
      </c>
      <c r="B2882">
        <v>45</v>
      </c>
      <c r="C2882">
        <v>17</v>
      </c>
      <c r="D2882">
        <v>-1</v>
      </c>
      <c r="E2882">
        <v>0.62370700000000001</v>
      </c>
      <c r="F2882">
        <v>-1</v>
      </c>
      <c r="G2882">
        <v>0.62370700000000001</v>
      </c>
    </row>
    <row r="2883" spans="1:7">
      <c r="A2883" t="s">
        <v>144</v>
      </c>
      <c r="B2883">
        <v>45</v>
      </c>
      <c r="C2883">
        <v>18</v>
      </c>
      <c r="D2883">
        <v>-1</v>
      </c>
      <c r="E2883">
        <v>0.88924800000000004</v>
      </c>
      <c r="F2883">
        <v>-1</v>
      </c>
      <c r="G2883">
        <v>0.88924800000000004</v>
      </c>
    </row>
    <row r="2884" spans="1:7">
      <c r="A2884" t="s">
        <v>144</v>
      </c>
      <c r="B2884">
        <v>45</v>
      </c>
      <c r="C2884">
        <v>19</v>
      </c>
      <c r="D2884">
        <v>-1</v>
      </c>
      <c r="E2884">
        <v>0.76647200000000004</v>
      </c>
      <c r="F2884">
        <v>-1</v>
      </c>
      <c r="G2884">
        <v>0.76647200000000004</v>
      </c>
    </row>
    <row r="2885" spans="1:7">
      <c r="A2885" t="s">
        <v>144</v>
      </c>
      <c r="B2885">
        <v>45</v>
      </c>
      <c r="C2885">
        <v>20</v>
      </c>
      <c r="D2885">
        <v>-1</v>
      </c>
      <c r="E2885">
        <v>-0.89718299999999995</v>
      </c>
      <c r="F2885">
        <v>-1</v>
      </c>
      <c r="G2885">
        <v>-0.89718299999999995</v>
      </c>
    </row>
    <row r="2886" spans="1:7">
      <c r="A2886" t="s">
        <v>144</v>
      </c>
      <c r="B2886">
        <v>45</v>
      </c>
      <c r="C2886">
        <v>21</v>
      </c>
      <c r="D2886">
        <v>-1</v>
      </c>
      <c r="E2886">
        <v>-0.82216900000000004</v>
      </c>
      <c r="F2886">
        <v>-1</v>
      </c>
      <c r="G2886">
        <v>-0.82216900000000004</v>
      </c>
    </row>
    <row r="2887" spans="1:7">
      <c r="A2887" t="s">
        <v>144</v>
      </c>
      <c r="B2887">
        <v>45</v>
      </c>
      <c r="C2887">
        <v>22</v>
      </c>
      <c r="D2887">
        <v>-1</v>
      </c>
      <c r="E2887">
        <v>0.54661700000000002</v>
      </c>
      <c r="F2887">
        <v>-1</v>
      </c>
      <c r="G2887">
        <v>0.54661700000000002</v>
      </c>
    </row>
    <row r="2888" spans="1:7">
      <c r="A2888" t="s">
        <v>144</v>
      </c>
      <c r="B2888">
        <v>45</v>
      </c>
      <c r="C2888">
        <v>23</v>
      </c>
      <c r="D2888">
        <v>-1</v>
      </c>
      <c r="E2888">
        <v>0.60261900000000002</v>
      </c>
      <c r="F2888">
        <v>-1</v>
      </c>
      <c r="G2888">
        <v>0.60261900000000002</v>
      </c>
    </row>
    <row r="2889" spans="1:7">
      <c r="A2889" t="s">
        <v>144</v>
      </c>
      <c r="B2889">
        <v>45</v>
      </c>
      <c r="C2889">
        <v>24</v>
      </c>
      <c r="D2889">
        <v>-1</v>
      </c>
      <c r="E2889">
        <v>-0.402783</v>
      </c>
      <c r="F2889">
        <v>-1</v>
      </c>
      <c r="G2889">
        <v>-0.402783</v>
      </c>
    </row>
    <row r="2890" spans="1:7">
      <c r="A2890" t="s">
        <v>144</v>
      </c>
      <c r="B2890">
        <v>45</v>
      </c>
      <c r="C2890">
        <v>25</v>
      </c>
      <c r="D2890">
        <v>-1</v>
      </c>
      <c r="E2890">
        <v>-0.52342299999999997</v>
      </c>
      <c r="F2890">
        <v>-1</v>
      </c>
      <c r="G2890">
        <v>-0.52342299999999997</v>
      </c>
    </row>
    <row r="2891" spans="1:7">
      <c r="A2891" t="s">
        <v>144</v>
      </c>
      <c r="B2891">
        <v>45</v>
      </c>
      <c r="C2891">
        <v>26</v>
      </c>
      <c r="D2891">
        <v>-1</v>
      </c>
      <c r="E2891">
        <v>0.167821</v>
      </c>
      <c r="F2891">
        <v>-1</v>
      </c>
      <c r="G2891">
        <v>0.167821</v>
      </c>
    </row>
    <row r="2892" spans="1:7">
      <c r="A2892" t="s">
        <v>144</v>
      </c>
      <c r="B2892">
        <v>45</v>
      </c>
      <c r="C2892">
        <v>27</v>
      </c>
      <c r="D2892">
        <v>-1</v>
      </c>
      <c r="E2892">
        <v>-0.56154099999999996</v>
      </c>
      <c r="F2892">
        <v>-1</v>
      </c>
      <c r="G2892">
        <v>-0.56154099999999996</v>
      </c>
    </row>
    <row r="2893" spans="1:7">
      <c r="A2893" t="s">
        <v>144</v>
      </c>
      <c r="B2893">
        <v>45</v>
      </c>
      <c r="C2893">
        <v>28</v>
      </c>
      <c r="D2893">
        <v>-1</v>
      </c>
      <c r="E2893">
        <v>-0.54976000000000003</v>
      </c>
      <c r="F2893">
        <v>-1</v>
      </c>
      <c r="G2893">
        <v>-0.54976000000000003</v>
      </c>
    </row>
    <row r="2894" spans="1:7">
      <c r="A2894" t="s">
        <v>144</v>
      </c>
      <c r="B2894">
        <v>45</v>
      </c>
      <c r="C2894">
        <v>29</v>
      </c>
      <c r="D2894">
        <v>-1</v>
      </c>
      <c r="E2894">
        <v>0.32438099999999997</v>
      </c>
      <c r="F2894">
        <v>-1</v>
      </c>
      <c r="G2894">
        <v>0.32438099999999997</v>
      </c>
    </row>
    <row r="2895" spans="1:7">
      <c r="A2895" t="s">
        <v>144</v>
      </c>
      <c r="B2895">
        <v>45</v>
      </c>
      <c r="C2895">
        <v>30</v>
      </c>
      <c r="D2895">
        <v>-1</v>
      </c>
      <c r="E2895">
        <v>0.13312199999999999</v>
      </c>
      <c r="F2895">
        <v>-1</v>
      </c>
      <c r="G2895">
        <v>0.13312199999999999</v>
      </c>
    </row>
    <row r="2896" spans="1:7">
      <c r="A2896" t="s">
        <v>144</v>
      </c>
      <c r="B2896">
        <v>45</v>
      </c>
      <c r="C2896">
        <v>31</v>
      </c>
      <c r="D2896">
        <v>-1</v>
      </c>
      <c r="E2896">
        <v>0.13623499999999999</v>
      </c>
      <c r="F2896">
        <v>-1</v>
      </c>
      <c r="G2896">
        <v>0.13623499999999999</v>
      </c>
    </row>
    <row r="2897" spans="1:7">
      <c r="A2897" t="s">
        <v>144</v>
      </c>
      <c r="B2897">
        <v>45</v>
      </c>
      <c r="C2897">
        <v>32</v>
      </c>
      <c r="D2897">
        <v>-1</v>
      </c>
      <c r="E2897">
        <v>0.40790999999999999</v>
      </c>
      <c r="F2897">
        <v>-1</v>
      </c>
      <c r="G2897">
        <v>0.40790999999999999</v>
      </c>
    </row>
    <row r="2898" spans="1:7">
      <c r="A2898" t="s">
        <v>144</v>
      </c>
      <c r="B2898">
        <v>45</v>
      </c>
      <c r="C2898">
        <v>33</v>
      </c>
      <c r="D2898">
        <v>-1</v>
      </c>
      <c r="E2898">
        <v>0.54872299999999996</v>
      </c>
      <c r="F2898">
        <v>-1</v>
      </c>
      <c r="G2898">
        <v>0.54872299999999996</v>
      </c>
    </row>
    <row r="2899" spans="1:7">
      <c r="A2899" t="s">
        <v>144</v>
      </c>
      <c r="B2899">
        <v>45</v>
      </c>
      <c r="C2899">
        <v>34</v>
      </c>
      <c r="D2899">
        <v>-1</v>
      </c>
      <c r="E2899">
        <v>0.61299499999999996</v>
      </c>
      <c r="F2899">
        <v>-1</v>
      </c>
      <c r="G2899">
        <v>0.61299499999999996</v>
      </c>
    </row>
    <row r="2900" spans="1:7">
      <c r="A2900" t="s">
        <v>144</v>
      </c>
      <c r="B2900">
        <v>45</v>
      </c>
      <c r="C2900">
        <v>35</v>
      </c>
      <c r="D2900">
        <v>-1</v>
      </c>
      <c r="E2900">
        <v>0.18115800000000001</v>
      </c>
      <c r="F2900">
        <v>-1</v>
      </c>
      <c r="G2900">
        <v>0.18115800000000001</v>
      </c>
    </row>
    <row r="2901" spans="1:7">
      <c r="A2901" t="s">
        <v>144</v>
      </c>
      <c r="B2901">
        <v>45</v>
      </c>
      <c r="C2901">
        <v>36</v>
      </c>
      <c r="D2901">
        <v>-1</v>
      </c>
      <c r="E2901">
        <v>0.55012700000000003</v>
      </c>
      <c r="F2901">
        <v>-1</v>
      </c>
      <c r="G2901">
        <v>0.55012700000000003</v>
      </c>
    </row>
    <row r="2902" spans="1:7">
      <c r="A2902" t="s">
        <v>144</v>
      </c>
      <c r="B2902">
        <v>45</v>
      </c>
      <c r="C2902">
        <v>37</v>
      </c>
      <c r="D2902">
        <v>-1</v>
      </c>
      <c r="E2902">
        <v>-0.29749399999999998</v>
      </c>
      <c r="F2902">
        <v>-1</v>
      </c>
      <c r="G2902">
        <v>-0.29749399999999998</v>
      </c>
    </row>
    <row r="2903" spans="1:7">
      <c r="A2903" t="s">
        <v>144</v>
      </c>
      <c r="B2903">
        <v>45</v>
      </c>
      <c r="C2903">
        <v>38</v>
      </c>
      <c r="D2903">
        <v>-1</v>
      </c>
      <c r="E2903">
        <v>-2.5055999999999998E-2</v>
      </c>
      <c r="F2903">
        <v>-1</v>
      </c>
      <c r="G2903">
        <v>-2.5055999999999998E-2</v>
      </c>
    </row>
    <row r="2904" spans="1:7">
      <c r="A2904" t="s">
        <v>144</v>
      </c>
      <c r="B2904">
        <v>45</v>
      </c>
      <c r="C2904">
        <v>39</v>
      </c>
      <c r="D2904">
        <v>-1</v>
      </c>
      <c r="E2904">
        <v>2.5482999999999999E-2</v>
      </c>
      <c r="F2904">
        <v>-1</v>
      </c>
      <c r="G2904">
        <v>2.5482999999999999E-2</v>
      </c>
    </row>
    <row r="2905" spans="1:7">
      <c r="A2905" t="s">
        <v>144</v>
      </c>
      <c r="B2905">
        <v>45</v>
      </c>
      <c r="C2905">
        <v>40</v>
      </c>
      <c r="D2905">
        <v>-1</v>
      </c>
      <c r="E2905">
        <v>7.1809999999999999E-2</v>
      </c>
      <c r="F2905">
        <v>-1</v>
      </c>
      <c r="G2905">
        <v>7.1809999999999999E-2</v>
      </c>
    </row>
    <row r="2906" spans="1:7">
      <c r="A2906" t="s">
        <v>144</v>
      </c>
      <c r="B2906">
        <v>45</v>
      </c>
      <c r="C2906">
        <v>41</v>
      </c>
      <c r="D2906">
        <v>-1</v>
      </c>
      <c r="E2906">
        <v>-0.62507999999999997</v>
      </c>
      <c r="F2906">
        <v>-1</v>
      </c>
      <c r="G2906">
        <v>-0.62507999999999997</v>
      </c>
    </row>
    <row r="2907" spans="1:7">
      <c r="A2907" t="s">
        <v>144</v>
      </c>
      <c r="B2907">
        <v>45</v>
      </c>
      <c r="C2907">
        <v>42</v>
      </c>
      <c r="D2907">
        <v>-1</v>
      </c>
      <c r="E2907">
        <v>-0.61629100000000003</v>
      </c>
      <c r="F2907">
        <v>-1</v>
      </c>
      <c r="G2907">
        <v>-0.61629100000000003</v>
      </c>
    </row>
    <row r="2908" spans="1:7">
      <c r="A2908" t="s">
        <v>144</v>
      </c>
      <c r="B2908">
        <v>45</v>
      </c>
      <c r="C2908">
        <v>43</v>
      </c>
      <c r="D2908">
        <v>-1</v>
      </c>
      <c r="E2908">
        <v>0.71144700000000005</v>
      </c>
      <c r="F2908">
        <v>-1</v>
      </c>
      <c r="G2908">
        <v>0.71144700000000005</v>
      </c>
    </row>
    <row r="2909" spans="1:7">
      <c r="A2909" t="s">
        <v>144</v>
      </c>
      <c r="B2909">
        <v>45</v>
      </c>
      <c r="C2909">
        <v>44</v>
      </c>
      <c r="D2909">
        <v>-1</v>
      </c>
      <c r="E2909">
        <v>-0.73561799999999999</v>
      </c>
      <c r="F2909">
        <v>-1</v>
      </c>
      <c r="G2909">
        <v>-0.73561799999999999</v>
      </c>
    </row>
    <row r="2910" spans="1:7">
      <c r="A2910" t="s">
        <v>144</v>
      </c>
      <c r="B2910">
        <v>45</v>
      </c>
      <c r="C2910">
        <v>45</v>
      </c>
      <c r="D2910">
        <v>-1</v>
      </c>
      <c r="E2910">
        <v>-0.839839</v>
      </c>
      <c r="F2910">
        <v>-1</v>
      </c>
      <c r="G2910">
        <v>-0.839839</v>
      </c>
    </row>
    <row r="2911" spans="1:7">
      <c r="A2911" t="s">
        <v>144</v>
      </c>
      <c r="B2911">
        <v>45</v>
      </c>
      <c r="C2911">
        <v>46</v>
      </c>
      <c r="D2911">
        <v>-1</v>
      </c>
      <c r="E2911">
        <v>0.169683</v>
      </c>
      <c r="F2911">
        <v>-1</v>
      </c>
      <c r="G2911">
        <v>0.169683</v>
      </c>
    </row>
    <row r="2912" spans="1:7">
      <c r="A2912" t="s">
        <v>144</v>
      </c>
      <c r="B2912">
        <v>45</v>
      </c>
      <c r="C2912">
        <v>47</v>
      </c>
      <c r="D2912">
        <v>-1</v>
      </c>
      <c r="E2912">
        <v>0.35746299999999998</v>
      </c>
      <c r="F2912">
        <v>-1</v>
      </c>
      <c r="G2912">
        <v>0.35746299999999998</v>
      </c>
    </row>
    <row r="2913" spans="1:7">
      <c r="A2913" t="s">
        <v>144</v>
      </c>
      <c r="B2913">
        <v>45</v>
      </c>
      <c r="C2913">
        <v>48</v>
      </c>
      <c r="D2913">
        <v>-1</v>
      </c>
      <c r="E2913">
        <v>-0.24060799999999999</v>
      </c>
      <c r="F2913">
        <v>-1</v>
      </c>
      <c r="G2913">
        <v>-0.24060799999999999</v>
      </c>
    </row>
    <row r="2914" spans="1:7">
      <c r="A2914" t="s">
        <v>144</v>
      </c>
      <c r="B2914">
        <v>45</v>
      </c>
      <c r="C2914">
        <v>49</v>
      </c>
      <c r="D2914">
        <v>-1</v>
      </c>
      <c r="E2914">
        <v>-0.92989900000000003</v>
      </c>
      <c r="F2914">
        <v>-1</v>
      </c>
      <c r="G2914">
        <v>-0.92989900000000003</v>
      </c>
    </row>
    <row r="2915" spans="1:7">
      <c r="A2915" t="s">
        <v>144</v>
      </c>
      <c r="B2915" t="s">
        <v>145</v>
      </c>
      <c r="C2915">
        <v>46</v>
      </c>
    </row>
    <row r="2916" spans="1:7">
      <c r="A2916" t="s">
        <v>144</v>
      </c>
      <c r="B2916" t="s">
        <v>146</v>
      </c>
      <c r="C2916">
        <v>66</v>
      </c>
    </row>
    <row r="2917" spans="1:7">
      <c r="A2917" t="s">
        <v>144</v>
      </c>
      <c r="B2917" t="s">
        <v>147</v>
      </c>
      <c r="C2917">
        <v>66</v>
      </c>
    </row>
    <row r="2918" spans="1:7">
      <c r="A2918" t="s">
        <v>144</v>
      </c>
      <c r="B2918" t="s">
        <v>148</v>
      </c>
      <c r="C2918">
        <v>6.4333000000000001E-2</v>
      </c>
    </row>
    <row r="2919" spans="1:7">
      <c r="A2919" t="s">
        <v>144</v>
      </c>
      <c r="B2919" t="s">
        <v>149</v>
      </c>
      <c r="C2919">
        <v>6.4333000000000001E-2</v>
      </c>
    </row>
    <row r="2920" spans="1:7">
      <c r="A2920" t="s">
        <v>144</v>
      </c>
      <c r="B2920" t="s">
        <v>150</v>
      </c>
      <c r="C2920">
        <v>-1</v>
      </c>
    </row>
    <row r="2921" spans="1:7">
      <c r="A2921" t="s">
        <v>144</v>
      </c>
      <c r="B2921" t="s">
        <v>151</v>
      </c>
      <c r="C2921">
        <v>-1</v>
      </c>
    </row>
    <row r="2922" spans="1:7">
      <c r="A2922" t="s">
        <v>144</v>
      </c>
      <c r="B2922" t="s">
        <v>152</v>
      </c>
      <c r="C2922">
        <v>7</v>
      </c>
    </row>
    <row r="2923" spans="1:7">
      <c r="A2923" t="s">
        <v>144</v>
      </c>
      <c r="B2923" t="s">
        <v>153</v>
      </c>
      <c r="C2923">
        <v>7</v>
      </c>
    </row>
    <row r="2924" spans="1:7">
      <c r="A2924" t="s">
        <v>144</v>
      </c>
      <c r="B2924" t="s">
        <v>154</v>
      </c>
      <c r="C2924">
        <v>0</v>
      </c>
    </row>
    <row r="2925" spans="1:7">
      <c r="A2925" t="s">
        <v>144</v>
      </c>
      <c r="B2925" t="s">
        <v>155</v>
      </c>
    </row>
    <row r="2926" spans="1:7">
      <c r="A2926" t="s">
        <v>144</v>
      </c>
      <c r="B2926" t="s">
        <v>150</v>
      </c>
      <c r="C2926">
        <v>0.55760399999999999</v>
      </c>
    </row>
    <row r="2927" spans="1:7">
      <c r="A2927" t="s">
        <v>144</v>
      </c>
      <c r="B2927" t="s">
        <v>151</v>
      </c>
      <c r="C2927">
        <v>0.55760399999999999</v>
      </c>
    </row>
    <row r="2928" spans="1:7">
      <c r="A2928" t="s">
        <v>144</v>
      </c>
      <c r="B2928" t="s">
        <v>156</v>
      </c>
      <c r="C2928" t="s">
        <v>157</v>
      </c>
      <c r="D2928" t="s">
        <v>63</v>
      </c>
      <c r="E2928" t="s">
        <v>158</v>
      </c>
      <c r="F2928" t="s">
        <v>159</v>
      </c>
      <c r="G2928" t="s">
        <v>160</v>
      </c>
    </row>
    <row r="2929" spans="1:7">
      <c r="A2929" t="s">
        <v>144</v>
      </c>
      <c r="B2929">
        <v>46</v>
      </c>
      <c r="C2929">
        <v>0</v>
      </c>
      <c r="D2929">
        <v>0.55760399999999999</v>
      </c>
      <c r="E2929">
        <v>-0.95281800000000005</v>
      </c>
      <c r="F2929">
        <v>-1</v>
      </c>
      <c r="G2929">
        <v>-0.95281800000000005</v>
      </c>
    </row>
    <row r="2930" spans="1:7">
      <c r="A2930" t="s">
        <v>144</v>
      </c>
      <c r="B2930">
        <v>46</v>
      </c>
      <c r="C2930">
        <v>1</v>
      </c>
      <c r="D2930">
        <v>0.55760399999999999</v>
      </c>
      <c r="E2930">
        <v>0.78459999999999996</v>
      </c>
      <c r="F2930">
        <v>-1</v>
      </c>
      <c r="G2930">
        <v>0.78459999999999996</v>
      </c>
    </row>
    <row r="2931" spans="1:7">
      <c r="A2931" t="s">
        <v>144</v>
      </c>
      <c r="B2931">
        <v>46</v>
      </c>
      <c r="C2931">
        <v>2</v>
      </c>
      <c r="D2931">
        <v>0.55760399999999999</v>
      </c>
      <c r="E2931">
        <v>0.13635700000000001</v>
      </c>
      <c r="F2931">
        <v>-1</v>
      </c>
      <c r="G2931">
        <v>0.13635700000000001</v>
      </c>
    </row>
    <row r="2932" spans="1:7">
      <c r="A2932" t="s">
        <v>144</v>
      </c>
      <c r="B2932">
        <v>46</v>
      </c>
      <c r="C2932">
        <v>3</v>
      </c>
      <c r="D2932">
        <v>0.55760399999999999</v>
      </c>
      <c r="E2932">
        <v>-0.22211400000000001</v>
      </c>
      <c r="F2932">
        <v>-1</v>
      </c>
      <c r="G2932">
        <v>-0.22211400000000001</v>
      </c>
    </row>
    <row r="2933" spans="1:7">
      <c r="A2933" t="s">
        <v>144</v>
      </c>
      <c r="B2933">
        <v>46</v>
      </c>
      <c r="C2933">
        <v>4</v>
      </c>
      <c r="D2933">
        <v>0.55760399999999999</v>
      </c>
      <c r="E2933">
        <v>-0.43360700000000002</v>
      </c>
      <c r="F2933">
        <v>-1</v>
      </c>
      <c r="G2933">
        <v>-0.43360700000000002</v>
      </c>
    </row>
    <row r="2934" spans="1:7">
      <c r="A2934" t="s">
        <v>144</v>
      </c>
      <c r="B2934">
        <v>46</v>
      </c>
      <c r="C2934">
        <v>5</v>
      </c>
      <c r="D2934">
        <v>0.55760399999999999</v>
      </c>
      <c r="E2934">
        <v>0.73549600000000004</v>
      </c>
      <c r="F2934">
        <v>-1</v>
      </c>
      <c r="G2934">
        <v>0.73549600000000004</v>
      </c>
    </row>
    <row r="2935" spans="1:7">
      <c r="A2935" t="s">
        <v>144</v>
      </c>
      <c r="B2935">
        <v>46</v>
      </c>
      <c r="C2935">
        <v>6</v>
      </c>
      <c r="D2935">
        <v>0.55760399999999999</v>
      </c>
      <c r="E2935">
        <v>1.1566999999999999E-2</v>
      </c>
      <c r="F2935">
        <v>-1</v>
      </c>
      <c r="G2935">
        <v>1.1566999999999999E-2</v>
      </c>
    </row>
    <row r="2936" spans="1:7">
      <c r="A2936" t="s">
        <v>144</v>
      </c>
      <c r="B2936">
        <v>46</v>
      </c>
      <c r="C2936">
        <v>7</v>
      </c>
      <c r="D2936">
        <v>0.55760399999999999</v>
      </c>
      <c r="E2936">
        <v>0.282113</v>
      </c>
      <c r="F2936">
        <v>0.60090900000000003</v>
      </c>
      <c r="G2936">
        <v>0.423147</v>
      </c>
    </row>
    <row r="2937" spans="1:7">
      <c r="A2937" t="s">
        <v>144</v>
      </c>
      <c r="B2937">
        <v>46</v>
      </c>
      <c r="C2937">
        <v>8</v>
      </c>
      <c r="D2937">
        <v>0.55760399999999999</v>
      </c>
      <c r="E2937">
        <v>-0.57377900000000004</v>
      </c>
      <c r="F2937">
        <v>0.66106100000000001</v>
      </c>
      <c r="G2937">
        <v>-2.7490000000000001E-2</v>
      </c>
    </row>
    <row r="2938" spans="1:7">
      <c r="A2938" t="s">
        <v>144</v>
      </c>
      <c r="B2938">
        <v>46</v>
      </c>
      <c r="C2938">
        <v>9</v>
      </c>
      <c r="D2938">
        <v>0.55760399999999999</v>
      </c>
      <c r="E2938">
        <v>-0.97555499999999995</v>
      </c>
      <c r="F2938">
        <v>-0.67747999999999997</v>
      </c>
      <c r="G2938">
        <v>-0.84368799999999999</v>
      </c>
    </row>
    <row r="2939" spans="1:7">
      <c r="A2939" t="s">
        <v>144</v>
      </c>
      <c r="B2939">
        <v>46</v>
      </c>
      <c r="C2939">
        <v>10</v>
      </c>
      <c r="D2939">
        <v>0.55760399999999999</v>
      </c>
      <c r="E2939">
        <v>0.181982</v>
      </c>
      <c r="F2939">
        <v>0.325571</v>
      </c>
      <c r="G2939">
        <v>0.245505</v>
      </c>
    </row>
    <row r="2940" spans="1:7">
      <c r="A2940" t="s">
        <v>144</v>
      </c>
      <c r="B2940">
        <v>46</v>
      </c>
      <c r="C2940">
        <v>11</v>
      </c>
      <c r="D2940">
        <v>0.55760399999999999</v>
      </c>
      <c r="E2940">
        <v>0.73253599999999996</v>
      </c>
      <c r="F2940">
        <v>-0.66347199999999995</v>
      </c>
      <c r="G2940">
        <v>0.11494699999999999</v>
      </c>
    </row>
    <row r="2941" spans="1:7">
      <c r="A2941" t="s">
        <v>144</v>
      </c>
      <c r="B2941">
        <v>46</v>
      </c>
      <c r="C2941">
        <v>12</v>
      </c>
      <c r="D2941">
        <v>0.55760399999999999</v>
      </c>
      <c r="E2941">
        <v>0.33027099999999998</v>
      </c>
      <c r="F2941">
        <v>0.28556199999999998</v>
      </c>
      <c r="G2941">
        <v>0.31049199999999999</v>
      </c>
    </row>
    <row r="2942" spans="1:7">
      <c r="A2942" t="s">
        <v>144</v>
      </c>
      <c r="B2942">
        <v>46</v>
      </c>
      <c r="C2942">
        <v>13</v>
      </c>
      <c r="D2942">
        <v>0.55760399999999999</v>
      </c>
      <c r="E2942">
        <v>0.187719</v>
      </c>
      <c r="F2942">
        <v>-0.42939500000000003</v>
      </c>
      <c r="G2942">
        <v>-8.5290000000000005E-2</v>
      </c>
    </row>
    <row r="2943" spans="1:7">
      <c r="A2943" t="s">
        <v>144</v>
      </c>
      <c r="B2943">
        <v>46</v>
      </c>
      <c r="C2943">
        <v>14</v>
      </c>
      <c r="D2943">
        <v>0.55760399999999999</v>
      </c>
      <c r="E2943">
        <v>-0.42689300000000002</v>
      </c>
      <c r="F2943">
        <v>0.47819499999999998</v>
      </c>
      <c r="G2943">
        <v>-2.6485999999999999E-2</v>
      </c>
    </row>
    <row r="2944" spans="1:7">
      <c r="A2944" t="s">
        <v>144</v>
      </c>
      <c r="B2944">
        <v>46</v>
      </c>
      <c r="C2944">
        <v>15</v>
      </c>
      <c r="D2944">
        <v>0.55760399999999999</v>
      </c>
      <c r="E2944">
        <v>0.28220499999999998</v>
      </c>
      <c r="F2944">
        <v>0.33311000000000002</v>
      </c>
      <c r="G2944">
        <v>0.30472500000000002</v>
      </c>
    </row>
    <row r="2945" spans="1:7">
      <c r="A2945" t="s">
        <v>144</v>
      </c>
      <c r="B2945">
        <v>46</v>
      </c>
      <c r="C2945">
        <v>16</v>
      </c>
      <c r="D2945">
        <v>0.55760399999999999</v>
      </c>
      <c r="E2945">
        <v>0.34089199999999997</v>
      </c>
      <c r="F2945">
        <v>0.42967</v>
      </c>
      <c r="G2945">
        <v>0.38016699999999998</v>
      </c>
    </row>
    <row r="2946" spans="1:7">
      <c r="A2946" t="s">
        <v>144</v>
      </c>
      <c r="B2946">
        <v>46</v>
      </c>
      <c r="C2946">
        <v>17</v>
      </c>
      <c r="D2946">
        <v>0.55760399999999999</v>
      </c>
      <c r="E2946">
        <v>0.43205100000000002</v>
      </c>
      <c r="F2946">
        <v>0.86098799999999998</v>
      </c>
      <c r="G2946">
        <v>0.621811</v>
      </c>
    </row>
    <row r="2947" spans="1:7">
      <c r="A2947" t="s">
        <v>144</v>
      </c>
      <c r="B2947">
        <v>46</v>
      </c>
      <c r="C2947">
        <v>18</v>
      </c>
      <c r="D2947">
        <v>0.55760399999999999</v>
      </c>
      <c r="E2947">
        <v>-0.16922499999999999</v>
      </c>
      <c r="F2947">
        <v>-0.27616200000000002</v>
      </c>
      <c r="G2947">
        <v>-0.216534</v>
      </c>
    </row>
    <row r="2948" spans="1:7">
      <c r="A2948" t="s">
        <v>144</v>
      </c>
      <c r="B2948">
        <v>46</v>
      </c>
      <c r="C2948">
        <v>19</v>
      </c>
      <c r="D2948">
        <v>0.55760399999999999</v>
      </c>
      <c r="E2948">
        <v>-0.68315700000000001</v>
      </c>
      <c r="F2948">
        <v>-6.7964999999999998E-2</v>
      </c>
      <c r="G2948">
        <v>-0.41099799999999997</v>
      </c>
    </row>
    <row r="2949" spans="1:7">
      <c r="A2949" t="s">
        <v>144</v>
      </c>
      <c r="B2949">
        <v>46</v>
      </c>
      <c r="C2949">
        <v>20</v>
      </c>
      <c r="D2949">
        <v>0.55760399999999999</v>
      </c>
      <c r="E2949">
        <v>0.88112999999999997</v>
      </c>
      <c r="F2949">
        <v>-0.97454799999999997</v>
      </c>
      <c r="G2949">
        <v>6.0185000000000002E-2</v>
      </c>
    </row>
    <row r="2950" spans="1:7">
      <c r="A2950" t="s">
        <v>144</v>
      </c>
      <c r="B2950">
        <v>46</v>
      </c>
      <c r="C2950">
        <v>21</v>
      </c>
      <c r="D2950">
        <v>0.55760399999999999</v>
      </c>
      <c r="E2950">
        <v>-0.75887300000000002</v>
      </c>
      <c r="F2950">
        <v>-0.72289199999999998</v>
      </c>
      <c r="G2950">
        <v>-0.74295500000000003</v>
      </c>
    </row>
    <row r="2951" spans="1:7">
      <c r="A2951" t="s">
        <v>144</v>
      </c>
      <c r="B2951">
        <v>46</v>
      </c>
      <c r="C2951">
        <v>22</v>
      </c>
      <c r="D2951">
        <v>0.55760399999999999</v>
      </c>
      <c r="E2951">
        <v>0.99520900000000001</v>
      </c>
      <c r="F2951">
        <v>0.85854699999999995</v>
      </c>
      <c r="G2951">
        <v>0.93474999999999997</v>
      </c>
    </row>
    <row r="2952" spans="1:7">
      <c r="A2952" t="s">
        <v>144</v>
      </c>
      <c r="B2952">
        <v>46</v>
      </c>
      <c r="C2952">
        <v>23</v>
      </c>
      <c r="D2952">
        <v>0.55760399999999999</v>
      </c>
      <c r="E2952">
        <v>-0.406171</v>
      </c>
      <c r="F2952">
        <v>0.56462299999999999</v>
      </c>
      <c r="G2952">
        <v>2.3304999999999999E-2</v>
      </c>
    </row>
    <row r="2953" spans="1:7">
      <c r="A2953" t="s">
        <v>144</v>
      </c>
      <c r="B2953">
        <v>46</v>
      </c>
      <c r="C2953">
        <v>24</v>
      </c>
      <c r="D2953">
        <v>0.55760399999999999</v>
      </c>
      <c r="E2953">
        <v>-0.94643999999999995</v>
      </c>
      <c r="F2953">
        <v>-0.196966</v>
      </c>
      <c r="G2953">
        <v>-0.61487599999999998</v>
      </c>
    </row>
    <row r="2954" spans="1:7">
      <c r="A2954" t="s">
        <v>144</v>
      </c>
      <c r="B2954">
        <v>46</v>
      </c>
      <c r="C2954">
        <v>25</v>
      </c>
      <c r="D2954">
        <v>0.55760399999999999</v>
      </c>
      <c r="E2954">
        <v>-0.94720300000000002</v>
      </c>
      <c r="F2954">
        <v>0.57646399999999998</v>
      </c>
      <c r="G2954">
        <v>-0.27313799999999999</v>
      </c>
    </row>
    <row r="2955" spans="1:7">
      <c r="A2955" t="s">
        <v>144</v>
      </c>
      <c r="B2955">
        <v>46</v>
      </c>
      <c r="C2955">
        <v>26</v>
      </c>
      <c r="D2955">
        <v>0.55760399999999999</v>
      </c>
      <c r="E2955">
        <v>0.29865399999999998</v>
      </c>
      <c r="F2955">
        <v>-0.91030599999999995</v>
      </c>
      <c r="G2955">
        <v>-0.23618500000000001</v>
      </c>
    </row>
    <row r="2956" spans="1:7">
      <c r="A2956" t="s">
        <v>144</v>
      </c>
      <c r="B2956">
        <v>46</v>
      </c>
      <c r="C2956">
        <v>27</v>
      </c>
      <c r="D2956">
        <v>0.55760399999999999</v>
      </c>
      <c r="E2956">
        <v>-0.44181599999999999</v>
      </c>
      <c r="F2956">
        <v>0.68379800000000002</v>
      </c>
      <c r="G2956">
        <v>5.6151E-2</v>
      </c>
    </row>
    <row r="2957" spans="1:7">
      <c r="A2957" t="s">
        <v>144</v>
      </c>
      <c r="B2957">
        <v>46</v>
      </c>
      <c r="C2957">
        <v>28</v>
      </c>
      <c r="D2957">
        <v>0.55760399999999999</v>
      </c>
      <c r="E2957">
        <v>-0.45909</v>
      </c>
      <c r="F2957">
        <v>0.101352</v>
      </c>
      <c r="G2957">
        <v>-0.21115200000000001</v>
      </c>
    </row>
    <row r="2958" spans="1:7">
      <c r="A2958" t="s">
        <v>144</v>
      </c>
      <c r="B2958">
        <v>46</v>
      </c>
      <c r="C2958">
        <v>29</v>
      </c>
      <c r="D2958">
        <v>0.55760399999999999</v>
      </c>
      <c r="E2958">
        <v>0.36799199999999999</v>
      </c>
      <c r="F2958">
        <v>0.78206699999999996</v>
      </c>
      <c r="G2958">
        <v>0.55117799999999995</v>
      </c>
    </row>
    <row r="2959" spans="1:7">
      <c r="A2959" t="s">
        <v>144</v>
      </c>
      <c r="B2959">
        <v>46</v>
      </c>
      <c r="C2959">
        <v>30</v>
      </c>
      <c r="D2959">
        <v>0.55760399999999999</v>
      </c>
      <c r="E2959">
        <v>-5.0844E-2</v>
      </c>
      <c r="F2959">
        <v>-0.55708500000000005</v>
      </c>
      <c r="G2959">
        <v>-0.27480300000000002</v>
      </c>
    </row>
    <row r="2960" spans="1:7">
      <c r="A2960" t="s">
        <v>144</v>
      </c>
      <c r="B2960">
        <v>46</v>
      </c>
      <c r="C2960">
        <v>31</v>
      </c>
      <c r="D2960">
        <v>0.55760399999999999</v>
      </c>
      <c r="E2960">
        <v>-0.22592899999999999</v>
      </c>
      <c r="F2960">
        <v>-0.50114400000000003</v>
      </c>
      <c r="G2960">
        <v>-0.34768300000000002</v>
      </c>
    </row>
    <row r="2961" spans="1:7">
      <c r="A2961" t="s">
        <v>144</v>
      </c>
      <c r="B2961">
        <v>46</v>
      </c>
      <c r="C2961">
        <v>32</v>
      </c>
      <c r="D2961">
        <v>0.55760399999999999</v>
      </c>
      <c r="E2961">
        <v>0.60029900000000003</v>
      </c>
      <c r="F2961">
        <v>-0.876919</v>
      </c>
      <c r="G2961">
        <v>-5.3217E-2</v>
      </c>
    </row>
    <row r="2962" spans="1:7">
      <c r="A2962" t="s">
        <v>144</v>
      </c>
      <c r="B2962">
        <v>46</v>
      </c>
      <c r="C2962">
        <v>33</v>
      </c>
      <c r="D2962">
        <v>0.55760399999999999</v>
      </c>
      <c r="E2962">
        <v>0.97235000000000005</v>
      </c>
      <c r="F2962">
        <v>0.612201</v>
      </c>
      <c r="G2962">
        <v>0.81302200000000002</v>
      </c>
    </row>
    <row r="2963" spans="1:7">
      <c r="A2963" t="s">
        <v>144</v>
      </c>
      <c r="B2963">
        <v>46</v>
      </c>
      <c r="C2963">
        <v>34</v>
      </c>
      <c r="D2963">
        <v>0.55760399999999999</v>
      </c>
      <c r="E2963">
        <v>-0.69472299999999998</v>
      </c>
      <c r="F2963">
        <v>-0.38459399999999999</v>
      </c>
      <c r="G2963">
        <v>-0.55752299999999999</v>
      </c>
    </row>
    <row r="2964" spans="1:7">
      <c r="A2964" t="s">
        <v>144</v>
      </c>
      <c r="B2964">
        <v>46</v>
      </c>
      <c r="C2964">
        <v>35</v>
      </c>
      <c r="D2964">
        <v>0.55760399999999999</v>
      </c>
      <c r="E2964">
        <v>-0.69075600000000004</v>
      </c>
      <c r="F2964">
        <v>0.48320000000000002</v>
      </c>
      <c r="G2964">
        <v>-0.171402</v>
      </c>
    </row>
    <row r="2965" spans="1:7">
      <c r="A2965" t="s">
        <v>144</v>
      </c>
      <c r="B2965">
        <v>46</v>
      </c>
      <c r="C2965">
        <v>36</v>
      </c>
      <c r="D2965">
        <v>0.55760399999999999</v>
      </c>
      <c r="E2965">
        <v>0.26718999999999998</v>
      </c>
      <c r="F2965">
        <v>0.47941499999999998</v>
      </c>
      <c r="G2965">
        <v>0.36107699999999998</v>
      </c>
    </row>
    <row r="2966" spans="1:7">
      <c r="A2966" t="s">
        <v>144</v>
      </c>
      <c r="B2966">
        <v>46</v>
      </c>
      <c r="C2966">
        <v>37</v>
      </c>
      <c r="D2966">
        <v>0.55760399999999999</v>
      </c>
      <c r="E2966">
        <v>-0.404889</v>
      </c>
      <c r="F2966">
        <v>-0.48991400000000002</v>
      </c>
      <c r="G2966">
        <v>-0.44250400000000001</v>
      </c>
    </row>
    <row r="2967" spans="1:7">
      <c r="A2967" t="s">
        <v>144</v>
      </c>
      <c r="B2967">
        <v>46</v>
      </c>
      <c r="C2967">
        <v>38</v>
      </c>
      <c r="D2967">
        <v>0.55760399999999999</v>
      </c>
      <c r="E2967">
        <v>-0.16455600000000001</v>
      </c>
      <c r="F2967">
        <v>0.58308700000000002</v>
      </c>
      <c r="G2967">
        <v>0.16619800000000001</v>
      </c>
    </row>
    <row r="2968" spans="1:7">
      <c r="A2968" t="s">
        <v>144</v>
      </c>
      <c r="B2968">
        <v>46</v>
      </c>
      <c r="C2968">
        <v>39</v>
      </c>
      <c r="D2968">
        <v>0.55760399999999999</v>
      </c>
      <c r="E2968">
        <v>0.440382</v>
      </c>
      <c r="F2968">
        <v>-0.78789600000000004</v>
      </c>
      <c r="G2968">
        <v>-0.103004</v>
      </c>
    </row>
    <row r="2969" spans="1:7">
      <c r="A2969" t="s">
        <v>144</v>
      </c>
      <c r="B2969">
        <v>46</v>
      </c>
      <c r="C2969">
        <v>40</v>
      </c>
      <c r="D2969">
        <v>0.55760399999999999</v>
      </c>
      <c r="E2969">
        <v>0.65492700000000004</v>
      </c>
      <c r="F2969">
        <v>0.33854200000000001</v>
      </c>
      <c r="G2969">
        <v>0.51495899999999994</v>
      </c>
    </row>
    <row r="2970" spans="1:7">
      <c r="A2970" t="s">
        <v>144</v>
      </c>
      <c r="B2970">
        <v>46</v>
      </c>
      <c r="C2970">
        <v>41</v>
      </c>
      <c r="D2970">
        <v>0.55760399999999999</v>
      </c>
      <c r="E2970">
        <v>0.241981</v>
      </c>
      <c r="F2970">
        <v>-0.35209200000000002</v>
      </c>
      <c r="G2970">
        <v>-2.0834999999999999E-2</v>
      </c>
    </row>
    <row r="2971" spans="1:7">
      <c r="A2971" t="s">
        <v>144</v>
      </c>
      <c r="B2971">
        <v>46</v>
      </c>
      <c r="C2971">
        <v>42</v>
      </c>
      <c r="D2971">
        <v>0.55760399999999999</v>
      </c>
      <c r="E2971">
        <v>-3.0609999999999998E-2</v>
      </c>
      <c r="F2971">
        <v>0.21701699999999999</v>
      </c>
      <c r="G2971">
        <v>7.8938999999999995E-2</v>
      </c>
    </row>
    <row r="2972" spans="1:7">
      <c r="A2972" t="s">
        <v>144</v>
      </c>
      <c r="B2972">
        <v>46</v>
      </c>
      <c r="C2972">
        <v>43</v>
      </c>
      <c r="D2972">
        <v>0.55760399999999999</v>
      </c>
      <c r="E2972">
        <v>-5.1728999999999997E-2</v>
      </c>
      <c r="F2972">
        <v>0.69054199999999999</v>
      </c>
      <c r="G2972">
        <v>0.27664899999999998</v>
      </c>
    </row>
    <row r="2973" spans="1:7">
      <c r="A2973" t="s">
        <v>144</v>
      </c>
      <c r="B2973">
        <v>46</v>
      </c>
      <c r="C2973">
        <v>44</v>
      </c>
      <c r="D2973">
        <v>0.55760399999999999</v>
      </c>
      <c r="E2973">
        <v>0.963561</v>
      </c>
      <c r="F2973">
        <v>-0.18964200000000001</v>
      </c>
      <c r="G2973">
        <v>0.45338800000000001</v>
      </c>
    </row>
    <row r="2974" spans="1:7">
      <c r="A2974" t="s">
        <v>144</v>
      </c>
      <c r="B2974">
        <v>46</v>
      </c>
      <c r="C2974">
        <v>45</v>
      </c>
      <c r="D2974">
        <v>0.55760399999999999</v>
      </c>
      <c r="E2974">
        <v>-0.35505199999999998</v>
      </c>
      <c r="F2974">
        <v>-0.13763800000000001</v>
      </c>
      <c r="G2974">
        <v>-0.25886900000000002</v>
      </c>
    </row>
    <row r="2975" spans="1:7">
      <c r="A2975" t="s">
        <v>144</v>
      </c>
      <c r="B2975">
        <v>46</v>
      </c>
      <c r="C2975">
        <v>46</v>
      </c>
      <c r="D2975">
        <v>0.55760399999999999</v>
      </c>
      <c r="E2975">
        <v>0.76842600000000005</v>
      </c>
      <c r="F2975">
        <v>0.61952600000000002</v>
      </c>
      <c r="G2975">
        <v>0.70255299999999998</v>
      </c>
    </row>
    <row r="2976" spans="1:7">
      <c r="A2976" t="s">
        <v>144</v>
      </c>
      <c r="B2976">
        <v>46</v>
      </c>
      <c r="C2976">
        <v>47</v>
      </c>
      <c r="D2976">
        <v>0.55760399999999999</v>
      </c>
      <c r="E2976">
        <v>0.50035099999999999</v>
      </c>
      <c r="F2976">
        <v>0.134434</v>
      </c>
      <c r="G2976">
        <v>0.33847100000000002</v>
      </c>
    </row>
    <row r="2977" spans="1:7">
      <c r="A2977" t="s">
        <v>144</v>
      </c>
      <c r="B2977">
        <v>46</v>
      </c>
      <c r="C2977">
        <v>48</v>
      </c>
      <c r="D2977">
        <v>0.55760399999999999</v>
      </c>
      <c r="E2977">
        <v>0.230293</v>
      </c>
      <c r="F2977">
        <v>3.0976E-2</v>
      </c>
      <c r="G2977">
        <v>0.14211599999999999</v>
      </c>
    </row>
    <row r="2978" spans="1:7">
      <c r="A2978" t="s">
        <v>144</v>
      </c>
      <c r="B2978">
        <v>46</v>
      </c>
      <c r="C2978">
        <v>49</v>
      </c>
      <c r="D2978">
        <v>0.55760399999999999</v>
      </c>
      <c r="E2978">
        <v>0.39887699999999998</v>
      </c>
      <c r="F2978">
        <v>0.40083000000000002</v>
      </c>
      <c r="G2978">
        <v>0.39974100000000001</v>
      </c>
    </row>
    <row r="2979" spans="1:7">
      <c r="A2979" t="s">
        <v>144</v>
      </c>
      <c r="B2979" t="s">
        <v>145</v>
      </c>
      <c r="C2979">
        <v>47</v>
      </c>
    </row>
    <row r="2980" spans="1:7">
      <c r="A2980" t="s">
        <v>144</v>
      </c>
      <c r="B2980" t="s">
        <v>146</v>
      </c>
      <c r="C2980">
        <v>27</v>
      </c>
    </row>
    <row r="2981" spans="1:7">
      <c r="A2981" t="s">
        <v>144</v>
      </c>
      <c r="B2981" t="s">
        <v>147</v>
      </c>
      <c r="C2981">
        <v>27</v>
      </c>
    </row>
    <row r="2982" spans="1:7">
      <c r="A2982" t="s">
        <v>144</v>
      </c>
      <c r="B2982" t="s">
        <v>148</v>
      </c>
      <c r="C2982">
        <v>0.98229900000000003</v>
      </c>
    </row>
    <row r="2983" spans="1:7">
      <c r="A2983" t="s">
        <v>144</v>
      </c>
      <c r="B2983" t="s">
        <v>149</v>
      </c>
      <c r="C2983">
        <v>0.98229900000000003</v>
      </c>
    </row>
    <row r="2984" spans="1:7">
      <c r="A2984" t="s">
        <v>144</v>
      </c>
      <c r="B2984" t="s">
        <v>150</v>
      </c>
      <c r="C2984">
        <v>-1</v>
      </c>
    </row>
    <row r="2985" spans="1:7">
      <c r="A2985" t="s">
        <v>144</v>
      </c>
      <c r="B2985" t="s">
        <v>151</v>
      </c>
      <c r="C2985">
        <v>-1</v>
      </c>
    </row>
    <row r="2986" spans="1:7">
      <c r="A2986" t="s">
        <v>144</v>
      </c>
      <c r="B2986" t="s">
        <v>152</v>
      </c>
      <c r="C2986">
        <v>45</v>
      </c>
    </row>
    <row r="2987" spans="1:7">
      <c r="A2987" t="s">
        <v>144</v>
      </c>
      <c r="B2987" t="s">
        <v>153</v>
      </c>
      <c r="C2987">
        <v>45</v>
      </c>
    </row>
    <row r="2988" spans="1:7">
      <c r="A2988" t="s">
        <v>144</v>
      </c>
      <c r="B2988" t="s">
        <v>154</v>
      </c>
      <c r="C2988">
        <v>0</v>
      </c>
    </row>
    <row r="2989" spans="1:7">
      <c r="A2989" t="s">
        <v>144</v>
      </c>
      <c r="B2989" t="s">
        <v>161</v>
      </c>
    </row>
    <row r="2990" spans="1:7">
      <c r="A2990" t="s">
        <v>144</v>
      </c>
      <c r="B2990">
        <v>47</v>
      </c>
      <c r="C2990">
        <v>0</v>
      </c>
      <c r="D2990">
        <v>-1</v>
      </c>
      <c r="E2990">
        <v>-0.20474899999999999</v>
      </c>
      <c r="F2990">
        <v>-1</v>
      </c>
      <c r="G2990">
        <v>-0.20474899999999999</v>
      </c>
    </row>
    <row r="2991" spans="1:7">
      <c r="A2991" t="s">
        <v>144</v>
      </c>
      <c r="B2991">
        <v>47</v>
      </c>
      <c r="C2991">
        <v>1</v>
      </c>
      <c r="D2991">
        <v>-1</v>
      </c>
      <c r="E2991">
        <v>-0.91842400000000002</v>
      </c>
      <c r="F2991">
        <v>-1</v>
      </c>
      <c r="G2991">
        <v>-0.91842400000000002</v>
      </c>
    </row>
    <row r="2992" spans="1:7">
      <c r="A2992" t="s">
        <v>144</v>
      </c>
      <c r="B2992">
        <v>47</v>
      </c>
      <c r="C2992">
        <v>2</v>
      </c>
      <c r="D2992">
        <v>-1</v>
      </c>
      <c r="E2992">
        <v>-0.79418299999999997</v>
      </c>
      <c r="F2992">
        <v>-1</v>
      </c>
      <c r="G2992">
        <v>-0.79418299999999997</v>
      </c>
    </row>
    <row r="2993" spans="1:7">
      <c r="A2993" t="s">
        <v>144</v>
      </c>
      <c r="B2993">
        <v>47</v>
      </c>
      <c r="C2993">
        <v>3</v>
      </c>
      <c r="D2993">
        <v>-1</v>
      </c>
      <c r="E2993">
        <v>0.129215</v>
      </c>
      <c r="F2993">
        <v>-1</v>
      </c>
      <c r="G2993">
        <v>0.129215</v>
      </c>
    </row>
    <row r="2994" spans="1:7">
      <c r="A2994" t="s">
        <v>144</v>
      </c>
      <c r="B2994">
        <v>47</v>
      </c>
      <c r="C2994">
        <v>4</v>
      </c>
      <c r="D2994">
        <v>-1</v>
      </c>
      <c r="E2994">
        <v>-0.63420500000000002</v>
      </c>
      <c r="F2994">
        <v>-1</v>
      </c>
      <c r="G2994">
        <v>-0.63420500000000002</v>
      </c>
    </row>
    <row r="2995" spans="1:7">
      <c r="A2995" t="s">
        <v>144</v>
      </c>
      <c r="B2995">
        <v>47</v>
      </c>
      <c r="C2995">
        <v>5</v>
      </c>
      <c r="D2995">
        <v>-1</v>
      </c>
      <c r="E2995">
        <v>0.27698600000000001</v>
      </c>
      <c r="F2995">
        <v>-1</v>
      </c>
      <c r="G2995">
        <v>0.27698600000000001</v>
      </c>
    </row>
    <row r="2996" spans="1:7">
      <c r="A2996" t="s">
        <v>144</v>
      </c>
      <c r="B2996">
        <v>47</v>
      </c>
      <c r="C2996">
        <v>6</v>
      </c>
      <c r="D2996">
        <v>-1</v>
      </c>
      <c r="E2996">
        <v>0.165105</v>
      </c>
      <c r="F2996">
        <v>-1</v>
      </c>
      <c r="G2996">
        <v>0.165105</v>
      </c>
    </row>
    <row r="2997" spans="1:7">
      <c r="A2997" t="s">
        <v>144</v>
      </c>
      <c r="B2997">
        <v>47</v>
      </c>
      <c r="C2997">
        <v>7</v>
      </c>
      <c r="D2997">
        <v>-1</v>
      </c>
      <c r="E2997">
        <v>-9.0639999999999998E-2</v>
      </c>
      <c r="F2997">
        <v>-1</v>
      </c>
      <c r="G2997">
        <v>-9.0639999999999998E-2</v>
      </c>
    </row>
    <row r="2998" spans="1:7">
      <c r="A2998" t="s">
        <v>144</v>
      </c>
      <c r="B2998">
        <v>47</v>
      </c>
      <c r="C2998">
        <v>8</v>
      </c>
      <c r="D2998">
        <v>-1</v>
      </c>
      <c r="E2998">
        <v>0.846522</v>
      </c>
      <c r="F2998">
        <v>-1</v>
      </c>
      <c r="G2998">
        <v>0.846522</v>
      </c>
    </row>
    <row r="2999" spans="1:7">
      <c r="A2999" t="s">
        <v>144</v>
      </c>
      <c r="B2999">
        <v>47</v>
      </c>
      <c r="C2999">
        <v>9</v>
      </c>
      <c r="D2999">
        <v>-1</v>
      </c>
      <c r="E2999">
        <v>-0.80141600000000002</v>
      </c>
      <c r="F2999">
        <v>-1</v>
      </c>
      <c r="G2999">
        <v>-0.80141600000000002</v>
      </c>
    </row>
    <row r="3000" spans="1:7">
      <c r="A3000" t="s">
        <v>144</v>
      </c>
      <c r="B3000">
        <v>47</v>
      </c>
      <c r="C3000">
        <v>10</v>
      </c>
      <c r="D3000">
        <v>-1</v>
      </c>
      <c r="E3000">
        <v>-0.61204899999999995</v>
      </c>
      <c r="F3000">
        <v>-1</v>
      </c>
      <c r="G3000">
        <v>-0.61204899999999995</v>
      </c>
    </row>
    <row r="3001" spans="1:7">
      <c r="A3001" t="s">
        <v>144</v>
      </c>
      <c r="B3001">
        <v>47</v>
      </c>
      <c r="C3001">
        <v>11</v>
      </c>
      <c r="D3001">
        <v>-1</v>
      </c>
      <c r="E3001">
        <v>0.48527500000000001</v>
      </c>
      <c r="F3001">
        <v>-1</v>
      </c>
      <c r="G3001">
        <v>0.48527500000000001</v>
      </c>
    </row>
    <row r="3002" spans="1:7">
      <c r="A3002" t="s">
        <v>144</v>
      </c>
      <c r="B3002">
        <v>47</v>
      </c>
      <c r="C3002">
        <v>12</v>
      </c>
      <c r="D3002">
        <v>-1</v>
      </c>
      <c r="E3002">
        <v>0.201178</v>
      </c>
      <c r="F3002">
        <v>-1</v>
      </c>
      <c r="G3002">
        <v>0.201178</v>
      </c>
    </row>
    <row r="3003" spans="1:7">
      <c r="A3003" t="s">
        <v>144</v>
      </c>
      <c r="B3003">
        <v>47</v>
      </c>
      <c r="C3003">
        <v>13</v>
      </c>
      <c r="D3003">
        <v>-1</v>
      </c>
      <c r="E3003">
        <v>-0.29792200000000002</v>
      </c>
      <c r="F3003">
        <v>-1</v>
      </c>
      <c r="G3003">
        <v>-0.29792200000000002</v>
      </c>
    </row>
    <row r="3004" spans="1:7">
      <c r="A3004" t="s">
        <v>144</v>
      </c>
      <c r="B3004">
        <v>47</v>
      </c>
      <c r="C3004">
        <v>14</v>
      </c>
      <c r="D3004">
        <v>-1</v>
      </c>
      <c r="E3004">
        <v>0.52388100000000004</v>
      </c>
      <c r="F3004">
        <v>-1</v>
      </c>
      <c r="G3004">
        <v>0.52388100000000004</v>
      </c>
    </row>
    <row r="3005" spans="1:7">
      <c r="A3005" t="s">
        <v>144</v>
      </c>
      <c r="B3005">
        <v>47</v>
      </c>
      <c r="C3005">
        <v>15</v>
      </c>
      <c r="D3005">
        <v>-1</v>
      </c>
      <c r="E3005">
        <v>8.5760000000000003E-3</v>
      </c>
      <c r="F3005">
        <v>-1</v>
      </c>
      <c r="G3005">
        <v>8.5760000000000003E-3</v>
      </c>
    </row>
    <row r="3006" spans="1:7">
      <c r="A3006" t="s">
        <v>144</v>
      </c>
      <c r="B3006">
        <v>47</v>
      </c>
      <c r="C3006">
        <v>16</v>
      </c>
      <c r="D3006">
        <v>-1</v>
      </c>
      <c r="E3006">
        <v>-0.71514</v>
      </c>
      <c r="F3006">
        <v>-1</v>
      </c>
      <c r="G3006">
        <v>-0.71514</v>
      </c>
    </row>
    <row r="3007" spans="1:7">
      <c r="A3007" t="s">
        <v>144</v>
      </c>
      <c r="B3007">
        <v>47</v>
      </c>
      <c r="C3007">
        <v>17</v>
      </c>
      <c r="D3007">
        <v>-1</v>
      </c>
      <c r="E3007">
        <v>-0.73891399999999996</v>
      </c>
      <c r="F3007">
        <v>-1</v>
      </c>
      <c r="G3007">
        <v>-0.73891399999999996</v>
      </c>
    </row>
    <row r="3008" spans="1:7">
      <c r="A3008" t="s">
        <v>144</v>
      </c>
      <c r="B3008">
        <v>47</v>
      </c>
      <c r="C3008">
        <v>18</v>
      </c>
      <c r="D3008">
        <v>-1</v>
      </c>
      <c r="E3008">
        <v>3.4761E-2</v>
      </c>
      <c r="F3008">
        <v>-1</v>
      </c>
      <c r="G3008">
        <v>3.4761E-2</v>
      </c>
    </row>
    <row r="3009" spans="1:7">
      <c r="A3009" t="s">
        <v>144</v>
      </c>
      <c r="B3009">
        <v>47</v>
      </c>
      <c r="C3009">
        <v>19</v>
      </c>
      <c r="D3009">
        <v>-1</v>
      </c>
      <c r="E3009">
        <v>0.31318099999999999</v>
      </c>
      <c r="F3009">
        <v>-1</v>
      </c>
      <c r="G3009">
        <v>0.31318099999999999</v>
      </c>
    </row>
    <row r="3010" spans="1:7">
      <c r="A3010" t="s">
        <v>144</v>
      </c>
      <c r="B3010">
        <v>47</v>
      </c>
      <c r="C3010">
        <v>20</v>
      </c>
      <c r="D3010">
        <v>-1</v>
      </c>
      <c r="E3010">
        <v>0.26963100000000001</v>
      </c>
      <c r="F3010">
        <v>-1</v>
      </c>
      <c r="G3010">
        <v>0.26963100000000001</v>
      </c>
    </row>
    <row r="3011" spans="1:7">
      <c r="A3011" t="s">
        <v>144</v>
      </c>
      <c r="B3011">
        <v>47</v>
      </c>
      <c r="C3011">
        <v>21</v>
      </c>
      <c r="D3011">
        <v>-1</v>
      </c>
      <c r="E3011">
        <v>-0.126133</v>
      </c>
      <c r="F3011">
        <v>-1</v>
      </c>
      <c r="G3011">
        <v>-0.126133</v>
      </c>
    </row>
    <row r="3012" spans="1:7">
      <c r="A3012" t="s">
        <v>144</v>
      </c>
      <c r="B3012">
        <v>47</v>
      </c>
      <c r="C3012">
        <v>22</v>
      </c>
      <c r="D3012">
        <v>-1</v>
      </c>
      <c r="E3012">
        <v>0.79363399999999995</v>
      </c>
      <c r="F3012">
        <v>-1</v>
      </c>
      <c r="G3012">
        <v>0.79363399999999995</v>
      </c>
    </row>
    <row r="3013" spans="1:7">
      <c r="A3013" t="s">
        <v>144</v>
      </c>
      <c r="B3013">
        <v>47</v>
      </c>
      <c r="C3013">
        <v>23</v>
      </c>
      <c r="D3013">
        <v>-1</v>
      </c>
      <c r="E3013">
        <v>0.93459899999999996</v>
      </c>
      <c r="F3013">
        <v>-1</v>
      </c>
      <c r="G3013">
        <v>0.93459899999999996</v>
      </c>
    </row>
    <row r="3014" spans="1:7">
      <c r="A3014" t="s">
        <v>144</v>
      </c>
      <c r="B3014">
        <v>47</v>
      </c>
      <c r="C3014">
        <v>24</v>
      </c>
      <c r="D3014">
        <v>-1</v>
      </c>
      <c r="E3014">
        <v>0.94238100000000002</v>
      </c>
      <c r="F3014">
        <v>-1</v>
      </c>
      <c r="G3014">
        <v>0.94238100000000002</v>
      </c>
    </row>
    <row r="3015" spans="1:7">
      <c r="A3015" t="s">
        <v>144</v>
      </c>
      <c r="B3015">
        <v>47</v>
      </c>
      <c r="C3015">
        <v>25</v>
      </c>
      <c r="D3015">
        <v>-1</v>
      </c>
      <c r="E3015">
        <v>-0.47910999999999998</v>
      </c>
      <c r="F3015">
        <v>-1</v>
      </c>
      <c r="G3015">
        <v>-0.47910999999999998</v>
      </c>
    </row>
    <row r="3016" spans="1:7">
      <c r="A3016" t="s">
        <v>144</v>
      </c>
      <c r="B3016">
        <v>47</v>
      </c>
      <c r="C3016">
        <v>26</v>
      </c>
      <c r="D3016">
        <v>-1</v>
      </c>
      <c r="E3016">
        <v>-0.85863800000000001</v>
      </c>
      <c r="F3016">
        <v>-1</v>
      </c>
      <c r="G3016">
        <v>-0.85863800000000001</v>
      </c>
    </row>
    <row r="3017" spans="1:7">
      <c r="A3017" t="s">
        <v>144</v>
      </c>
      <c r="B3017">
        <v>47</v>
      </c>
      <c r="C3017">
        <v>27</v>
      </c>
      <c r="D3017">
        <v>-1</v>
      </c>
      <c r="E3017">
        <v>0.342082</v>
      </c>
      <c r="F3017">
        <v>-1</v>
      </c>
      <c r="G3017">
        <v>0.342082</v>
      </c>
    </row>
    <row r="3018" spans="1:7">
      <c r="A3018" t="s">
        <v>144</v>
      </c>
      <c r="B3018">
        <v>47</v>
      </c>
      <c r="C3018">
        <v>28</v>
      </c>
      <c r="D3018">
        <v>-1</v>
      </c>
      <c r="E3018">
        <v>-0.46446100000000001</v>
      </c>
      <c r="F3018">
        <v>-1</v>
      </c>
      <c r="G3018">
        <v>-0.46446100000000001</v>
      </c>
    </row>
    <row r="3019" spans="1:7">
      <c r="A3019" t="s">
        <v>144</v>
      </c>
      <c r="B3019">
        <v>47</v>
      </c>
      <c r="C3019">
        <v>29</v>
      </c>
      <c r="D3019">
        <v>-1</v>
      </c>
      <c r="E3019">
        <v>0.94830199999999998</v>
      </c>
      <c r="F3019">
        <v>-1</v>
      </c>
      <c r="G3019">
        <v>0.94830199999999998</v>
      </c>
    </row>
    <row r="3020" spans="1:7">
      <c r="A3020" t="s">
        <v>144</v>
      </c>
      <c r="B3020">
        <v>47</v>
      </c>
      <c r="C3020">
        <v>30</v>
      </c>
      <c r="D3020">
        <v>-1</v>
      </c>
      <c r="E3020">
        <v>-0.71684899999999996</v>
      </c>
      <c r="F3020">
        <v>-1</v>
      </c>
      <c r="G3020">
        <v>-0.71684899999999996</v>
      </c>
    </row>
    <row r="3021" spans="1:7">
      <c r="A3021" t="s">
        <v>144</v>
      </c>
      <c r="B3021">
        <v>47</v>
      </c>
      <c r="C3021">
        <v>31</v>
      </c>
      <c r="D3021">
        <v>-1</v>
      </c>
      <c r="E3021">
        <v>-0.114383</v>
      </c>
      <c r="F3021">
        <v>-1</v>
      </c>
      <c r="G3021">
        <v>-0.114383</v>
      </c>
    </row>
    <row r="3022" spans="1:7">
      <c r="A3022" t="s">
        <v>144</v>
      </c>
      <c r="B3022">
        <v>47</v>
      </c>
      <c r="C3022">
        <v>32</v>
      </c>
      <c r="D3022">
        <v>-1</v>
      </c>
      <c r="E3022">
        <v>0.80254499999999995</v>
      </c>
      <c r="F3022">
        <v>-1</v>
      </c>
      <c r="G3022">
        <v>0.80254499999999995</v>
      </c>
    </row>
    <row r="3023" spans="1:7">
      <c r="A3023" t="s">
        <v>144</v>
      </c>
      <c r="B3023">
        <v>47</v>
      </c>
      <c r="C3023">
        <v>33</v>
      </c>
      <c r="D3023">
        <v>-1</v>
      </c>
      <c r="E3023">
        <v>-5.3407000000000003E-2</v>
      </c>
      <c r="F3023">
        <v>-1</v>
      </c>
      <c r="G3023">
        <v>-5.3407000000000003E-2</v>
      </c>
    </row>
    <row r="3024" spans="1:7">
      <c r="A3024" t="s">
        <v>144</v>
      </c>
      <c r="B3024">
        <v>47</v>
      </c>
      <c r="C3024">
        <v>34</v>
      </c>
      <c r="D3024">
        <v>-1</v>
      </c>
      <c r="E3024">
        <v>-0.42872399999999999</v>
      </c>
      <c r="F3024">
        <v>-1</v>
      </c>
      <c r="G3024">
        <v>-0.42872399999999999</v>
      </c>
    </row>
    <row r="3025" spans="1:7">
      <c r="A3025" t="s">
        <v>144</v>
      </c>
      <c r="B3025">
        <v>47</v>
      </c>
      <c r="C3025">
        <v>35</v>
      </c>
      <c r="D3025">
        <v>-1</v>
      </c>
      <c r="E3025">
        <v>-0.24057700000000001</v>
      </c>
      <c r="F3025">
        <v>-1</v>
      </c>
      <c r="G3025">
        <v>-0.24057700000000001</v>
      </c>
    </row>
    <row r="3026" spans="1:7">
      <c r="A3026" t="s">
        <v>144</v>
      </c>
      <c r="B3026">
        <v>47</v>
      </c>
      <c r="C3026">
        <v>36</v>
      </c>
      <c r="D3026">
        <v>-1</v>
      </c>
      <c r="E3026">
        <v>0.86568800000000001</v>
      </c>
      <c r="F3026">
        <v>-1</v>
      </c>
      <c r="G3026">
        <v>0.86568800000000001</v>
      </c>
    </row>
    <row r="3027" spans="1:7">
      <c r="A3027" t="s">
        <v>144</v>
      </c>
      <c r="B3027">
        <v>47</v>
      </c>
      <c r="C3027">
        <v>37</v>
      </c>
      <c r="D3027">
        <v>-1</v>
      </c>
      <c r="E3027">
        <v>4.6785E-2</v>
      </c>
      <c r="F3027">
        <v>-1</v>
      </c>
      <c r="G3027">
        <v>4.6785E-2</v>
      </c>
    </row>
    <row r="3028" spans="1:7">
      <c r="A3028" t="s">
        <v>144</v>
      </c>
      <c r="B3028">
        <v>47</v>
      </c>
      <c r="C3028">
        <v>38</v>
      </c>
      <c r="D3028">
        <v>-1</v>
      </c>
      <c r="E3028">
        <v>-0.89754900000000004</v>
      </c>
      <c r="F3028">
        <v>-1</v>
      </c>
      <c r="G3028">
        <v>-0.89754900000000004</v>
      </c>
    </row>
    <row r="3029" spans="1:7">
      <c r="A3029" t="s">
        <v>144</v>
      </c>
      <c r="B3029">
        <v>47</v>
      </c>
      <c r="C3029">
        <v>39</v>
      </c>
      <c r="D3029">
        <v>-1</v>
      </c>
      <c r="E3029">
        <v>0.54576199999999997</v>
      </c>
      <c r="F3029">
        <v>-1</v>
      </c>
      <c r="G3029">
        <v>0.54576199999999997</v>
      </c>
    </row>
    <row r="3030" spans="1:7">
      <c r="A3030" t="s">
        <v>144</v>
      </c>
      <c r="B3030">
        <v>47</v>
      </c>
      <c r="C3030">
        <v>40</v>
      </c>
      <c r="D3030">
        <v>-1</v>
      </c>
      <c r="E3030">
        <v>-0.33753499999999997</v>
      </c>
      <c r="F3030">
        <v>-1</v>
      </c>
      <c r="G3030">
        <v>-0.33753499999999997</v>
      </c>
    </row>
    <row r="3031" spans="1:7">
      <c r="A3031" t="s">
        <v>144</v>
      </c>
      <c r="B3031">
        <v>47</v>
      </c>
      <c r="C3031">
        <v>41</v>
      </c>
      <c r="D3031">
        <v>-1</v>
      </c>
      <c r="E3031">
        <v>-0.40147100000000002</v>
      </c>
      <c r="F3031">
        <v>-1</v>
      </c>
      <c r="G3031">
        <v>-0.40147100000000002</v>
      </c>
    </row>
    <row r="3032" spans="1:7">
      <c r="A3032" t="s">
        <v>144</v>
      </c>
      <c r="B3032">
        <v>47</v>
      </c>
      <c r="C3032">
        <v>42</v>
      </c>
      <c r="D3032">
        <v>-1</v>
      </c>
      <c r="E3032">
        <v>0.26401599999999997</v>
      </c>
      <c r="F3032">
        <v>-1</v>
      </c>
      <c r="G3032">
        <v>0.26401599999999997</v>
      </c>
    </row>
    <row r="3033" spans="1:7">
      <c r="A3033" t="s">
        <v>144</v>
      </c>
      <c r="B3033">
        <v>47</v>
      </c>
      <c r="C3033">
        <v>43</v>
      </c>
      <c r="D3033">
        <v>-1</v>
      </c>
      <c r="E3033">
        <v>-0.24176800000000001</v>
      </c>
      <c r="F3033">
        <v>-1</v>
      </c>
      <c r="G3033">
        <v>-0.24176800000000001</v>
      </c>
    </row>
    <row r="3034" spans="1:7">
      <c r="A3034" t="s">
        <v>144</v>
      </c>
      <c r="B3034">
        <v>47</v>
      </c>
      <c r="C3034">
        <v>44</v>
      </c>
      <c r="D3034">
        <v>-1</v>
      </c>
      <c r="E3034">
        <v>0.633351</v>
      </c>
      <c r="F3034">
        <v>-1</v>
      </c>
      <c r="G3034">
        <v>0.633351</v>
      </c>
    </row>
    <row r="3035" spans="1:7">
      <c r="A3035" t="s">
        <v>144</v>
      </c>
      <c r="B3035">
        <v>47</v>
      </c>
      <c r="C3035">
        <v>45</v>
      </c>
      <c r="D3035">
        <v>-1</v>
      </c>
      <c r="E3035">
        <v>0.42466500000000001</v>
      </c>
      <c r="F3035">
        <v>-1</v>
      </c>
      <c r="G3035">
        <v>0.42466500000000001</v>
      </c>
    </row>
    <row r="3036" spans="1:7">
      <c r="A3036" t="s">
        <v>144</v>
      </c>
      <c r="B3036">
        <v>47</v>
      </c>
      <c r="C3036">
        <v>46</v>
      </c>
      <c r="D3036">
        <v>-1</v>
      </c>
      <c r="E3036">
        <v>0.42588599999999999</v>
      </c>
      <c r="F3036">
        <v>-1</v>
      </c>
      <c r="G3036">
        <v>0.42588599999999999</v>
      </c>
    </row>
    <row r="3037" spans="1:7">
      <c r="A3037" t="s">
        <v>144</v>
      </c>
      <c r="B3037">
        <v>47</v>
      </c>
      <c r="C3037">
        <v>47</v>
      </c>
      <c r="D3037">
        <v>-1</v>
      </c>
      <c r="E3037">
        <v>0.60325899999999999</v>
      </c>
      <c r="F3037">
        <v>-1</v>
      </c>
      <c r="G3037">
        <v>0.60325899999999999</v>
      </c>
    </row>
    <row r="3038" spans="1:7">
      <c r="A3038" t="s">
        <v>144</v>
      </c>
      <c r="B3038">
        <v>47</v>
      </c>
      <c r="C3038">
        <v>48</v>
      </c>
      <c r="D3038">
        <v>-1</v>
      </c>
      <c r="E3038">
        <v>-0.98187199999999997</v>
      </c>
      <c r="F3038">
        <v>-1</v>
      </c>
      <c r="G3038">
        <v>-0.98187199999999997</v>
      </c>
    </row>
    <row r="3039" spans="1:7">
      <c r="A3039" t="s">
        <v>144</v>
      </c>
      <c r="B3039">
        <v>47</v>
      </c>
      <c r="C3039">
        <v>49</v>
      </c>
      <c r="D3039">
        <v>-1</v>
      </c>
      <c r="E3039">
        <v>0.99603299999999995</v>
      </c>
      <c r="F3039">
        <v>-1</v>
      </c>
      <c r="G3039">
        <v>0.99603299999999995</v>
      </c>
    </row>
    <row r="3040" spans="1:7">
      <c r="A3040" t="s">
        <v>144</v>
      </c>
      <c r="B3040" t="s">
        <v>145</v>
      </c>
      <c r="C3040">
        <v>48</v>
      </c>
    </row>
    <row r="3041" spans="1:7">
      <c r="A3041" t="s">
        <v>144</v>
      </c>
      <c r="B3041" t="s">
        <v>146</v>
      </c>
      <c r="C3041">
        <v>51</v>
      </c>
    </row>
    <row r="3042" spans="1:7">
      <c r="A3042" t="s">
        <v>144</v>
      </c>
      <c r="B3042" t="s">
        <v>147</v>
      </c>
      <c r="C3042">
        <v>51</v>
      </c>
    </row>
    <row r="3043" spans="1:7">
      <c r="A3043" t="s">
        <v>144</v>
      </c>
      <c r="B3043" t="s">
        <v>148</v>
      </c>
      <c r="C3043">
        <v>0.28925400000000001</v>
      </c>
    </row>
    <row r="3044" spans="1:7">
      <c r="A3044" t="s">
        <v>144</v>
      </c>
      <c r="B3044" t="s">
        <v>149</v>
      </c>
      <c r="C3044">
        <v>0.28925400000000001</v>
      </c>
    </row>
    <row r="3045" spans="1:7">
      <c r="A3045" t="s">
        <v>144</v>
      </c>
      <c r="B3045" t="s">
        <v>150</v>
      </c>
      <c r="C3045">
        <v>-1</v>
      </c>
    </row>
    <row r="3046" spans="1:7">
      <c r="A3046" t="s">
        <v>144</v>
      </c>
      <c r="B3046" t="s">
        <v>151</v>
      </c>
      <c r="C3046">
        <v>-1</v>
      </c>
    </row>
    <row r="3047" spans="1:7">
      <c r="A3047" t="s">
        <v>144</v>
      </c>
      <c r="B3047" t="s">
        <v>152</v>
      </c>
      <c r="C3047">
        <v>19</v>
      </c>
    </row>
    <row r="3048" spans="1:7">
      <c r="A3048" t="s">
        <v>144</v>
      </c>
      <c r="B3048" t="s">
        <v>153</v>
      </c>
      <c r="C3048">
        <v>19</v>
      </c>
    </row>
    <row r="3049" spans="1:7">
      <c r="A3049" t="s">
        <v>144</v>
      </c>
      <c r="B3049" t="s">
        <v>154</v>
      </c>
      <c r="C3049">
        <v>0</v>
      </c>
    </row>
    <row r="3050" spans="1:7">
      <c r="A3050" t="s">
        <v>144</v>
      </c>
      <c r="B3050" t="s">
        <v>155</v>
      </c>
    </row>
    <row r="3051" spans="1:7">
      <c r="A3051" t="s">
        <v>144</v>
      </c>
      <c r="B3051" t="s">
        <v>150</v>
      </c>
      <c r="C3051">
        <v>1.9470999999999999E-2</v>
      </c>
    </row>
    <row r="3052" spans="1:7">
      <c r="A3052" t="s">
        <v>144</v>
      </c>
      <c r="B3052" t="s">
        <v>151</v>
      </c>
      <c r="C3052">
        <v>1.9470999999999999E-2</v>
      </c>
    </row>
    <row r="3053" spans="1:7">
      <c r="A3053" t="s">
        <v>144</v>
      </c>
      <c r="B3053" t="s">
        <v>156</v>
      </c>
      <c r="C3053" t="s">
        <v>157</v>
      </c>
      <c r="D3053" t="s">
        <v>63</v>
      </c>
      <c r="E3053" t="s">
        <v>158</v>
      </c>
      <c r="F3053" t="s">
        <v>159</v>
      </c>
      <c r="G3053" t="s">
        <v>160</v>
      </c>
    </row>
    <row r="3054" spans="1:7">
      <c r="A3054" t="s">
        <v>144</v>
      </c>
      <c r="B3054">
        <v>48</v>
      </c>
      <c r="C3054">
        <v>0</v>
      </c>
      <c r="D3054">
        <v>1.9470999999999999E-2</v>
      </c>
      <c r="E3054">
        <v>0.94692799999999999</v>
      </c>
      <c r="F3054">
        <v>-1</v>
      </c>
      <c r="G3054">
        <v>0.94692799999999999</v>
      </c>
    </row>
    <row r="3055" spans="1:7">
      <c r="A3055" t="s">
        <v>144</v>
      </c>
      <c r="B3055">
        <v>48</v>
      </c>
      <c r="C3055">
        <v>1</v>
      </c>
      <c r="D3055">
        <v>1.9470999999999999E-2</v>
      </c>
      <c r="E3055">
        <v>-0.87719400000000003</v>
      </c>
      <c r="F3055">
        <v>-1</v>
      </c>
      <c r="G3055">
        <v>-0.87719400000000003</v>
      </c>
    </row>
    <row r="3056" spans="1:7">
      <c r="A3056" t="s">
        <v>144</v>
      </c>
      <c r="B3056">
        <v>48</v>
      </c>
      <c r="C3056">
        <v>2</v>
      </c>
      <c r="D3056">
        <v>1.9470999999999999E-2</v>
      </c>
      <c r="E3056">
        <v>-0.88869900000000002</v>
      </c>
      <c r="F3056">
        <v>-1</v>
      </c>
      <c r="G3056">
        <v>-0.88869900000000002</v>
      </c>
    </row>
    <row r="3057" spans="1:7">
      <c r="A3057" t="s">
        <v>144</v>
      </c>
      <c r="B3057">
        <v>48</v>
      </c>
      <c r="C3057">
        <v>3</v>
      </c>
      <c r="D3057">
        <v>1.9470999999999999E-2</v>
      </c>
      <c r="E3057">
        <v>0.74987000000000004</v>
      </c>
      <c r="F3057">
        <v>-1</v>
      </c>
      <c r="G3057">
        <v>0.74987000000000004</v>
      </c>
    </row>
    <row r="3058" spans="1:7">
      <c r="A3058" t="s">
        <v>144</v>
      </c>
      <c r="B3058">
        <v>48</v>
      </c>
      <c r="C3058">
        <v>4</v>
      </c>
      <c r="D3058">
        <v>1.9470999999999999E-2</v>
      </c>
      <c r="E3058">
        <v>0.35325200000000001</v>
      </c>
      <c r="F3058">
        <v>-1</v>
      </c>
      <c r="G3058">
        <v>0.35325200000000001</v>
      </c>
    </row>
    <row r="3059" spans="1:7">
      <c r="A3059" t="s">
        <v>144</v>
      </c>
      <c r="B3059">
        <v>48</v>
      </c>
      <c r="C3059">
        <v>5</v>
      </c>
      <c r="D3059">
        <v>1.9470999999999999E-2</v>
      </c>
      <c r="E3059">
        <v>-0.77687899999999999</v>
      </c>
      <c r="F3059">
        <v>-1</v>
      </c>
      <c r="G3059">
        <v>-0.77687899999999999</v>
      </c>
    </row>
    <row r="3060" spans="1:7">
      <c r="A3060" t="s">
        <v>144</v>
      </c>
      <c r="B3060">
        <v>48</v>
      </c>
      <c r="C3060">
        <v>6</v>
      </c>
      <c r="D3060">
        <v>1.9470999999999999E-2</v>
      </c>
      <c r="E3060">
        <v>-0.37321100000000001</v>
      </c>
      <c r="F3060">
        <v>-1</v>
      </c>
      <c r="G3060">
        <v>-0.37321100000000001</v>
      </c>
    </row>
    <row r="3061" spans="1:7">
      <c r="A3061" t="s">
        <v>144</v>
      </c>
      <c r="B3061">
        <v>48</v>
      </c>
      <c r="C3061">
        <v>7</v>
      </c>
      <c r="D3061">
        <v>1.9470999999999999E-2</v>
      </c>
      <c r="E3061">
        <v>0.42408499999999999</v>
      </c>
      <c r="F3061">
        <v>-1</v>
      </c>
      <c r="G3061">
        <v>0.42408499999999999</v>
      </c>
    </row>
    <row r="3062" spans="1:7">
      <c r="A3062" t="s">
        <v>144</v>
      </c>
      <c r="B3062">
        <v>48</v>
      </c>
      <c r="C3062">
        <v>8</v>
      </c>
      <c r="D3062">
        <v>1.9470999999999999E-2</v>
      </c>
      <c r="E3062">
        <v>0.69695099999999999</v>
      </c>
      <c r="F3062">
        <v>-1</v>
      </c>
      <c r="G3062">
        <v>0.69695099999999999</v>
      </c>
    </row>
    <row r="3063" spans="1:7">
      <c r="A3063" t="s">
        <v>144</v>
      </c>
      <c r="B3063">
        <v>48</v>
      </c>
      <c r="C3063">
        <v>9</v>
      </c>
      <c r="D3063">
        <v>1.9470999999999999E-2</v>
      </c>
      <c r="E3063">
        <v>0.42851</v>
      </c>
      <c r="F3063">
        <v>-1</v>
      </c>
      <c r="G3063">
        <v>0.42851</v>
      </c>
    </row>
    <row r="3064" spans="1:7">
      <c r="A3064" t="s">
        <v>144</v>
      </c>
      <c r="B3064">
        <v>48</v>
      </c>
      <c r="C3064">
        <v>10</v>
      </c>
      <c r="D3064">
        <v>1.9470999999999999E-2</v>
      </c>
      <c r="E3064">
        <v>-0.96624699999999997</v>
      </c>
      <c r="F3064">
        <v>-1</v>
      </c>
      <c r="G3064">
        <v>-0.96624699999999997</v>
      </c>
    </row>
    <row r="3065" spans="1:7">
      <c r="A3065" t="s">
        <v>144</v>
      </c>
      <c r="B3065">
        <v>48</v>
      </c>
      <c r="C3065">
        <v>11</v>
      </c>
      <c r="D3065">
        <v>1.9470999999999999E-2</v>
      </c>
      <c r="E3065">
        <v>0.64455099999999999</v>
      </c>
      <c r="F3065">
        <v>-1</v>
      </c>
      <c r="G3065">
        <v>0.64455099999999999</v>
      </c>
    </row>
    <row r="3066" spans="1:7">
      <c r="A3066" t="s">
        <v>144</v>
      </c>
      <c r="B3066">
        <v>48</v>
      </c>
      <c r="C3066">
        <v>12</v>
      </c>
      <c r="D3066">
        <v>1.9470999999999999E-2</v>
      </c>
      <c r="E3066">
        <v>0.582812</v>
      </c>
      <c r="F3066">
        <v>-1</v>
      </c>
      <c r="G3066">
        <v>0.582812</v>
      </c>
    </row>
    <row r="3067" spans="1:7">
      <c r="A3067" t="s">
        <v>144</v>
      </c>
      <c r="B3067">
        <v>48</v>
      </c>
      <c r="C3067">
        <v>13</v>
      </c>
      <c r="D3067">
        <v>1.9470999999999999E-2</v>
      </c>
      <c r="E3067">
        <v>-9.5431000000000002E-2</v>
      </c>
      <c r="F3067">
        <v>-1</v>
      </c>
      <c r="G3067">
        <v>-9.5431000000000002E-2</v>
      </c>
    </row>
    <row r="3068" spans="1:7">
      <c r="A3068" t="s">
        <v>144</v>
      </c>
      <c r="B3068">
        <v>48</v>
      </c>
      <c r="C3068">
        <v>14</v>
      </c>
      <c r="D3068">
        <v>1.9470999999999999E-2</v>
      </c>
      <c r="E3068">
        <v>0.42106399999999999</v>
      </c>
      <c r="F3068">
        <v>-1</v>
      </c>
      <c r="G3068">
        <v>0.42106399999999999</v>
      </c>
    </row>
    <row r="3069" spans="1:7">
      <c r="A3069" t="s">
        <v>144</v>
      </c>
      <c r="B3069">
        <v>48</v>
      </c>
      <c r="C3069">
        <v>15</v>
      </c>
      <c r="D3069">
        <v>1.9470999999999999E-2</v>
      </c>
      <c r="E3069">
        <v>-0.63606700000000005</v>
      </c>
      <c r="F3069">
        <v>-1</v>
      </c>
      <c r="G3069">
        <v>-0.63606700000000005</v>
      </c>
    </row>
    <row r="3070" spans="1:7">
      <c r="A3070" t="s">
        <v>144</v>
      </c>
      <c r="B3070">
        <v>48</v>
      </c>
      <c r="C3070">
        <v>16</v>
      </c>
      <c r="D3070">
        <v>1.9470999999999999E-2</v>
      </c>
      <c r="E3070">
        <v>-4.2451000000000003E-2</v>
      </c>
      <c r="F3070">
        <v>-1</v>
      </c>
      <c r="G3070">
        <v>-4.2451000000000003E-2</v>
      </c>
    </row>
    <row r="3071" spans="1:7">
      <c r="A3071" t="s">
        <v>144</v>
      </c>
      <c r="B3071">
        <v>48</v>
      </c>
      <c r="C3071">
        <v>17</v>
      </c>
      <c r="D3071">
        <v>1.9470999999999999E-2</v>
      </c>
      <c r="E3071">
        <v>0.13303000000000001</v>
      </c>
      <c r="F3071">
        <v>-1</v>
      </c>
      <c r="G3071">
        <v>0.13303000000000001</v>
      </c>
    </row>
    <row r="3072" spans="1:7">
      <c r="A3072" t="s">
        <v>144</v>
      </c>
      <c r="B3072">
        <v>48</v>
      </c>
      <c r="C3072">
        <v>18</v>
      </c>
      <c r="D3072">
        <v>1.9470999999999999E-2</v>
      </c>
      <c r="E3072">
        <v>-0.56825499999999995</v>
      </c>
      <c r="F3072">
        <v>-1</v>
      </c>
      <c r="G3072">
        <v>-0.56825499999999995</v>
      </c>
    </row>
    <row r="3073" spans="1:7">
      <c r="A3073" t="s">
        <v>144</v>
      </c>
      <c r="B3073">
        <v>48</v>
      </c>
      <c r="C3073">
        <v>19</v>
      </c>
      <c r="D3073">
        <v>1.9470999999999999E-2</v>
      </c>
      <c r="E3073">
        <v>-0.56901800000000002</v>
      </c>
      <c r="F3073">
        <v>-0.68315700000000001</v>
      </c>
      <c r="G3073">
        <v>-0.68093400000000004</v>
      </c>
    </row>
    <row r="3074" spans="1:7">
      <c r="A3074" t="s">
        <v>144</v>
      </c>
      <c r="B3074">
        <v>48</v>
      </c>
      <c r="C3074">
        <v>20</v>
      </c>
      <c r="D3074">
        <v>1.9470999999999999E-2</v>
      </c>
      <c r="E3074">
        <v>-0.86654299999999995</v>
      </c>
      <c r="F3074">
        <v>0.88112999999999997</v>
      </c>
      <c r="G3074">
        <v>0.84710200000000002</v>
      </c>
    </row>
    <row r="3075" spans="1:7">
      <c r="A3075" t="s">
        <v>144</v>
      </c>
      <c r="B3075">
        <v>48</v>
      </c>
      <c r="C3075">
        <v>21</v>
      </c>
      <c r="D3075">
        <v>1.9470999999999999E-2</v>
      </c>
      <c r="E3075">
        <v>0.97677499999999995</v>
      </c>
      <c r="F3075">
        <v>-0.75887300000000002</v>
      </c>
      <c r="G3075">
        <v>-0.72507900000000003</v>
      </c>
    </row>
    <row r="3076" spans="1:7">
      <c r="A3076" t="s">
        <v>144</v>
      </c>
      <c r="B3076">
        <v>48</v>
      </c>
      <c r="C3076">
        <v>22</v>
      </c>
      <c r="D3076">
        <v>1.9470999999999999E-2</v>
      </c>
      <c r="E3076">
        <v>0.21012</v>
      </c>
      <c r="F3076">
        <v>0.99520900000000001</v>
      </c>
      <c r="G3076">
        <v>0.97992199999999996</v>
      </c>
    </row>
    <row r="3077" spans="1:7">
      <c r="A3077" t="s">
        <v>144</v>
      </c>
      <c r="B3077">
        <v>48</v>
      </c>
      <c r="C3077">
        <v>23</v>
      </c>
      <c r="D3077">
        <v>1.9470999999999999E-2</v>
      </c>
      <c r="E3077">
        <v>0.60985100000000003</v>
      </c>
      <c r="F3077">
        <v>-0.406171</v>
      </c>
      <c r="G3077">
        <v>-0.38638800000000001</v>
      </c>
    </row>
    <row r="3078" spans="1:7">
      <c r="A3078" t="s">
        <v>144</v>
      </c>
      <c r="B3078">
        <v>48</v>
      </c>
      <c r="C3078">
        <v>24</v>
      </c>
      <c r="D3078">
        <v>1.9470999999999999E-2</v>
      </c>
      <c r="E3078">
        <v>-6.1463999999999998E-2</v>
      </c>
      <c r="F3078">
        <v>-0.94643999999999995</v>
      </c>
      <c r="G3078">
        <v>-0.92920899999999995</v>
      </c>
    </row>
    <row r="3079" spans="1:7">
      <c r="A3079" t="s">
        <v>144</v>
      </c>
      <c r="B3079">
        <v>48</v>
      </c>
      <c r="C3079">
        <v>25</v>
      </c>
      <c r="D3079">
        <v>1.9470999999999999E-2</v>
      </c>
      <c r="E3079">
        <v>-0.25559300000000001</v>
      </c>
      <c r="F3079">
        <v>-0.94720300000000002</v>
      </c>
      <c r="G3079">
        <v>-0.93373700000000004</v>
      </c>
    </row>
    <row r="3080" spans="1:7">
      <c r="A3080" t="s">
        <v>144</v>
      </c>
      <c r="B3080">
        <v>48</v>
      </c>
      <c r="C3080">
        <v>26</v>
      </c>
      <c r="D3080">
        <v>1.9470999999999999E-2</v>
      </c>
      <c r="E3080">
        <v>-0.14041600000000001</v>
      </c>
      <c r="F3080">
        <v>0.29865399999999998</v>
      </c>
      <c r="G3080">
        <v>0.290105</v>
      </c>
    </row>
    <row r="3081" spans="1:7">
      <c r="A3081" t="s">
        <v>144</v>
      </c>
      <c r="B3081">
        <v>48</v>
      </c>
      <c r="C3081">
        <v>27</v>
      </c>
      <c r="D3081">
        <v>1.9470999999999999E-2</v>
      </c>
      <c r="E3081">
        <v>9.7110000000000002E-2</v>
      </c>
      <c r="F3081">
        <v>-0.44181599999999999</v>
      </c>
      <c r="G3081">
        <v>-0.43132300000000001</v>
      </c>
    </row>
    <row r="3082" spans="1:7">
      <c r="A3082" t="s">
        <v>144</v>
      </c>
      <c r="B3082">
        <v>48</v>
      </c>
      <c r="C3082">
        <v>28</v>
      </c>
      <c r="D3082">
        <v>1.9470999999999999E-2</v>
      </c>
      <c r="E3082">
        <v>-0.43183700000000003</v>
      </c>
      <c r="F3082">
        <v>-0.45909</v>
      </c>
      <c r="G3082">
        <v>-0.45855899999999999</v>
      </c>
    </row>
    <row r="3083" spans="1:7">
      <c r="A3083" t="s">
        <v>144</v>
      </c>
      <c r="B3083">
        <v>48</v>
      </c>
      <c r="C3083">
        <v>29</v>
      </c>
      <c r="D3083">
        <v>1.9470999999999999E-2</v>
      </c>
      <c r="E3083">
        <v>-3.0304999999999999E-2</v>
      </c>
      <c r="F3083">
        <v>0.36799199999999999</v>
      </c>
      <c r="G3083">
        <v>0.36023699999999997</v>
      </c>
    </row>
    <row r="3084" spans="1:7">
      <c r="A3084" t="s">
        <v>144</v>
      </c>
      <c r="B3084">
        <v>48</v>
      </c>
      <c r="C3084">
        <v>30</v>
      </c>
      <c r="D3084">
        <v>1.9470999999999999E-2</v>
      </c>
      <c r="E3084">
        <v>0.28867500000000001</v>
      </c>
      <c r="F3084">
        <v>-5.0844E-2</v>
      </c>
      <c r="G3084">
        <v>-4.4233000000000001E-2</v>
      </c>
    </row>
    <row r="3085" spans="1:7">
      <c r="A3085" t="s">
        <v>144</v>
      </c>
      <c r="B3085">
        <v>48</v>
      </c>
      <c r="C3085">
        <v>31</v>
      </c>
      <c r="D3085">
        <v>1.9470999999999999E-2</v>
      </c>
      <c r="E3085">
        <v>-0.84215799999999996</v>
      </c>
      <c r="F3085">
        <v>-0.22592899999999999</v>
      </c>
      <c r="G3085">
        <v>-0.237927</v>
      </c>
    </row>
    <row r="3086" spans="1:7">
      <c r="A3086" t="s">
        <v>144</v>
      </c>
      <c r="B3086">
        <v>48</v>
      </c>
      <c r="C3086">
        <v>32</v>
      </c>
      <c r="D3086">
        <v>1.9470999999999999E-2</v>
      </c>
      <c r="E3086">
        <v>-0.28711799999999998</v>
      </c>
      <c r="F3086">
        <v>0.60029900000000003</v>
      </c>
      <c r="G3086">
        <v>0.58301999999999998</v>
      </c>
    </row>
    <row r="3087" spans="1:7">
      <c r="A3087" t="s">
        <v>144</v>
      </c>
      <c r="B3087">
        <v>48</v>
      </c>
      <c r="C3087">
        <v>33</v>
      </c>
      <c r="D3087">
        <v>1.9470999999999999E-2</v>
      </c>
      <c r="E3087">
        <v>0.15668199999999999</v>
      </c>
      <c r="F3087">
        <v>0.97235000000000005</v>
      </c>
      <c r="G3087">
        <v>0.95646900000000001</v>
      </c>
    </row>
    <row r="3088" spans="1:7">
      <c r="A3088" t="s">
        <v>144</v>
      </c>
      <c r="B3088">
        <v>48</v>
      </c>
      <c r="C3088">
        <v>34</v>
      </c>
      <c r="D3088">
        <v>1.9470999999999999E-2</v>
      </c>
      <c r="E3088">
        <v>-0.98983699999999997</v>
      </c>
      <c r="F3088">
        <v>-0.69472299999999998</v>
      </c>
      <c r="G3088">
        <v>-0.70046900000000001</v>
      </c>
    </row>
    <row r="3089" spans="1:7">
      <c r="A3089" t="s">
        <v>144</v>
      </c>
      <c r="B3089">
        <v>48</v>
      </c>
      <c r="C3089">
        <v>35</v>
      </c>
      <c r="D3089">
        <v>1.9470999999999999E-2</v>
      </c>
      <c r="E3089">
        <v>-0.55476499999999995</v>
      </c>
      <c r="F3089">
        <v>-0.69075600000000004</v>
      </c>
      <c r="G3089">
        <v>-0.68810800000000005</v>
      </c>
    </row>
    <row r="3090" spans="1:7">
      <c r="A3090" t="s">
        <v>144</v>
      </c>
      <c r="B3090">
        <v>48</v>
      </c>
      <c r="C3090">
        <v>36</v>
      </c>
      <c r="D3090">
        <v>1.9470999999999999E-2</v>
      </c>
      <c r="E3090">
        <v>0.273812</v>
      </c>
      <c r="F3090">
        <v>0.26718999999999998</v>
      </c>
      <c r="G3090">
        <v>0.26731899999999997</v>
      </c>
    </row>
    <row r="3091" spans="1:7">
      <c r="A3091" t="s">
        <v>144</v>
      </c>
      <c r="B3091">
        <v>48</v>
      </c>
      <c r="C3091">
        <v>37</v>
      </c>
      <c r="D3091">
        <v>1.9470999999999999E-2</v>
      </c>
      <c r="E3091">
        <v>-0.77385800000000005</v>
      </c>
      <c r="F3091">
        <v>-0.404889</v>
      </c>
      <c r="G3091">
        <v>-0.41207300000000002</v>
      </c>
    </row>
    <row r="3092" spans="1:7">
      <c r="A3092" t="s">
        <v>144</v>
      </c>
      <c r="B3092">
        <v>48</v>
      </c>
      <c r="C3092">
        <v>38</v>
      </c>
      <c r="D3092">
        <v>1.9470999999999999E-2</v>
      </c>
      <c r="E3092">
        <v>-0.37876500000000002</v>
      </c>
      <c r="F3092">
        <v>-0.16455600000000001</v>
      </c>
      <c r="G3092">
        <v>-0.16872699999999999</v>
      </c>
    </row>
    <row r="3093" spans="1:7">
      <c r="A3093" t="s">
        <v>144</v>
      </c>
      <c r="B3093">
        <v>48</v>
      </c>
      <c r="C3093">
        <v>39</v>
      </c>
      <c r="D3093">
        <v>1.9470999999999999E-2</v>
      </c>
      <c r="E3093">
        <v>-0.394177</v>
      </c>
      <c r="F3093">
        <v>0.440382</v>
      </c>
      <c r="G3093">
        <v>0.42413299999999998</v>
      </c>
    </row>
    <row r="3094" spans="1:7">
      <c r="A3094" t="s">
        <v>144</v>
      </c>
      <c r="B3094">
        <v>48</v>
      </c>
      <c r="C3094">
        <v>40</v>
      </c>
      <c r="D3094">
        <v>1.9470999999999999E-2</v>
      </c>
      <c r="E3094">
        <v>-0.33256000000000002</v>
      </c>
      <c r="F3094">
        <v>0.65492700000000004</v>
      </c>
      <c r="G3094">
        <v>0.63570000000000004</v>
      </c>
    </row>
    <row r="3095" spans="1:7">
      <c r="A3095" t="s">
        <v>144</v>
      </c>
      <c r="B3095">
        <v>48</v>
      </c>
      <c r="C3095">
        <v>41</v>
      </c>
      <c r="D3095">
        <v>1.9470999999999999E-2</v>
      </c>
      <c r="E3095">
        <v>-0.91750799999999999</v>
      </c>
      <c r="F3095">
        <v>0.241981</v>
      </c>
      <c r="G3095">
        <v>0.21940499999999999</v>
      </c>
    </row>
    <row r="3096" spans="1:7">
      <c r="A3096" t="s">
        <v>144</v>
      </c>
      <c r="B3096">
        <v>48</v>
      </c>
      <c r="C3096">
        <v>42</v>
      </c>
      <c r="D3096">
        <v>1.9470999999999999E-2</v>
      </c>
      <c r="E3096">
        <v>0.90981800000000002</v>
      </c>
      <c r="F3096">
        <v>-3.0609999999999998E-2</v>
      </c>
      <c r="G3096">
        <v>-1.2298999999999999E-2</v>
      </c>
    </row>
    <row r="3097" spans="1:7">
      <c r="A3097" t="s">
        <v>144</v>
      </c>
      <c r="B3097">
        <v>48</v>
      </c>
      <c r="C3097">
        <v>43</v>
      </c>
      <c r="D3097">
        <v>1.9470999999999999E-2</v>
      </c>
      <c r="E3097">
        <v>0.64470400000000005</v>
      </c>
      <c r="F3097">
        <v>-5.1728999999999997E-2</v>
      </c>
      <c r="G3097">
        <v>-3.8169000000000002E-2</v>
      </c>
    </row>
    <row r="3098" spans="1:7">
      <c r="A3098" t="s">
        <v>144</v>
      </c>
      <c r="B3098">
        <v>48</v>
      </c>
      <c r="C3098">
        <v>44</v>
      </c>
      <c r="D3098">
        <v>1.9470999999999999E-2</v>
      </c>
      <c r="E3098">
        <v>-0.780053</v>
      </c>
      <c r="F3098">
        <v>0.963561</v>
      </c>
      <c r="G3098">
        <v>0.92961099999999997</v>
      </c>
    </row>
    <row r="3099" spans="1:7">
      <c r="A3099" t="s">
        <v>144</v>
      </c>
      <c r="B3099">
        <v>48</v>
      </c>
      <c r="C3099">
        <v>45</v>
      </c>
      <c r="D3099">
        <v>1.9470999999999999E-2</v>
      </c>
      <c r="E3099">
        <v>-0.25827800000000001</v>
      </c>
      <c r="F3099">
        <v>-0.35505199999999998</v>
      </c>
      <c r="G3099">
        <v>-0.35316799999999998</v>
      </c>
    </row>
    <row r="3100" spans="1:7">
      <c r="A3100" t="s">
        <v>144</v>
      </c>
      <c r="B3100">
        <v>48</v>
      </c>
      <c r="C3100">
        <v>46</v>
      </c>
      <c r="D3100">
        <v>1.9470999999999999E-2</v>
      </c>
      <c r="E3100">
        <v>-1.2819999999999999E-3</v>
      </c>
      <c r="F3100">
        <v>0.76842600000000005</v>
      </c>
      <c r="G3100">
        <v>0.75343899999999997</v>
      </c>
    </row>
    <row r="3101" spans="1:7">
      <c r="A3101" t="s">
        <v>144</v>
      </c>
      <c r="B3101">
        <v>48</v>
      </c>
      <c r="C3101">
        <v>47</v>
      </c>
      <c r="D3101">
        <v>1.9470999999999999E-2</v>
      </c>
      <c r="E3101">
        <v>-0.51655600000000002</v>
      </c>
      <c r="F3101">
        <v>0.50035099999999999</v>
      </c>
      <c r="G3101">
        <v>0.48055100000000001</v>
      </c>
    </row>
    <row r="3102" spans="1:7">
      <c r="A3102" t="s">
        <v>144</v>
      </c>
      <c r="B3102">
        <v>48</v>
      </c>
      <c r="C3102">
        <v>48</v>
      </c>
      <c r="D3102">
        <v>1.9470999999999999E-2</v>
      </c>
      <c r="E3102">
        <v>-0.51606799999999997</v>
      </c>
      <c r="F3102">
        <v>0.230293</v>
      </c>
      <c r="G3102">
        <v>0.21576000000000001</v>
      </c>
    </row>
    <row r="3103" spans="1:7">
      <c r="A3103" t="s">
        <v>144</v>
      </c>
      <c r="B3103">
        <v>48</v>
      </c>
      <c r="C3103">
        <v>49</v>
      </c>
      <c r="D3103">
        <v>1.9470999999999999E-2</v>
      </c>
      <c r="E3103">
        <v>-0.96496499999999996</v>
      </c>
      <c r="F3103">
        <v>0.39887699999999998</v>
      </c>
      <c r="G3103">
        <v>0.37232199999999999</v>
      </c>
    </row>
    <row r="3104" spans="1:7">
      <c r="A3104" t="s">
        <v>144</v>
      </c>
      <c r="B3104" t="s">
        <v>145</v>
      </c>
      <c r="C3104">
        <v>49</v>
      </c>
    </row>
    <row r="3105" spans="1:7">
      <c r="A3105" t="s">
        <v>144</v>
      </c>
      <c r="B3105" t="s">
        <v>146</v>
      </c>
      <c r="C3105">
        <v>33</v>
      </c>
    </row>
    <row r="3106" spans="1:7">
      <c r="A3106" t="s">
        <v>144</v>
      </c>
      <c r="B3106" t="s">
        <v>147</v>
      </c>
      <c r="C3106">
        <v>33</v>
      </c>
    </row>
    <row r="3107" spans="1:7">
      <c r="A3107" t="s">
        <v>144</v>
      </c>
      <c r="B3107" t="s">
        <v>148</v>
      </c>
      <c r="C3107">
        <v>0.242317</v>
      </c>
    </row>
    <row r="3108" spans="1:7">
      <c r="A3108" t="s">
        <v>144</v>
      </c>
      <c r="B3108" t="s">
        <v>149</v>
      </c>
      <c r="C3108">
        <v>0.242317</v>
      </c>
    </row>
    <row r="3109" spans="1:7">
      <c r="A3109" t="s">
        <v>144</v>
      </c>
      <c r="B3109" t="s">
        <v>150</v>
      </c>
      <c r="C3109">
        <v>-1</v>
      </c>
    </row>
    <row r="3110" spans="1:7">
      <c r="A3110" t="s">
        <v>144</v>
      </c>
      <c r="B3110" t="s">
        <v>151</v>
      </c>
      <c r="C3110">
        <v>-1</v>
      </c>
    </row>
    <row r="3111" spans="1:7">
      <c r="A3111" t="s">
        <v>144</v>
      </c>
      <c r="B3111" t="s">
        <v>152</v>
      </c>
      <c r="C3111">
        <v>45</v>
      </c>
    </row>
    <row r="3112" spans="1:7">
      <c r="A3112" t="s">
        <v>144</v>
      </c>
      <c r="B3112" t="s">
        <v>153</v>
      </c>
      <c r="C3112">
        <v>45</v>
      </c>
    </row>
    <row r="3113" spans="1:7">
      <c r="A3113" t="s">
        <v>144</v>
      </c>
      <c r="B3113" t="s">
        <v>154</v>
      </c>
      <c r="C3113">
        <v>0</v>
      </c>
    </row>
    <row r="3114" spans="1:7">
      <c r="A3114" t="s">
        <v>144</v>
      </c>
      <c r="B3114" t="s">
        <v>155</v>
      </c>
    </row>
    <row r="3115" spans="1:7">
      <c r="A3115" t="s">
        <v>144</v>
      </c>
      <c r="B3115" t="s">
        <v>150</v>
      </c>
      <c r="C3115">
        <v>0.28226600000000002</v>
      </c>
    </row>
    <row r="3116" spans="1:7">
      <c r="A3116" t="s">
        <v>144</v>
      </c>
      <c r="B3116" t="s">
        <v>151</v>
      </c>
      <c r="C3116">
        <v>0.28226600000000002</v>
      </c>
    </row>
    <row r="3117" spans="1:7">
      <c r="A3117" t="s">
        <v>144</v>
      </c>
      <c r="B3117" t="s">
        <v>156</v>
      </c>
      <c r="C3117" t="s">
        <v>157</v>
      </c>
      <c r="D3117" t="s">
        <v>63</v>
      </c>
      <c r="E3117" t="s">
        <v>158</v>
      </c>
      <c r="F3117" t="s">
        <v>159</v>
      </c>
      <c r="G3117" t="s">
        <v>160</v>
      </c>
    </row>
    <row r="3118" spans="1:7">
      <c r="A3118" t="s">
        <v>144</v>
      </c>
      <c r="B3118">
        <v>49</v>
      </c>
      <c r="C3118">
        <v>0</v>
      </c>
      <c r="D3118">
        <v>0.28226600000000002</v>
      </c>
      <c r="E3118">
        <v>-0.80535299999999999</v>
      </c>
      <c r="F3118">
        <v>-1</v>
      </c>
      <c r="G3118">
        <v>-0.80535299999999999</v>
      </c>
    </row>
    <row r="3119" spans="1:7">
      <c r="A3119" t="s">
        <v>144</v>
      </c>
      <c r="B3119">
        <v>49</v>
      </c>
      <c r="C3119">
        <v>1</v>
      </c>
      <c r="D3119">
        <v>0.28226600000000002</v>
      </c>
      <c r="E3119">
        <v>0.56254800000000005</v>
      </c>
      <c r="F3119">
        <v>-1</v>
      </c>
      <c r="G3119">
        <v>0.56254800000000005</v>
      </c>
    </row>
    <row r="3120" spans="1:7">
      <c r="A3120" t="s">
        <v>144</v>
      </c>
      <c r="B3120">
        <v>49</v>
      </c>
      <c r="C3120">
        <v>2</v>
      </c>
      <c r="D3120">
        <v>0.28226600000000002</v>
      </c>
      <c r="E3120">
        <v>-0.34965099999999999</v>
      </c>
      <c r="F3120">
        <v>-1</v>
      </c>
      <c r="G3120">
        <v>-0.34965099999999999</v>
      </c>
    </row>
    <row r="3121" spans="1:7">
      <c r="A3121" t="s">
        <v>144</v>
      </c>
      <c r="B3121">
        <v>49</v>
      </c>
      <c r="C3121">
        <v>3</v>
      </c>
      <c r="D3121">
        <v>0.28226600000000002</v>
      </c>
      <c r="E3121">
        <v>0.439558</v>
      </c>
      <c r="F3121">
        <v>-1</v>
      </c>
      <c r="G3121">
        <v>0.439558</v>
      </c>
    </row>
    <row r="3122" spans="1:7">
      <c r="A3122" t="s">
        <v>144</v>
      </c>
      <c r="B3122">
        <v>49</v>
      </c>
      <c r="C3122">
        <v>4</v>
      </c>
      <c r="D3122">
        <v>0.28226600000000002</v>
      </c>
      <c r="E3122">
        <v>-0.58516199999999996</v>
      </c>
      <c r="F3122">
        <v>-1</v>
      </c>
      <c r="G3122">
        <v>-0.58516199999999996</v>
      </c>
    </row>
    <row r="3123" spans="1:7">
      <c r="A3123" t="s">
        <v>144</v>
      </c>
      <c r="B3123">
        <v>49</v>
      </c>
      <c r="C3123">
        <v>5</v>
      </c>
      <c r="D3123">
        <v>0.28226600000000002</v>
      </c>
      <c r="E3123">
        <v>0.48994399999999999</v>
      </c>
      <c r="F3123">
        <v>-1</v>
      </c>
      <c r="G3123">
        <v>0.48994399999999999</v>
      </c>
    </row>
    <row r="3124" spans="1:7">
      <c r="A3124" t="s">
        <v>144</v>
      </c>
      <c r="B3124">
        <v>49</v>
      </c>
      <c r="C3124">
        <v>6</v>
      </c>
      <c r="D3124">
        <v>0.28226600000000002</v>
      </c>
      <c r="E3124">
        <v>-8.2185999999999995E-2</v>
      </c>
      <c r="F3124">
        <v>-1</v>
      </c>
      <c r="G3124">
        <v>-8.2185999999999995E-2</v>
      </c>
    </row>
    <row r="3125" spans="1:7">
      <c r="A3125" t="s">
        <v>144</v>
      </c>
      <c r="B3125">
        <v>49</v>
      </c>
      <c r="C3125">
        <v>7</v>
      </c>
      <c r="D3125">
        <v>0.28226600000000002</v>
      </c>
      <c r="E3125">
        <v>0.33289600000000003</v>
      </c>
      <c r="F3125">
        <v>-1</v>
      </c>
      <c r="G3125">
        <v>0.33289600000000003</v>
      </c>
    </row>
    <row r="3126" spans="1:7">
      <c r="A3126" t="s">
        <v>144</v>
      </c>
      <c r="B3126">
        <v>49</v>
      </c>
      <c r="C3126">
        <v>8</v>
      </c>
      <c r="D3126">
        <v>0.28226600000000002</v>
      </c>
      <c r="E3126">
        <v>-0.781976</v>
      </c>
      <c r="F3126">
        <v>-1</v>
      </c>
      <c r="G3126">
        <v>-0.781976</v>
      </c>
    </row>
    <row r="3127" spans="1:7">
      <c r="A3127" t="s">
        <v>144</v>
      </c>
      <c r="B3127">
        <v>49</v>
      </c>
      <c r="C3127">
        <v>9</v>
      </c>
      <c r="D3127">
        <v>0.28226600000000002</v>
      </c>
      <c r="E3127">
        <v>-0.75179300000000004</v>
      </c>
      <c r="F3127">
        <v>-1</v>
      </c>
      <c r="G3127">
        <v>-0.75179300000000004</v>
      </c>
    </row>
    <row r="3128" spans="1:7">
      <c r="A3128" t="s">
        <v>144</v>
      </c>
      <c r="B3128">
        <v>49</v>
      </c>
      <c r="C3128">
        <v>10</v>
      </c>
      <c r="D3128">
        <v>0.28226600000000002</v>
      </c>
      <c r="E3128">
        <v>-0.55638299999999996</v>
      </c>
      <c r="F3128">
        <v>-1</v>
      </c>
      <c r="G3128">
        <v>-0.55638299999999996</v>
      </c>
    </row>
    <row r="3129" spans="1:7">
      <c r="A3129" t="s">
        <v>144</v>
      </c>
      <c r="B3129">
        <v>49</v>
      </c>
      <c r="C3129">
        <v>11</v>
      </c>
      <c r="D3129">
        <v>0.28226600000000002</v>
      </c>
      <c r="E3129">
        <v>-0.985931</v>
      </c>
      <c r="F3129">
        <v>-1</v>
      </c>
      <c r="G3129">
        <v>-0.985931</v>
      </c>
    </row>
    <row r="3130" spans="1:7">
      <c r="A3130" t="s">
        <v>144</v>
      </c>
      <c r="B3130">
        <v>49</v>
      </c>
      <c r="C3130">
        <v>12</v>
      </c>
      <c r="D3130">
        <v>0.28226600000000002</v>
      </c>
      <c r="E3130">
        <v>8.2858000000000001E-2</v>
      </c>
      <c r="F3130">
        <v>-1</v>
      </c>
      <c r="G3130">
        <v>8.2858000000000001E-2</v>
      </c>
    </row>
    <row r="3131" spans="1:7">
      <c r="A3131" t="s">
        <v>144</v>
      </c>
      <c r="B3131">
        <v>49</v>
      </c>
      <c r="C3131">
        <v>13</v>
      </c>
      <c r="D3131">
        <v>0.28226600000000002</v>
      </c>
      <c r="E3131">
        <v>0.85195500000000002</v>
      </c>
      <c r="F3131">
        <v>-1</v>
      </c>
      <c r="G3131">
        <v>0.85195500000000002</v>
      </c>
    </row>
    <row r="3132" spans="1:7">
      <c r="A3132" t="s">
        <v>144</v>
      </c>
      <c r="B3132">
        <v>49</v>
      </c>
      <c r="C3132">
        <v>14</v>
      </c>
      <c r="D3132">
        <v>0.28226600000000002</v>
      </c>
      <c r="E3132">
        <v>0.18970300000000001</v>
      </c>
      <c r="F3132">
        <v>-1</v>
      </c>
      <c r="G3132">
        <v>0.18970300000000001</v>
      </c>
    </row>
    <row r="3133" spans="1:7">
      <c r="A3133" t="s">
        <v>144</v>
      </c>
      <c r="B3133">
        <v>49</v>
      </c>
      <c r="C3133">
        <v>15</v>
      </c>
      <c r="D3133">
        <v>0.28226600000000002</v>
      </c>
      <c r="E3133">
        <v>-0.10223699999999999</v>
      </c>
      <c r="F3133">
        <v>-1</v>
      </c>
      <c r="G3133">
        <v>-0.10223699999999999</v>
      </c>
    </row>
    <row r="3134" spans="1:7">
      <c r="A3134" t="s">
        <v>144</v>
      </c>
      <c r="B3134">
        <v>49</v>
      </c>
      <c r="C3134">
        <v>16</v>
      </c>
      <c r="D3134">
        <v>0.28226600000000002</v>
      </c>
      <c r="E3134">
        <v>0.328318</v>
      </c>
      <c r="F3134">
        <v>-1</v>
      </c>
      <c r="G3134">
        <v>0.328318</v>
      </c>
    </row>
    <row r="3135" spans="1:7">
      <c r="A3135" t="s">
        <v>144</v>
      </c>
      <c r="B3135">
        <v>49</v>
      </c>
      <c r="C3135">
        <v>17</v>
      </c>
      <c r="D3135">
        <v>0.28226600000000002</v>
      </c>
      <c r="E3135">
        <v>0.92525999999999997</v>
      </c>
      <c r="F3135">
        <v>-1</v>
      </c>
      <c r="G3135">
        <v>0.92525999999999997</v>
      </c>
    </row>
    <row r="3136" spans="1:7">
      <c r="A3136" t="s">
        <v>144</v>
      </c>
      <c r="B3136">
        <v>49</v>
      </c>
      <c r="C3136">
        <v>18</v>
      </c>
      <c r="D3136">
        <v>0.28226600000000002</v>
      </c>
      <c r="E3136">
        <v>-0.32868399999999998</v>
      </c>
      <c r="F3136">
        <v>-1</v>
      </c>
      <c r="G3136">
        <v>-0.32868399999999998</v>
      </c>
    </row>
    <row r="3137" spans="1:7">
      <c r="A3137" t="s">
        <v>144</v>
      </c>
      <c r="B3137">
        <v>49</v>
      </c>
      <c r="C3137">
        <v>19</v>
      </c>
      <c r="D3137">
        <v>0.28226600000000002</v>
      </c>
      <c r="E3137">
        <v>0.99505600000000005</v>
      </c>
      <c r="F3137">
        <v>-1</v>
      </c>
      <c r="G3137">
        <v>0.99505600000000005</v>
      </c>
    </row>
    <row r="3138" spans="1:7">
      <c r="A3138" t="s">
        <v>144</v>
      </c>
      <c r="B3138">
        <v>49</v>
      </c>
      <c r="C3138">
        <v>20</v>
      </c>
      <c r="D3138">
        <v>0.28226600000000002</v>
      </c>
      <c r="E3138">
        <v>9.4363000000000002E-2</v>
      </c>
      <c r="F3138">
        <v>-1</v>
      </c>
      <c r="G3138">
        <v>9.4363000000000002E-2</v>
      </c>
    </row>
    <row r="3139" spans="1:7">
      <c r="A3139" t="s">
        <v>144</v>
      </c>
      <c r="B3139">
        <v>49</v>
      </c>
      <c r="C3139">
        <v>21</v>
      </c>
      <c r="D3139">
        <v>0.28226600000000002</v>
      </c>
      <c r="E3139">
        <v>-0.97579899999999997</v>
      </c>
      <c r="F3139">
        <v>-1</v>
      </c>
      <c r="G3139">
        <v>-0.97579899999999997</v>
      </c>
    </row>
    <row r="3140" spans="1:7">
      <c r="A3140" t="s">
        <v>144</v>
      </c>
      <c r="B3140">
        <v>49</v>
      </c>
      <c r="C3140">
        <v>22</v>
      </c>
      <c r="D3140">
        <v>0.28226600000000002</v>
      </c>
      <c r="E3140">
        <v>0.39307799999999998</v>
      </c>
      <c r="F3140">
        <v>-1</v>
      </c>
      <c r="G3140">
        <v>0.39307799999999998</v>
      </c>
    </row>
    <row r="3141" spans="1:7">
      <c r="A3141" t="s">
        <v>144</v>
      </c>
      <c r="B3141">
        <v>49</v>
      </c>
      <c r="C3141">
        <v>23</v>
      </c>
      <c r="D3141">
        <v>0.28226600000000002</v>
      </c>
      <c r="E3141">
        <v>0.88769200000000004</v>
      </c>
      <c r="F3141">
        <v>-1</v>
      </c>
      <c r="G3141">
        <v>0.88769200000000004</v>
      </c>
    </row>
    <row r="3142" spans="1:7">
      <c r="A3142" t="s">
        <v>144</v>
      </c>
      <c r="B3142">
        <v>49</v>
      </c>
      <c r="C3142">
        <v>24</v>
      </c>
      <c r="D3142">
        <v>0.28226600000000002</v>
      </c>
      <c r="E3142">
        <v>-0.399426</v>
      </c>
      <c r="F3142">
        <v>-1</v>
      </c>
      <c r="G3142">
        <v>-0.399426</v>
      </c>
    </row>
    <row r="3143" spans="1:7">
      <c r="A3143" t="s">
        <v>144</v>
      </c>
      <c r="B3143">
        <v>49</v>
      </c>
      <c r="C3143">
        <v>25</v>
      </c>
      <c r="D3143">
        <v>0.28226600000000002</v>
      </c>
      <c r="E3143">
        <v>0.24024200000000001</v>
      </c>
      <c r="F3143">
        <v>-1</v>
      </c>
      <c r="G3143">
        <v>0.24024200000000001</v>
      </c>
    </row>
    <row r="3144" spans="1:7">
      <c r="A3144" t="s">
        <v>144</v>
      </c>
      <c r="B3144">
        <v>49</v>
      </c>
      <c r="C3144">
        <v>26</v>
      </c>
      <c r="D3144">
        <v>0.28226600000000002</v>
      </c>
      <c r="E3144">
        <v>0.14557300000000001</v>
      </c>
      <c r="F3144">
        <v>-1</v>
      </c>
      <c r="G3144">
        <v>0.14557300000000001</v>
      </c>
    </row>
    <row r="3145" spans="1:7">
      <c r="A3145" t="s">
        <v>144</v>
      </c>
      <c r="B3145">
        <v>49</v>
      </c>
      <c r="C3145">
        <v>27</v>
      </c>
      <c r="D3145">
        <v>0.28226600000000002</v>
      </c>
      <c r="E3145">
        <v>-0.339671</v>
      </c>
      <c r="F3145">
        <v>-1</v>
      </c>
      <c r="G3145">
        <v>-0.339671</v>
      </c>
    </row>
    <row r="3146" spans="1:7">
      <c r="A3146" t="s">
        <v>144</v>
      </c>
      <c r="B3146">
        <v>49</v>
      </c>
      <c r="C3146">
        <v>28</v>
      </c>
      <c r="D3146">
        <v>0.28226600000000002</v>
      </c>
      <c r="E3146">
        <v>-0.53657600000000005</v>
      </c>
      <c r="F3146">
        <v>-1</v>
      </c>
      <c r="G3146">
        <v>-0.53657600000000005</v>
      </c>
    </row>
    <row r="3147" spans="1:7">
      <c r="A3147" t="s">
        <v>144</v>
      </c>
      <c r="B3147">
        <v>49</v>
      </c>
      <c r="C3147">
        <v>29</v>
      </c>
      <c r="D3147">
        <v>0.28226600000000002</v>
      </c>
      <c r="E3147">
        <v>0.67610700000000001</v>
      </c>
      <c r="F3147">
        <v>-1</v>
      </c>
      <c r="G3147">
        <v>0.67610700000000001</v>
      </c>
    </row>
    <row r="3148" spans="1:7">
      <c r="A3148" t="s">
        <v>144</v>
      </c>
      <c r="B3148">
        <v>49</v>
      </c>
      <c r="C3148">
        <v>30</v>
      </c>
      <c r="D3148">
        <v>0.28226600000000002</v>
      </c>
      <c r="E3148">
        <v>-8.6276000000000005E-2</v>
      </c>
      <c r="F3148">
        <v>-1</v>
      </c>
      <c r="G3148">
        <v>-8.6276000000000005E-2</v>
      </c>
    </row>
    <row r="3149" spans="1:7">
      <c r="A3149" t="s">
        <v>144</v>
      </c>
      <c r="B3149">
        <v>49</v>
      </c>
      <c r="C3149">
        <v>31</v>
      </c>
      <c r="D3149">
        <v>0.28226600000000002</v>
      </c>
      <c r="E3149">
        <v>0.797296</v>
      </c>
      <c r="F3149">
        <v>-1</v>
      </c>
      <c r="G3149">
        <v>0.797296</v>
      </c>
    </row>
    <row r="3150" spans="1:7">
      <c r="A3150" t="s">
        <v>144</v>
      </c>
      <c r="B3150">
        <v>49</v>
      </c>
      <c r="C3150">
        <v>32</v>
      </c>
      <c r="D3150">
        <v>0.28226600000000002</v>
      </c>
      <c r="E3150">
        <v>-3.0335000000000001E-2</v>
      </c>
      <c r="F3150">
        <v>-1</v>
      </c>
      <c r="G3150">
        <v>-3.0335000000000001E-2</v>
      </c>
    </row>
    <row r="3151" spans="1:7">
      <c r="A3151" t="s">
        <v>144</v>
      </c>
      <c r="B3151">
        <v>49</v>
      </c>
      <c r="C3151">
        <v>33</v>
      </c>
      <c r="D3151">
        <v>0.28226600000000002</v>
      </c>
      <c r="E3151">
        <v>0.57490799999999997</v>
      </c>
      <c r="F3151">
        <v>-1</v>
      </c>
      <c r="G3151">
        <v>0.57490799999999997</v>
      </c>
    </row>
    <row r="3152" spans="1:7">
      <c r="A3152" t="s">
        <v>144</v>
      </c>
      <c r="B3152">
        <v>49</v>
      </c>
      <c r="C3152">
        <v>34</v>
      </c>
      <c r="D3152">
        <v>0.28226600000000002</v>
      </c>
      <c r="E3152">
        <v>0.97225899999999998</v>
      </c>
      <c r="F3152">
        <v>-1</v>
      </c>
      <c r="G3152">
        <v>0.97225899999999998</v>
      </c>
    </row>
    <row r="3153" spans="1:7">
      <c r="A3153" t="s">
        <v>144</v>
      </c>
      <c r="B3153">
        <v>49</v>
      </c>
      <c r="C3153">
        <v>35</v>
      </c>
      <c r="D3153">
        <v>0.28226600000000002</v>
      </c>
      <c r="E3153">
        <v>0.269478</v>
      </c>
      <c r="F3153">
        <v>-1</v>
      </c>
      <c r="G3153">
        <v>0.269478</v>
      </c>
    </row>
    <row r="3154" spans="1:7">
      <c r="A3154" t="s">
        <v>144</v>
      </c>
      <c r="B3154">
        <v>49</v>
      </c>
      <c r="C3154">
        <v>36</v>
      </c>
      <c r="D3154">
        <v>0.28226600000000002</v>
      </c>
      <c r="E3154">
        <v>0.71895500000000001</v>
      </c>
      <c r="F3154">
        <v>-1</v>
      </c>
      <c r="G3154">
        <v>0.71895500000000001</v>
      </c>
    </row>
    <row r="3155" spans="1:7">
      <c r="A3155" t="s">
        <v>144</v>
      </c>
      <c r="B3155">
        <v>49</v>
      </c>
      <c r="C3155">
        <v>37</v>
      </c>
      <c r="D3155">
        <v>0.28226600000000002</v>
      </c>
      <c r="E3155">
        <v>-0.30063800000000002</v>
      </c>
      <c r="F3155">
        <v>-1</v>
      </c>
      <c r="G3155">
        <v>-0.30063800000000002</v>
      </c>
    </row>
    <row r="3156" spans="1:7">
      <c r="A3156" t="s">
        <v>144</v>
      </c>
      <c r="B3156">
        <v>49</v>
      </c>
      <c r="C3156">
        <v>38</v>
      </c>
      <c r="D3156">
        <v>0.28226600000000002</v>
      </c>
      <c r="E3156">
        <v>-0.46205000000000002</v>
      </c>
      <c r="F3156">
        <v>-1</v>
      </c>
      <c r="G3156">
        <v>-0.46205000000000002</v>
      </c>
    </row>
    <row r="3157" spans="1:7">
      <c r="A3157" t="s">
        <v>144</v>
      </c>
      <c r="B3157">
        <v>49</v>
      </c>
      <c r="C3157">
        <v>39</v>
      </c>
      <c r="D3157">
        <v>0.28226600000000002</v>
      </c>
      <c r="E3157">
        <v>-0.12854399999999999</v>
      </c>
      <c r="F3157">
        <v>-1</v>
      </c>
      <c r="G3157">
        <v>-0.12854399999999999</v>
      </c>
    </row>
    <row r="3158" spans="1:7">
      <c r="A3158" t="s">
        <v>144</v>
      </c>
      <c r="B3158">
        <v>49</v>
      </c>
      <c r="C3158">
        <v>40</v>
      </c>
      <c r="D3158">
        <v>0.28226600000000002</v>
      </c>
      <c r="E3158">
        <v>0.96121100000000004</v>
      </c>
      <c r="F3158">
        <v>-1</v>
      </c>
      <c r="G3158">
        <v>0.96121100000000004</v>
      </c>
    </row>
    <row r="3159" spans="1:7">
      <c r="A3159" t="s">
        <v>144</v>
      </c>
      <c r="B3159">
        <v>49</v>
      </c>
      <c r="C3159">
        <v>41</v>
      </c>
      <c r="D3159">
        <v>0.28226600000000002</v>
      </c>
      <c r="E3159">
        <v>0.15295900000000001</v>
      </c>
      <c r="F3159">
        <v>-1</v>
      </c>
      <c r="G3159">
        <v>0.15295900000000001</v>
      </c>
    </row>
    <row r="3160" spans="1:7">
      <c r="A3160" t="s">
        <v>144</v>
      </c>
      <c r="B3160">
        <v>49</v>
      </c>
      <c r="C3160">
        <v>42</v>
      </c>
      <c r="D3160">
        <v>0.28226600000000002</v>
      </c>
      <c r="E3160">
        <v>0.88531099999999996</v>
      </c>
      <c r="F3160">
        <v>-1</v>
      </c>
      <c r="G3160">
        <v>0.88531099999999996</v>
      </c>
    </row>
    <row r="3161" spans="1:7">
      <c r="A3161" t="s">
        <v>144</v>
      </c>
      <c r="B3161">
        <v>49</v>
      </c>
      <c r="C3161">
        <v>43</v>
      </c>
      <c r="D3161">
        <v>0.28226600000000002</v>
      </c>
      <c r="E3161">
        <v>3.6073000000000001E-2</v>
      </c>
      <c r="F3161">
        <v>-1</v>
      </c>
      <c r="G3161">
        <v>3.6073000000000001E-2</v>
      </c>
    </row>
    <row r="3162" spans="1:7">
      <c r="A3162" t="s">
        <v>144</v>
      </c>
      <c r="B3162">
        <v>49</v>
      </c>
      <c r="C3162">
        <v>44</v>
      </c>
      <c r="D3162">
        <v>0.28226600000000002</v>
      </c>
      <c r="E3162">
        <v>-0.96856600000000004</v>
      </c>
      <c r="F3162">
        <v>-1</v>
      </c>
      <c r="G3162">
        <v>-0.96856600000000004</v>
      </c>
    </row>
    <row r="3163" spans="1:7">
      <c r="A3163" t="s">
        <v>144</v>
      </c>
      <c r="B3163">
        <v>49</v>
      </c>
      <c r="C3163">
        <v>45</v>
      </c>
      <c r="D3163">
        <v>0.28226600000000002</v>
      </c>
      <c r="E3163">
        <v>0.35548000000000002</v>
      </c>
      <c r="F3163">
        <v>-0.96673500000000001</v>
      </c>
      <c r="G3163">
        <v>-0.59351900000000002</v>
      </c>
    </row>
    <row r="3164" spans="1:7">
      <c r="A3164" t="s">
        <v>144</v>
      </c>
      <c r="B3164">
        <v>49</v>
      </c>
      <c r="C3164">
        <v>46</v>
      </c>
      <c r="D3164">
        <v>0.28226600000000002</v>
      </c>
      <c r="E3164">
        <v>-0.13702800000000001</v>
      </c>
      <c r="F3164">
        <v>2.7588999999999999E-2</v>
      </c>
      <c r="G3164">
        <v>-1.8877000000000001E-2</v>
      </c>
    </row>
    <row r="3165" spans="1:7">
      <c r="A3165" t="s">
        <v>144</v>
      </c>
      <c r="B3165">
        <v>49</v>
      </c>
      <c r="C3165">
        <v>47</v>
      </c>
      <c r="D3165">
        <v>0.28226600000000002</v>
      </c>
      <c r="E3165">
        <v>0.99350000000000005</v>
      </c>
      <c r="F3165">
        <v>-0.43543799999999999</v>
      </c>
      <c r="G3165">
        <v>-3.2098000000000002E-2</v>
      </c>
    </row>
    <row r="3166" spans="1:7">
      <c r="A3166" t="s">
        <v>144</v>
      </c>
      <c r="B3166">
        <v>49</v>
      </c>
      <c r="C3166">
        <v>48</v>
      </c>
      <c r="D3166">
        <v>0.28226600000000002</v>
      </c>
      <c r="E3166">
        <v>0.262185</v>
      </c>
      <c r="F3166">
        <v>-0.37955899999999998</v>
      </c>
      <c r="G3166">
        <v>-0.19841700000000001</v>
      </c>
    </row>
    <row r="3167" spans="1:7">
      <c r="A3167" t="s">
        <v>144</v>
      </c>
      <c r="B3167">
        <v>49</v>
      </c>
      <c r="C3167">
        <v>49</v>
      </c>
      <c r="D3167">
        <v>0.28226600000000002</v>
      </c>
      <c r="E3167">
        <v>-0.16894999999999999</v>
      </c>
      <c r="F3167">
        <v>0.15549199999999999</v>
      </c>
      <c r="G3167">
        <v>6.3912999999999998E-2</v>
      </c>
    </row>
    <row r="3168" spans="1:7">
      <c r="A3168" t="s">
        <v>144</v>
      </c>
      <c r="B3168" t="s">
        <v>145</v>
      </c>
      <c r="C3168">
        <v>50</v>
      </c>
    </row>
    <row r="3169" spans="1:7">
      <c r="A3169" t="s">
        <v>144</v>
      </c>
      <c r="B3169" t="s">
        <v>146</v>
      </c>
      <c r="C3169">
        <v>79</v>
      </c>
    </row>
    <row r="3170" spans="1:7">
      <c r="A3170" t="s">
        <v>144</v>
      </c>
      <c r="B3170" t="s">
        <v>147</v>
      </c>
      <c r="C3170">
        <v>79</v>
      </c>
    </row>
    <row r="3171" spans="1:7">
      <c r="A3171" t="s">
        <v>144</v>
      </c>
      <c r="B3171" t="s">
        <v>148</v>
      </c>
      <c r="C3171">
        <v>0.53208999999999995</v>
      </c>
    </row>
    <row r="3172" spans="1:7">
      <c r="A3172" t="s">
        <v>144</v>
      </c>
      <c r="B3172" t="s">
        <v>149</v>
      </c>
      <c r="C3172">
        <v>0.53208999999999995</v>
      </c>
    </row>
    <row r="3173" spans="1:7">
      <c r="A3173" t="s">
        <v>144</v>
      </c>
      <c r="B3173" t="s">
        <v>150</v>
      </c>
      <c r="C3173">
        <v>-1</v>
      </c>
    </row>
    <row r="3174" spans="1:7">
      <c r="A3174" t="s">
        <v>144</v>
      </c>
      <c r="B3174" t="s">
        <v>151</v>
      </c>
      <c r="C3174">
        <v>-1</v>
      </c>
    </row>
    <row r="3175" spans="1:7">
      <c r="A3175" t="s">
        <v>144</v>
      </c>
      <c r="B3175" t="s">
        <v>152</v>
      </c>
      <c r="C3175">
        <v>33</v>
      </c>
    </row>
    <row r="3176" spans="1:7">
      <c r="A3176" t="s">
        <v>144</v>
      </c>
      <c r="B3176" t="s">
        <v>153</v>
      </c>
      <c r="C3176">
        <v>33</v>
      </c>
    </row>
    <row r="3177" spans="1:7">
      <c r="A3177" t="s">
        <v>144</v>
      </c>
      <c r="B3177" t="s">
        <v>154</v>
      </c>
      <c r="C3177">
        <v>0</v>
      </c>
    </row>
    <row r="3178" spans="1:7">
      <c r="A3178" t="s">
        <v>144</v>
      </c>
      <c r="B3178" t="s">
        <v>155</v>
      </c>
    </row>
    <row r="3179" spans="1:7">
      <c r="A3179" t="s">
        <v>144</v>
      </c>
      <c r="B3179" t="s">
        <v>150</v>
      </c>
      <c r="C3179">
        <v>3.1921999999999999E-2</v>
      </c>
    </row>
    <row r="3180" spans="1:7">
      <c r="A3180" t="s">
        <v>144</v>
      </c>
      <c r="B3180" t="s">
        <v>151</v>
      </c>
      <c r="C3180">
        <v>3.1921999999999999E-2</v>
      </c>
    </row>
    <row r="3181" spans="1:7">
      <c r="A3181" t="s">
        <v>144</v>
      </c>
      <c r="B3181" t="s">
        <v>156</v>
      </c>
      <c r="C3181" t="s">
        <v>157</v>
      </c>
      <c r="D3181" t="s">
        <v>63</v>
      </c>
      <c r="E3181" t="s">
        <v>158</v>
      </c>
      <c r="F3181" t="s">
        <v>159</v>
      </c>
      <c r="G3181" t="s">
        <v>160</v>
      </c>
    </row>
    <row r="3182" spans="1:7">
      <c r="A3182" t="s">
        <v>144</v>
      </c>
      <c r="B3182">
        <v>50</v>
      </c>
      <c r="C3182">
        <v>0</v>
      </c>
      <c r="D3182">
        <v>3.1921999999999999E-2</v>
      </c>
      <c r="E3182">
        <v>-0.19189999999999999</v>
      </c>
      <c r="F3182">
        <v>-1</v>
      </c>
      <c r="G3182">
        <v>-0.19189999999999999</v>
      </c>
    </row>
    <row r="3183" spans="1:7">
      <c r="A3183" t="s">
        <v>144</v>
      </c>
      <c r="B3183">
        <v>50</v>
      </c>
      <c r="C3183">
        <v>1</v>
      </c>
      <c r="D3183">
        <v>3.1921999999999999E-2</v>
      </c>
      <c r="E3183">
        <v>-0.569994</v>
      </c>
      <c r="F3183">
        <v>-1</v>
      </c>
      <c r="G3183">
        <v>-0.569994</v>
      </c>
    </row>
    <row r="3184" spans="1:7">
      <c r="A3184" t="s">
        <v>144</v>
      </c>
      <c r="B3184">
        <v>50</v>
      </c>
      <c r="C3184">
        <v>2</v>
      </c>
      <c r="D3184">
        <v>3.1921999999999999E-2</v>
      </c>
      <c r="E3184">
        <v>-4.8799999999999999E-4</v>
      </c>
      <c r="F3184">
        <v>-1</v>
      </c>
      <c r="G3184">
        <v>-4.8799999999999999E-4</v>
      </c>
    </row>
    <row r="3185" spans="1:7">
      <c r="A3185" t="s">
        <v>144</v>
      </c>
      <c r="B3185">
        <v>50</v>
      </c>
      <c r="C3185">
        <v>3</v>
      </c>
      <c r="D3185">
        <v>3.1921999999999999E-2</v>
      </c>
      <c r="E3185">
        <v>-2.7469999999999999E-3</v>
      </c>
      <c r="F3185">
        <v>-1</v>
      </c>
      <c r="G3185">
        <v>-2.7469999999999999E-3</v>
      </c>
    </row>
    <row r="3186" spans="1:7">
      <c r="A3186" t="s">
        <v>144</v>
      </c>
      <c r="B3186">
        <v>50</v>
      </c>
      <c r="C3186">
        <v>4</v>
      </c>
      <c r="D3186">
        <v>3.1921999999999999E-2</v>
      </c>
      <c r="E3186">
        <v>-8.3742999999999998E-2</v>
      </c>
      <c r="F3186">
        <v>-1</v>
      </c>
      <c r="G3186">
        <v>-8.3742999999999998E-2</v>
      </c>
    </row>
    <row r="3187" spans="1:7">
      <c r="A3187" t="s">
        <v>144</v>
      </c>
      <c r="B3187">
        <v>50</v>
      </c>
      <c r="C3187">
        <v>5</v>
      </c>
      <c r="D3187">
        <v>3.1921999999999999E-2</v>
      </c>
      <c r="E3187">
        <v>-0.55009600000000003</v>
      </c>
      <c r="F3187">
        <v>-1</v>
      </c>
      <c r="G3187">
        <v>-0.55009600000000003</v>
      </c>
    </row>
    <row r="3188" spans="1:7">
      <c r="A3188" t="s">
        <v>144</v>
      </c>
      <c r="B3188">
        <v>50</v>
      </c>
      <c r="C3188">
        <v>6</v>
      </c>
      <c r="D3188">
        <v>3.1921999999999999E-2</v>
      </c>
      <c r="E3188">
        <v>-0.10480100000000001</v>
      </c>
      <c r="F3188">
        <v>-1</v>
      </c>
      <c r="G3188">
        <v>-0.10480100000000001</v>
      </c>
    </row>
    <row r="3189" spans="1:7">
      <c r="A3189" t="s">
        <v>144</v>
      </c>
      <c r="B3189">
        <v>50</v>
      </c>
      <c r="C3189">
        <v>7</v>
      </c>
      <c r="D3189">
        <v>3.1921999999999999E-2</v>
      </c>
      <c r="E3189">
        <v>0.82149700000000003</v>
      </c>
      <c r="F3189">
        <v>-1</v>
      </c>
      <c r="G3189">
        <v>0.82149700000000003</v>
      </c>
    </row>
    <row r="3190" spans="1:7">
      <c r="A3190" t="s">
        <v>144</v>
      </c>
      <c r="B3190">
        <v>50</v>
      </c>
      <c r="C3190">
        <v>8</v>
      </c>
      <c r="D3190">
        <v>3.1921999999999999E-2</v>
      </c>
      <c r="E3190">
        <v>-0.32325199999999998</v>
      </c>
      <c r="F3190">
        <v>-1</v>
      </c>
      <c r="G3190">
        <v>-0.32325199999999998</v>
      </c>
    </row>
    <row r="3191" spans="1:7">
      <c r="A3191" t="s">
        <v>144</v>
      </c>
      <c r="B3191">
        <v>50</v>
      </c>
      <c r="C3191">
        <v>9</v>
      </c>
      <c r="D3191">
        <v>3.1921999999999999E-2</v>
      </c>
      <c r="E3191">
        <v>-0.12302</v>
      </c>
      <c r="F3191">
        <v>-1</v>
      </c>
      <c r="G3191">
        <v>-0.12302</v>
      </c>
    </row>
    <row r="3192" spans="1:7">
      <c r="A3192" t="s">
        <v>144</v>
      </c>
      <c r="B3192">
        <v>50</v>
      </c>
      <c r="C3192">
        <v>10</v>
      </c>
      <c r="D3192">
        <v>3.1921999999999999E-2</v>
      </c>
      <c r="E3192">
        <v>-0.221778</v>
      </c>
      <c r="F3192">
        <v>-1</v>
      </c>
      <c r="G3192">
        <v>-0.221778</v>
      </c>
    </row>
    <row r="3193" spans="1:7">
      <c r="A3193" t="s">
        <v>144</v>
      </c>
      <c r="B3193">
        <v>50</v>
      </c>
      <c r="C3193">
        <v>11</v>
      </c>
      <c r="D3193">
        <v>3.1921999999999999E-2</v>
      </c>
      <c r="E3193">
        <v>0.34681200000000001</v>
      </c>
      <c r="F3193">
        <v>-1</v>
      </c>
      <c r="G3193">
        <v>0.34681200000000001</v>
      </c>
    </row>
    <row r="3194" spans="1:7">
      <c r="A3194" t="s">
        <v>144</v>
      </c>
      <c r="B3194">
        <v>50</v>
      </c>
      <c r="C3194">
        <v>12</v>
      </c>
      <c r="D3194">
        <v>3.1921999999999999E-2</v>
      </c>
      <c r="E3194">
        <v>0.75969699999999996</v>
      </c>
      <c r="F3194">
        <v>-1</v>
      </c>
      <c r="G3194">
        <v>0.75969699999999996</v>
      </c>
    </row>
    <row r="3195" spans="1:7">
      <c r="A3195" t="s">
        <v>144</v>
      </c>
      <c r="B3195">
        <v>50</v>
      </c>
      <c r="C3195">
        <v>13</v>
      </c>
      <c r="D3195">
        <v>3.1921999999999999E-2</v>
      </c>
      <c r="E3195">
        <v>0.50276200000000004</v>
      </c>
      <c r="F3195">
        <v>-1</v>
      </c>
      <c r="G3195">
        <v>0.50276200000000004</v>
      </c>
    </row>
    <row r="3196" spans="1:7">
      <c r="A3196" t="s">
        <v>144</v>
      </c>
      <c r="B3196">
        <v>50</v>
      </c>
      <c r="C3196">
        <v>14</v>
      </c>
      <c r="D3196">
        <v>3.1921999999999999E-2</v>
      </c>
      <c r="E3196">
        <v>0.40967999999999999</v>
      </c>
      <c r="F3196">
        <v>-1</v>
      </c>
      <c r="G3196">
        <v>0.40967999999999999</v>
      </c>
    </row>
    <row r="3197" spans="1:7">
      <c r="A3197" t="s">
        <v>144</v>
      </c>
      <c r="B3197">
        <v>50</v>
      </c>
      <c r="C3197">
        <v>15</v>
      </c>
      <c r="D3197">
        <v>3.1921999999999999E-2</v>
      </c>
      <c r="E3197">
        <v>-0.29917300000000002</v>
      </c>
      <c r="F3197">
        <v>-1</v>
      </c>
      <c r="G3197">
        <v>-0.29917300000000002</v>
      </c>
    </row>
    <row r="3198" spans="1:7">
      <c r="A3198" t="s">
        <v>144</v>
      </c>
      <c r="B3198">
        <v>50</v>
      </c>
      <c r="C3198">
        <v>16</v>
      </c>
      <c r="D3198">
        <v>3.1921999999999999E-2</v>
      </c>
      <c r="E3198">
        <v>-0.63405299999999998</v>
      </c>
      <c r="F3198">
        <v>-1</v>
      </c>
      <c r="G3198">
        <v>-0.63405299999999998</v>
      </c>
    </row>
    <row r="3199" spans="1:7">
      <c r="A3199" t="s">
        <v>144</v>
      </c>
      <c r="B3199">
        <v>50</v>
      </c>
      <c r="C3199">
        <v>17</v>
      </c>
      <c r="D3199">
        <v>3.1921999999999999E-2</v>
      </c>
      <c r="E3199">
        <v>0.67876199999999998</v>
      </c>
      <c r="F3199">
        <v>-1</v>
      </c>
      <c r="G3199">
        <v>0.67876199999999998</v>
      </c>
    </row>
    <row r="3200" spans="1:7">
      <c r="A3200" t="s">
        <v>144</v>
      </c>
      <c r="B3200">
        <v>50</v>
      </c>
      <c r="C3200">
        <v>18</v>
      </c>
      <c r="D3200">
        <v>3.1921999999999999E-2</v>
      </c>
      <c r="E3200">
        <v>0.956542</v>
      </c>
      <c r="F3200">
        <v>-1</v>
      </c>
      <c r="G3200">
        <v>0.956542</v>
      </c>
    </row>
    <row r="3201" spans="1:7">
      <c r="A3201" t="s">
        <v>144</v>
      </c>
      <c r="B3201">
        <v>50</v>
      </c>
      <c r="C3201">
        <v>19</v>
      </c>
      <c r="D3201">
        <v>3.1921999999999999E-2</v>
      </c>
      <c r="E3201">
        <v>-0.715445</v>
      </c>
      <c r="F3201">
        <v>-1</v>
      </c>
      <c r="G3201">
        <v>-0.715445</v>
      </c>
    </row>
    <row r="3202" spans="1:7">
      <c r="A3202" t="s">
        <v>144</v>
      </c>
      <c r="B3202">
        <v>50</v>
      </c>
      <c r="C3202">
        <v>20</v>
      </c>
      <c r="D3202">
        <v>3.1921999999999999E-2</v>
      </c>
      <c r="E3202">
        <v>0.28614200000000001</v>
      </c>
      <c r="F3202">
        <v>-1</v>
      </c>
      <c r="G3202">
        <v>0.28614200000000001</v>
      </c>
    </row>
    <row r="3203" spans="1:7">
      <c r="A3203" t="s">
        <v>144</v>
      </c>
      <c r="B3203">
        <v>50</v>
      </c>
      <c r="C3203">
        <v>21</v>
      </c>
      <c r="D3203">
        <v>3.1921999999999999E-2</v>
      </c>
      <c r="E3203">
        <v>0.77925999999999995</v>
      </c>
      <c r="F3203">
        <v>-1</v>
      </c>
      <c r="G3203">
        <v>0.77925999999999995</v>
      </c>
    </row>
    <row r="3204" spans="1:7">
      <c r="A3204" t="s">
        <v>144</v>
      </c>
      <c r="B3204">
        <v>50</v>
      </c>
      <c r="C3204">
        <v>22</v>
      </c>
      <c r="D3204">
        <v>3.1921999999999999E-2</v>
      </c>
      <c r="E3204">
        <v>0.64937299999999998</v>
      </c>
      <c r="F3204">
        <v>-1</v>
      </c>
      <c r="G3204">
        <v>0.64937299999999998</v>
      </c>
    </row>
    <row r="3205" spans="1:7">
      <c r="A3205" t="s">
        <v>144</v>
      </c>
      <c r="B3205">
        <v>50</v>
      </c>
      <c r="C3205">
        <v>23</v>
      </c>
      <c r="D3205">
        <v>3.1921999999999999E-2</v>
      </c>
      <c r="E3205">
        <v>0.37473699999999999</v>
      </c>
      <c r="F3205">
        <v>-1</v>
      </c>
      <c r="G3205">
        <v>0.37473699999999999</v>
      </c>
    </row>
    <row r="3206" spans="1:7">
      <c r="A3206" t="s">
        <v>144</v>
      </c>
      <c r="B3206">
        <v>50</v>
      </c>
      <c r="C3206">
        <v>24</v>
      </c>
      <c r="D3206">
        <v>3.1921999999999999E-2</v>
      </c>
      <c r="E3206">
        <v>-0.98651100000000003</v>
      </c>
      <c r="F3206">
        <v>-1</v>
      </c>
      <c r="G3206">
        <v>-0.98651100000000003</v>
      </c>
    </row>
    <row r="3207" spans="1:7">
      <c r="A3207" t="s">
        <v>144</v>
      </c>
      <c r="B3207">
        <v>50</v>
      </c>
      <c r="C3207">
        <v>25</v>
      </c>
      <c r="D3207">
        <v>3.1921999999999999E-2</v>
      </c>
      <c r="E3207">
        <v>0.55958699999999995</v>
      </c>
      <c r="F3207">
        <v>-1</v>
      </c>
      <c r="G3207">
        <v>0.55958699999999995</v>
      </c>
    </row>
    <row r="3208" spans="1:7">
      <c r="A3208" t="s">
        <v>144</v>
      </c>
      <c r="B3208">
        <v>50</v>
      </c>
      <c r="C3208">
        <v>26</v>
      </c>
      <c r="D3208">
        <v>3.1921999999999999E-2</v>
      </c>
      <c r="E3208">
        <v>0.16898099999999999</v>
      </c>
      <c r="F3208">
        <v>-1</v>
      </c>
      <c r="G3208">
        <v>0.16898099999999999</v>
      </c>
    </row>
    <row r="3209" spans="1:7">
      <c r="A3209" t="s">
        <v>144</v>
      </c>
      <c r="B3209">
        <v>50</v>
      </c>
      <c r="C3209">
        <v>27</v>
      </c>
      <c r="D3209">
        <v>3.1921999999999999E-2</v>
      </c>
      <c r="E3209">
        <v>-0.34940599999999999</v>
      </c>
      <c r="F3209">
        <v>-1</v>
      </c>
      <c r="G3209">
        <v>-0.34940599999999999</v>
      </c>
    </row>
    <row r="3210" spans="1:7">
      <c r="A3210" t="s">
        <v>144</v>
      </c>
      <c r="B3210">
        <v>50</v>
      </c>
      <c r="C3210">
        <v>28</v>
      </c>
      <c r="D3210">
        <v>3.1921999999999999E-2</v>
      </c>
      <c r="E3210">
        <v>0.89352100000000001</v>
      </c>
      <c r="F3210">
        <v>-1</v>
      </c>
      <c r="G3210">
        <v>0.89352100000000001</v>
      </c>
    </row>
    <row r="3211" spans="1:7">
      <c r="A3211" t="s">
        <v>144</v>
      </c>
      <c r="B3211">
        <v>50</v>
      </c>
      <c r="C3211">
        <v>29</v>
      </c>
      <c r="D3211">
        <v>3.1921999999999999E-2</v>
      </c>
      <c r="E3211">
        <v>1.5412E-2</v>
      </c>
      <c r="F3211">
        <v>-1</v>
      </c>
      <c r="G3211">
        <v>1.5412E-2</v>
      </c>
    </row>
    <row r="3212" spans="1:7">
      <c r="A3212" t="s">
        <v>144</v>
      </c>
      <c r="B3212">
        <v>50</v>
      </c>
      <c r="C3212">
        <v>30</v>
      </c>
      <c r="D3212">
        <v>3.1921999999999999E-2</v>
      </c>
      <c r="E3212">
        <v>0.60939399999999999</v>
      </c>
      <c r="F3212">
        <v>-1</v>
      </c>
      <c r="G3212">
        <v>0.60939399999999999</v>
      </c>
    </row>
    <row r="3213" spans="1:7">
      <c r="A3213" t="s">
        <v>144</v>
      </c>
      <c r="B3213">
        <v>50</v>
      </c>
      <c r="C3213">
        <v>31</v>
      </c>
      <c r="D3213">
        <v>3.1921999999999999E-2</v>
      </c>
      <c r="E3213">
        <v>-0.680593</v>
      </c>
      <c r="F3213">
        <v>-1</v>
      </c>
      <c r="G3213">
        <v>-0.680593</v>
      </c>
    </row>
    <row r="3214" spans="1:7">
      <c r="A3214" t="s">
        <v>144</v>
      </c>
      <c r="B3214">
        <v>50</v>
      </c>
      <c r="C3214">
        <v>32</v>
      </c>
      <c r="D3214">
        <v>3.1921999999999999E-2</v>
      </c>
      <c r="E3214">
        <v>0.135411</v>
      </c>
      <c r="F3214">
        <v>-1</v>
      </c>
      <c r="G3214">
        <v>0.135411</v>
      </c>
    </row>
    <row r="3215" spans="1:7">
      <c r="A3215" t="s">
        <v>144</v>
      </c>
      <c r="B3215">
        <v>50</v>
      </c>
      <c r="C3215">
        <v>33</v>
      </c>
      <c r="D3215">
        <v>3.1921999999999999E-2</v>
      </c>
      <c r="E3215">
        <v>0.121128</v>
      </c>
      <c r="F3215">
        <v>0.52262900000000001</v>
      </c>
      <c r="G3215">
        <v>0.50981299999999996</v>
      </c>
    </row>
    <row r="3216" spans="1:7">
      <c r="A3216" t="s">
        <v>144</v>
      </c>
      <c r="B3216">
        <v>50</v>
      </c>
      <c r="C3216">
        <v>34</v>
      </c>
      <c r="D3216">
        <v>3.1921999999999999E-2</v>
      </c>
      <c r="E3216">
        <v>0.12228799999999999</v>
      </c>
      <c r="F3216">
        <v>-3.2319000000000001E-2</v>
      </c>
      <c r="G3216">
        <v>-2.7383999999999999E-2</v>
      </c>
    </row>
    <row r="3217" spans="1:7">
      <c r="A3217" t="s">
        <v>144</v>
      </c>
      <c r="B3217">
        <v>50</v>
      </c>
      <c r="C3217">
        <v>35</v>
      </c>
      <c r="D3217">
        <v>3.1921999999999999E-2</v>
      </c>
      <c r="E3217">
        <v>-0.17911299999999999</v>
      </c>
      <c r="F3217">
        <v>0.43760500000000002</v>
      </c>
      <c r="G3217">
        <v>0.41791800000000001</v>
      </c>
    </row>
    <row r="3218" spans="1:7">
      <c r="A3218" t="s">
        <v>144</v>
      </c>
      <c r="B3218">
        <v>50</v>
      </c>
      <c r="C3218">
        <v>36</v>
      </c>
      <c r="D3218">
        <v>3.1921999999999999E-2</v>
      </c>
      <c r="E3218">
        <v>1.7243000000000001E-2</v>
      </c>
      <c r="F3218">
        <v>0.54234400000000005</v>
      </c>
      <c r="G3218">
        <v>0.52558199999999999</v>
      </c>
    </row>
    <row r="3219" spans="1:7">
      <c r="A3219" t="s">
        <v>144</v>
      </c>
      <c r="B3219">
        <v>50</v>
      </c>
      <c r="C3219">
        <v>37</v>
      </c>
      <c r="D3219">
        <v>3.1921999999999999E-2</v>
      </c>
      <c r="E3219">
        <v>0.69292299999999996</v>
      </c>
      <c r="F3219">
        <v>-0.479904</v>
      </c>
      <c r="G3219">
        <v>-0.44246400000000002</v>
      </c>
    </row>
    <row r="3220" spans="1:7">
      <c r="A3220" t="s">
        <v>144</v>
      </c>
      <c r="B3220">
        <v>50</v>
      </c>
      <c r="C3220">
        <v>38</v>
      </c>
      <c r="D3220">
        <v>3.1921999999999999E-2</v>
      </c>
      <c r="E3220">
        <v>-0.686697</v>
      </c>
      <c r="F3220">
        <v>0.78344100000000005</v>
      </c>
      <c r="G3220">
        <v>0.73651</v>
      </c>
    </row>
    <row r="3221" spans="1:7">
      <c r="A3221" t="s">
        <v>144</v>
      </c>
      <c r="B3221">
        <v>50</v>
      </c>
      <c r="C3221">
        <v>39</v>
      </c>
      <c r="D3221">
        <v>3.1921999999999999E-2</v>
      </c>
      <c r="E3221">
        <v>-0.35120699999999999</v>
      </c>
      <c r="F3221">
        <v>0.49458299999999999</v>
      </c>
      <c r="G3221">
        <v>0.46758300000000003</v>
      </c>
    </row>
    <row r="3222" spans="1:7">
      <c r="A3222" t="s">
        <v>144</v>
      </c>
      <c r="B3222">
        <v>50</v>
      </c>
      <c r="C3222">
        <v>40</v>
      </c>
      <c r="D3222">
        <v>3.1921999999999999E-2</v>
      </c>
      <c r="E3222">
        <v>-0.35313</v>
      </c>
      <c r="F3222">
        <v>-0.432417</v>
      </c>
      <c r="G3222">
        <v>-0.42988599999999999</v>
      </c>
    </row>
    <row r="3223" spans="1:7">
      <c r="A3223" t="s">
        <v>144</v>
      </c>
      <c r="B3223">
        <v>50</v>
      </c>
      <c r="C3223">
        <v>41</v>
      </c>
      <c r="D3223">
        <v>3.1921999999999999E-2</v>
      </c>
      <c r="E3223">
        <v>-0.37723899999999999</v>
      </c>
      <c r="F3223">
        <v>0.214118</v>
      </c>
      <c r="G3223">
        <v>0.19524</v>
      </c>
    </row>
    <row r="3224" spans="1:7">
      <c r="A3224" t="s">
        <v>144</v>
      </c>
      <c r="B3224">
        <v>50</v>
      </c>
      <c r="C3224">
        <v>42</v>
      </c>
      <c r="D3224">
        <v>3.1921999999999999E-2</v>
      </c>
      <c r="E3224">
        <v>3.3270000000000001E-3</v>
      </c>
      <c r="F3224">
        <v>-0.85628800000000005</v>
      </c>
      <c r="G3224">
        <v>-0.828847</v>
      </c>
    </row>
    <row r="3225" spans="1:7">
      <c r="A3225" t="s">
        <v>144</v>
      </c>
      <c r="B3225">
        <v>50</v>
      </c>
      <c r="C3225">
        <v>43</v>
      </c>
      <c r="D3225">
        <v>3.1921999999999999E-2</v>
      </c>
      <c r="E3225">
        <v>0.449324</v>
      </c>
      <c r="F3225">
        <v>-0.91152699999999998</v>
      </c>
      <c r="G3225">
        <v>-0.868085</v>
      </c>
    </row>
    <row r="3226" spans="1:7">
      <c r="A3226" t="s">
        <v>144</v>
      </c>
      <c r="B3226">
        <v>50</v>
      </c>
      <c r="C3226">
        <v>44</v>
      </c>
      <c r="D3226">
        <v>3.1921999999999999E-2</v>
      </c>
      <c r="E3226">
        <v>-0.92294100000000001</v>
      </c>
      <c r="F3226">
        <v>0.238929</v>
      </c>
      <c r="G3226">
        <v>0.20183999999999999</v>
      </c>
    </row>
    <row r="3227" spans="1:7">
      <c r="A3227" t="s">
        <v>144</v>
      </c>
      <c r="B3227">
        <v>50</v>
      </c>
      <c r="C3227">
        <v>45</v>
      </c>
      <c r="D3227">
        <v>3.1921999999999999E-2</v>
      </c>
      <c r="E3227">
        <v>-0.76403100000000002</v>
      </c>
      <c r="F3227">
        <v>0.7893</v>
      </c>
      <c r="G3227">
        <v>0.73971399999999998</v>
      </c>
    </row>
    <row r="3228" spans="1:7">
      <c r="A3228" t="s">
        <v>144</v>
      </c>
      <c r="B3228">
        <v>50</v>
      </c>
      <c r="C3228">
        <v>46</v>
      </c>
      <c r="D3228">
        <v>3.1921999999999999E-2</v>
      </c>
      <c r="E3228">
        <v>-0.51441999999999999</v>
      </c>
      <c r="F3228">
        <v>-0.33457399999999998</v>
      </c>
      <c r="G3228">
        <v>-0.34031600000000001</v>
      </c>
    </row>
    <row r="3229" spans="1:7">
      <c r="A3229" t="s">
        <v>144</v>
      </c>
      <c r="B3229">
        <v>50</v>
      </c>
      <c r="C3229">
        <v>47</v>
      </c>
      <c r="D3229">
        <v>3.1921999999999999E-2</v>
      </c>
      <c r="E3229">
        <v>0.64793800000000001</v>
      </c>
      <c r="F3229">
        <v>-1.1658E-2</v>
      </c>
      <c r="G3229">
        <v>9.3980000000000001E-3</v>
      </c>
    </row>
    <row r="3230" spans="1:7">
      <c r="A3230" t="s">
        <v>144</v>
      </c>
      <c r="B3230">
        <v>50</v>
      </c>
      <c r="C3230">
        <v>48</v>
      </c>
      <c r="D3230">
        <v>3.1921999999999999E-2</v>
      </c>
      <c r="E3230">
        <v>5.4598000000000001E-2</v>
      </c>
      <c r="F3230">
        <v>-4.5779999999999996E-3</v>
      </c>
      <c r="G3230">
        <v>-2.689E-3</v>
      </c>
    </row>
    <row r="3231" spans="1:7">
      <c r="A3231" t="s">
        <v>144</v>
      </c>
      <c r="B3231">
        <v>50</v>
      </c>
      <c r="C3231">
        <v>49</v>
      </c>
      <c r="D3231">
        <v>3.1921999999999999E-2</v>
      </c>
      <c r="E3231">
        <v>0.62492800000000004</v>
      </c>
      <c r="F3231">
        <v>0.78508900000000004</v>
      </c>
      <c r="G3231">
        <v>0.779976</v>
      </c>
    </row>
    <row r="3232" spans="1:7">
      <c r="A3232" t="s">
        <v>144</v>
      </c>
      <c r="B3232" t="s">
        <v>145</v>
      </c>
      <c r="C3232">
        <v>51</v>
      </c>
    </row>
    <row r="3233" spans="1:7">
      <c r="A3233" t="s">
        <v>144</v>
      </c>
      <c r="B3233" t="s">
        <v>146</v>
      </c>
      <c r="C3233">
        <v>53</v>
      </c>
    </row>
    <row r="3234" spans="1:7">
      <c r="A3234" t="s">
        <v>144</v>
      </c>
      <c r="B3234" t="s">
        <v>147</v>
      </c>
      <c r="C3234">
        <v>53</v>
      </c>
    </row>
    <row r="3235" spans="1:7">
      <c r="A3235" t="s">
        <v>144</v>
      </c>
      <c r="B3235" t="s">
        <v>148</v>
      </c>
      <c r="C3235">
        <v>0.93807799999999997</v>
      </c>
    </row>
    <row r="3236" spans="1:7">
      <c r="A3236" t="s">
        <v>144</v>
      </c>
      <c r="B3236" t="s">
        <v>149</v>
      </c>
      <c r="C3236">
        <v>0.93807799999999997</v>
      </c>
    </row>
    <row r="3237" spans="1:7">
      <c r="A3237" t="s">
        <v>144</v>
      </c>
      <c r="B3237" t="s">
        <v>150</v>
      </c>
      <c r="C3237">
        <v>-1</v>
      </c>
    </row>
    <row r="3238" spans="1:7">
      <c r="A3238" t="s">
        <v>144</v>
      </c>
      <c r="B3238" t="s">
        <v>151</v>
      </c>
      <c r="C3238">
        <v>-1</v>
      </c>
    </row>
    <row r="3239" spans="1:7">
      <c r="A3239" t="s">
        <v>144</v>
      </c>
      <c r="B3239" t="s">
        <v>152</v>
      </c>
      <c r="C3239">
        <v>39</v>
      </c>
    </row>
    <row r="3240" spans="1:7">
      <c r="A3240" t="s">
        <v>144</v>
      </c>
      <c r="B3240" t="s">
        <v>153</v>
      </c>
      <c r="C3240">
        <v>39</v>
      </c>
    </row>
    <row r="3241" spans="1:7">
      <c r="A3241" t="s">
        <v>144</v>
      </c>
      <c r="B3241" t="s">
        <v>154</v>
      </c>
      <c r="C3241">
        <v>0</v>
      </c>
    </row>
    <row r="3242" spans="1:7">
      <c r="A3242" t="s">
        <v>144</v>
      </c>
      <c r="B3242" t="s">
        <v>161</v>
      </c>
    </row>
    <row r="3243" spans="1:7">
      <c r="A3243" t="s">
        <v>144</v>
      </c>
      <c r="B3243">
        <v>51</v>
      </c>
      <c r="C3243">
        <v>0</v>
      </c>
      <c r="D3243">
        <v>-1</v>
      </c>
      <c r="E3243">
        <v>-0.95281800000000005</v>
      </c>
      <c r="F3243">
        <v>-1</v>
      </c>
      <c r="G3243">
        <v>-0.95281800000000005</v>
      </c>
    </row>
    <row r="3244" spans="1:7">
      <c r="A3244" t="s">
        <v>144</v>
      </c>
      <c r="B3244">
        <v>51</v>
      </c>
      <c r="C3244">
        <v>1</v>
      </c>
      <c r="D3244">
        <v>-1</v>
      </c>
      <c r="E3244">
        <v>0.78459999999999996</v>
      </c>
      <c r="F3244">
        <v>-1</v>
      </c>
      <c r="G3244">
        <v>0.78459999999999996</v>
      </c>
    </row>
    <row r="3245" spans="1:7">
      <c r="A3245" t="s">
        <v>144</v>
      </c>
      <c r="B3245">
        <v>51</v>
      </c>
      <c r="C3245">
        <v>2</v>
      </c>
      <c r="D3245">
        <v>-1</v>
      </c>
      <c r="E3245">
        <v>0.13635700000000001</v>
      </c>
      <c r="F3245">
        <v>-1</v>
      </c>
      <c r="G3245">
        <v>0.13635700000000001</v>
      </c>
    </row>
    <row r="3246" spans="1:7">
      <c r="A3246" t="s">
        <v>144</v>
      </c>
      <c r="B3246">
        <v>51</v>
      </c>
      <c r="C3246">
        <v>3</v>
      </c>
      <c r="D3246">
        <v>-1</v>
      </c>
      <c r="E3246">
        <v>-0.22211400000000001</v>
      </c>
      <c r="F3246">
        <v>-1</v>
      </c>
      <c r="G3246">
        <v>-0.22211400000000001</v>
      </c>
    </row>
    <row r="3247" spans="1:7">
      <c r="A3247" t="s">
        <v>144</v>
      </c>
      <c r="B3247">
        <v>51</v>
      </c>
      <c r="C3247">
        <v>4</v>
      </c>
      <c r="D3247">
        <v>-1</v>
      </c>
      <c r="E3247">
        <v>-0.43360700000000002</v>
      </c>
      <c r="F3247">
        <v>-1</v>
      </c>
      <c r="G3247">
        <v>-0.43360700000000002</v>
      </c>
    </row>
    <row r="3248" spans="1:7">
      <c r="A3248" t="s">
        <v>144</v>
      </c>
      <c r="B3248">
        <v>51</v>
      </c>
      <c r="C3248">
        <v>5</v>
      </c>
      <c r="D3248">
        <v>-1</v>
      </c>
      <c r="E3248">
        <v>0.73549600000000004</v>
      </c>
      <c r="F3248">
        <v>-1</v>
      </c>
      <c r="G3248">
        <v>0.73549600000000004</v>
      </c>
    </row>
    <row r="3249" spans="1:7">
      <c r="A3249" t="s">
        <v>144</v>
      </c>
      <c r="B3249">
        <v>51</v>
      </c>
      <c r="C3249">
        <v>6</v>
      </c>
      <c r="D3249">
        <v>-1</v>
      </c>
      <c r="E3249">
        <v>1.1566999999999999E-2</v>
      </c>
      <c r="F3249">
        <v>-1</v>
      </c>
      <c r="G3249">
        <v>1.1566999999999999E-2</v>
      </c>
    </row>
    <row r="3250" spans="1:7">
      <c r="A3250" t="s">
        <v>144</v>
      </c>
      <c r="B3250">
        <v>51</v>
      </c>
      <c r="C3250">
        <v>7</v>
      </c>
      <c r="D3250">
        <v>-1</v>
      </c>
      <c r="E3250">
        <v>0.282113</v>
      </c>
      <c r="F3250">
        <v>-1</v>
      </c>
      <c r="G3250">
        <v>0.282113</v>
      </c>
    </row>
    <row r="3251" spans="1:7">
      <c r="A3251" t="s">
        <v>144</v>
      </c>
      <c r="B3251">
        <v>51</v>
      </c>
      <c r="C3251">
        <v>8</v>
      </c>
      <c r="D3251">
        <v>-1</v>
      </c>
      <c r="E3251">
        <v>-0.57377900000000004</v>
      </c>
      <c r="F3251">
        <v>-1</v>
      </c>
      <c r="G3251">
        <v>-0.57377900000000004</v>
      </c>
    </row>
    <row r="3252" spans="1:7">
      <c r="A3252" t="s">
        <v>144</v>
      </c>
      <c r="B3252">
        <v>51</v>
      </c>
      <c r="C3252">
        <v>9</v>
      </c>
      <c r="D3252">
        <v>-1</v>
      </c>
      <c r="E3252">
        <v>-0.97555499999999995</v>
      </c>
      <c r="F3252">
        <v>-1</v>
      </c>
      <c r="G3252">
        <v>-0.97555499999999995</v>
      </c>
    </row>
    <row r="3253" spans="1:7">
      <c r="A3253" t="s">
        <v>144</v>
      </c>
      <c r="B3253">
        <v>51</v>
      </c>
      <c r="C3253">
        <v>10</v>
      </c>
      <c r="D3253">
        <v>-1</v>
      </c>
      <c r="E3253">
        <v>0.181982</v>
      </c>
      <c r="F3253">
        <v>-1</v>
      </c>
      <c r="G3253">
        <v>0.181982</v>
      </c>
    </row>
    <row r="3254" spans="1:7">
      <c r="A3254" t="s">
        <v>144</v>
      </c>
      <c r="B3254">
        <v>51</v>
      </c>
      <c r="C3254">
        <v>11</v>
      </c>
      <c r="D3254">
        <v>-1</v>
      </c>
      <c r="E3254">
        <v>0.73253599999999996</v>
      </c>
      <c r="F3254">
        <v>-1</v>
      </c>
      <c r="G3254">
        <v>0.73253599999999996</v>
      </c>
    </row>
    <row r="3255" spans="1:7">
      <c r="A3255" t="s">
        <v>144</v>
      </c>
      <c r="B3255">
        <v>51</v>
      </c>
      <c r="C3255">
        <v>12</v>
      </c>
      <c r="D3255">
        <v>-1</v>
      </c>
      <c r="E3255">
        <v>0.33027099999999998</v>
      </c>
      <c r="F3255">
        <v>-1</v>
      </c>
      <c r="G3255">
        <v>0.33027099999999998</v>
      </c>
    </row>
    <row r="3256" spans="1:7">
      <c r="A3256" t="s">
        <v>144</v>
      </c>
      <c r="B3256">
        <v>51</v>
      </c>
      <c r="C3256">
        <v>13</v>
      </c>
      <c r="D3256">
        <v>-1</v>
      </c>
      <c r="E3256">
        <v>0.187719</v>
      </c>
      <c r="F3256">
        <v>-1</v>
      </c>
      <c r="G3256">
        <v>0.187719</v>
      </c>
    </row>
    <row r="3257" spans="1:7">
      <c r="A3257" t="s">
        <v>144</v>
      </c>
      <c r="B3257">
        <v>51</v>
      </c>
      <c r="C3257">
        <v>14</v>
      </c>
      <c r="D3257">
        <v>-1</v>
      </c>
      <c r="E3257">
        <v>-0.42689300000000002</v>
      </c>
      <c r="F3257">
        <v>-1</v>
      </c>
      <c r="G3257">
        <v>-0.42689300000000002</v>
      </c>
    </row>
    <row r="3258" spans="1:7">
      <c r="A3258" t="s">
        <v>144</v>
      </c>
      <c r="B3258">
        <v>51</v>
      </c>
      <c r="C3258">
        <v>15</v>
      </c>
      <c r="D3258">
        <v>-1</v>
      </c>
      <c r="E3258">
        <v>0.28220499999999998</v>
      </c>
      <c r="F3258">
        <v>-1</v>
      </c>
      <c r="G3258">
        <v>0.28220499999999998</v>
      </c>
    </row>
    <row r="3259" spans="1:7">
      <c r="A3259" t="s">
        <v>144</v>
      </c>
      <c r="B3259">
        <v>51</v>
      </c>
      <c r="C3259">
        <v>16</v>
      </c>
      <c r="D3259">
        <v>-1</v>
      </c>
      <c r="E3259">
        <v>0.34089199999999997</v>
      </c>
      <c r="F3259">
        <v>-1</v>
      </c>
      <c r="G3259">
        <v>0.34089199999999997</v>
      </c>
    </row>
    <row r="3260" spans="1:7">
      <c r="A3260" t="s">
        <v>144</v>
      </c>
      <c r="B3260">
        <v>51</v>
      </c>
      <c r="C3260">
        <v>17</v>
      </c>
      <c r="D3260">
        <v>-1</v>
      </c>
      <c r="E3260">
        <v>0.43205100000000002</v>
      </c>
      <c r="F3260">
        <v>-1</v>
      </c>
      <c r="G3260">
        <v>0.43205100000000002</v>
      </c>
    </row>
    <row r="3261" spans="1:7">
      <c r="A3261" t="s">
        <v>144</v>
      </c>
      <c r="B3261">
        <v>51</v>
      </c>
      <c r="C3261">
        <v>18</v>
      </c>
      <c r="D3261">
        <v>-1</v>
      </c>
      <c r="E3261">
        <v>-0.16922499999999999</v>
      </c>
      <c r="F3261">
        <v>-1</v>
      </c>
      <c r="G3261">
        <v>-0.16922499999999999</v>
      </c>
    </row>
    <row r="3262" spans="1:7">
      <c r="A3262" t="s">
        <v>144</v>
      </c>
      <c r="B3262">
        <v>51</v>
      </c>
      <c r="C3262">
        <v>19</v>
      </c>
      <c r="D3262">
        <v>-1</v>
      </c>
      <c r="E3262">
        <v>-0.68315700000000001</v>
      </c>
      <c r="F3262">
        <v>-1</v>
      </c>
      <c r="G3262">
        <v>-0.68315700000000001</v>
      </c>
    </row>
    <row r="3263" spans="1:7">
      <c r="A3263" t="s">
        <v>144</v>
      </c>
      <c r="B3263">
        <v>51</v>
      </c>
      <c r="C3263">
        <v>20</v>
      </c>
      <c r="D3263">
        <v>-1</v>
      </c>
      <c r="E3263">
        <v>0.88112999999999997</v>
      </c>
      <c r="F3263">
        <v>-1</v>
      </c>
      <c r="G3263">
        <v>0.88112999999999997</v>
      </c>
    </row>
    <row r="3264" spans="1:7">
      <c r="A3264" t="s">
        <v>144</v>
      </c>
      <c r="B3264">
        <v>51</v>
      </c>
      <c r="C3264">
        <v>21</v>
      </c>
      <c r="D3264">
        <v>-1</v>
      </c>
      <c r="E3264">
        <v>-0.75887300000000002</v>
      </c>
      <c r="F3264">
        <v>-1</v>
      </c>
      <c r="G3264">
        <v>-0.75887300000000002</v>
      </c>
    </row>
    <row r="3265" spans="1:7">
      <c r="A3265" t="s">
        <v>144</v>
      </c>
      <c r="B3265">
        <v>51</v>
      </c>
      <c r="C3265">
        <v>22</v>
      </c>
      <c r="D3265">
        <v>-1</v>
      </c>
      <c r="E3265">
        <v>0.99520900000000001</v>
      </c>
      <c r="F3265">
        <v>-1</v>
      </c>
      <c r="G3265">
        <v>0.99520900000000001</v>
      </c>
    </row>
    <row r="3266" spans="1:7">
      <c r="A3266" t="s">
        <v>144</v>
      </c>
      <c r="B3266">
        <v>51</v>
      </c>
      <c r="C3266">
        <v>23</v>
      </c>
      <c r="D3266">
        <v>-1</v>
      </c>
      <c r="E3266">
        <v>-0.406171</v>
      </c>
      <c r="F3266">
        <v>-1</v>
      </c>
      <c r="G3266">
        <v>-0.406171</v>
      </c>
    </row>
    <row r="3267" spans="1:7">
      <c r="A3267" t="s">
        <v>144</v>
      </c>
      <c r="B3267">
        <v>51</v>
      </c>
      <c r="C3267">
        <v>24</v>
      </c>
      <c r="D3267">
        <v>-1</v>
      </c>
      <c r="E3267">
        <v>-0.94643999999999995</v>
      </c>
      <c r="F3267">
        <v>-1</v>
      </c>
      <c r="G3267">
        <v>-0.94643999999999995</v>
      </c>
    </row>
    <row r="3268" spans="1:7">
      <c r="A3268" t="s">
        <v>144</v>
      </c>
      <c r="B3268">
        <v>51</v>
      </c>
      <c r="C3268">
        <v>25</v>
      </c>
      <c r="D3268">
        <v>-1</v>
      </c>
      <c r="E3268">
        <v>-0.94720300000000002</v>
      </c>
      <c r="F3268">
        <v>-1</v>
      </c>
      <c r="G3268">
        <v>-0.94720300000000002</v>
      </c>
    </row>
    <row r="3269" spans="1:7">
      <c r="A3269" t="s">
        <v>144</v>
      </c>
      <c r="B3269">
        <v>51</v>
      </c>
      <c r="C3269">
        <v>26</v>
      </c>
      <c r="D3269">
        <v>-1</v>
      </c>
      <c r="E3269">
        <v>0.29865399999999998</v>
      </c>
      <c r="F3269">
        <v>-1</v>
      </c>
      <c r="G3269">
        <v>0.29865399999999998</v>
      </c>
    </row>
    <row r="3270" spans="1:7">
      <c r="A3270" t="s">
        <v>144</v>
      </c>
      <c r="B3270">
        <v>51</v>
      </c>
      <c r="C3270">
        <v>27</v>
      </c>
      <c r="D3270">
        <v>-1</v>
      </c>
      <c r="E3270">
        <v>-0.44181599999999999</v>
      </c>
      <c r="F3270">
        <v>-1</v>
      </c>
      <c r="G3270">
        <v>-0.44181599999999999</v>
      </c>
    </row>
    <row r="3271" spans="1:7">
      <c r="A3271" t="s">
        <v>144</v>
      </c>
      <c r="B3271">
        <v>51</v>
      </c>
      <c r="C3271">
        <v>28</v>
      </c>
      <c r="D3271">
        <v>-1</v>
      </c>
      <c r="E3271">
        <v>-0.45909</v>
      </c>
      <c r="F3271">
        <v>-1</v>
      </c>
      <c r="G3271">
        <v>-0.45909</v>
      </c>
    </row>
    <row r="3272" spans="1:7">
      <c r="A3272" t="s">
        <v>144</v>
      </c>
      <c r="B3272">
        <v>51</v>
      </c>
      <c r="C3272">
        <v>29</v>
      </c>
      <c r="D3272">
        <v>-1</v>
      </c>
      <c r="E3272">
        <v>0.36799199999999999</v>
      </c>
      <c r="F3272">
        <v>-1</v>
      </c>
      <c r="G3272">
        <v>0.36799199999999999</v>
      </c>
    </row>
    <row r="3273" spans="1:7">
      <c r="A3273" t="s">
        <v>144</v>
      </c>
      <c r="B3273">
        <v>51</v>
      </c>
      <c r="C3273">
        <v>30</v>
      </c>
      <c r="D3273">
        <v>-1</v>
      </c>
      <c r="E3273">
        <v>-5.0844E-2</v>
      </c>
      <c r="F3273">
        <v>-1</v>
      </c>
      <c r="G3273">
        <v>-5.0844E-2</v>
      </c>
    </row>
    <row r="3274" spans="1:7">
      <c r="A3274" t="s">
        <v>144</v>
      </c>
      <c r="B3274">
        <v>51</v>
      </c>
      <c r="C3274">
        <v>31</v>
      </c>
      <c r="D3274">
        <v>-1</v>
      </c>
      <c r="E3274">
        <v>-0.22592899999999999</v>
      </c>
      <c r="F3274">
        <v>-1</v>
      </c>
      <c r="G3274">
        <v>-0.22592899999999999</v>
      </c>
    </row>
    <row r="3275" spans="1:7">
      <c r="A3275" t="s">
        <v>144</v>
      </c>
      <c r="B3275">
        <v>51</v>
      </c>
      <c r="C3275">
        <v>32</v>
      </c>
      <c r="D3275">
        <v>-1</v>
      </c>
      <c r="E3275">
        <v>0.60029900000000003</v>
      </c>
      <c r="F3275">
        <v>-1</v>
      </c>
      <c r="G3275">
        <v>0.60029900000000003</v>
      </c>
    </row>
    <row r="3276" spans="1:7">
      <c r="A3276" t="s">
        <v>144</v>
      </c>
      <c r="B3276">
        <v>51</v>
      </c>
      <c r="C3276">
        <v>33</v>
      </c>
      <c r="D3276">
        <v>-1</v>
      </c>
      <c r="E3276">
        <v>0.97235000000000005</v>
      </c>
      <c r="F3276">
        <v>-1</v>
      </c>
      <c r="G3276">
        <v>0.97235000000000005</v>
      </c>
    </row>
    <row r="3277" spans="1:7">
      <c r="A3277" t="s">
        <v>144</v>
      </c>
      <c r="B3277">
        <v>51</v>
      </c>
      <c r="C3277">
        <v>34</v>
      </c>
      <c r="D3277">
        <v>-1</v>
      </c>
      <c r="E3277">
        <v>-0.69472299999999998</v>
      </c>
      <c r="F3277">
        <v>-1</v>
      </c>
      <c r="G3277">
        <v>-0.69472299999999998</v>
      </c>
    </row>
    <row r="3278" spans="1:7">
      <c r="A3278" t="s">
        <v>144</v>
      </c>
      <c r="B3278">
        <v>51</v>
      </c>
      <c r="C3278">
        <v>35</v>
      </c>
      <c r="D3278">
        <v>-1</v>
      </c>
      <c r="E3278">
        <v>-0.69075600000000004</v>
      </c>
      <c r="F3278">
        <v>-1</v>
      </c>
      <c r="G3278">
        <v>-0.69075600000000004</v>
      </c>
    </row>
    <row r="3279" spans="1:7">
      <c r="A3279" t="s">
        <v>144</v>
      </c>
      <c r="B3279">
        <v>51</v>
      </c>
      <c r="C3279">
        <v>36</v>
      </c>
      <c r="D3279">
        <v>-1</v>
      </c>
      <c r="E3279">
        <v>0.26718999999999998</v>
      </c>
      <c r="F3279">
        <v>-1</v>
      </c>
      <c r="G3279">
        <v>0.26718999999999998</v>
      </c>
    </row>
    <row r="3280" spans="1:7">
      <c r="A3280" t="s">
        <v>144</v>
      </c>
      <c r="B3280">
        <v>51</v>
      </c>
      <c r="C3280">
        <v>37</v>
      </c>
      <c r="D3280">
        <v>-1</v>
      </c>
      <c r="E3280">
        <v>-0.404889</v>
      </c>
      <c r="F3280">
        <v>-1</v>
      </c>
      <c r="G3280">
        <v>-0.404889</v>
      </c>
    </row>
    <row r="3281" spans="1:7">
      <c r="A3281" t="s">
        <v>144</v>
      </c>
      <c r="B3281">
        <v>51</v>
      </c>
      <c r="C3281">
        <v>38</v>
      </c>
      <c r="D3281">
        <v>-1</v>
      </c>
      <c r="E3281">
        <v>-0.16455600000000001</v>
      </c>
      <c r="F3281">
        <v>-1</v>
      </c>
      <c r="G3281">
        <v>-0.16455600000000001</v>
      </c>
    </row>
    <row r="3282" spans="1:7">
      <c r="A3282" t="s">
        <v>144</v>
      </c>
      <c r="B3282">
        <v>51</v>
      </c>
      <c r="C3282">
        <v>39</v>
      </c>
      <c r="D3282">
        <v>-1</v>
      </c>
      <c r="E3282">
        <v>0.440382</v>
      </c>
      <c r="F3282">
        <v>-1</v>
      </c>
      <c r="G3282">
        <v>0.440382</v>
      </c>
    </row>
    <row r="3283" spans="1:7">
      <c r="A3283" t="s">
        <v>144</v>
      </c>
      <c r="B3283">
        <v>51</v>
      </c>
      <c r="C3283">
        <v>40</v>
      </c>
      <c r="D3283">
        <v>-1</v>
      </c>
      <c r="E3283">
        <v>0.65492700000000004</v>
      </c>
      <c r="F3283">
        <v>-1</v>
      </c>
      <c r="G3283">
        <v>0.65492700000000004</v>
      </c>
    </row>
    <row r="3284" spans="1:7">
      <c r="A3284" t="s">
        <v>144</v>
      </c>
      <c r="B3284">
        <v>51</v>
      </c>
      <c r="C3284">
        <v>41</v>
      </c>
      <c r="D3284">
        <v>-1</v>
      </c>
      <c r="E3284">
        <v>0.241981</v>
      </c>
      <c r="F3284">
        <v>-1</v>
      </c>
      <c r="G3284">
        <v>0.241981</v>
      </c>
    </row>
    <row r="3285" spans="1:7">
      <c r="A3285" t="s">
        <v>144</v>
      </c>
      <c r="B3285">
        <v>51</v>
      </c>
      <c r="C3285">
        <v>42</v>
      </c>
      <c r="D3285">
        <v>-1</v>
      </c>
      <c r="E3285">
        <v>-3.0609999999999998E-2</v>
      </c>
      <c r="F3285">
        <v>-1</v>
      </c>
      <c r="G3285">
        <v>-3.0609999999999998E-2</v>
      </c>
    </row>
    <row r="3286" spans="1:7">
      <c r="A3286" t="s">
        <v>144</v>
      </c>
      <c r="B3286">
        <v>51</v>
      </c>
      <c r="C3286">
        <v>43</v>
      </c>
      <c r="D3286">
        <v>-1</v>
      </c>
      <c r="E3286">
        <v>-5.1728999999999997E-2</v>
      </c>
      <c r="F3286">
        <v>-1</v>
      </c>
      <c r="G3286">
        <v>-5.1728999999999997E-2</v>
      </c>
    </row>
    <row r="3287" spans="1:7">
      <c r="A3287" t="s">
        <v>144</v>
      </c>
      <c r="B3287">
        <v>51</v>
      </c>
      <c r="C3287">
        <v>44</v>
      </c>
      <c r="D3287">
        <v>-1</v>
      </c>
      <c r="E3287">
        <v>0.963561</v>
      </c>
      <c r="F3287">
        <v>-1</v>
      </c>
      <c r="G3287">
        <v>0.963561</v>
      </c>
    </row>
    <row r="3288" spans="1:7">
      <c r="A3288" t="s">
        <v>144</v>
      </c>
      <c r="B3288">
        <v>51</v>
      </c>
      <c r="C3288">
        <v>45</v>
      </c>
      <c r="D3288">
        <v>-1</v>
      </c>
      <c r="E3288">
        <v>-0.35505199999999998</v>
      </c>
      <c r="F3288">
        <v>-1</v>
      </c>
      <c r="G3288">
        <v>-0.35505199999999998</v>
      </c>
    </row>
    <row r="3289" spans="1:7">
      <c r="A3289" t="s">
        <v>144</v>
      </c>
      <c r="B3289">
        <v>51</v>
      </c>
      <c r="C3289">
        <v>46</v>
      </c>
      <c r="D3289">
        <v>-1</v>
      </c>
      <c r="E3289">
        <v>0.76842600000000005</v>
      </c>
      <c r="F3289">
        <v>-1</v>
      </c>
      <c r="G3289">
        <v>0.76842600000000005</v>
      </c>
    </row>
    <row r="3290" spans="1:7">
      <c r="A3290" t="s">
        <v>144</v>
      </c>
      <c r="B3290">
        <v>51</v>
      </c>
      <c r="C3290">
        <v>47</v>
      </c>
      <c r="D3290">
        <v>-1</v>
      </c>
      <c r="E3290">
        <v>0.50035099999999999</v>
      </c>
      <c r="F3290">
        <v>-1</v>
      </c>
      <c r="G3290">
        <v>0.50035099999999999</v>
      </c>
    </row>
    <row r="3291" spans="1:7">
      <c r="A3291" t="s">
        <v>144</v>
      </c>
      <c r="B3291">
        <v>51</v>
      </c>
      <c r="C3291">
        <v>48</v>
      </c>
      <c r="D3291">
        <v>-1</v>
      </c>
      <c r="E3291">
        <v>0.230293</v>
      </c>
      <c r="F3291">
        <v>-1</v>
      </c>
      <c r="G3291">
        <v>0.230293</v>
      </c>
    </row>
    <row r="3292" spans="1:7">
      <c r="A3292" t="s">
        <v>144</v>
      </c>
      <c r="B3292">
        <v>51</v>
      </c>
      <c r="C3292">
        <v>49</v>
      </c>
      <c r="D3292">
        <v>-1</v>
      </c>
      <c r="E3292">
        <v>0.39887699999999998</v>
      </c>
      <c r="F3292">
        <v>-1</v>
      </c>
      <c r="G3292">
        <v>0.39887699999999998</v>
      </c>
    </row>
    <row r="3293" spans="1:7">
      <c r="A3293" t="s">
        <v>144</v>
      </c>
      <c r="B3293" t="s">
        <v>145</v>
      </c>
      <c r="C3293">
        <v>52</v>
      </c>
    </row>
    <row r="3294" spans="1:7">
      <c r="A3294" t="s">
        <v>144</v>
      </c>
      <c r="B3294" t="s">
        <v>146</v>
      </c>
      <c r="C3294">
        <v>6</v>
      </c>
    </row>
    <row r="3295" spans="1:7">
      <c r="A3295" t="s">
        <v>144</v>
      </c>
      <c r="B3295" t="s">
        <v>147</v>
      </c>
      <c r="C3295">
        <v>6</v>
      </c>
    </row>
    <row r="3296" spans="1:7">
      <c r="A3296" t="s">
        <v>144</v>
      </c>
      <c r="B3296" t="s">
        <v>148</v>
      </c>
      <c r="C3296">
        <v>0.26160499999999998</v>
      </c>
    </row>
    <row r="3297" spans="1:7">
      <c r="A3297" t="s">
        <v>144</v>
      </c>
      <c r="B3297" t="s">
        <v>149</v>
      </c>
      <c r="C3297">
        <v>0.26160499999999998</v>
      </c>
    </row>
    <row r="3298" spans="1:7">
      <c r="A3298" t="s">
        <v>144</v>
      </c>
      <c r="B3298" t="s">
        <v>150</v>
      </c>
      <c r="C3298">
        <v>-1</v>
      </c>
    </row>
    <row r="3299" spans="1:7">
      <c r="A3299" t="s">
        <v>144</v>
      </c>
      <c r="B3299" t="s">
        <v>151</v>
      </c>
      <c r="C3299">
        <v>-1</v>
      </c>
    </row>
    <row r="3300" spans="1:7">
      <c r="A3300" t="s">
        <v>144</v>
      </c>
      <c r="B3300" t="s">
        <v>152</v>
      </c>
      <c r="C3300">
        <v>29</v>
      </c>
    </row>
    <row r="3301" spans="1:7">
      <c r="A3301" t="s">
        <v>144</v>
      </c>
      <c r="B3301" t="s">
        <v>153</v>
      </c>
      <c r="C3301">
        <v>29</v>
      </c>
    </row>
    <row r="3302" spans="1:7">
      <c r="A3302" t="s">
        <v>144</v>
      </c>
      <c r="B3302" t="s">
        <v>154</v>
      </c>
      <c r="C3302">
        <v>0</v>
      </c>
    </row>
    <row r="3303" spans="1:7">
      <c r="A3303" t="s">
        <v>144</v>
      </c>
      <c r="B3303" t="s">
        <v>155</v>
      </c>
    </row>
    <row r="3304" spans="1:7">
      <c r="A3304" t="s">
        <v>144</v>
      </c>
      <c r="B3304" t="s">
        <v>150</v>
      </c>
      <c r="C3304">
        <v>0.55159199999999997</v>
      </c>
    </row>
    <row r="3305" spans="1:7">
      <c r="A3305" t="s">
        <v>144</v>
      </c>
      <c r="B3305" t="s">
        <v>151</v>
      </c>
      <c r="C3305">
        <v>0.55159199999999997</v>
      </c>
    </row>
    <row r="3306" spans="1:7">
      <c r="A3306" t="s">
        <v>144</v>
      </c>
      <c r="B3306" t="s">
        <v>156</v>
      </c>
      <c r="C3306" t="s">
        <v>157</v>
      </c>
      <c r="D3306" t="s">
        <v>63</v>
      </c>
      <c r="E3306" t="s">
        <v>158</v>
      </c>
      <c r="F3306" t="s">
        <v>159</v>
      </c>
      <c r="G3306" t="s">
        <v>160</v>
      </c>
    </row>
    <row r="3307" spans="1:7">
      <c r="A3307" t="s">
        <v>144</v>
      </c>
      <c r="B3307">
        <v>52</v>
      </c>
      <c r="C3307">
        <v>0</v>
      </c>
      <c r="D3307">
        <v>0.55159199999999997</v>
      </c>
      <c r="E3307">
        <v>-0.49339300000000003</v>
      </c>
      <c r="F3307">
        <v>-1</v>
      </c>
      <c r="G3307">
        <v>-0.49339300000000003</v>
      </c>
    </row>
    <row r="3308" spans="1:7">
      <c r="A3308" t="s">
        <v>144</v>
      </c>
      <c r="B3308">
        <v>52</v>
      </c>
      <c r="C3308">
        <v>1</v>
      </c>
      <c r="D3308">
        <v>0.55159199999999997</v>
      </c>
      <c r="E3308">
        <v>0.329814</v>
      </c>
      <c r="F3308">
        <v>-1</v>
      </c>
      <c r="G3308">
        <v>0.329814</v>
      </c>
    </row>
    <row r="3309" spans="1:7">
      <c r="A3309" t="s">
        <v>144</v>
      </c>
      <c r="B3309">
        <v>52</v>
      </c>
      <c r="C3309">
        <v>2</v>
      </c>
      <c r="D3309">
        <v>0.55159199999999997</v>
      </c>
      <c r="E3309">
        <v>-0.42167399999999999</v>
      </c>
      <c r="F3309">
        <v>-1</v>
      </c>
      <c r="G3309">
        <v>-0.42167399999999999</v>
      </c>
    </row>
    <row r="3310" spans="1:7">
      <c r="A3310" t="s">
        <v>144</v>
      </c>
      <c r="B3310">
        <v>52</v>
      </c>
      <c r="C3310">
        <v>3</v>
      </c>
      <c r="D3310">
        <v>0.55159199999999997</v>
      </c>
      <c r="E3310">
        <v>-0.51652600000000004</v>
      </c>
      <c r="F3310">
        <v>-1</v>
      </c>
      <c r="G3310">
        <v>-0.51652600000000004</v>
      </c>
    </row>
    <row r="3311" spans="1:7">
      <c r="A3311" t="s">
        <v>144</v>
      </c>
      <c r="B3311">
        <v>52</v>
      </c>
      <c r="C3311">
        <v>4</v>
      </c>
      <c r="D3311">
        <v>0.55159199999999997</v>
      </c>
      <c r="E3311">
        <v>-0.50486799999999998</v>
      </c>
      <c r="F3311">
        <v>-1</v>
      </c>
      <c r="G3311">
        <v>-0.50486799999999998</v>
      </c>
    </row>
    <row r="3312" spans="1:7">
      <c r="A3312" t="s">
        <v>144</v>
      </c>
      <c r="B3312">
        <v>52</v>
      </c>
      <c r="C3312">
        <v>5</v>
      </c>
      <c r="D3312">
        <v>0.55159199999999997</v>
      </c>
      <c r="E3312">
        <v>0.115787</v>
      </c>
      <c r="F3312">
        <v>-1</v>
      </c>
      <c r="G3312">
        <v>0.115787</v>
      </c>
    </row>
    <row r="3313" spans="1:7">
      <c r="A3313" t="s">
        <v>144</v>
      </c>
      <c r="B3313">
        <v>52</v>
      </c>
      <c r="C3313">
        <v>6</v>
      </c>
      <c r="D3313">
        <v>0.55159199999999997</v>
      </c>
      <c r="E3313">
        <v>0.59135700000000002</v>
      </c>
      <c r="F3313">
        <v>-1</v>
      </c>
      <c r="G3313">
        <v>0.59135700000000002</v>
      </c>
    </row>
    <row r="3314" spans="1:7">
      <c r="A3314" t="s">
        <v>144</v>
      </c>
      <c r="B3314">
        <v>52</v>
      </c>
      <c r="C3314">
        <v>7</v>
      </c>
      <c r="D3314">
        <v>0.55159199999999997</v>
      </c>
      <c r="E3314">
        <v>0.48246699999999998</v>
      </c>
      <c r="F3314">
        <v>-1</v>
      </c>
      <c r="G3314">
        <v>0.48246699999999998</v>
      </c>
    </row>
    <row r="3315" spans="1:7">
      <c r="A3315" t="s">
        <v>144</v>
      </c>
      <c r="B3315">
        <v>52</v>
      </c>
      <c r="C3315">
        <v>8</v>
      </c>
      <c r="D3315">
        <v>0.55159199999999997</v>
      </c>
      <c r="E3315">
        <v>-0.35209200000000002</v>
      </c>
      <c r="F3315">
        <v>-1</v>
      </c>
      <c r="G3315">
        <v>-0.35209200000000002</v>
      </c>
    </row>
    <row r="3316" spans="1:7">
      <c r="A3316" t="s">
        <v>144</v>
      </c>
      <c r="B3316">
        <v>52</v>
      </c>
      <c r="C3316">
        <v>9</v>
      </c>
      <c r="D3316">
        <v>0.55159199999999997</v>
      </c>
      <c r="E3316">
        <v>0.95376399999999995</v>
      </c>
      <c r="F3316">
        <v>-1</v>
      </c>
      <c r="G3316">
        <v>0.95376399999999995</v>
      </c>
    </row>
    <row r="3317" spans="1:7">
      <c r="A3317" t="s">
        <v>144</v>
      </c>
      <c r="B3317">
        <v>52</v>
      </c>
      <c r="C3317">
        <v>10</v>
      </c>
      <c r="D3317">
        <v>0.55159199999999997</v>
      </c>
      <c r="E3317">
        <v>0.503189</v>
      </c>
      <c r="F3317">
        <v>-1</v>
      </c>
      <c r="G3317">
        <v>0.503189</v>
      </c>
    </row>
    <row r="3318" spans="1:7">
      <c r="A3318" t="s">
        <v>144</v>
      </c>
      <c r="B3318">
        <v>52</v>
      </c>
      <c r="C3318">
        <v>11</v>
      </c>
      <c r="D3318">
        <v>0.55159199999999997</v>
      </c>
      <c r="E3318">
        <v>-9.9978999999999998E-2</v>
      </c>
      <c r="F3318">
        <v>-1</v>
      </c>
      <c r="G3318">
        <v>-9.9978999999999998E-2</v>
      </c>
    </row>
    <row r="3319" spans="1:7">
      <c r="A3319" t="s">
        <v>144</v>
      </c>
      <c r="B3319">
        <v>52</v>
      </c>
      <c r="C3319">
        <v>12</v>
      </c>
      <c r="D3319">
        <v>0.55159199999999997</v>
      </c>
      <c r="E3319">
        <v>-0.31113600000000002</v>
      </c>
      <c r="F3319">
        <v>-1</v>
      </c>
      <c r="G3319">
        <v>-0.31113600000000002</v>
      </c>
    </row>
    <row r="3320" spans="1:7">
      <c r="A3320" t="s">
        <v>144</v>
      </c>
      <c r="B3320">
        <v>52</v>
      </c>
      <c r="C3320">
        <v>13</v>
      </c>
      <c r="D3320">
        <v>0.55159199999999997</v>
      </c>
      <c r="E3320">
        <v>0.52397199999999999</v>
      </c>
      <c r="F3320">
        <v>-1</v>
      </c>
      <c r="G3320">
        <v>0.52397199999999999</v>
      </c>
    </row>
    <row r="3321" spans="1:7">
      <c r="A3321" t="s">
        <v>144</v>
      </c>
      <c r="B3321">
        <v>52</v>
      </c>
      <c r="C3321">
        <v>14</v>
      </c>
      <c r="D3321">
        <v>0.55159199999999997</v>
      </c>
      <c r="E3321">
        <v>3.7872999999999997E-2</v>
      </c>
      <c r="F3321">
        <v>-1</v>
      </c>
      <c r="G3321">
        <v>3.7872999999999997E-2</v>
      </c>
    </row>
    <row r="3322" spans="1:7">
      <c r="A3322" t="s">
        <v>144</v>
      </c>
      <c r="B3322">
        <v>52</v>
      </c>
      <c r="C3322">
        <v>15</v>
      </c>
      <c r="D3322">
        <v>0.55159199999999997</v>
      </c>
      <c r="E3322">
        <v>-0.115421</v>
      </c>
      <c r="F3322">
        <v>-1</v>
      </c>
      <c r="G3322">
        <v>-0.115421</v>
      </c>
    </row>
    <row r="3323" spans="1:7">
      <c r="A3323" t="s">
        <v>144</v>
      </c>
      <c r="B3323">
        <v>52</v>
      </c>
      <c r="C3323">
        <v>16</v>
      </c>
      <c r="D3323">
        <v>0.55159199999999997</v>
      </c>
      <c r="E3323">
        <v>-0.481491</v>
      </c>
      <c r="F3323">
        <v>-1</v>
      </c>
      <c r="G3323">
        <v>-0.481491</v>
      </c>
    </row>
    <row r="3324" spans="1:7">
      <c r="A3324" t="s">
        <v>144</v>
      </c>
      <c r="B3324">
        <v>52</v>
      </c>
      <c r="C3324">
        <v>17</v>
      </c>
      <c r="D3324">
        <v>0.55159199999999997</v>
      </c>
      <c r="E3324">
        <v>-0.16702800000000001</v>
      </c>
      <c r="F3324">
        <v>-1</v>
      </c>
      <c r="G3324">
        <v>-0.16702800000000001</v>
      </c>
    </row>
    <row r="3325" spans="1:7">
      <c r="A3325" t="s">
        <v>144</v>
      </c>
      <c r="B3325">
        <v>52</v>
      </c>
      <c r="C3325">
        <v>18</v>
      </c>
      <c r="D3325">
        <v>0.55159199999999997</v>
      </c>
      <c r="E3325">
        <v>0.26859300000000003</v>
      </c>
      <c r="F3325">
        <v>-1</v>
      </c>
      <c r="G3325">
        <v>0.26859300000000003</v>
      </c>
    </row>
    <row r="3326" spans="1:7">
      <c r="A3326" t="s">
        <v>144</v>
      </c>
      <c r="B3326">
        <v>52</v>
      </c>
      <c r="C3326">
        <v>19</v>
      </c>
      <c r="D3326">
        <v>0.55159199999999997</v>
      </c>
      <c r="E3326">
        <v>-0.257637</v>
      </c>
      <c r="F3326">
        <v>-1</v>
      </c>
      <c r="G3326">
        <v>-0.257637</v>
      </c>
    </row>
    <row r="3327" spans="1:7">
      <c r="A3327" t="s">
        <v>144</v>
      </c>
      <c r="B3327">
        <v>52</v>
      </c>
      <c r="C3327">
        <v>20</v>
      </c>
      <c r="D3327">
        <v>0.55159199999999997</v>
      </c>
      <c r="E3327">
        <v>5.5482999999999998E-2</v>
      </c>
      <c r="F3327">
        <v>-1</v>
      </c>
      <c r="G3327">
        <v>5.5482999999999998E-2</v>
      </c>
    </row>
    <row r="3328" spans="1:7">
      <c r="A3328" t="s">
        <v>144</v>
      </c>
      <c r="B3328">
        <v>52</v>
      </c>
      <c r="C3328">
        <v>21</v>
      </c>
      <c r="D3328">
        <v>0.55159199999999997</v>
      </c>
      <c r="E3328">
        <v>-0.30961</v>
      </c>
      <c r="F3328">
        <v>-1</v>
      </c>
      <c r="G3328">
        <v>-0.30961</v>
      </c>
    </row>
    <row r="3329" spans="1:7">
      <c r="A3329" t="s">
        <v>144</v>
      </c>
      <c r="B3329">
        <v>52</v>
      </c>
      <c r="C3329">
        <v>22</v>
      </c>
      <c r="D3329">
        <v>0.55159199999999997</v>
      </c>
      <c r="E3329">
        <v>0.29306900000000002</v>
      </c>
      <c r="F3329">
        <v>-1</v>
      </c>
      <c r="G3329">
        <v>0.29306900000000002</v>
      </c>
    </row>
    <row r="3330" spans="1:7">
      <c r="A3330" t="s">
        <v>144</v>
      </c>
      <c r="B3330">
        <v>52</v>
      </c>
      <c r="C3330">
        <v>23</v>
      </c>
      <c r="D3330">
        <v>0.55159199999999997</v>
      </c>
      <c r="E3330">
        <v>-0.72624900000000003</v>
      </c>
      <c r="F3330">
        <v>-1</v>
      </c>
      <c r="G3330">
        <v>-0.72624900000000003</v>
      </c>
    </row>
    <row r="3331" spans="1:7">
      <c r="A3331" t="s">
        <v>144</v>
      </c>
      <c r="B3331">
        <v>52</v>
      </c>
      <c r="C3331">
        <v>24</v>
      </c>
      <c r="D3331">
        <v>0.55159199999999997</v>
      </c>
      <c r="E3331">
        <v>-0.71297299999999997</v>
      </c>
      <c r="F3331">
        <v>-1</v>
      </c>
      <c r="G3331">
        <v>-0.71297299999999997</v>
      </c>
    </row>
    <row r="3332" spans="1:7">
      <c r="A3332" t="s">
        <v>144</v>
      </c>
      <c r="B3332">
        <v>52</v>
      </c>
      <c r="C3332">
        <v>25</v>
      </c>
      <c r="D3332">
        <v>0.55159199999999997</v>
      </c>
      <c r="E3332">
        <v>1.5228999999999999E-2</v>
      </c>
      <c r="F3332">
        <v>-1</v>
      </c>
      <c r="G3332">
        <v>1.5228999999999999E-2</v>
      </c>
    </row>
    <row r="3333" spans="1:7">
      <c r="A3333" t="s">
        <v>144</v>
      </c>
      <c r="B3333">
        <v>52</v>
      </c>
      <c r="C3333">
        <v>26</v>
      </c>
      <c r="D3333">
        <v>0.55159199999999997</v>
      </c>
      <c r="E3333">
        <v>0.190497</v>
      </c>
      <c r="F3333">
        <v>-1</v>
      </c>
      <c r="G3333">
        <v>0.190497</v>
      </c>
    </row>
    <row r="3334" spans="1:7">
      <c r="A3334" t="s">
        <v>144</v>
      </c>
      <c r="B3334">
        <v>52</v>
      </c>
      <c r="C3334">
        <v>27</v>
      </c>
      <c r="D3334">
        <v>0.55159199999999997</v>
      </c>
      <c r="E3334">
        <v>0.80504799999999999</v>
      </c>
      <c r="F3334">
        <v>-1</v>
      </c>
      <c r="G3334">
        <v>0.80504799999999999</v>
      </c>
    </row>
    <row r="3335" spans="1:7">
      <c r="A3335" t="s">
        <v>144</v>
      </c>
      <c r="B3335">
        <v>52</v>
      </c>
      <c r="C3335">
        <v>28</v>
      </c>
      <c r="D3335">
        <v>0.55159199999999997</v>
      </c>
      <c r="E3335">
        <v>-0.14069000000000001</v>
      </c>
      <c r="F3335">
        <v>-1</v>
      </c>
      <c r="G3335">
        <v>-0.14069000000000001</v>
      </c>
    </row>
    <row r="3336" spans="1:7">
      <c r="A3336" t="s">
        <v>144</v>
      </c>
      <c r="B3336">
        <v>52</v>
      </c>
      <c r="C3336">
        <v>29</v>
      </c>
      <c r="D3336">
        <v>0.55159199999999997</v>
      </c>
      <c r="E3336">
        <v>-0.65996299999999997</v>
      </c>
      <c r="F3336">
        <v>0.456374</v>
      </c>
      <c r="G3336">
        <v>-0.159388</v>
      </c>
    </row>
    <row r="3337" spans="1:7">
      <c r="A3337" t="s">
        <v>144</v>
      </c>
      <c r="B3337">
        <v>52</v>
      </c>
      <c r="C3337">
        <v>30</v>
      </c>
      <c r="D3337">
        <v>0.55159199999999997</v>
      </c>
      <c r="E3337">
        <v>0.103824</v>
      </c>
      <c r="F3337">
        <v>0.26392399999999999</v>
      </c>
      <c r="G3337">
        <v>0.17561399999999999</v>
      </c>
    </row>
    <row r="3338" spans="1:7">
      <c r="A3338" t="s">
        <v>144</v>
      </c>
      <c r="B3338">
        <v>52</v>
      </c>
      <c r="C3338">
        <v>31</v>
      </c>
      <c r="D3338">
        <v>0.55159199999999997</v>
      </c>
      <c r="E3338">
        <v>0.60017699999999996</v>
      </c>
      <c r="F3338">
        <v>-0.478744</v>
      </c>
      <c r="G3338">
        <v>0.11638</v>
      </c>
    </row>
    <row r="3339" spans="1:7">
      <c r="A3339" t="s">
        <v>144</v>
      </c>
      <c r="B3339">
        <v>52</v>
      </c>
      <c r="C3339">
        <v>32</v>
      </c>
      <c r="D3339">
        <v>0.55159199999999997</v>
      </c>
      <c r="E3339">
        <v>0.67690099999999997</v>
      </c>
      <c r="F3339">
        <v>-9.3417E-2</v>
      </c>
      <c r="G3339">
        <v>0.331484</v>
      </c>
    </row>
    <row r="3340" spans="1:7">
      <c r="A3340" t="s">
        <v>144</v>
      </c>
      <c r="B3340">
        <v>52</v>
      </c>
      <c r="C3340">
        <v>33</v>
      </c>
      <c r="D3340">
        <v>0.55159199999999997</v>
      </c>
      <c r="E3340">
        <v>-0.73332900000000001</v>
      </c>
      <c r="F3340">
        <v>-0.19925499999999999</v>
      </c>
      <c r="G3340">
        <v>-0.49384600000000001</v>
      </c>
    </row>
    <row r="3341" spans="1:7">
      <c r="A3341" t="s">
        <v>144</v>
      </c>
      <c r="B3341">
        <v>52</v>
      </c>
      <c r="C3341">
        <v>34</v>
      </c>
      <c r="D3341">
        <v>0.55159199999999997</v>
      </c>
      <c r="E3341">
        <v>-0.44654700000000003</v>
      </c>
      <c r="F3341">
        <v>-0.288491</v>
      </c>
      <c r="G3341">
        <v>-0.37567299999999998</v>
      </c>
    </row>
    <row r="3342" spans="1:7">
      <c r="A3342" t="s">
        <v>144</v>
      </c>
      <c r="B3342">
        <v>52</v>
      </c>
      <c r="C3342">
        <v>35</v>
      </c>
      <c r="D3342">
        <v>0.55159199999999997</v>
      </c>
      <c r="E3342">
        <v>-0.90349999999999997</v>
      </c>
      <c r="F3342">
        <v>7.6144000000000003E-2</v>
      </c>
      <c r="G3342">
        <v>-0.46422000000000002</v>
      </c>
    </row>
    <row r="3343" spans="1:7">
      <c r="A3343" t="s">
        <v>144</v>
      </c>
      <c r="B3343">
        <v>52</v>
      </c>
      <c r="C3343">
        <v>36</v>
      </c>
      <c r="D3343">
        <v>0.55159199999999997</v>
      </c>
      <c r="E3343">
        <v>8.0782000000000007E-2</v>
      </c>
      <c r="F3343">
        <v>0.81035800000000002</v>
      </c>
      <c r="G3343">
        <v>0.40793000000000001</v>
      </c>
    </row>
    <row r="3344" spans="1:7">
      <c r="A3344" t="s">
        <v>144</v>
      </c>
      <c r="B3344">
        <v>52</v>
      </c>
      <c r="C3344">
        <v>37</v>
      </c>
      <c r="D3344">
        <v>0.55159199999999997</v>
      </c>
      <c r="E3344">
        <v>0.76406099999999999</v>
      </c>
      <c r="F3344">
        <v>0.292184</v>
      </c>
      <c r="G3344">
        <v>0.55246799999999996</v>
      </c>
    </row>
    <row r="3345" spans="1:7">
      <c r="A3345" t="s">
        <v>144</v>
      </c>
      <c r="B3345">
        <v>52</v>
      </c>
      <c r="C3345">
        <v>38</v>
      </c>
      <c r="D3345">
        <v>0.55159199999999997</v>
      </c>
      <c r="E3345">
        <v>0.23477899999999999</v>
      </c>
      <c r="F3345">
        <v>9.3691999999999998E-2</v>
      </c>
      <c r="G3345">
        <v>0.171514</v>
      </c>
    </row>
    <row r="3346" spans="1:7">
      <c r="A3346" t="s">
        <v>144</v>
      </c>
      <c r="B3346">
        <v>52</v>
      </c>
      <c r="C3346">
        <v>39</v>
      </c>
      <c r="D3346">
        <v>0.55159199999999997</v>
      </c>
      <c r="E3346">
        <v>-0.180731</v>
      </c>
      <c r="F3346">
        <v>0.87044900000000003</v>
      </c>
      <c r="G3346">
        <v>0.29062700000000002</v>
      </c>
    </row>
    <row r="3347" spans="1:7">
      <c r="A3347" t="s">
        <v>144</v>
      </c>
      <c r="B3347">
        <v>52</v>
      </c>
      <c r="C3347">
        <v>40</v>
      </c>
      <c r="D3347">
        <v>0.55159199999999997</v>
      </c>
      <c r="E3347">
        <v>-0.42729</v>
      </c>
      <c r="F3347">
        <v>0.33948800000000001</v>
      </c>
      <c r="G3347">
        <v>-8.3460000000000006E-2</v>
      </c>
    </row>
    <row r="3348" spans="1:7">
      <c r="A3348" t="s">
        <v>144</v>
      </c>
      <c r="B3348">
        <v>52</v>
      </c>
      <c r="C3348">
        <v>41</v>
      </c>
      <c r="D3348">
        <v>0.55159199999999997</v>
      </c>
      <c r="E3348">
        <v>0.37080000000000002</v>
      </c>
      <c r="F3348">
        <v>-0.55778700000000003</v>
      </c>
      <c r="G3348">
        <v>-4.5586000000000002E-2</v>
      </c>
    </row>
    <row r="3349" spans="1:7">
      <c r="A3349" t="s">
        <v>144</v>
      </c>
      <c r="B3349">
        <v>52</v>
      </c>
      <c r="C3349">
        <v>42</v>
      </c>
      <c r="D3349">
        <v>0.55159199999999997</v>
      </c>
      <c r="E3349">
        <v>-0.54442000000000002</v>
      </c>
      <c r="F3349">
        <v>0.71565900000000005</v>
      </c>
      <c r="G3349">
        <v>2.061E-2</v>
      </c>
    </row>
    <row r="3350" spans="1:7">
      <c r="A3350" t="s">
        <v>144</v>
      </c>
      <c r="B3350">
        <v>52</v>
      </c>
      <c r="C3350">
        <v>43</v>
      </c>
      <c r="D3350">
        <v>0.55159199999999997</v>
      </c>
      <c r="E3350">
        <v>0.68498800000000004</v>
      </c>
      <c r="F3350">
        <v>-0.882046</v>
      </c>
      <c r="G3350">
        <v>-1.7683000000000001E-2</v>
      </c>
    </row>
    <row r="3351" spans="1:7">
      <c r="A3351" t="s">
        <v>144</v>
      </c>
      <c r="B3351">
        <v>52</v>
      </c>
      <c r="C3351">
        <v>44</v>
      </c>
      <c r="D3351">
        <v>0.55159199999999997</v>
      </c>
      <c r="E3351">
        <v>0.126225</v>
      </c>
      <c r="F3351">
        <v>-0.122349</v>
      </c>
      <c r="G3351">
        <v>1.4762000000000001E-2</v>
      </c>
    </row>
    <row r="3352" spans="1:7">
      <c r="A3352" t="s">
        <v>144</v>
      </c>
      <c r="B3352">
        <v>52</v>
      </c>
      <c r="C3352">
        <v>45</v>
      </c>
      <c r="D3352">
        <v>0.55159199999999997</v>
      </c>
      <c r="E3352">
        <v>0.43803199999999998</v>
      </c>
      <c r="F3352">
        <v>0.28940700000000003</v>
      </c>
      <c r="G3352">
        <v>0.37138700000000002</v>
      </c>
    </row>
    <row r="3353" spans="1:7">
      <c r="A3353" t="s">
        <v>144</v>
      </c>
      <c r="B3353">
        <v>52</v>
      </c>
      <c r="C3353">
        <v>46</v>
      </c>
      <c r="D3353">
        <v>0.55159199999999997</v>
      </c>
      <c r="E3353">
        <v>-9.3020000000000005E-2</v>
      </c>
      <c r="F3353">
        <v>-0.67793800000000004</v>
      </c>
      <c r="G3353">
        <v>-0.35530200000000001</v>
      </c>
    </row>
    <row r="3354" spans="1:7">
      <c r="A3354" t="s">
        <v>144</v>
      </c>
      <c r="B3354">
        <v>52</v>
      </c>
      <c r="C3354">
        <v>47</v>
      </c>
      <c r="D3354">
        <v>0.55159199999999997</v>
      </c>
      <c r="E3354">
        <v>0.694693</v>
      </c>
      <c r="F3354">
        <v>0.76815100000000003</v>
      </c>
      <c r="G3354">
        <v>0.72763199999999995</v>
      </c>
    </row>
    <row r="3355" spans="1:7">
      <c r="A3355" t="s">
        <v>144</v>
      </c>
      <c r="B3355">
        <v>52</v>
      </c>
      <c r="C3355">
        <v>48</v>
      </c>
      <c r="D3355">
        <v>0.55159199999999997</v>
      </c>
      <c r="E3355">
        <v>-6.7141000000000006E-2</v>
      </c>
      <c r="F3355">
        <v>-0.58189599999999997</v>
      </c>
      <c r="G3355">
        <v>-0.297962</v>
      </c>
    </row>
    <row r="3356" spans="1:7">
      <c r="A3356" t="s">
        <v>144</v>
      </c>
      <c r="B3356">
        <v>52</v>
      </c>
      <c r="C3356">
        <v>49</v>
      </c>
      <c r="D3356">
        <v>0.55159199999999997</v>
      </c>
      <c r="E3356">
        <v>-0.41660799999999998</v>
      </c>
      <c r="F3356">
        <v>0.86465000000000003</v>
      </c>
      <c r="G3356">
        <v>0.157919</v>
      </c>
    </row>
    <row r="3357" spans="1:7">
      <c r="A3357" t="s">
        <v>144</v>
      </c>
      <c r="B3357" t="s">
        <v>145</v>
      </c>
      <c r="C3357">
        <v>53</v>
      </c>
    </row>
    <row r="3358" spans="1:7">
      <c r="A3358" t="s">
        <v>144</v>
      </c>
      <c r="B3358" t="s">
        <v>146</v>
      </c>
      <c r="C3358">
        <v>76</v>
      </c>
    </row>
    <row r="3359" spans="1:7">
      <c r="A3359" t="s">
        <v>144</v>
      </c>
      <c r="B3359" t="s">
        <v>147</v>
      </c>
      <c r="C3359">
        <v>76</v>
      </c>
    </row>
    <row r="3360" spans="1:7">
      <c r="A3360" t="s">
        <v>144</v>
      </c>
      <c r="B3360" t="s">
        <v>148</v>
      </c>
      <c r="C3360">
        <v>0.43733</v>
      </c>
    </row>
    <row r="3361" spans="1:7">
      <c r="A3361" t="s">
        <v>144</v>
      </c>
      <c r="B3361" t="s">
        <v>149</v>
      </c>
      <c r="C3361">
        <v>0.43733</v>
      </c>
    </row>
    <row r="3362" spans="1:7">
      <c r="A3362" t="s">
        <v>144</v>
      </c>
      <c r="B3362" t="s">
        <v>150</v>
      </c>
      <c r="C3362">
        <v>-1</v>
      </c>
    </row>
    <row r="3363" spans="1:7">
      <c r="A3363" t="s">
        <v>144</v>
      </c>
      <c r="B3363" t="s">
        <v>151</v>
      </c>
      <c r="C3363">
        <v>-1</v>
      </c>
    </row>
    <row r="3364" spans="1:7">
      <c r="A3364" t="s">
        <v>144</v>
      </c>
      <c r="B3364" t="s">
        <v>152</v>
      </c>
      <c r="C3364">
        <v>27</v>
      </c>
    </row>
    <row r="3365" spans="1:7">
      <c r="A3365" t="s">
        <v>144</v>
      </c>
      <c r="B3365" t="s">
        <v>153</v>
      </c>
      <c r="C3365">
        <v>27</v>
      </c>
    </row>
    <row r="3366" spans="1:7">
      <c r="A3366" t="s">
        <v>144</v>
      </c>
      <c r="B3366" t="s">
        <v>154</v>
      </c>
      <c r="C3366">
        <v>0</v>
      </c>
    </row>
    <row r="3367" spans="1:7">
      <c r="A3367" t="s">
        <v>144</v>
      </c>
      <c r="B3367" t="s">
        <v>155</v>
      </c>
    </row>
    <row r="3368" spans="1:7">
      <c r="A3368" t="s">
        <v>144</v>
      </c>
      <c r="B3368" t="s">
        <v>150</v>
      </c>
      <c r="C3368">
        <v>8.4231E-2</v>
      </c>
    </row>
    <row r="3369" spans="1:7">
      <c r="A3369" t="s">
        <v>144</v>
      </c>
      <c r="B3369" t="s">
        <v>151</v>
      </c>
      <c r="C3369">
        <v>8.4231E-2</v>
      </c>
    </row>
    <row r="3370" spans="1:7">
      <c r="A3370" t="s">
        <v>144</v>
      </c>
      <c r="B3370" t="s">
        <v>156</v>
      </c>
      <c r="C3370" t="s">
        <v>157</v>
      </c>
      <c r="D3370" t="s">
        <v>63</v>
      </c>
      <c r="E3370" t="s">
        <v>158</v>
      </c>
      <c r="F3370" t="s">
        <v>159</v>
      </c>
      <c r="G3370" t="s">
        <v>160</v>
      </c>
    </row>
    <row r="3371" spans="1:7">
      <c r="A3371" t="s">
        <v>144</v>
      </c>
      <c r="B3371">
        <v>53</v>
      </c>
      <c r="C3371">
        <v>0</v>
      </c>
      <c r="D3371">
        <v>8.4231E-2</v>
      </c>
      <c r="E3371">
        <v>-0.35282400000000003</v>
      </c>
      <c r="F3371">
        <v>-1</v>
      </c>
      <c r="G3371">
        <v>-0.35282400000000003</v>
      </c>
    </row>
    <row r="3372" spans="1:7">
      <c r="A3372" t="s">
        <v>144</v>
      </c>
      <c r="B3372">
        <v>53</v>
      </c>
      <c r="C3372">
        <v>1</v>
      </c>
      <c r="D3372">
        <v>8.4231E-2</v>
      </c>
      <c r="E3372">
        <v>6.2197000000000002E-2</v>
      </c>
      <c r="F3372">
        <v>-1</v>
      </c>
      <c r="G3372">
        <v>6.2197000000000002E-2</v>
      </c>
    </row>
    <row r="3373" spans="1:7">
      <c r="A3373" t="s">
        <v>144</v>
      </c>
      <c r="B3373">
        <v>53</v>
      </c>
      <c r="C3373">
        <v>2</v>
      </c>
      <c r="D3373">
        <v>8.4231E-2</v>
      </c>
      <c r="E3373">
        <v>1.3153E-2</v>
      </c>
      <c r="F3373">
        <v>-1</v>
      </c>
      <c r="G3373">
        <v>1.3153E-2</v>
      </c>
    </row>
    <row r="3374" spans="1:7">
      <c r="A3374" t="s">
        <v>144</v>
      </c>
      <c r="B3374">
        <v>53</v>
      </c>
      <c r="C3374">
        <v>3</v>
      </c>
      <c r="D3374">
        <v>8.4231E-2</v>
      </c>
      <c r="E3374">
        <v>4.9013000000000001E-2</v>
      </c>
      <c r="F3374">
        <v>-1</v>
      </c>
      <c r="G3374">
        <v>4.9013000000000001E-2</v>
      </c>
    </row>
    <row r="3375" spans="1:7">
      <c r="A3375" t="s">
        <v>144</v>
      </c>
      <c r="B3375">
        <v>53</v>
      </c>
      <c r="C3375">
        <v>4</v>
      </c>
      <c r="D3375">
        <v>8.4231E-2</v>
      </c>
      <c r="E3375">
        <v>-7.6509999999999995E-2</v>
      </c>
      <c r="F3375">
        <v>-1</v>
      </c>
      <c r="G3375">
        <v>-7.6509999999999995E-2</v>
      </c>
    </row>
    <row r="3376" spans="1:7">
      <c r="A3376" t="s">
        <v>144</v>
      </c>
      <c r="B3376">
        <v>53</v>
      </c>
      <c r="C3376">
        <v>5</v>
      </c>
      <c r="D3376">
        <v>8.4231E-2</v>
      </c>
      <c r="E3376">
        <v>0.359844</v>
      </c>
      <c r="F3376">
        <v>-1</v>
      </c>
      <c r="G3376">
        <v>0.359844</v>
      </c>
    </row>
    <row r="3377" spans="1:7">
      <c r="A3377" t="s">
        <v>144</v>
      </c>
      <c r="B3377">
        <v>53</v>
      </c>
      <c r="C3377">
        <v>6</v>
      </c>
      <c r="D3377">
        <v>8.4231E-2</v>
      </c>
      <c r="E3377">
        <v>-0.45490900000000001</v>
      </c>
      <c r="F3377">
        <v>-1</v>
      </c>
      <c r="G3377">
        <v>-0.45490900000000001</v>
      </c>
    </row>
    <row r="3378" spans="1:7">
      <c r="A3378" t="s">
        <v>144</v>
      </c>
      <c r="B3378">
        <v>53</v>
      </c>
      <c r="C3378">
        <v>7</v>
      </c>
      <c r="D3378">
        <v>8.4231E-2</v>
      </c>
      <c r="E3378">
        <v>-0.21985499999999999</v>
      </c>
      <c r="F3378">
        <v>-1</v>
      </c>
      <c r="G3378">
        <v>-0.21985499999999999</v>
      </c>
    </row>
    <row r="3379" spans="1:7">
      <c r="A3379" t="s">
        <v>144</v>
      </c>
      <c r="B3379">
        <v>53</v>
      </c>
      <c r="C3379">
        <v>8</v>
      </c>
      <c r="D3379">
        <v>8.4231E-2</v>
      </c>
      <c r="E3379">
        <v>0.32392300000000002</v>
      </c>
      <c r="F3379">
        <v>-1</v>
      </c>
      <c r="G3379">
        <v>0.32392300000000002</v>
      </c>
    </row>
    <row r="3380" spans="1:7">
      <c r="A3380" t="s">
        <v>144</v>
      </c>
      <c r="B3380">
        <v>53</v>
      </c>
      <c r="C3380">
        <v>9</v>
      </c>
      <c r="D3380">
        <v>8.4231E-2</v>
      </c>
      <c r="E3380">
        <v>-0.553728</v>
      </c>
      <c r="F3380">
        <v>-1</v>
      </c>
      <c r="G3380">
        <v>-0.553728</v>
      </c>
    </row>
    <row r="3381" spans="1:7">
      <c r="A3381" t="s">
        <v>144</v>
      </c>
      <c r="B3381">
        <v>53</v>
      </c>
      <c r="C3381">
        <v>10</v>
      </c>
      <c r="D3381">
        <v>8.4231E-2</v>
      </c>
      <c r="E3381">
        <v>0.108524</v>
      </c>
      <c r="F3381">
        <v>-1</v>
      </c>
      <c r="G3381">
        <v>0.108524</v>
      </c>
    </row>
    <row r="3382" spans="1:7">
      <c r="A3382" t="s">
        <v>144</v>
      </c>
      <c r="B3382">
        <v>53</v>
      </c>
      <c r="C3382">
        <v>11</v>
      </c>
      <c r="D3382">
        <v>8.4231E-2</v>
      </c>
      <c r="E3382">
        <v>0.10943899999999999</v>
      </c>
      <c r="F3382">
        <v>-1</v>
      </c>
      <c r="G3382">
        <v>0.10943899999999999</v>
      </c>
    </row>
    <row r="3383" spans="1:7">
      <c r="A3383" t="s">
        <v>144</v>
      </c>
      <c r="B3383">
        <v>53</v>
      </c>
      <c r="C3383">
        <v>12</v>
      </c>
      <c r="D3383">
        <v>8.4231E-2</v>
      </c>
      <c r="E3383">
        <v>-0.84618700000000002</v>
      </c>
      <c r="F3383">
        <v>-1</v>
      </c>
      <c r="G3383">
        <v>-0.84618700000000002</v>
      </c>
    </row>
    <row r="3384" spans="1:7">
      <c r="A3384" t="s">
        <v>144</v>
      </c>
      <c r="B3384">
        <v>53</v>
      </c>
      <c r="C3384">
        <v>13</v>
      </c>
      <c r="D3384">
        <v>8.4231E-2</v>
      </c>
      <c r="E3384">
        <v>0.97448699999999999</v>
      </c>
      <c r="F3384">
        <v>-1</v>
      </c>
      <c r="G3384">
        <v>0.97448699999999999</v>
      </c>
    </row>
    <row r="3385" spans="1:7">
      <c r="A3385" t="s">
        <v>144</v>
      </c>
      <c r="B3385">
        <v>53</v>
      </c>
      <c r="C3385">
        <v>14</v>
      </c>
      <c r="D3385">
        <v>8.4231E-2</v>
      </c>
      <c r="E3385">
        <v>-8.2674999999999998E-2</v>
      </c>
      <c r="F3385">
        <v>-1</v>
      </c>
      <c r="G3385">
        <v>-8.2674999999999998E-2</v>
      </c>
    </row>
    <row r="3386" spans="1:7">
      <c r="A3386" t="s">
        <v>144</v>
      </c>
      <c r="B3386">
        <v>53</v>
      </c>
      <c r="C3386">
        <v>15</v>
      </c>
      <c r="D3386">
        <v>8.4231E-2</v>
      </c>
      <c r="E3386">
        <v>-0.89083500000000004</v>
      </c>
      <c r="F3386">
        <v>-1</v>
      </c>
      <c r="G3386">
        <v>-0.89083500000000004</v>
      </c>
    </row>
    <row r="3387" spans="1:7">
      <c r="A3387" t="s">
        <v>144</v>
      </c>
      <c r="B3387">
        <v>53</v>
      </c>
      <c r="C3387">
        <v>16</v>
      </c>
      <c r="D3387">
        <v>8.4231E-2</v>
      </c>
      <c r="E3387">
        <v>0.95803700000000003</v>
      </c>
      <c r="F3387">
        <v>-1</v>
      </c>
      <c r="G3387">
        <v>0.95803700000000003</v>
      </c>
    </row>
    <row r="3388" spans="1:7">
      <c r="A3388" t="s">
        <v>144</v>
      </c>
      <c r="B3388">
        <v>53</v>
      </c>
      <c r="C3388">
        <v>17</v>
      </c>
      <c r="D3388">
        <v>8.4231E-2</v>
      </c>
      <c r="E3388">
        <v>0.27515499999999998</v>
      </c>
      <c r="F3388">
        <v>-1</v>
      </c>
      <c r="G3388">
        <v>0.27515499999999998</v>
      </c>
    </row>
    <row r="3389" spans="1:7">
      <c r="A3389" t="s">
        <v>144</v>
      </c>
      <c r="B3389">
        <v>53</v>
      </c>
      <c r="C3389">
        <v>18</v>
      </c>
      <c r="D3389">
        <v>8.4231E-2</v>
      </c>
      <c r="E3389">
        <v>0.63747100000000001</v>
      </c>
      <c r="F3389">
        <v>-1</v>
      </c>
      <c r="G3389">
        <v>0.63747100000000001</v>
      </c>
    </row>
    <row r="3390" spans="1:7">
      <c r="A3390" t="s">
        <v>144</v>
      </c>
      <c r="B3390">
        <v>53</v>
      </c>
      <c r="C3390">
        <v>19</v>
      </c>
      <c r="D3390">
        <v>8.4231E-2</v>
      </c>
      <c r="E3390">
        <v>0.350352</v>
      </c>
      <c r="F3390">
        <v>-1</v>
      </c>
      <c r="G3390">
        <v>0.350352</v>
      </c>
    </row>
    <row r="3391" spans="1:7">
      <c r="A3391" t="s">
        <v>144</v>
      </c>
      <c r="B3391">
        <v>53</v>
      </c>
      <c r="C3391">
        <v>20</v>
      </c>
      <c r="D3391">
        <v>8.4231E-2</v>
      </c>
      <c r="E3391">
        <v>0.744865</v>
      </c>
      <c r="F3391">
        <v>-1</v>
      </c>
      <c r="G3391">
        <v>0.744865</v>
      </c>
    </row>
    <row r="3392" spans="1:7">
      <c r="A3392" t="s">
        <v>144</v>
      </c>
      <c r="B3392">
        <v>53</v>
      </c>
      <c r="C3392">
        <v>21</v>
      </c>
      <c r="D3392">
        <v>8.4231E-2</v>
      </c>
      <c r="E3392">
        <v>-0.29444300000000001</v>
      </c>
      <c r="F3392">
        <v>-1</v>
      </c>
      <c r="G3392">
        <v>-0.29444300000000001</v>
      </c>
    </row>
    <row r="3393" spans="1:7">
      <c r="A3393" t="s">
        <v>144</v>
      </c>
      <c r="B3393">
        <v>53</v>
      </c>
      <c r="C3393">
        <v>22</v>
      </c>
      <c r="D3393">
        <v>8.4231E-2</v>
      </c>
      <c r="E3393">
        <v>0.95406999999999997</v>
      </c>
      <c r="F3393">
        <v>-1</v>
      </c>
      <c r="G3393">
        <v>0.95406999999999997</v>
      </c>
    </row>
    <row r="3394" spans="1:7">
      <c r="A3394" t="s">
        <v>144</v>
      </c>
      <c r="B3394">
        <v>53</v>
      </c>
      <c r="C3394">
        <v>23</v>
      </c>
      <c r="D3394">
        <v>8.4231E-2</v>
      </c>
      <c r="E3394">
        <v>0.81362299999999999</v>
      </c>
      <c r="F3394">
        <v>-1</v>
      </c>
      <c r="G3394">
        <v>0.81362299999999999</v>
      </c>
    </row>
    <row r="3395" spans="1:7">
      <c r="A3395" t="s">
        <v>144</v>
      </c>
      <c r="B3395">
        <v>53</v>
      </c>
      <c r="C3395">
        <v>24</v>
      </c>
      <c r="D3395">
        <v>8.4231E-2</v>
      </c>
      <c r="E3395">
        <v>-0.39472600000000002</v>
      </c>
      <c r="F3395">
        <v>-1</v>
      </c>
      <c r="G3395">
        <v>-0.39472600000000002</v>
      </c>
    </row>
    <row r="3396" spans="1:7">
      <c r="A3396" t="s">
        <v>144</v>
      </c>
      <c r="B3396">
        <v>53</v>
      </c>
      <c r="C3396">
        <v>25</v>
      </c>
      <c r="D3396">
        <v>8.4231E-2</v>
      </c>
      <c r="E3396">
        <v>-4.5014999999999999E-2</v>
      </c>
      <c r="F3396">
        <v>-1</v>
      </c>
      <c r="G3396">
        <v>-4.5014999999999999E-2</v>
      </c>
    </row>
    <row r="3397" spans="1:7">
      <c r="A3397" t="s">
        <v>144</v>
      </c>
      <c r="B3397">
        <v>53</v>
      </c>
      <c r="C3397">
        <v>26</v>
      </c>
      <c r="D3397">
        <v>8.4231E-2</v>
      </c>
      <c r="E3397">
        <v>-2.9083999999999999E-2</v>
      </c>
      <c r="F3397">
        <v>-1</v>
      </c>
      <c r="G3397">
        <v>-2.9083999999999999E-2</v>
      </c>
    </row>
    <row r="3398" spans="1:7">
      <c r="A3398" t="s">
        <v>144</v>
      </c>
      <c r="B3398">
        <v>53</v>
      </c>
      <c r="C3398">
        <v>27</v>
      </c>
      <c r="D3398">
        <v>8.4231E-2</v>
      </c>
      <c r="E3398">
        <v>-0.19617299999999999</v>
      </c>
      <c r="F3398">
        <v>-3.6930000000000001E-3</v>
      </c>
      <c r="G3398">
        <v>-1.9906E-2</v>
      </c>
    </row>
    <row r="3399" spans="1:7">
      <c r="A3399" t="s">
        <v>144</v>
      </c>
      <c r="B3399">
        <v>53</v>
      </c>
      <c r="C3399">
        <v>28</v>
      </c>
      <c r="D3399">
        <v>8.4231E-2</v>
      </c>
      <c r="E3399">
        <v>0.65532400000000002</v>
      </c>
      <c r="F3399">
        <v>0.89565700000000004</v>
      </c>
      <c r="G3399">
        <v>0.87541400000000003</v>
      </c>
    </row>
    <row r="3400" spans="1:7">
      <c r="A3400" t="s">
        <v>144</v>
      </c>
      <c r="B3400">
        <v>53</v>
      </c>
      <c r="C3400">
        <v>29</v>
      </c>
      <c r="D3400">
        <v>8.4231E-2</v>
      </c>
      <c r="E3400">
        <v>0.82677699999999998</v>
      </c>
      <c r="F3400">
        <v>0.86675599999999997</v>
      </c>
      <c r="G3400">
        <v>0.86338899999999996</v>
      </c>
    </row>
    <row r="3401" spans="1:7">
      <c r="A3401" t="s">
        <v>144</v>
      </c>
      <c r="B3401">
        <v>53</v>
      </c>
      <c r="C3401">
        <v>30</v>
      </c>
      <c r="D3401">
        <v>8.4231E-2</v>
      </c>
      <c r="E3401">
        <v>0.69438800000000001</v>
      </c>
      <c r="F3401">
        <v>-7.4556999999999998E-2</v>
      </c>
      <c r="G3401">
        <v>-9.7879999999999998E-3</v>
      </c>
    </row>
    <row r="3402" spans="1:7">
      <c r="A3402" t="s">
        <v>144</v>
      </c>
      <c r="B3402">
        <v>53</v>
      </c>
      <c r="C3402">
        <v>31</v>
      </c>
      <c r="D3402">
        <v>8.4231E-2</v>
      </c>
      <c r="E3402">
        <v>-0.17932699999999999</v>
      </c>
      <c r="F3402">
        <v>-0.90887200000000001</v>
      </c>
      <c r="G3402">
        <v>-0.84742099999999998</v>
      </c>
    </row>
    <row r="3403" spans="1:7">
      <c r="A3403" t="s">
        <v>144</v>
      </c>
      <c r="B3403">
        <v>53</v>
      </c>
      <c r="C3403">
        <v>32</v>
      </c>
      <c r="D3403">
        <v>8.4231E-2</v>
      </c>
      <c r="E3403">
        <v>-0.41615000000000002</v>
      </c>
      <c r="F3403">
        <v>0.87823099999999998</v>
      </c>
      <c r="G3403">
        <v>0.769204</v>
      </c>
    </row>
    <row r="3404" spans="1:7">
      <c r="A3404" t="s">
        <v>144</v>
      </c>
      <c r="B3404">
        <v>53</v>
      </c>
      <c r="C3404">
        <v>33</v>
      </c>
      <c r="D3404">
        <v>8.4231E-2</v>
      </c>
      <c r="E3404">
        <v>0.46504099999999998</v>
      </c>
      <c r="F3404">
        <v>-0.81548500000000002</v>
      </c>
      <c r="G3404">
        <v>-0.70762499999999995</v>
      </c>
    </row>
    <row r="3405" spans="1:7">
      <c r="A3405" t="s">
        <v>144</v>
      </c>
      <c r="B3405">
        <v>53</v>
      </c>
      <c r="C3405">
        <v>34</v>
      </c>
      <c r="D3405">
        <v>8.4231E-2</v>
      </c>
      <c r="E3405">
        <v>-0.76131499999999996</v>
      </c>
      <c r="F3405">
        <v>0.76552600000000004</v>
      </c>
      <c r="G3405">
        <v>0.63691900000000001</v>
      </c>
    </row>
    <row r="3406" spans="1:7">
      <c r="A3406" t="s">
        <v>144</v>
      </c>
      <c r="B3406">
        <v>53</v>
      </c>
      <c r="C3406">
        <v>35</v>
      </c>
      <c r="D3406">
        <v>8.4231E-2</v>
      </c>
      <c r="E3406">
        <v>0.51088</v>
      </c>
      <c r="F3406">
        <v>0.32721899999999998</v>
      </c>
      <c r="G3406">
        <v>0.34268900000000002</v>
      </c>
    </row>
    <row r="3407" spans="1:7">
      <c r="A3407" t="s">
        <v>144</v>
      </c>
      <c r="B3407">
        <v>53</v>
      </c>
      <c r="C3407">
        <v>36</v>
      </c>
      <c r="D3407">
        <v>8.4231E-2</v>
      </c>
      <c r="E3407">
        <v>-0.41535699999999998</v>
      </c>
      <c r="F3407">
        <v>0.89513799999999999</v>
      </c>
      <c r="G3407">
        <v>0.78475399999999995</v>
      </c>
    </row>
    <row r="3408" spans="1:7">
      <c r="A3408" t="s">
        <v>144</v>
      </c>
      <c r="B3408">
        <v>53</v>
      </c>
      <c r="C3408">
        <v>37</v>
      </c>
      <c r="D3408">
        <v>8.4231E-2</v>
      </c>
      <c r="E3408">
        <v>-0.67409300000000005</v>
      </c>
      <c r="F3408">
        <v>-0.31080000000000002</v>
      </c>
      <c r="G3408">
        <v>-0.34140100000000001</v>
      </c>
    </row>
    <row r="3409" spans="1:7">
      <c r="A3409" t="s">
        <v>144</v>
      </c>
      <c r="B3409">
        <v>53</v>
      </c>
      <c r="C3409">
        <v>38</v>
      </c>
      <c r="D3409">
        <v>8.4231E-2</v>
      </c>
      <c r="E3409">
        <v>0.29041400000000001</v>
      </c>
      <c r="F3409">
        <v>1.3854999999999999E-2</v>
      </c>
      <c r="G3409">
        <v>3.7150000000000002E-2</v>
      </c>
    </row>
    <row r="3410" spans="1:7">
      <c r="A3410" t="s">
        <v>144</v>
      </c>
      <c r="B3410">
        <v>53</v>
      </c>
      <c r="C3410">
        <v>39</v>
      </c>
      <c r="D3410">
        <v>8.4231E-2</v>
      </c>
      <c r="E3410">
        <v>-0.430952</v>
      </c>
      <c r="F3410">
        <v>3.8149999999999998E-3</v>
      </c>
      <c r="G3410">
        <v>-3.2806000000000002E-2</v>
      </c>
    </row>
    <row r="3411" spans="1:7">
      <c r="A3411" t="s">
        <v>144</v>
      </c>
      <c r="B3411">
        <v>53</v>
      </c>
      <c r="C3411">
        <v>40</v>
      </c>
      <c r="D3411">
        <v>8.4231E-2</v>
      </c>
      <c r="E3411">
        <v>7.1962999999999999E-2</v>
      </c>
      <c r="F3411">
        <v>-0.90935999999999995</v>
      </c>
      <c r="G3411">
        <v>-0.82670200000000005</v>
      </c>
    </row>
    <row r="3412" spans="1:7">
      <c r="A3412" t="s">
        <v>144</v>
      </c>
      <c r="B3412">
        <v>53</v>
      </c>
      <c r="C3412">
        <v>41</v>
      </c>
      <c r="D3412">
        <v>8.4231E-2</v>
      </c>
      <c r="E3412">
        <v>-0.54515199999999997</v>
      </c>
      <c r="F3412">
        <v>0.33951799999999999</v>
      </c>
      <c r="G3412">
        <v>0.26500200000000002</v>
      </c>
    </row>
    <row r="3413" spans="1:7">
      <c r="A3413" t="s">
        <v>144</v>
      </c>
      <c r="B3413">
        <v>53</v>
      </c>
      <c r="C3413">
        <v>42</v>
      </c>
      <c r="D3413">
        <v>8.4231E-2</v>
      </c>
      <c r="E3413">
        <v>-0.985931</v>
      </c>
      <c r="F3413">
        <v>-0.583453</v>
      </c>
      <c r="G3413">
        <v>-0.61735399999999996</v>
      </c>
    </row>
    <row r="3414" spans="1:7">
      <c r="A3414" t="s">
        <v>144</v>
      </c>
      <c r="B3414">
        <v>53</v>
      </c>
      <c r="C3414">
        <v>43</v>
      </c>
      <c r="D3414">
        <v>8.4231E-2</v>
      </c>
      <c r="E3414">
        <v>0.22278500000000001</v>
      </c>
      <c r="F3414">
        <v>0.75804899999999997</v>
      </c>
      <c r="G3414">
        <v>0.71296300000000001</v>
      </c>
    </row>
    <row r="3415" spans="1:7">
      <c r="A3415" t="s">
        <v>144</v>
      </c>
      <c r="B3415">
        <v>53</v>
      </c>
      <c r="C3415">
        <v>44</v>
      </c>
      <c r="D3415">
        <v>8.4231E-2</v>
      </c>
      <c r="E3415">
        <v>0.442824</v>
      </c>
      <c r="F3415">
        <v>-0.80284999999999995</v>
      </c>
      <c r="G3415">
        <v>-0.69792600000000005</v>
      </c>
    </row>
    <row r="3416" spans="1:7">
      <c r="A3416" t="s">
        <v>144</v>
      </c>
      <c r="B3416">
        <v>53</v>
      </c>
      <c r="C3416">
        <v>45</v>
      </c>
      <c r="D3416">
        <v>8.4231E-2</v>
      </c>
      <c r="E3416">
        <v>0.15982499999999999</v>
      </c>
      <c r="F3416">
        <v>0.41001599999999999</v>
      </c>
      <c r="G3416">
        <v>0.38894200000000001</v>
      </c>
    </row>
    <row r="3417" spans="1:7">
      <c r="A3417" t="s">
        <v>144</v>
      </c>
      <c r="B3417">
        <v>53</v>
      </c>
      <c r="C3417">
        <v>46</v>
      </c>
      <c r="D3417">
        <v>8.4231E-2</v>
      </c>
      <c r="E3417">
        <v>-0.71523199999999998</v>
      </c>
      <c r="F3417">
        <v>-0.18246999999999999</v>
      </c>
      <c r="G3417">
        <v>-0.22734499999999999</v>
      </c>
    </row>
    <row r="3418" spans="1:7">
      <c r="A3418" t="s">
        <v>144</v>
      </c>
      <c r="B3418">
        <v>53</v>
      </c>
      <c r="C3418">
        <v>47</v>
      </c>
      <c r="D3418">
        <v>8.4231E-2</v>
      </c>
      <c r="E3418">
        <v>0.88848499999999997</v>
      </c>
      <c r="F3418">
        <v>0.159307</v>
      </c>
      <c r="G3418">
        <v>0.22072600000000001</v>
      </c>
    </row>
    <row r="3419" spans="1:7">
      <c r="A3419" t="s">
        <v>144</v>
      </c>
      <c r="B3419">
        <v>53</v>
      </c>
      <c r="C3419">
        <v>48</v>
      </c>
      <c r="D3419">
        <v>8.4231E-2</v>
      </c>
      <c r="E3419">
        <v>0.30454399999999998</v>
      </c>
      <c r="F3419">
        <v>-0.45872400000000002</v>
      </c>
      <c r="G3419">
        <v>-0.39443299999999998</v>
      </c>
    </row>
    <row r="3420" spans="1:7">
      <c r="A3420" t="s">
        <v>144</v>
      </c>
      <c r="B3420">
        <v>53</v>
      </c>
      <c r="C3420">
        <v>49</v>
      </c>
      <c r="D3420">
        <v>8.4231E-2</v>
      </c>
      <c r="E3420">
        <v>-0.32840999999999998</v>
      </c>
      <c r="F3420">
        <v>0.29053600000000002</v>
      </c>
      <c r="G3420">
        <v>0.238402</v>
      </c>
    </row>
    <row r="3421" spans="1:7">
      <c r="A3421" t="s">
        <v>144</v>
      </c>
      <c r="B3421" t="s">
        <v>145</v>
      </c>
      <c r="C3421">
        <v>54</v>
      </c>
    </row>
    <row r="3422" spans="1:7">
      <c r="A3422" t="s">
        <v>144</v>
      </c>
      <c r="B3422" t="s">
        <v>146</v>
      </c>
      <c r="C3422">
        <v>75</v>
      </c>
    </row>
    <row r="3423" spans="1:7">
      <c r="A3423" t="s">
        <v>144</v>
      </c>
      <c r="B3423" t="s">
        <v>147</v>
      </c>
      <c r="C3423">
        <v>75</v>
      </c>
    </row>
    <row r="3424" spans="1:7">
      <c r="A3424" t="s">
        <v>144</v>
      </c>
      <c r="B3424" t="s">
        <v>148</v>
      </c>
      <c r="C3424">
        <v>0.70625899999999997</v>
      </c>
    </row>
    <row r="3425" spans="1:7">
      <c r="A3425" t="s">
        <v>144</v>
      </c>
      <c r="B3425" t="s">
        <v>149</v>
      </c>
      <c r="C3425">
        <v>0.70625899999999997</v>
      </c>
    </row>
    <row r="3426" spans="1:7">
      <c r="A3426" t="s">
        <v>144</v>
      </c>
      <c r="B3426" t="s">
        <v>150</v>
      </c>
      <c r="C3426">
        <v>-1</v>
      </c>
    </row>
    <row r="3427" spans="1:7">
      <c r="A3427" t="s">
        <v>144</v>
      </c>
      <c r="B3427" t="s">
        <v>151</v>
      </c>
      <c r="C3427">
        <v>-1</v>
      </c>
    </row>
    <row r="3428" spans="1:7">
      <c r="A3428" t="s">
        <v>144</v>
      </c>
      <c r="B3428" t="s">
        <v>152</v>
      </c>
      <c r="C3428">
        <v>6</v>
      </c>
    </row>
    <row r="3429" spans="1:7">
      <c r="A3429" t="s">
        <v>144</v>
      </c>
      <c r="B3429" t="s">
        <v>153</v>
      </c>
      <c r="C3429">
        <v>6</v>
      </c>
    </row>
    <row r="3430" spans="1:7">
      <c r="A3430" t="s">
        <v>144</v>
      </c>
      <c r="B3430" t="s">
        <v>154</v>
      </c>
      <c r="C3430">
        <v>0</v>
      </c>
    </row>
    <row r="3431" spans="1:7">
      <c r="A3431" t="s">
        <v>144</v>
      </c>
      <c r="B3431" t="s">
        <v>155</v>
      </c>
    </row>
    <row r="3432" spans="1:7">
      <c r="A3432" t="s">
        <v>144</v>
      </c>
      <c r="B3432" t="s">
        <v>150</v>
      </c>
      <c r="C3432">
        <v>5.4929999999999996E-3</v>
      </c>
    </row>
    <row r="3433" spans="1:7">
      <c r="A3433" t="s">
        <v>144</v>
      </c>
      <c r="B3433" t="s">
        <v>151</v>
      </c>
      <c r="C3433">
        <v>5.4929999999999996E-3</v>
      </c>
    </row>
    <row r="3434" spans="1:7">
      <c r="A3434" t="s">
        <v>144</v>
      </c>
      <c r="B3434" t="s">
        <v>156</v>
      </c>
      <c r="C3434" t="s">
        <v>157</v>
      </c>
      <c r="D3434" t="s">
        <v>63</v>
      </c>
      <c r="E3434" t="s">
        <v>158</v>
      </c>
      <c r="F3434" t="s">
        <v>159</v>
      </c>
      <c r="G3434" t="s">
        <v>160</v>
      </c>
    </row>
    <row r="3435" spans="1:7">
      <c r="A3435" t="s">
        <v>144</v>
      </c>
      <c r="B3435">
        <v>54</v>
      </c>
      <c r="C3435">
        <v>0</v>
      </c>
      <c r="D3435">
        <v>5.4929999999999996E-3</v>
      </c>
      <c r="E3435">
        <v>0.562944</v>
      </c>
      <c r="F3435">
        <v>-1</v>
      </c>
      <c r="G3435">
        <v>0.562944</v>
      </c>
    </row>
    <row r="3436" spans="1:7">
      <c r="A3436" t="s">
        <v>144</v>
      </c>
      <c r="B3436">
        <v>54</v>
      </c>
      <c r="C3436">
        <v>1</v>
      </c>
      <c r="D3436">
        <v>5.4929999999999996E-3</v>
      </c>
      <c r="E3436">
        <v>-0.54945500000000003</v>
      </c>
      <c r="F3436">
        <v>-1</v>
      </c>
      <c r="G3436">
        <v>-0.54945500000000003</v>
      </c>
    </row>
    <row r="3437" spans="1:7">
      <c r="A3437" t="s">
        <v>144</v>
      </c>
      <c r="B3437">
        <v>54</v>
      </c>
      <c r="C3437">
        <v>2</v>
      </c>
      <c r="D3437">
        <v>5.4929999999999996E-3</v>
      </c>
      <c r="E3437">
        <v>5.2919000000000001E-2</v>
      </c>
      <c r="F3437">
        <v>-1</v>
      </c>
      <c r="G3437">
        <v>5.2919000000000001E-2</v>
      </c>
    </row>
    <row r="3438" spans="1:7">
      <c r="A3438" t="s">
        <v>144</v>
      </c>
      <c r="B3438">
        <v>54</v>
      </c>
      <c r="C3438">
        <v>3</v>
      </c>
      <c r="D3438">
        <v>5.4929999999999996E-3</v>
      </c>
      <c r="E3438">
        <v>0.89922800000000003</v>
      </c>
      <c r="F3438">
        <v>-1</v>
      </c>
      <c r="G3438">
        <v>0.89922800000000003</v>
      </c>
    </row>
    <row r="3439" spans="1:7">
      <c r="A3439" t="s">
        <v>144</v>
      </c>
      <c r="B3439">
        <v>54</v>
      </c>
      <c r="C3439">
        <v>4</v>
      </c>
      <c r="D3439">
        <v>5.4929999999999996E-3</v>
      </c>
      <c r="E3439">
        <v>0.57460199999999995</v>
      </c>
      <c r="F3439">
        <v>-1</v>
      </c>
      <c r="G3439">
        <v>0.57460199999999995</v>
      </c>
    </row>
    <row r="3440" spans="1:7">
      <c r="A3440" t="s">
        <v>144</v>
      </c>
      <c r="B3440">
        <v>54</v>
      </c>
      <c r="C3440">
        <v>5</v>
      </c>
      <c r="D3440">
        <v>5.4929999999999996E-3</v>
      </c>
      <c r="E3440">
        <v>-0.18543000000000001</v>
      </c>
      <c r="F3440">
        <v>-1</v>
      </c>
      <c r="G3440">
        <v>-0.18543000000000001</v>
      </c>
    </row>
    <row r="3441" spans="1:7">
      <c r="A3441" t="s">
        <v>144</v>
      </c>
      <c r="B3441">
        <v>54</v>
      </c>
      <c r="C3441">
        <v>6</v>
      </c>
      <c r="D3441">
        <v>5.4929999999999996E-3</v>
      </c>
      <c r="E3441">
        <v>-0.51005599999999995</v>
      </c>
      <c r="F3441">
        <v>-0.60847799999999996</v>
      </c>
      <c r="G3441">
        <v>-0.60793699999999995</v>
      </c>
    </row>
    <row r="3442" spans="1:7">
      <c r="A3442" t="s">
        <v>144</v>
      </c>
      <c r="B3442">
        <v>54</v>
      </c>
      <c r="C3442">
        <v>7</v>
      </c>
      <c r="D3442">
        <v>5.4929999999999996E-3</v>
      </c>
      <c r="E3442">
        <v>0.191717</v>
      </c>
      <c r="F3442">
        <v>0.20874699999999999</v>
      </c>
      <c r="G3442">
        <v>0.20865300000000001</v>
      </c>
    </row>
    <row r="3443" spans="1:7">
      <c r="A3443" t="s">
        <v>144</v>
      </c>
      <c r="B3443">
        <v>54</v>
      </c>
      <c r="C3443">
        <v>8</v>
      </c>
      <c r="D3443">
        <v>5.4929999999999996E-3</v>
      </c>
      <c r="E3443">
        <v>-1.4312999999999999E-2</v>
      </c>
      <c r="F3443">
        <v>0.58488700000000005</v>
      </c>
      <c r="G3443">
        <v>0.581596</v>
      </c>
    </row>
    <row r="3444" spans="1:7">
      <c r="A3444" t="s">
        <v>144</v>
      </c>
      <c r="B3444">
        <v>54</v>
      </c>
      <c r="C3444">
        <v>9</v>
      </c>
      <c r="D3444">
        <v>5.4929999999999996E-3</v>
      </c>
      <c r="E3444">
        <v>-0.235847</v>
      </c>
      <c r="F3444">
        <v>0.23569399999999999</v>
      </c>
      <c r="G3444">
        <v>0.23310400000000001</v>
      </c>
    </row>
    <row r="3445" spans="1:7">
      <c r="A3445" t="s">
        <v>144</v>
      </c>
      <c r="B3445">
        <v>54</v>
      </c>
      <c r="C3445">
        <v>10</v>
      </c>
      <c r="D3445">
        <v>5.4929999999999996E-3</v>
      </c>
      <c r="E3445">
        <v>-0.25318200000000002</v>
      </c>
      <c r="F3445">
        <v>1.8402999999999999E-2</v>
      </c>
      <c r="G3445">
        <v>1.6910999999999999E-2</v>
      </c>
    </row>
    <row r="3446" spans="1:7">
      <c r="A3446" t="s">
        <v>144</v>
      </c>
      <c r="B3446">
        <v>54</v>
      </c>
      <c r="C3446">
        <v>11</v>
      </c>
      <c r="D3446">
        <v>5.4929999999999996E-3</v>
      </c>
      <c r="E3446">
        <v>-0.561083</v>
      </c>
      <c r="F3446">
        <v>0.20835000000000001</v>
      </c>
      <c r="G3446">
        <v>0.204123</v>
      </c>
    </row>
    <row r="3447" spans="1:7">
      <c r="A3447" t="s">
        <v>144</v>
      </c>
      <c r="B3447">
        <v>54</v>
      </c>
      <c r="C3447">
        <v>12</v>
      </c>
      <c r="D3447">
        <v>5.4929999999999996E-3</v>
      </c>
      <c r="E3447">
        <v>0.17435200000000001</v>
      </c>
      <c r="F3447">
        <v>0.57496899999999995</v>
      </c>
      <c r="G3447">
        <v>0.57276800000000005</v>
      </c>
    </row>
    <row r="3448" spans="1:7">
      <c r="A3448" t="s">
        <v>144</v>
      </c>
      <c r="B3448">
        <v>54</v>
      </c>
      <c r="C3448">
        <v>13</v>
      </c>
      <c r="D3448">
        <v>5.4929999999999996E-3</v>
      </c>
      <c r="E3448">
        <v>0.52607800000000005</v>
      </c>
      <c r="F3448">
        <v>0.91784399999999999</v>
      </c>
      <c r="G3448">
        <v>0.91569199999999995</v>
      </c>
    </row>
    <row r="3449" spans="1:7">
      <c r="A3449" t="s">
        <v>144</v>
      </c>
      <c r="B3449">
        <v>54</v>
      </c>
      <c r="C3449">
        <v>14</v>
      </c>
      <c r="D3449">
        <v>5.4929999999999996E-3</v>
      </c>
      <c r="E3449">
        <v>-0.46809299999999998</v>
      </c>
      <c r="F3449">
        <v>0.55525400000000003</v>
      </c>
      <c r="G3449">
        <v>0.54963200000000001</v>
      </c>
    </row>
    <row r="3450" spans="1:7">
      <c r="A3450" t="s">
        <v>144</v>
      </c>
      <c r="B3450">
        <v>54</v>
      </c>
      <c r="C3450">
        <v>15</v>
      </c>
      <c r="D3450">
        <v>5.4929999999999996E-3</v>
      </c>
      <c r="E3450">
        <v>-0.50019800000000003</v>
      </c>
      <c r="F3450">
        <v>-0.69689000000000001</v>
      </c>
      <c r="G3450">
        <v>-0.69581000000000004</v>
      </c>
    </row>
    <row r="3451" spans="1:7">
      <c r="A3451" t="s">
        <v>144</v>
      </c>
      <c r="B3451">
        <v>54</v>
      </c>
      <c r="C3451">
        <v>16</v>
      </c>
      <c r="D3451">
        <v>5.4929999999999996E-3</v>
      </c>
      <c r="E3451">
        <v>-0.87340899999999999</v>
      </c>
      <c r="F3451">
        <v>0.58790900000000001</v>
      </c>
      <c r="G3451">
        <v>0.57988099999999998</v>
      </c>
    </row>
    <row r="3452" spans="1:7">
      <c r="A3452" t="s">
        <v>144</v>
      </c>
      <c r="B3452">
        <v>54</v>
      </c>
      <c r="C3452">
        <v>17</v>
      </c>
      <c r="D3452">
        <v>5.4929999999999996E-3</v>
      </c>
      <c r="E3452">
        <v>0.86983900000000003</v>
      </c>
      <c r="F3452">
        <v>-0.90688800000000003</v>
      </c>
      <c r="G3452">
        <v>-0.89712800000000004</v>
      </c>
    </row>
    <row r="3453" spans="1:7">
      <c r="A3453" t="s">
        <v>144</v>
      </c>
      <c r="B3453">
        <v>54</v>
      </c>
      <c r="C3453">
        <v>18</v>
      </c>
      <c r="D3453">
        <v>5.4929999999999996E-3</v>
      </c>
      <c r="E3453">
        <v>0.48628199999999999</v>
      </c>
      <c r="F3453">
        <v>0.26175700000000002</v>
      </c>
      <c r="G3453">
        <v>0.26299099999999997</v>
      </c>
    </row>
    <row r="3454" spans="1:7">
      <c r="A3454" t="s">
        <v>144</v>
      </c>
      <c r="B3454">
        <v>54</v>
      </c>
      <c r="C3454">
        <v>19</v>
      </c>
      <c r="D3454">
        <v>5.4929999999999996E-3</v>
      </c>
      <c r="E3454">
        <v>6.2562999999999994E-2</v>
      </c>
      <c r="F3454">
        <v>0.87969600000000003</v>
      </c>
      <c r="G3454">
        <v>0.87520699999999996</v>
      </c>
    </row>
    <row r="3455" spans="1:7">
      <c r="A3455" t="s">
        <v>144</v>
      </c>
      <c r="B3455">
        <v>54</v>
      </c>
      <c r="C3455">
        <v>20</v>
      </c>
      <c r="D3455">
        <v>5.4929999999999996E-3</v>
      </c>
      <c r="E3455">
        <v>0.22617300000000001</v>
      </c>
      <c r="F3455">
        <v>-0.85412200000000005</v>
      </c>
      <c r="G3455">
        <v>-0.84818700000000002</v>
      </c>
    </row>
    <row r="3456" spans="1:7">
      <c r="A3456" t="s">
        <v>144</v>
      </c>
      <c r="B3456">
        <v>54</v>
      </c>
      <c r="C3456">
        <v>21</v>
      </c>
      <c r="D3456">
        <v>5.4929999999999996E-3</v>
      </c>
      <c r="E3456">
        <v>-0.99502500000000005</v>
      </c>
      <c r="F3456">
        <v>-0.72115200000000002</v>
      </c>
      <c r="G3456">
        <v>-0.72265699999999999</v>
      </c>
    </row>
    <row r="3457" spans="1:7">
      <c r="A3457" t="s">
        <v>144</v>
      </c>
      <c r="B3457">
        <v>54</v>
      </c>
      <c r="C3457">
        <v>22</v>
      </c>
      <c r="D3457">
        <v>5.4929999999999996E-3</v>
      </c>
      <c r="E3457">
        <v>0.116855</v>
      </c>
      <c r="F3457">
        <v>0.810724</v>
      </c>
      <c r="G3457">
        <v>0.80691299999999999</v>
      </c>
    </row>
    <row r="3458" spans="1:7">
      <c r="A3458" t="s">
        <v>144</v>
      </c>
      <c r="B3458">
        <v>54</v>
      </c>
      <c r="C3458">
        <v>23</v>
      </c>
      <c r="D3458">
        <v>5.4929999999999996E-3</v>
      </c>
      <c r="E3458">
        <v>0.85073399999999999</v>
      </c>
      <c r="F3458">
        <v>0.88201499999999999</v>
      </c>
      <c r="G3458">
        <v>0.88184399999999996</v>
      </c>
    </row>
    <row r="3459" spans="1:7">
      <c r="A3459" t="s">
        <v>144</v>
      </c>
      <c r="B3459">
        <v>54</v>
      </c>
      <c r="C3459">
        <v>24</v>
      </c>
      <c r="D3459">
        <v>5.4929999999999996E-3</v>
      </c>
      <c r="E3459">
        <v>0.53801100000000002</v>
      </c>
      <c r="F3459">
        <v>0.13425100000000001</v>
      </c>
      <c r="G3459">
        <v>0.13646900000000001</v>
      </c>
    </row>
    <row r="3460" spans="1:7">
      <c r="A3460" t="s">
        <v>144</v>
      </c>
      <c r="B3460">
        <v>54</v>
      </c>
      <c r="C3460">
        <v>25</v>
      </c>
      <c r="D3460">
        <v>5.4929999999999996E-3</v>
      </c>
      <c r="E3460">
        <v>-0.59456200000000003</v>
      </c>
      <c r="F3460">
        <v>-0.90258499999999997</v>
      </c>
      <c r="G3460">
        <v>-0.90089300000000005</v>
      </c>
    </row>
    <row r="3461" spans="1:7">
      <c r="A3461" t="s">
        <v>144</v>
      </c>
      <c r="B3461">
        <v>54</v>
      </c>
      <c r="C3461">
        <v>26</v>
      </c>
      <c r="D3461">
        <v>5.4929999999999996E-3</v>
      </c>
      <c r="E3461">
        <v>-0.103702</v>
      </c>
      <c r="F3461">
        <v>-0.336924</v>
      </c>
      <c r="G3461">
        <v>-0.33564300000000002</v>
      </c>
    </row>
    <row r="3462" spans="1:7">
      <c r="A3462" t="s">
        <v>144</v>
      </c>
      <c r="B3462">
        <v>54</v>
      </c>
      <c r="C3462">
        <v>27</v>
      </c>
      <c r="D3462">
        <v>5.4929999999999996E-3</v>
      </c>
      <c r="E3462">
        <v>0.12939800000000001</v>
      </c>
      <c r="F3462">
        <v>0.23755599999999999</v>
      </c>
      <c r="G3462">
        <v>0.23696200000000001</v>
      </c>
    </row>
    <row r="3463" spans="1:7">
      <c r="A3463" t="s">
        <v>144</v>
      </c>
      <c r="B3463">
        <v>54</v>
      </c>
      <c r="C3463">
        <v>28</v>
      </c>
      <c r="D3463">
        <v>5.4929999999999996E-3</v>
      </c>
      <c r="E3463">
        <v>0.32422899999999999</v>
      </c>
      <c r="F3463">
        <v>0.11401699999999999</v>
      </c>
      <c r="G3463">
        <v>0.115172</v>
      </c>
    </row>
    <row r="3464" spans="1:7">
      <c r="A3464" t="s">
        <v>144</v>
      </c>
      <c r="B3464">
        <v>54</v>
      </c>
      <c r="C3464">
        <v>29</v>
      </c>
      <c r="D3464">
        <v>5.4929999999999996E-3</v>
      </c>
      <c r="E3464">
        <v>-0.50205999999999995</v>
      </c>
      <c r="F3464">
        <v>0.56733900000000004</v>
      </c>
      <c r="G3464">
        <v>0.56146399999999996</v>
      </c>
    </row>
    <row r="3465" spans="1:7">
      <c r="A3465" t="s">
        <v>144</v>
      </c>
      <c r="B3465">
        <v>54</v>
      </c>
      <c r="C3465">
        <v>30</v>
      </c>
      <c r="D3465">
        <v>5.4929999999999996E-3</v>
      </c>
      <c r="E3465">
        <v>0.70732700000000004</v>
      </c>
      <c r="F3465">
        <v>-0.39426899999999998</v>
      </c>
      <c r="G3465">
        <v>-0.38821699999999998</v>
      </c>
    </row>
    <row r="3466" spans="1:7">
      <c r="A3466" t="s">
        <v>144</v>
      </c>
      <c r="B3466">
        <v>54</v>
      </c>
      <c r="C3466">
        <v>31</v>
      </c>
      <c r="D3466">
        <v>5.4929999999999996E-3</v>
      </c>
      <c r="E3466">
        <v>-6.3813999999999996E-2</v>
      </c>
      <c r="F3466">
        <v>0.50157200000000002</v>
      </c>
      <c r="G3466">
        <v>0.49846600000000002</v>
      </c>
    </row>
    <row r="3467" spans="1:7">
      <c r="A3467" t="s">
        <v>144</v>
      </c>
      <c r="B3467">
        <v>54</v>
      </c>
      <c r="C3467">
        <v>32</v>
      </c>
      <c r="D3467">
        <v>5.4929999999999996E-3</v>
      </c>
      <c r="E3467">
        <v>0.45484799999999997</v>
      </c>
      <c r="F3467">
        <v>-0.92355100000000001</v>
      </c>
      <c r="G3467">
        <v>-0.91597899999999999</v>
      </c>
    </row>
    <row r="3468" spans="1:7">
      <c r="A3468" t="s">
        <v>144</v>
      </c>
      <c r="B3468">
        <v>54</v>
      </c>
      <c r="C3468">
        <v>33</v>
      </c>
      <c r="D3468">
        <v>5.4929999999999996E-3</v>
      </c>
      <c r="E3468">
        <v>0.99273699999999998</v>
      </c>
      <c r="F3468">
        <v>-8.1820000000000004E-2</v>
      </c>
      <c r="G3468">
        <v>-7.5916999999999998E-2</v>
      </c>
    </row>
    <row r="3469" spans="1:7">
      <c r="A3469" t="s">
        <v>144</v>
      </c>
      <c r="B3469">
        <v>54</v>
      </c>
      <c r="C3469">
        <v>34</v>
      </c>
      <c r="D3469">
        <v>5.4929999999999996E-3</v>
      </c>
      <c r="E3469">
        <v>-0.41199999999999998</v>
      </c>
      <c r="F3469">
        <v>-3.7751E-2</v>
      </c>
      <c r="G3469">
        <v>-3.9807000000000002E-2</v>
      </c>
    </row>
    <row r="3470" spans="1:7">
      <c r="A3470" t="s">
        <v>144</v>
      </c>
      <c r="B3470">
        <v>54</v>
      </c>
      <c r="C3470">
        <v>35</v>
      </c>
      <c r="D3470">
        <v>5.4929999999999996E-3</v>
      </c>
      <c r="E3470">
        <v>-8.3041000000000004E-2</v>
      </c>
      <c r="F3470">
        <v>0.98919599999999996</v>
      </c>
      <c r="G3470">
        <v>0.98330600000000001</v>
      </c>
    </row>
    <row r="3471" spans="1:7">
      <c r="A3471" t="s">
        <v>144</v>
      </c>
      <c r="B3471">
        <v>54</v>
      </c>
      <c r="C3471">
        <v>36</v>
      </c>
      <c r="D3471">
        <v>5.4929999999999996E-3</v>
      </c>
      <c r="E3471">
        <v>0.42399399999999998</v>
      </c>
      <c r="F3471">
        <v>0.78188400000000002</v>
      </c>
      <c r="G3471">
        <v>0.779918</v>
      </c>
    </row>
    <row r="3472" spans="1:7">
      <c r="A3472" t="s">
        <v>144</v>
      </c>
      <c r="B3472">
        <v>54</v>
      </c>
      <c r="C3472">
        <v>37</v>
      </c>
      <c r="D3472">
        <v>5.4929999999999996E-3</v>
      </c>
      <c r="E3472">
        <v>0.20899100000000001</v>
      </c>
      <c r="F3472">
        <v>0.86327699999999996</v>
      </c>
      <c r="G3472">
        <v>0.85968299999999997</v>
      </c>
    </row>
    <row r="3473" spans="1:7">
      <c r="A3473" t="s">
        <v>144</v>
      </c>
      <c r="B3473">
        <v>54</v>
      </c>
      <c r="C3473">
        <v>38</v>
      </c>
      <c r="D3473">
        <v>5.4929999999999996E-3</v>
      </c>
      <c r="E3473">
        <v>-0.75786600000000004</v>
      </c>
      <c r="F3473">
        <v>3.0457000000000001E-2</v>
      </c>
      <c r="G3473">
        <v>2.6127000000000001E-2</v>
      </c>
    </row>
    <row r="3474" spans="1:7">
      <c r="A3474" t="s">
        <v>144</v>
      </c>
      <c r="B3474">
        <v>54</v>
      </c>
      <c r="C3474">
        <v>39</v>
      </c>
      <c r="D3474">
        <v>5.4929999999999996E-3</v>
      </c>
      <c r="E3474">
        <v>0.36817499999999997</v>
      </c>
      <c r="F3474">
        <v>0.63872200000000001</v>
      </c>
      <c r="G3474">
        <v>0.63723600000000002</v>
      </c>
    </row>
    <row r="3475" spans="1:7">
      <c r="A3475" t="s">
        <v>144</v>
      </c>
      <c r="B3475">
        <v>54</v>
      </c>
      <c r="C3475">
        <v>40</v>
      </c>
      <c r="D3475">
        <v>5.4929999999999996E-3</v>
      </c>
      <c r="E3475">
        <v>-0.74446900000000005</v>
      </c>
      <c r="F3475">
        <v>-0.76671699999999998</v>
      </c>
      <c r="G3475">
        <v>-0.766594</v>
      </c>
    </row>
    <row r="3476" spans="1:7">
      <c r="A3476" t="s">
        <v>144</v>
      </c>
      <c r="B3476">
        <v>54</v>
      </c>
      <c r="C3476">
        <v>41</v>
      </c>
      <c r="D3476">
        <v>5.4929999999999996E-3</v>
      </c>
      <c r="E3476">
        <v>-0.71147800000000005</v>
      </c>
      <c r="F3476">
        <v>0.305643</v>
      </c>
      <c r="G3476">
        <v>0.30005599999999999</v>
      </c>
    </row>
    <row r="3477" spans="1:7">
      <c r="A3477" t="s">
        <v>144</v>
      </c>
      <c r="B3477">
        <v>54</v>
      </c>
      <c r="C3477">
        <v>42</v>
      </c>
      <c r="D3477">
        <v>5.4929999999999996E-3</v>
      </c>
      <c r="E3477">
        <v>0.29780000000000001</v>
      </c>
      <c r="F3477">
        <v>-0.17569499999999999</v>
      </c>
      <c r="G3477">
        <v>-0.173094</v>
      </c>
    </row>
    <row r="3478" spans="1:7">
      <c r="A3478" t="s">
        <v>144</v>
      </c>
      <c r="B3478">
        <v>54</v>
      </c>
      <c r="C3478">
        <v>43</v>
      </c>
      <c r="D3478">
        <v>5.4929999999999996E-3</v>
      </c>
      <c r="E3478">
        <v>-0.46565099999999998</v>
      </c>
      <c r="F3478">
        <v>0.999969</v>
      </c>
      <c r="G3478">
        <v>0.99191799999999997</v>
      </c>
    </row>
    <row r="3479" spans="1:7">
      <c r="A3479" t="s">
        <v>144</v>
      </c>
      <c r="B3479">
        <v>54</v>
      </c>
      <c r="C3479">
        <v>44</v>
      </c>
      <c r="D3479">
        <v>5.4929999999999996E-3</v>
      </c>
      <c r="E3479">
        <v>-0.46726899999999999</v>
      </c>
      <c r="F3479">
        <v>0.70867000000000002</v>
      </c>
      <c r="G3479">
        <v>0.70221</v>
      </c>
    </row>
    <row r="3480" spans="1:7">
      <c r="A3480" t="s">
        <v>144</v>
      </c>
      <c r="B3480">
        <v>54</v>
      </c>
      <c r="C3480">
        <v>45</v>
      </c>
      <c r="D3480">
        <v>5.4929999999999996E-3</v>
      </c>
      <c r="E3480">
        <v>-0.15454599999999999</v>
      </c>
      <c r="F3480">
        <v>-0.83031699999999997</v>
      </c>
      <c r="G3480">
        <v>-0.82660500000000003</v>
      </c>
    </row>
    <row r="3481" spans="1:7">
      <c r="A3481" t="s">
        <v>144</v>
      </c>
      <c r="B3481">
        <v>54</v>
      </c>
      <c r="C3481">
        <v>46</v>
      </c>
      <c r="D3481">
        <v>5.4929999999999996E-3</v>
      </c>
      <c r="E3481">
        <v>-0.67955600000000005</v>
      </c>
      <c r="F3481">
        <v>-0.77391900000000002</v>
      </c>
      <c r="G3481">
        <v>-0.77339999999999998</v>
      </c>
    </row>
    <row r="3482" spans="1:7">
      <c r="A3482" t="s">
        <v>144</v>
      </c>
      <c r="B3482">
        <v>54</v>
      </c>
      <c r="C3482">
        <v>47</v>
      </c>
      <c r="D3482">
        <v>5.4929999999999996E-3</v>
      </c>
      <c r="E3482">
        <v>-2.5575000000000001E-2</v>
      </c>
      <c r="F3482">
        <v>-0.347331</v>
      </c>
      <c r="G3482">
        <v>-0.34556399999999998</v>
      </c>
    </row>
    <row r="3483" spans="1:7">
      <c r="A3483" t="s">
        <v>144</v>
      </c>
      <c r="B3483">
        <v>54</v>
      </c>
      <c r="C3483">
        <v>48</v>
      </c>
      <c r="D3483">
        <v>5.4929999999999996E-3</v>
      </c>
      <c r="E3483">
        <v>-0.82616699999999998</v>
      </c>
      <c r="F3483">
        <v>0.211035</v>
      </c>
      <c r="G3483">
        <v>0.20533799999999999</v>
      </c>
    </row>
    <row r="3484" spans="1:7">
      <c r="A3484" t="s">
        <v>144</v>
      </c>
      <c r="B3484">
        <v>54</v>
      </c>
      <c r="C3484">
        <v>49</v>
      </c>
      <c r="D3484">
        <v>5.4929999999999996E-3</v>
      </c>
      <c r="E3484">
        <v>8.7344000000000005E-2</v>
      </c>
      <c r="F3484">
        <v>-6.1921999999999998E-2</v>
      </c>
      <c r="G3484">
        <v>-6.1101999999999997E-2</v>
      </c>
    </row>
    <row r="3485" spans="1:7">
      <c r="A3485" t="s">
        <v>144</v>
      </c>
      <c r="B3485" t="s">
        <v>145</v>
      </c>
      <c r="C3485">
        <v>55</v>
      </c>
    </row>
    <row r="3486" spans="1:7">
      <c r="A3486" t="s">
        <v>144</v>
      </c>
      <c r="B3486" t="s">
        <v>146</v>
      </c>
      <c r="C3486">
        <v>60</v>
      </c>
    </row>
    <row r="3487" spans="1:7">
      <c r="A3487" t="s">
        <v>144</v>
      </c>
      <c r="B3487" t="s">
        <v>147</v>
      </c>
      <c r="C3487">
        <v>60</v>
      </c>
    </row>
    <row r="3488" spans="1:7">
      <c r="A3488" t="s">
        <v>144</v>
      </c>
      <c r="B3488" t="s">
        <v>148</v>
      </c>
      <c r="C3488">
        <v>0.54396199999999995</v>
      </c>
    </row>
    <row r="3489" spans="1:7">
      <c r="A3489" t="s">
        <v>144</v>
      </c>
      <c r="B3489" t="s">
        <v>149</v>
      </c>
      <c r="C3489">
        <v>0.54396199999999995</v>
      </c>
    </row>
    <row r="3490" spans="1:7">
      <c r="A3490" t="s">
        <v>144</v>
      </c>
      <c r="B3490" t="s">
        <v>150</v>
      </c>
      <c r="C3490">
        <v>-1</v>
      </c>
    </row>
    <row r="3491" spans="1:7">
      <c r="A3491" t="s">
        <v>144</v>
      </c>
      <c r="B3491" t="s">
        <v>151</v>
      </c>
      <c r="C3491">
        <v>-1</v>
      </c>
    </row>
    <row r="3492" spans="1:7">
      <c r="A3492" t="s">
        <v>144</v>
      </c>
      <c r="B3492" t="s">
        <v>152</v>
      </c>
      <c r="C3492">
        <v>30</v>
      </c>
    </row>
    <row r="3493" spans="1:7">
      <c r="A3493" t="s">
        <v>144</v>
      </c>
      <c r="B3493" t="s">
        <v>153</v>
      </c>
      <c r="C3493">
        <v>30</v>
      </c>
    </row>
    <row r="3494" spans="1:7">
      <c r="A3494" t="s">
        <v>144</v>
      </c>
      <c r="B3494" t="s">
        <v>154</v>
      </c>
      <c r="C3494">
        <v>0</v>
      </c>
    </row>
    <row r="3495" spans="1:7">
      <c r="A3495" t="s">
        <v>144</v>
      </c>
      <c r="B3495" t="s">
        <v>155</v>
      </c>
    </row>
    <row r="3496" spans="1:7">
      <c r="A3496" t="s">
        <v>144</v>
      </c>
      <c r="B3496" t="s">
        <v>150</v>
      </c>
      <c r="C3496">
        <v>0.81493599999999999</v>
      </c>
    </row>
    <row r="3497" spans="1:7">
      <c r="A3497" t="s">
        <v>144</v>
      </c>
      <c r="B3497" t="s">
        <v>151</v>
      </c>
      <c r="C3497">
        <v>0.81493599999999999</v>
      </c>
    </row>
    <row r="3498" spans="1:7">
      <c r="A3498" t="s">
        <v>144</v>
      </c>
      <c r="B3498" t="s">
        <v>156</v>
      </c>
      <c r="C3498" t="s">
        <v>157</v>
      </c>
      <c r="D3498" t="s">
        <v>63</v>
      </c>
      <c r="E3498" t="s">
        <v>158</v>
      </c>
      <c r="F3498" t="s">
        <v>159</v>
      </c>
      <c r="G3498" t="s">
        <v>160</v>
      </c>
    </row>
    <row r="3499" spans="1:7">
      <c r="A3499" t="s">
        <v>144</v>
      </c>
      <c r="B3499">
        <v>55</v>
      </c>
      <c r="C3499">
        <v>0</v>
      </c>
      <c r="D3499">
        <v>0.81493599999999999</v>
      </c>
      <c r="E3499">
        <v>0.896451</v>
      </c>
      <c r="F3499">
        <v>-1</v>
      </c>
      <c r="G3499">
        <v>0.896451</v>
      </c>
    </row>
    <row r="3500" spans="1:7">
      <c r="A3500" t="s">
        <v>144</v>
      </c>
      <c r="B3500">
        <v>55</v>
      </c>
      <c r="C3500">
        <v>1</v>
      </c>
      <c r="D3500">
        <v>0.81493599999999999</v>
      </c>
      <c r="E3500">
        <v>-0.67494699999999996</v>
      </c>
      <c r="F3500">
        <v>-1</v>
      </c>
      <c r="G3500">
        <v>-0.67494699999999996</v>
      </c>
    </row>
    <row r="3501" spans="1:7">
      <c r="A3501" t="s">
        <v>144</v>
      </c>
      <c r="B3501">
        <v>55</v>
      </c>
      <c r="C3501">
        <v>2</v>
      </c>
      <c r="D3501">
        <v>0.81493599999999999</v>
      </c>
      <c r="E3501">
        <v>-0.83828199999999997</v>
      </c>
      <c r="F3501">
        <v>-1</v>
      </c>
      <c r="G3501">
        <v>-0.83828199999999997</v>
      </c>
    </row>
    <row r="3502" spans="1:7">
      <c r="A3502" t="s">
        <v>144</v>
      </c>
      <c r="B3502">
        <v>55</v>
      </c>
      <c r="C3502">
        <v>3</v>
      </c>
      <c r="D3502">
        <v>0.81493599999999999</v>
      </c>
      <c r="E3502">
        <v>0.72396000000000005</v>
      </c>
      <c r="F3502">
        <v>-1</v>
      </c>
      <c r="G3502">
        <v>0.72396000000000005</v>
      </c>
    </row>
    <row r="3503" spans="1:7">
      <c r="A3503" t="s">
        <v>144</v>
      </c>
      <c r="B3503">
        <v>55</v>
      </c>
      <c r="C3503">
        <v>4</v>
      </c>
      <c r="D3503">
        <v>0.81493599999999999</v>
      </c>
      <c r="E3503">
        <v>-0.471999</v>
      </c>
      <c r="F3503">
        <v>-1</v>
      </c>
      <c r="G3503">
        <v>-0.471999</v>
      </c>
    </row>
    <row r="3504" spans="1:7">
      <c r="A3504" t="s">
        <v>144</v>
      </c>
      <c r="B3504">
        <v>55</v>
      </c>
      <c r="C3504">
        <v>5</v>
      </c>
      <c r="D3504">
        <v>0.81493599999999999</v>
      </c>
      <c r="E3504">
        <v>-0.51170400000000005</v>
      </c>
      <c r="F3504">
        <v>-1</v>
      </c>
      <c r="G3504">
        <v>-0.51170400000000005</v>
      </c>
    </row>
    <row r="3505" spans="1:7">
      <c r="A3505" t="s">
        <v>144</v>
      </c>
      <c r="B3505">
        <v>55</v>
      </c>
      <c r="C3505">
        <v>6</v>
      </c>
      <c r="D3505">
        <v>0.81493599999999999</v>
      </c>
      <c r="E3505">
        <v>0.483016</v>
      </c>
      <c r="F3505">
        <v>-1</v>
      </c>
      <c r="G3505">
        <v>0.483016</v>
      </c>
    </row>
    <row r="3506" spans="1:7">
      <c r="A3506" t="s">
        <v>144</v>
      </c>
      <c r="B3506">
        <v>55</v>
      </c>
      <c r="C3506">
        <v>7</v>
      </c>
      <c r="D3506">
        <v>0.81493599999999999</v>
      </c>
      <c r="E3506">
        <v>-0.37952799999999998</v>
      </c>
      <c r="F3506">
        <v>-1</v>
      </c>
      <c r="G3506">
        <v>-0.37952799999999998</v>
      </c>
    </row>
    <row r="3507" spans="1:7">
      <c r="A3507" t="s">
        <v>144</v>
      </c>
      <c r="B3507">
        <v>55</v>
      </c>
      <c r="C3507">
        <v>8</v>
      </c>
      <c r="D3507">
        <v>0.81493599999999999</v>
      </c>
      <c r="E3507">
        <v>-0.499191</v>
      </c>
      <c r="F3507">
        <v>-1</v>
      </c>
      <c r="G3507">
        <v>-0.499191</v>
      </c>
    </row>
    <row r="3508" spans="1:7">
      <c r="A3508" t="s">
        <v>144</v>
      </c>
      <c r="B3508">
        <v>55</v>
      </c>
      <c r="C3508">
        <v>9</v>
      </c>
      <c r="D3508">
        <v>0.81493599999999999</v>
      </c>
      <c r="E3508">
        <v>0.97897299999999998</v>
      </c>
      <c r="F3508">
        <v>-1</v>
      </c>
      <c r="G3508">
        <v>0.97897299999999998</v>
      </c>
    </row>
    <row r="3509" spans="1:7">
      <c r="A3509" t="s">
        <v>144</v>
      </c>
      <c r="B3509">
        <v>55</v>
      </c>
      <c r="C3509">
        <v>10</v>
      </c>
      <c r="D3509">
        <v>0.81493599999999999</v>
      </c>
      <c r="E3509">
        <v>-0.39317000000000002</v>
      </c>
      <c r="F3509">
        <v>-1</v>
      </c>
      <c r="G3509">
        <v>-0.39317000000000002</v>
      </c>
    </row>
    <row r="3510" spans="1:7">
      <c r="A3510" t="s">
        <v>144</v>
      </c>
      <c r="B3510">
        <v>55</v>
      </c>
      <c r="C3510">
        <v>11</v>
      </c>
      <c r="D3510">
        <v>0.81493599999999999</v>
      </c>
      <c r="E3510">
        <v>-0.24301900000000001</v>
      </c>
      <c r="F3510">
        <v>-1</v>
      </c>
      <c r="G3510">
        <v>-0.24301900000000001</v>
      </c>
    </row>
    <row r="3511" spans="1:7">
      <c r="A3511" t="s">
        <v>144</v>
      </c>
      <c r="B3511">
        <v>55</v>
      </c>
      <c r="C3511">
        <v>12</v>
      </c>
      <c r="D3511">
        <v>0.81493599999999999</v>
      </c>
      <c r="E3511">
        <v>-0.27423900000000001</v>
      </c>
      <c r="F3511">
        <v>-1</v>
      </c>
      <c r="G3511">
        <v>-0.27423900000000001</v>
      </c>
    </row>
    <row r="3512" spans="1:7">
      <c r="A3512" t="s">
        <v>144</v>
      </c>
      <c r="B3512">
        <v>55</v>
      </c>
      <c r="C3512">
        <v>13</v>
      </c>
      <c r="D3512">
        <v>0.81493599999999999</v>
      </c>
      <c r="E3512">
        <v>0.56273099999999998</v>
      </c>
      <c r="F3512">
        <v>-1</v>
      </c>
      <c r="G3512">
        <v>0.56273099999999998</v>
      </c>
    </row>
    <row r="3513" spans="1:7">
      <c r="A3513" t="s">
        <v>144</v>
      </c>
      <c r="B3513">
        <v>55</v>
      </c>
      <c r="C3513">
        <v>14</v>
      </c>
      <c r="D3513">
        <v>0.81493599999999999</v>
      </c>
      <c r="E3513">
        <v>-0.32587699999999997</v>
      </c>
      <c r="F3513">
        <v>-1</v>
      </c>
      <c r="G3513">
        <v>-0.32587699999999997</v>
      </c>
    </row>
    <row r="3514" spans="1:7">
      <c r="A3514" t="s">
        <v>144</v>
      </c>
      <c r="B3514">
        <v>55</v>
      </c>
      <c r="C3514">
        <v>15</v>
      </c>
      <c r="D3514">
        <v>0.81493599999999999</v>
      </c>
      <c r="E3514">
        <v>0.57454099999999997</v>
      </c>
      <c r="F3514">
        <v>-1</v>
      </c>
      <c r="G3514">
        <v>0.57454099999999997</v>
      </c>
    </row>
    <row r="3515" spans="1:7">
      <c r="A3515" t="s">
        <v>144</v>
      </c>
      <c r="B3515">
        <v>55</v>
      </c>
      <c r="C3515">
        <v>16</v>
      </c>
      <c r="D3515">
        <v>0.81493599999999999</v>
      </c>
      <c r="E3515">
        <v>0.145177</v>
      </c>
      <c r="F3515">
        <v>-1</v>
      </c>
      <c r="G3515">
        <v>0.145177</v>
      </c>
    </row>
    <row r="3516" spans="1:7">
      <c r="A3516" t="s">
        <v>144</v>
      </c>
      <c r="B3516">
        <v>55</v>
      </c>
      <c r="C3516">
        <v>17</v>
      </c>
      <c r="D3516">
        <v>0.81493599999999999</v>
      </c>
      <c r="E3516">
        <v>-0.46595700000000001</v>
      </c>
      <c r="F3516">
        <v>-1</v>
      </c>
      <c r="G3516">
        <v>-0.46595700000000001</v>
      </c>
    </row>
    <row r="3517" spans="1:7">
      <c r="A3517" t="s">
        <v>144</v>
      </c>
      <c r="B3517">
        <v>55</v>
      </c>
      <c r="C3517">
        <v>18</v>
      </c>
      <c r="D3517">
        <v>0.81493599999999999</v>
      </c>
      <c r="E3517">
        <v>-0.74062300000000003</v>
      </c>
      <c r="F3517">
        <v>-1</v>
      </c>
      <c r="G3517">
        <v>-0.74062300000000003</v>
      </c>
    </row>
    <row r="3518" spans="1:7">
      <c r="A3518" t="s">
        <v>144</v>
      </c>
      <c r="B3518">
        <v>55</v>
      </c>
      <c r="C3518">
        <v>19</v>
      </c>
      <c r="D3518">
        <v>0.81493599999999999</v>
      </c>
      <c r="E3518">
        <v>-0.20447399999999999</v>
      </c>
      <c r="F3518">
        <v>-1</v>
      </c>
      <c r="G3518">
        <v>-0.20447399999999999</v>
      </c>
    </row>
    <row r="3519" spans="1:7">
      <c r="A3519" t="s">
        <v>144</v>
      </c>
      <c r="B3519">
        <v>55</v>
      </c>
      <c r="C3519">
        <v>20</v>
      </c>
      <c r="D3519">
        <v>0.81493599999999999</v>
      </c>
      <c r="E3519">
        <v>0.84404999999999997</v>
      </c>
      <c r="F3519">
        <v>-1</v>
      </c>
      <c r="G3519">
        <v>0.84404999999999997</v>
      </c>
    </row>
    <row r="3520" spans="1:7">
      <c r="A3520" t="s">
        <v>144</v>
      </c>
      <c r="B3520">
        <v>55</v>
      </c>
      <c r="C3520">
        <v>21</v>
      </c>
      <c r="D3520">
        <v>0.81493599999999999</v>
      </c>
      <c r="E3520">
        <v>-0.59688099999999999</v>
      </c>
      <c r="F3520">
        <v>-1</v>
      </c>
      <c r="G3520">
        <v>-0.59688099999999999</v>
      </c>
    </row>
    <row r="3521" spans="1:7">
      <c r="A3521" t="s">
        <v>144</v>
      </c>
      <c r="B3521">
        <v>55</v>
      </c>
      <c r="C3521">
        <v>22</v>
      </c>
      <c r="D3521">
        <v>0.81493599999999999</v>
      </c>
      <c r="E3521">
        <v>-0.69362500000000005</v>
      </c>
      <c r="F3521">
        <v>-1</v>
      </c>
      <c r="G3521">
        <v>-0.69362500000000005</v>
      </c>
    </row>
    <row r="3522" spans="1:7">
      <c r="A3522" t="s">
        <v>144</v>
      </c>
      <c r="B3522">
        <v>55</v>
      </c>
      <c r="C3522">
        <v>23</v>
      </c>
      <c r="D3522">
        <v>0.81493599999999999</v>
      </c>
      <c r="E3522">
        <v>0.58458200000000005</v>
      </c>
      <c r="F3522">
        <v>-1</v>
      </c>
      <c r="G3522">
        <v>0.58458200000000005</v>
      </c>
    </row>
    <row r="3523" spans="1:7">
      <c r="A3523" t="s">
        <v>144</v>
      </c>
      <c r="B3523">
        <v>55</v>
      </c>
      <c r="C3523">
        <v>24</v>
      </c>
      <c r="D3523">
        <v>0.81493599999999999</v>
      </c>
      <c r="E3523">
        <v>0.943693</v>
      </c>
      <c r="F3523">
        <v>-1</v>
      </c>
      <c r="G3523">
        <v>0.943693</v>
      </c>
    </row>
    <row r="3524" spans="1:7">
      <c r="A3524" t="s">
        <v>144</v>
      </c>
      <c r="B3524">
        <v>55</v>
      </c>
      <c r="C3524">
        <v>25</v>
      </c>
      <c r="D3524">
        <v>0.81493599999999999</v>
      </c>
      <c r="E3524">
        <v>0.68205800000000005</v>
      </c>
      <c r="F3524">
        <v>-1</v>
      </c>
      <c r="G3524">
        <v>0.68205800000000005</v>
      </c>
    </row>
    <row r="3525" spans="1:7">
      <c r="A3525" t="s">
        <v>144</v>
      </c>
      <c r="B3525">
        <v>55</v>
      </c>
      <c r="C3525">
        <v>26</v>
      </c>
      <c r="D3525">
        <v>0.81493599999999999</v>
      </c>
      <c r="E3525">
        <v>0.85753999999999997</v>
      </c>
      <c r="F3525">
        <v>-1</v>
      </c>
      <c r="G3525">
        <v>0.85753999999999997</v>
      </c>
    </row>
    <row r="3526" spans="1:7">
      <c r="A3526" t="s">
        <v>144</v>
      </c>
      <c r="B3526">
        <v>55</v>
      </c>
      <c r="C3526">
        <v>27</v>
      </c>
      <c r="D3526">
        <v>0.81493599999999999</v>
      </c>
      <c r="E3526">
        <v>0.96350000000000002</v>
      </c>
      <c r="F3526">
        <v>-1</v>
      </c>
      <c r="G3526">
        <v>0.96350000000000002</v>
      </c>
    </row>
    <row r="3527" spans="1:7">
      <c r="A3527" t="s">
        <v>144</v>
      </c>
      <c r="B3527">
        <v>55</v>
      </c>
      <c r="C3527">
        <v>28</v>
      </c>
      <c r="D3527">
        <v>0.81493599999999999</v>
      </c>
      <c r="E3527">
        <v>0.440077</v>
      </c>
      <c r="F3527">
        <v>-1</v>
      </c>
      <c r="G3527">
        <v>0.440077</v>
      </c>
    </row>
    <row r="3528" spans="1:7">
      <c r="A3528" t="s">
        <v>144</v>
      </c>
      <c r="B3528">
        <v>55</v>
      </c>
      <c r="C3528">
        <v>29</v>
      </c>
      <c r="D3528">
        <v>0.81493599999999999</v>
      </c>
      <c r="E3528">
        <v>-0.50492899999999996</v>
      </c>
      <c r="F3528">
        <v>-1</v>
      </c>
      <c r="G3528">
        <v>-0.50492899999999996</v>
      </c>
    </row>
    <row r="3529" spans="1:7">
      <c r="A3529" t="s">
        <v>144</v>
      </c>
      <c r="B3529">
        <v>55</v>
      </c>
      <c r="C3529">
        <v>30</v>
      </c>
      <c r="D3529">
        <v>0.81493599999999999</v>
      </c>
      <c r="E3529">
        <v>-0.66579200000000005</v>
      </c>
      <c r="F3529">
        <v>-0.106235</v>
      </c>
      <c r="G3529">
        <v>-0.56223800000000002</v>
      </c>
    </row>
    <row r="3530" spans="1:7">
      <c r="A3530" t="s">
        <v>144</v>
      </c>
      <c r="B3530">
        <v>55</v>
      </c>
      <c r="C3530">
        <v>31</v>
      </c>
      <c r="D3530">
        <v>0.81493599999999999</v>
      </c>
      <c r="E3530">
        <v>-0.68761300000000003</v>
      </c>
      <c r="F3530">
        <v>0.65547699999999998</v>
      </c>
      <c r="G3530">
        <v>-0.43905499999999997</v>
      </c>
    </row>
    <row r="3531" spans="1:7">
      <c r="A3531" t="s">
        <v>144</v>
      </c>
      <c r="B3531">
        <v>55</v>
      </c>
      <c r="C3531">
        <v>32</v>
      </c>
      <c r="D3531">
        <v>0.81493599999999999</v>
      </c>
      <c r="E3531">
        <v>-0.45905899999999999</v>
      </c>
      <c r="F3531">
        <v>-0.11920500000000001</v>
      </c>
      <c r="G3531">
        <v>-0.39616499999999999</v>
      </c>
    </row>
    <row r="3532" spans="1:7">
      <c r="A3532" t="s">
        <v>144</v>
      </c>
      <c r="B3532">
        <v>55</v>
      </c>
      <c r="C3532">
        <v>33</v>
      </c>
      <c r="D3532">
        <v>0.81493599999999999</v>
      </c>
      <c r="E3532">
        <v>-0.26892899999999997</v>
      </c>
      <c r="F3532">
        <v>-0.98269600000000001</v>
      </c>
      <c r="G3532">
        <v>-0.40102199999999999</v>
      </c>
    </row>
    <row r="3533" spans="1:7">
      <c r="A3533" t="s">
        <v>144</v>
      </c>
      <c r="B3533">
        <v>55</v>
      </c>
      <c r="C3533">
        <v>34</v>
      </c>
      <c r="D3533">
        <v>0.81493599999999999</v>
      </c>
      <c r="E3533">
        <v>0.58226299999999998</v>
      </c>
      <c r="F3533">
        <v>-0.99606300000000003</v>
      </c>
      <c r="G3533">
        <v>0.29017100000000001</v>
      </c>
    </row>
    <row r="3534" spans="1:7">
      <c r="A3534" t="s">
        <v>144</v>
      </c>
      <c r="B3534">
        <v>55</v>
      </c>
      <c r="C3534">
        <v>35</v>
      </c>
      <c r="D3534">
        <v>0.81493599999999999</v>
      </c>
      <c r="E3534">
        <v>-0.62703299999999995</v>
      </c>
      <c r="F3534">
        <v>0.61149900000000001</v>
      </c>
      <c r="G3534">
        <v>-0.39782499999999998</v>
      </c>
    </row>
    <row r="3535" spans="1:7">
      <c r="A3535" t="s">
        <v>144</v>
      </c>
      <c r="B3535">
        <v>55</v>
      </c>
      <c r="C3535">
        <v>36</v>
      </c>
      <c r="D3535">
        <v>0.81493599999999999</v>
      </c>
      <c r="E3535">
        <v>8.8625999999999996E-2</v>
      </c>
      <c r="F3535">
        <v>0.456374</v>
      </c>
      <c r="G3535">
        <v>0.15668299999999999</v>
      </c>
    </row>
    <row r="3536" spans="1:7">
      <c r="A3536" t="s">
        <v>144</v>
      </c>
      <c r="B3536">
        <v>55</v>
      </c>
      <c r="C3536">
        <v>37</v>
      </c>
      <c r="D3536">
        <v>0.81493599999999999</v>
      </c>
      <c r="E3536">
        <v>-8.5848999999999995E-2</v>
      </c>
      <c r="F3536">
        <v>-0.44190800000000002</v>
      </c>
      <c r="G3536">
        <v>-0.15174199999999999</v>
      </c>
    </row>
    <row r="3537" spans="1:7">
      <c r="A3537" t="s">
        <v>144</v>
      </c>
      <c r="B3537">
        <v>55</v>
      </c>
      <c r="C3537">
        <v>38</v>
      </c>
      <c r="D3537">
        <v>0.81493599999999999</v>
      </c>
      <c r="E3537">
        <v>0.49571199999999999</v>
      </c>
      <c r="F3537">
        <v>0.406476</v>
      </c>
      <c r="G3537">
        <v>0.47919800000000001</v>
      </c>
    </row>
    <row r="3538" spans="1:7">
      <c r="A3538" t="s">
        <v>144</v>
      </c>
      <c r="B3538">
        <v>55</v>
      </c>
      <c r="C3538">
        <v>39</v>
      </c>
      <c r="D3538">
        <v>0.81493599999999999</v>
      </c>
      <c r="E3538">
        <v>-0.72609599999999996</v>
      </c>
      <c r="F3538">
        <v>0.88149699999999998</v>
      </c>
      <c r="G3538">
        <v>-0.42858800000000002</v>
      </c>
    </row>
    <row r="3539" spans="1:7">
      <c r="A3539" t="s">
        <v>144</v>
      </c>
      <c r="B3539">
        <v>55</v>
      </c>
      <c r="C3539">
        <v>40</v>
      </c>
      <c r="D3539">
        <v>0.81493599999999999</v>
      </c>
      <c r="E3539">
        <v>-0.33573399999999998</v>
      </c>
      <c r="F3539">
        <v>0.77291200000000004</v>
      </c>
      <c r="G3539">
        <v>-0.13056300000000001</v>
      </c>
    </row>
    <row r="3540" spans="1:7">
      <c r="A3540" t="s">
        <v>144</v>
      </c>
      <c r="B3540">
        <v>55</v>
      </c>
      <c r="C3540">
        <v>41</v>
      </c>
      <c r="D3540">
        <v>0.81493599999999999</v>
      </c>
      <c r="E3540">
        <v>0.58906800000000004</v>
      </c>
      <c r="F3540">
        <v>-0.59776600000000002</v>
      </c>
      <c r="G3540">
        <v>0.36942799999999998</v>
      </c>
    </row>
    <row r="3541" spans="1:7">
      <c r="A3541" t="s">
        <v>144</v>
      </c>
      <c r="B3541">
        <v>55</v>
      </c>
      <c r="C3541">
        <v>42</v>
      </c>
      <c r="D3541">
        <v>0.81493599999999999</v>
      </c>
      <c r="E3541">
        <v>0.23935699999999999</v>
      </c>
      <c r="F3541">
        <v>-0.52537599999999995</v>
      </c>
      <c r="G3541">
        <v>9.7832000000000002E-2</v>
      </c>
    </row>
    <row r="3542" spans="1:7">
      <c r="A3542" t="s">
        <v>144</v>
      </c>
      <c r="B3542">
        <v>55</v>
      </c>
      <c r="C3542">
        <v>43</v>
      </c>
      <c r="D3542">
        <v>0.81493599999999999</v>
      </c>
      <c r="E3542">
        <v>0.67925000000000002</v>
      </c>
      <c r="F3542">
        <v>-0.97595100000000001</v>
      </c>
      <c r="G3542">
        <v>0.37293199999999999</v>
      </c>
    </row>
    <row r="3543" spans="1:7">
      <c r="A3543" t="s">
        <v>144</v>
      </c>
      <c r="B3543">
        <v>55</v>
      </c>
      <c r="C3543">
        <v>44</v>
      </c>
      <c r="D3543">
        <v>0.81493599999999999</v>
      </c>
      <c r="E3543">
        <v>0.208533</v>
      </c>
      <c r="F3543">
        <v>4.5747000000000003E-2</v>
      </c>
      <c r="G3543">
        <v>0.17840700000000001</v>
      </c>
    </row>
    <row r="3544" spans="1:7">
      <c r="A3544" t="s">
        <v>144</v>
      </c>
      <c r="B3544">
        <v>55</v>
      </c>
      <c r="C3544">
        <v>45</v>
      </c>
      <c r="D3544">
        <v>0.81493599999999999</v>
      </c>
      <c r="E3544">
        <v>-0.67186500000000005</v>
      </c>
      <c r="F3544">
        <v>-0.68782600000000005</v>
      </c>
      <c r="G3544">
        <v>-0.67481899999999995</v>
      </c>
    </row>
    <row r="3545" spans="1:7">
      <c r="A3545" t="s">
        <v>144</v>
      </c>
      <c r="B3545">
        <v>55</v>
      </c>
      <c r="C3545">
        <v>46</v>
      </c>
      <c r="D3545">
        <v>0.81493599999999999</v>
      </c>
      <c r="E3545">
        <v>-0.235481</v>
      </c>
      <c r="F3545">
        <v>0.49864199999999997</v>
      </c>
      <c r="G3545">
        <v>-9.9621000000000001E-2</v>
      </c>
    </row>
    <row r="3546" spans="1:7">
      <c r="A3546" t="s">
        <v>144</v>
      </c>
      <c r="B3546">
        <v>55</v>
      </c>
      <c r="C3546">
        <v>47</v>
      </c>
      <c r="D3546">
        <v>0.81493599999999999</v>
      </c>
      <c r="E3546">
        <v>-0.73189499999999996</v>
      </c>
      <c r="F3546">
        <v>0.27842</v>
      </c>
      <c r="G3546">
        <v>-0.54492200000000002</v>
      </c>
    </row>
    <row r="3547" spans="1:7">
      <c r="A3547" t="s">
        <v>144</v>
      </c>
      <c r="B3547">
        <v>55</v>
      </c>
      <c r="C3547">
        <v>48</v>
      </c>
      <c r="D3547">
        <v>0.81493599999999999</v>
      </c>
      <c r="E3547">
        <v>-0.92327599999999999</v>
      </c>
      <c r="F3547">
        <v>-0.36036299999999999</v>
      </c>
      <c r="G3547">
        <v>-0.81910099999999997</v>
      </c>
    </row>
    <row r="3548" spans="1:7">
      <c r="A3548" t="s">
        <v>144</v>
      </c>
      <c r="B3548">
        <v>55</v>
      </c>
      <c r="C3548">
        <v>49</v>
      </c>
      <c r="D3548">
        <v>0.81493599999999999</v>
      </c>
      <c r="E3548">
        <v>0.35065800000000003</v>
      </c>
      <c r="F3548">
        <v>0.17630499999999999</v>
      </c>
      <c r="G3548">
        <v>0.31839099999999998</v>
      </c>
    </row>
    <row r="3549" spans="1:7">
      <c r="A3549" t="s">
        <v>144</v>
      </c>
      <c r="B3549" t="s">
        <v>145</v>
      </c>
      <c r="C3549">
        <v>56</v>
      </c>
    </row>
    <row r="3550" spans="1:7">
      <c r="A3550" t="s">
        <v>144</v>
      </c>
      <c r="B3550" t="s">
        <v>146</v>
      </c>
      <c r="C3550">
        <v>25</v>
      </c>
    </row>
    <row r="3551" spans="1:7">
      <c r="A3551" t="s">
        <v>144</v>
      </c>
      <c r="B3551" t="s">
        <v>147</v>
      </c>
      <c r="C3551">
        <v>25</v>
      </c>
    </row>
    <row r="3552" spans="1:7">
      <c r="A3552" t="s">
        <v>144</v>
      </c>
      <c r="B3552" t="s">
        <v>148</v>
      </c>
      <c r="C3552">
        <v>0.42442099999999999</v>
      </c>
    </row>
    <row r="3553" spans="1:7">
      <c r="A3553" t="s">
        <v>144</v>
      </c>
      <c r="B3553" t="s">
        <v>149</v>
      </c>
      <c r="C3553">
        <v>0.42442099999999999</v>
      </c>
    </row>
    <row r="3554" spans="1:7">
      <c r="A3554" t="s">
        <v>144</v>
      </c>
      <c r="B3554" t="s">
        <v>150</v>
      </c>
      <c r="C3554">
        <v>-1</v>
      </c>
    </row>
    <row r="3555" spans="1:7">
      <c r="A3555" t="s">
        <v>144</v>
      </c>
      <c r="B3555" t="s">
        <v>151</v>
      </c>
      <c r="C3555">
        <v>-1</v>
      </c>
    </row>
    <row r="3556" spans="1:7">
      <c r="A3556" t="s">
        <v>144</v>
      </c>
      <c r="B3556" t="s">
        <v>152</v>
      </c>
      <c r="C3556">
        <v>20</v>
      </c>
    </row>
    <row r="3557" spans="1:7">
      <c r="A3557" t="s">
        <v>144</v>
      </c>
      <c r="B3557" t="s">
        <v>153</v>
      </c>
      <c r="C3557">
        <v>20</v>
      </c>
    </row>
    <row r="3558" spans="1:7">
      <c r="A3558" t="s">
        <v>144</v>
      </c>
      <c r="B3558" t="s">
        <v>154</v>
      </c>
      <c r="C3558">
        <v>0</v>
      </c>
    </row>
    <row r="3559" spans="1:7">
      <c r="A3559" t="s">
        <v>144</v>
      </c>
      <c r="B3559" t="s">
        <v>155</v>
      </c>
    </row>
    <row r="3560" spans="1:7">
      <c r="A3560" t="s">
        <v>144</v>
      </c>
      <c r="B3560" t="s">
        <v>150</v>
      </c>
      <c r="C3560">
        <v>0.57658600000000004</v>
      </c>
    </row>
    <row r="3561" spans="1:7">
      <c r="A3561" t="s">
        <v>144</v>
      </c>
      <c r="B3561" t="s">
        <v>151</v>
      </c>
      <c r="C3561">
        <v>0.57658600000000004</v>
      </c>
    </row>
    <row r="3562" spans="1:7">
      <c r="A3562" t="s">
        <v>144</v>
      </c>
      <c r="B3562" t="s">
        <v>156</v>
      </c>
      <c r="C3562" t="s">
        <v>157</v>
      </c>
      <c r="D3562" t="s">
        <v>63</v>
      </c>
      <c r="E3562" t="s">
        <v>158</v>
      </c>
      <c r="F3562" t="s">
        <v>159</v>
      </c>
      <c r="G3562" t="s">
        <v>160</v>
      </c>
    </row>
    <row r="3563" spans="1:7">
      <c r="A3563" t="s">
        <v>144</v>
      </c>
      <c r="B3563">
        <v>56</v>
      </c>
      <c r="C3563">
        <v>0</v>
      </c>
      <c r="D3563">
        <v>0.57658600000000004</v>
      </c>
      <c r="E3563">
        <v>0.26480900000000002</v>
      </c>
      <c r="F3563">
        <v>-1</v>
      </c>
      <c r="G3563">
        <v>0.26480900000000002</v>
      </c>
    </row>
    <row r="3564" spans="1:7">
      <c r="A3564" t="s">
        <v>144</v>
      </c>
      <c r="B3564">
        <v>56</v>
      </c>
      <c r="C3564">
        <v>1</v>
      </c>
      <c r="D3564">
        <v>0.57658600000000004</v>
      </c>
      <c r="E3564">
        <v>-0.60609800000000003</v>
      </c>
      <c r="F3564">
        <v>-1</v>
      </c>
      <c r="G3564">
        <v>-0.60609800000000003</v>
      </c>
    </row>
    <row r="3565" spans="1:7">
      <c r="A3565" t="s">
        <v>144</v>
      </c>
      <c r="B3565">
        <v>56</v>
      </c>
      <c r="C3565">
        <v>2</v>
      </c>
      <c r="D3565">
        <v>0.57658600000000004</v>
      </c>
      <c r="E3565">
        <v>0.23627400000000001</v>
      </c>
      <c r="F3565">
        <v>-1</v>
      </c>
      <c r="G3565">
        <v>0.23627400000000001</v>
      </c>
    </row>
    <row r="3566" spans="1:7">
      <c r="A3566" t="s">
        <v>144</v>
      </c>
      <c r="B3566">
        <v>56</v>
      </c>
      <c r="C3566">
        <v>3</v>
      </c>
      <c r="D3566">
        <v>0.57658600000000004</v>
      </c>
      <c r="E3566">
        <v>-0.75334900000000005</v>
      </c>
      <c r="F3566">
        <v>-1</v>
      </c>
      <c r="G3566">
        <v>-0.75334900000000005</v>
      </c>
    </row>
    <row r="3567" spans="1:7">
      <c r="A3567" t="s">
        <v>144</v>
      </c>
      <c r="B3567">
        <v>56</v>
      </c>
      <c r="C3567">
        <v>4</v>
      </c>
      <c r="D3567">
        <v>0.57658600000000004</v>
      </c>
      <c r="E3567">
        <v>0.36115599999999998</v>
      </c>
      <c r="F3567">
        <v>-1</v>
      </c>
      <c r="G3567">
        <v>0.36115599999999998</v>
      </c>
    </row>
    <row r="3568" spans="1:7">
      <c r="A3568" t="s">
        <v>144</v>
      </c>
      <c r="B3568">
        <v>56</v>
      </c>
      <c r="C3568">
        <v>5</v>
      </c>
      <c r="D3568">
        <v>0.57658600000000004</v>
      </c>
      <c r="E3568">
        <v>-0.55137800000000003</v>
      </c>
      <c r="F3568">
        <v>-1</v>
      </c>
      <c r="G3568">
        <v>-0.55137800000000003</v>
      </c>
    </row>
    <row r="3569" spans="1:7">
      <c r="A3569" t="s">
        <v>144</v>
      </c>
      <c r="B3569">
        <v>56</v>
      </c>
      <c r="C3569">
        <v>6</v>
      </c>
      <c r="D3569">
        <v>0.57658600000000004</v>
      </c>
      <c r="E3569">
        <v>0.90124199999999999</v>
      </c>
      <c r="F3569">
        <v>-1</v>
      </c>
      <c r="G3569">
        <v>0.90124199999999999</v>
      </c>
    </row>
    <row r="3570" spans="1:7">
      <c r="A3570" t="s">
        <v>144</v>
      </c>
      <c r="B3570">
        <v>56</v>
      </c>
      <c r="C3570">
        <v>7</v>
      </c>
      <c r="D3570">
        <v>0.57658600000000004</v>
      </c>
      <c r="E3570">
        <v>-0.23252100000000001</v>
      </c>
      <c r="F3570">
        <v>-1</v>
      </c>
      <c r="G3570">
        <v>-0.23252100000000001</v>
      </c>
    </row>
    <row r="3571" spans="1:7">
      <c r="A3571" t="s">
        <v>144</v>
      </c>
      <c r="B3571">
        <v>56</v>
      </c>
      <c r="C3571">
        <v>8</v>
      </c>
      <c r="D3571">
        <v>0.57658600000000004</v>
      </c>
      <c r="E3571">
        <v>0.830897</v>
      </c>
      <c r="F3571">
        <v>-1</v>
      </c>
      <c r="G3571">
        <v>0.830897</v>
      </c>
    </row>
    <row r="3572" spans="1:7">
      <c r="A3572" t="s">
        <v>144</v>
      </c>
      <c r="B3572">
        <v>56</v>
      </c>
      <c r="C3572">
        <v>9</v>
      </c>
      <c r="D3572">
        <v>0.57658600000000004</v>
      </c>
      <c r="E3572">
        <v>-0.52052399999999999</v>
      </c>
      <c r="F3572">
        <v>-1</v>
      </c>
      <c r="G3572">
        <v>-0.52052399999999999</v>
      </c>
    </row>
    <row r="3573" spans="1:7">
      <c r="A3573" t="s">
        <v>144</v>
      </c>
      <c r="B3573">
        <v>56</v>
      </c>
      <c r="C3573">
        <v>10</v>
      </c>
      <c r="D3573">
        <v>0.57658600000000004</v>
      </c>
      <c r="E3573">
        <v>0.25086199999999997</v>
      </c>
      <c r="F3573">
        <v>-1</v>
      </c>
      <c r="G3573">
        <v>0.25086199999999997</v>
      </c>
    </row>
    <row r="3574" spans="1:7">
      <c r="A3574" t="s">
        <v>144</v>
      </c>
      <c r="B3574">
        <v>56</v>
      </c>
      <c r="C3574">
        <v>11</v>
      </c>
      <c r="D3574">
        <v>0.57658600000000004</v>
      </c>
      <c r="E3574">
        <v>0.60383900000000001</v>
      </c>
      <c r="F3574">
        <v>-1</v>
      </c>
      <c r="G3574">
        <v>0.60383900000000001</v>
      </c>
    </row>
    <row r="3575" spans="1:7">
      <c r="A3575" t="s">
        <v>144</v>
      </c>
      <c r="B3575">
        <v>56</v>
      </c>
      <c r="C3575">
        <v>12</v>
      </c>
      <c r="D3575">
        <v>0.57658600000000004</v>
      </c>
      <c r="E3575">
        <v>0.39750400000000002</v>
      </c>
      <c r="F3575">
        <v>-1</v>
      </c>
      <c r="G3575">
        <v>0.39750400000000002</v>
      </c>
    </row>
    <row r="3576" spans="1:7">
      <c r="A3576" t="s">
        <v>144</v>
      </c>
      <c r="B3576">
        <v>56</v>
      </c>
      <c r="C3576">
        <v>13</v>
      </c>
      <c r="D3576">
        <v>0.57658600000000004</v>
      </c>
      <c r="E3576">
        <v>-0.47032099999999999</v>
      </c>
      <c r="F3576">
        <v>-1</v>
      </c>
      <c r="G3576">
        <v>-0.47032099999999999</v>
      </c>
    </row>
    <row r="3577" spans="1:7">
      <c r="A3577" t="s">
        <v>144</v>
      </c>
      <c r="B3577">
        <v>56</v>
      </c>
      <c r="C3577">
        <v>14</v>
      </c>
      <c r="D3577">
        <v>0.57658600000000004</v>
      </c>
      <c r="E3577">
        <v>-0.90429400000000004</v>
      </c>
      <c r="F3577">
        <v>-1</v>
      </c>
      <c r="G3577">
        <v>-0.90429400000000004</v>
      </c>
    </row>
    <row r="3578" spans="1:7">
      <c r="A3578" t="s">
        <v>144</v>
      </c>
      <c r="B3578">
        <v>56</v>
      </c>
      <c r="C3578">
        <v>15</v>
      </c>
      <c r="D3578">
        <v>0.57658600000000004</v>
      </c>
      <c r="E3578">
        <v>0.50923200000000002</v>
      </c>
      <c r="F3578">
        <v>-1</v>
      </c>
      <c r="G3578">
        <v>0.50923200000000002</v>
      </c>
    </row>
    <row r="3579" spans="1:7">
      <c r="A3579" t="s">
        <v>144</v>
      </c>
      <c r="B3579">
        <v>56</v>
      </c>
      <c r="C3579">
        <v>16</v>
      </c>
      <c r="D3579">
        <v>0.57658600000000004</v>
      </c>
      <c r="E3579">
        <v>0.47117500000000001</v>
      </c>
      <c r="F3579">
        <v>-1</v>
      </c>
      <c r="G3579">
        <v>0.47117500000000001</v>
      </c>
    </row>
    <row r="3580" spans="1:7">
      <c r="A3580" t="s">
        <v>144</v>
      </c>
      <c r="B3580">
        <v>56</v>
      </c>
      <c r="C3580">
        <v>17</v>
      </c>
      <c r="D3580">
        <v>0.57658600000000004</v>
      </c>
      <c r="E3580">
        <v>-0.787408</v>
      </c>
      <c r="F3580">
        <v>-1</v>
      </c>
      <c r="G3580">
        <v>-0.787408</v>
      </c>
    </row>
    <row r="3581" spans="1:7">
      <c r="A3581" t="s">
        <v>144</v>
      </c>
      <c r="B3581">
        <v>56</v>
      </c>
      <c r="C3581">
        <v>18</v>
      </c>
      <c r="D3581">
        <v>0.57658600000000004</v>
      </c>
      <c r="E3581">
        <v>-0.59883399999999998</v>
      </c>
      <c r="F3581">
        <v>-1</v>
      </c>
      <c r="G3581">
        <v>-0.59883399999999998</v>
      </c>
    </row>
    <row r="3582" spans="1:7">
      <c r="A3582" t="s">
        <v>144</v>
      </c>
      <c r="B3582">
        <v>56</v>
      </c>
      <c r="C3582">
        <v>19</v>
      </c>
      <c r="D3582">
        <v>0.57658600000000004</v>
      </c>
      <c r="E3582">
        <v>-0.90520900000000004</v>
      </c>
      <c r="F3582">
        <v>-1</v>
      </c>
      <c r="G3582">
        <v>-0.90520900000000004</v>
      </c>
    </row>
    <row r="3583" spans="1:7">
      <c r="A3583" t="s">
        <v>144</v>
      </c>
      <c r="B3583">
        <v>56</v>
      </c>
      <c r="C3583">
        <v>20</v>
      </c>
      <c r="D3583">
        <v>0.57658600000000004</v>
      </c>
      <c r="E3583">
        <v>-0.54316799999999998</v>
      </c>
      <c r="F3583">
        <v>0.68459099999999995</v>
      </c>
      <c r="G3583">
        <v>-2.3317999999999998E-2</v>
      </c>
    </row>
    <row r="3584" spans="1:7">
      <c r="A3584" t="s">
        <v>144</v>
      </c>
      <c r="B3584">
        <v>56</v>
      </c>
      <c r="C3584">
        <v>21</v>
      </c>
      <c r="D3584">
        <v>0.57658600000000004</v>
      </c>
      <c r="E3584">
        <v>-0.83898399999999995</v>
      </c>
      <c r="F3584">
        <v>-0.24878700000000001</v>
      </c>
      <c r="G3584">
        <v>-0.58908700000000003</v>
      </c>
    </row>
    <row r="3585" spans="1:7">
      <c r="A3585" t="s">
        <v>144</v>
      </c>
      <c r="B3585">
        <v>56</v>
      </c>
      <c r="C3585">
        <v>22</v>
      </c>
      <c r="D3585">
        <v>0.57658600000000004</v>
      </c>
      <c r="E3585">
        <v>0.14716000000000001</v>
      </c>
      <c r="F3585">
        <v>-0.98477099999999995</v>
      </c>
      <c r="G3585">
        <v>-0.33211499999999999</v>
      </c>
    </row>
    <row r="3586" spans="1:7">
      <c r="A3586" t="s">
        <v>144</v>
      </c>
      <c r="B3586">
        <v>56</v>
      </c>
      <c r="C3586">
        <v>23</v>
      </c>
      <c r="D3586">
        <v>0.57658600000000004</v>
      </c>
      <c r="E3586">
        <v>0.67607700000000004</v>
      </c>
      <c r="F3586">
        <v>-0.78417300000000001</v>
      </c>
      <c r="G3586">
        <v>5.7786999999999998E-2</v>
      </c>
    </row>
    <row r="3587" spans="1:7">
      <c r="A3587" t="s">
        <v>144</v>
      </c>
      <c r="B3587">
        <v>56</v>
      </c>
      <c r="C3587">
        <v>24</v>
      </c>
      <c r="D3587">
        <v>0.57658600000000004</v>
      </c>
      <c r="E3587">
        <v>0.70558799999999999</v>
      </c>
      <c r="F3587">
        <v>0.84438599999999997</v>
      </c>
      <c r="G3587">
        <v>0.76435699999999995</v>
      </c>
    </row>
    <row r="3588" spans="1:7">
      <c r="A3588" t="s">
        <v>144</v>
      </c>
      <c r="B3588">
        <v>56</v>
      </c>
      <c r="C3588">
        <v>25</v>
      </c>
      <c r="D3588">
        <v>0.57658600000000004</v>
      </c>
      <c r="E3588">
        <v>-0.64863999999999999</v>
      </c>
      <c r="F3588">
        <v>-0.74465199999999998</v>
      </c>
      <c r="G3588">
        <v>-0.68929300000000004</v>
      </c>
    </row>
    <row r="3589" spans="1:7">
      <c r="A3589" t="s">
        <v>144</v>
      </c>
      <c r="B3589">
        <v>56</v>
      </c>
      <c r="C3589">
        <v>26</v>
      </c>
      <c r="D3589">
        <v>0.57658600000000004</v>
      </c>
      <c r="E3589">
        <v>0.51936400000000005</v>
      </c>
      <c r="F3589">
        <v>-0.16925599999999999</v>
      </c>
      <c r="G3589">
        <v>0.227793</v>
      </c>
    </row>
    <row r="3590" spans="1:7">
      <c r="A3590" t="s">
        <v>144</v>
      </c>
      <c r="B3590">
        <v>56</v>
      </c>
      <c r="C3590">
        <v>27</v>
      </c>
      <c r="D3590">
        <v>0.57658600000000004</v>
      </c>
      <c r="E3590">
        <v>-0.37238700000000002</v>
      </c>
      <c r="F3590">
        <v>0.76857799999999998</v>
      </c>
      <c r="G3590">
        <v>0.11071400000000001</v>
      </c>
    </row>
    <row r="3591" spans="1:7">
      <c r="A3591" t="s">
        <v>144</v>
      </c>
      <c r="B3591">
        <v>56</v>
      </c>
      <c r="C3591">
        <v>28</v>
      </c>
      <c r="D3591">
        <v>0.57658600000000004</v>
      </c>
      <c r="E3591">
        <v>-0.29563299999999998</v>
      </c>
      <c r="F3591">
        <v>7.1931999999999996E-2</v>
      </c>
      <c r="G3591">
        <v>-0.14000099999999999</v>
      </c>
    </row>
    <row r="3592" spans="1:7">
      <c r="A3592" t="s">
        <v>144</v>
      </c>
      <c r="B3592">
        <v>56</v>
      </c>
      <c r="C3592">
        <v>29</v>
      </c>
      <c r="D3592">
        <v>0.57658600000000004</v>
      </c>
      <c r="E3592">
        <v>-0.69707300000000005</v>
      </c>
      <c r="F3592">
        <v>0.18176800000000001</v>
      </c>
      <c r="G3592">
        <v>-0.32496000000000003</v>
      </c>
    </row>
    <row r="3593" spans="1:7">
      <c r="A3593" t="s">
        <v>144</v>
      </c>
      <c r="B3593">
        <v>56</v>
      </c>
      <c r="C3593">
        <v>30</v>
      </c>
      <c r="D3593">
        <v>0.57658600000000004</v>
      </c>
      <c r="E3593">
        <v>-4.9744999999999998E-2</v>
      </c>
      <c r="F3593">
        <v>-0.30668099999999998</v>
      </c>
      <c r="G3593">
        <v>-0.15853500000000001</v>
      </c>
    </row>
    <row r="3594" spans="1:7">
      <c r="A3594" t="s">
        <v>144</v>
      </c>
      <c r="B3594">
        <v>56</v>
      </c>
      <c r="C3594">
        <v>31</v>
      </c>
      <c r="D3594">
        <v>0.57658600000000004</v>
      </c>
      <c r="E3594">
        <v>-7.4007000000000003E-2</v>
      </c>
      <c r="F3594">
        <v>-0.16440299999999999</v>
      </c>
      <c r="G3594">
        <v>-0.11228200000000001</v>
      </c>
    </row>
    <row r="3595" spans="1:7">
      <c r="A3595" t="s">
        <v>144</v>
      </c>
      <c r="B3595">
        <v>56</v>
      </c>
      <c r="C3595">
        <v>32</v>
      </c>
      <c r="D3595">
        <v>0.57658600000000004</v>
      </c>
      <c r="E3595">
        <v>-0.66539499999999996</v>
      </c>
      <c r="F3595">
        <v>-1.9196000000000001E-2</v>
      </c>
      <c r="G3595">
        <v>-0.39178600000000002</v>
      </c>
    </row>
    <row r="3596" spans="1:7">
      <c r="A3596" t="s">
        <v>144</v>
      </c>
      <c r="B3596">
        <v>56</v>
      </c>
      <c r="C3596">
        <v>33</v>
      </c>
      <c r="D3596">
        <v>0.57658600000000004</v>
      </c>
      <c r="E3596">
        <v>-0.84798700000000005</v>
      </c>
      <c r="F3596">
        <v>-0.74758100000000005</v>
      </c>
      <c r="G3596">
        <v>-0.80547400000000002</v>
      </c>
    </row>
    <row r="3597" spans="1:7">
      <c r="A3597" t="s">
        <v>144</v>
      </c>
      <c r="B3597">
        <v>56</v>
      </c>
      <c r="C3597">
        <v>34</v>
      </c>
      <c r="D3597">
        <v>0.57658600000000004</v>
      </c>
      <c r="E3597">
        <v>-0.76921899999999999</v>
      </c>
      <c r="F3597">
        <v>0.96697900000000003</v>
      </c>
      <c r="G3597">
        <v>-3.4089000000000001E-2</v>
      </c>
    </row>
    <row r="3598" spans="1:7">
      <c r="A3598" t="s">
        <v>144</v>
      </c>
      <c r="B3598">
        <v>56</v>
      </c>
      <c r="C3598">
        <v>35</v>
      </c>
      <c r="D3598">
        <v>0.57658600000000004</v>
      </c>
      <c r="E3598">
        <v>-0.37861299999999998</v>
      </c>
      <c r="F3598">
        <v>-4.6387999999999999E-2</v>
      </c>
      <c r="G3598">
        <v>-0.23794399999999999</v>
      </c>
    </row>
    <row r="3599" spans="1:7">
      <c r="A3599" t="s">
        <v>144</v>
      </c>
      <c r="B3599">
        <v>56</v>
      </c>
      <c r="C3599">
        <v>36</v>
      </c>
      <c r="D3599">
        <v>0.57658600000000004</v>
      </c>
      <c r="E3599">
        <v>7.6174000000000006E-2</v>
      </c>
      <c r="F3599">
        <v>0.86651199999999995</v>
      </c>
      <c r="G3599">
        <v>0.41081400000000001</v>
      </c>
    </row>
    <row r="3600" spans="1:7">
      <c r="A3600" t="s">
        <v>144</v>
      </c>
      <c r="B3600">
        <v>56</v>
      </c>
      <c r="C3600">
        <v>37</v>
      </c>
      <c r="D3600">
        <v>0.57658600000000004</v>
      </c>
      <c r="E3600">
        <v>0.39872400000000002</v>
      </c>
      <c r="F3600">
        <v>0.635548</v>
      </c>
      <c r="G3600">
        <v>0.49899900000000003</v>
      </c>
    </row>
    <row r="3601" spans="1:7">
      <c r="A3601" t="s">
        <v>144</v>
      </c>
      <c r="B3601">
        <v>56</v>
      </c>
      <c r="C3601">
        <v>38</v>
      </c>
      <c r="D3601">
        <v>0.57658600000000004</v>
      </c>
      <c r="E3601">
        <v>-0.86193399999999998</v>
      </c>
      <c r="F3601">
        <v>2.3834999999999999E-2</v>
      </c>
      <c r="G3601">
        <v>-0.48688700000000001</v>
      </c>
    </row>
    <row r="3602" spans="1:7">
      <c r="A3602" t="s">
        <v>144</v>
      </c>
      <c r="B3602">
        <v>56</v>
      </c>
      <c r="C3602">
        <v>39</v>
      </c>
      <c r="D3602">
        <v>0.57658600000000004</v>
      </c>
      <c r="E3602">
        <v>0.51475599999999999</v>
      </c>
      <c r="F3602">
        <v>0.473769</v>
      </c>
      <c r="G3602">
        <v>0.49740200000000001</v>
      </c>
    </row>
    <row r="3603" spans="1:7">
      <c r="A3603" t="s">
        <v>144</v>
      </c>
      <c r="B3603">
        <v>56</v>
      </c>
      <c r="C3603">
        <v>40</v>
      </c>
      <c r="D3603">
        <v>0.57658600000000004</v>
      </c>
      <c r="E3603">
        <v>0.71819200000000005</v>
      </c>
      <c r="F3603">
        <v>-0.90463000000000005</v>
      </c>
      <c r="G3603">
        <v>3.1067000000000001E-2</v>
      </c>
    </row>
    <row r="3604" spans="1:7">
      <c r="A3604" t="s">
        <v>144</v>
      </c>
      <c r="B3604">
        <v>56</v>
      </c>
      <c r="C3604">
        <v>41</v>
      </c>
      <c r="D3604">
        <v>0.57658600000000004</v>
      </c>
      <c r="E3604">
        <v>-0.25620300000000001</v>
      </c>
      <c r="F3604">
        <v>0.28333399999999997</v>
      </c>
      <c r="G3604">
        <v>-2.7755999999999999E-2</v>
      </c>
    </row>
    <row r="3605" spans="1:7">
      <c r="A3605" t="s">
        <v>144</v>
      </c>
      <c r="B3605">
        <v>56</v>
      </c>
      <c r="C3605">
        <v>42</v>
      </c>
      <c r="D3605">
        <v>0.57658600000000004</v>
      </c>
      <c r="E3605">
        <v>0.24768799999999999</v>
      </c>
      <c r="F3605">
        <v>-0.79949300000000001</v>
      </c>
      <c r="G3605">
        <v>-0.19570299999999999</v>
      </c>
    </row>
    <row r="3606" spans="1:7">
      <c r="A3606" t="s">
        <v>144</v>
      </c>
      <c r="B3606">
        <v>56</v>
      </c>
      <c r="C3606">
        <v>43</v>
      </c>
      <c r="D3606">
        <v>0.57658600000000004</v>
      </c>
      <c r="E3606">
        <v>0.58027899999999999</v>
      </c>
      <c r="F3606">
        <v>-0.79100899999999996</v>
      </c>
      <c r="G3606">
        <v>-3.4299999999999999E-4</v>
      </c>
    </row>
    <row r="3607" spans="1:7">
      <c r="A3607" t="s">
        <v>144</v>
      </c>
      <c r="B3607">
        <v>56</v>
      </c>
      <c r="C3607">
        <v>44</v>
      </c>
      <c r="D3607">
        <v>0.57658600000000004</v>
      </c>
      <c r="E3607">
        <v>0.85494599999999998</v>
      </c>
      <c r="F3607">
        <v>0.24188999999999999</v>
      </c>
      <c r="G3607">
        <v>0.59536900000000004</v>
      </c>
    </row>
    <row r="3608" spans="1:7">
      <c r="A3608" t="s">
        <v>144</v>
      </c>
      <c r="B3608">
        <v>56</v>
      </c>
      <c r="C3608">
        <v>45</v>
      </c>
      <c r="D3608">
        <v>0.57658600000000004</v>
      </c>
      <c r="E3608">
        <v>0.23755599999999999</v>
      </c>
      <c r="F3608">
        <v>-0.736259</v>
      </c>
      <c r="G3608">
        <v>-0.17477100000000001</v>
      </c>
    </row>
    <row r="3609" spans="1:7">
      <c r="A3609" t="s">
        <v>144</v>
      </c>
      <c r="B3609">
        <v>56</v>
      </c>
      <c r="C3609">
        <v>46</v>
      </c>
      <c r="D3609">
        <v>0.57658600000000004</v>
      </c>
      <c r="E3609">
        <v>-0.28867500000000001</v>
      </c>
      <c r="F3609">
        <v>0.333872</v>
      </c>
      <c r="G3609">
        <v>-2.5080000000000002E-2</v>
      </c>
    </row>
    <row r="3610" spans="1:7">
      <c r="A3610" t="s">
        <v>144</v>
      </c>
      <c r="B3610">
        <v>56</v>
      </c>
      <c r="C3610">
        <v>47</v>
      </c>
      <c r="D3610">
        <v>0.57658600000000004</v>
      </c>
      <c r="E3610">
        <v>-0.90563700000000003</v>
      </c>
      <c r="F3610">
        <v>-5.3651999999999998E-2</v>
      </c>
      <c r="G3610">
        <v>-0.54489399999999999</v>
      </c>
    </row>
    <row r="3611" spans="1:7">
      <c r="A3611" t="s">
        <v>144</v>
      </c>
      <c r="B3611">
        <v>56</v>
      </c>
      <c r="C3611">
        <v>48</v>
      </c>
      <c r="D3611">
        <v>0.57658600000000004</v>
      </c>
      <c r="E3611">
        <v>9.2837000000000003E-2</v>
      </c>
      <c r="F3611">
        <v>0.63624999999999998</v>
      </c>
      <c r="G3611">
        <v>0.32292599999999999</v>
      </c>
    </row>
    <row r="3612" spans="1:7">
      <c r="A3612" t="s">
        <v>144</v>
      </c>
      <c r="B3612">
        <v>56</v>
      </c>
      <c r="C3612">
        <v>49</v>
      </c>
      <c r="D3612">
        <v>0.57658600000000004</v>
      </c>
      <c r="E3612">
        <v>-0.49604799999999999</v>
      </c>
      <c r="F3612">
        <v>0.13528899999999999</v>
      </c>
      <c r="G3612">
        <v>-0.22873099999999999</v>
      </c>
    </row>
    <row r="3613" spans="1:7">
      <c r="A3613" t="s">
        <v>144</v>
      </c>
      <c r="B3613" t="s">
        <v>145</v>
      </c>
      <c r="C3613">
        <v>57</v>
      </c>
    </row>
    <row r="3614" spans="1:7">
      <c r="A3614" t="s">
        <v>144</v>
      </c>
      <c r="B3614" t="s">
        <v>146</v>
      </c>
      <c r="C3614">
        <v>55</v>
      </c>
    </row>
    <row r="3615" spans="1:7">
      <c r="A3615" t="s">
        <v>144</v>
      </c>
      <c r="B3615" t="s">
        <v>147</v>
      </c>
      <c r="C3615">
        <v>55</v>
      </c>
    </row>
    <row r="3616" spans="1:7">
      <c r="A3616" t="s">
        <v>144</v>
      </c>
      <c r="B3616" t="s">
        <v>148</v>
      </c>
      <c r="C3616">
        <v>0.10498399999999999</v>
      </c>
    </row>
    <row r="3617" spans="1:7">
      <c r="A3617" t="s">
        <v>144</v>
      </c>
      <c r="B3617" t="s">
        <v>149</v>
      </c>
      <c r="C3617">
        <v>0.10498399999999999</v>
      </c>
    </row>
    <row r="3618" spans="1:7">
      <c r="A3618" t="s">
        <v>144</v>
      </c>
      <c r="B3618" t="s">
        <v>150</v>
      </c>
      <c r="C3618">
        <v>-1</v>
      </c>
    </row>
    <row r="3619" spans="1:7">
      <c r="A3619" t="s">
        <v>144</v>
      </c>
      <c r="B3619" t="s">
        <v>151</v>
      </c>
      <c r="C3619">
        <v>-1</v>
      </c>
    </row>
    <row r="3620" spans="1:7">
      <c r="A3620" t="s">
        <v>144</v>
      </c>
      <c r="B3620" t="s">
        <v>152</v>
      </c>
      <c r="C3620">
        <v>33</v>
      </c>
    </row>
    <row r="3621" spans="1:7">
      <c r="A3621" t="s">
        <v>144</v>
      </c>
      <c r="B3621" t="s">
        <v>153</v>
      </c>
      <c r="C3621">
        <v>33</v>
      </c>
    </row>
    <row r="3622" spans="1:7">
      <c r="A3622" t="s">
        <v>144</v>
      </c>
      <c r="B3622" t="s">
        <v>154</v>
      </c>
      <c r="C3622">
        <v>0</v>
      </c>
    </row>
    <row r="3623" spans="1:7">
      <c r="A3623" t="s">
        <v>144</v>
      </c>
      <c r="B3623" t="s">
        <v>155</v>
      </c>
    </row>
    <row r="3624" spans="1:7">
      <c r="A3624" t="s">
        <v>144</v>
      </c>
      <c r="B3624" t="s">
        <v>150</v>
      </c>
      <c r="C3624">
        <v>0.73216999999999999</v>
      </c>
    </row>
    <row r="3625" spans="1:7">
      <c r="A3625" t="s">
        <v>144</v>
      </c>
      <c r="B3625" t="s">
        <v>151</v>
      </c>
      <c r="C3625">
        <v>0.73216999999999999</v>
      </c>
    </row>
    <row r="3626" spans="1:7">
      <c r="A3626" t="s">
        <v>144</v>
      </c>
      <c r="B3626" t="s">
        <v>156</v>
      </c>
      <c r="C3626" t="s">
        <v>157</v>
      </c>
      <c r="D3626" t="s">
        <v>63</v>
      </c>
      <c r="E3626" t="s">
        <v>158</v>
      </c>
      <c r="F3626" t="s">
        <v>159</v>
      </c>
      <c r="G3626" t="s">
        <v>160</v>
      </c>
    </row>
    <row r="3627" spans="1:7">
      <c r="A3627" t="s">
        <v>144</v>
      </c>
      <c r="B3627">
        <v>57</v>
      </c>
      <c r="C3627">
        <v>0</v>
      </c>
      <c r="D3627">
        <v>0.73216999999999999</v>
      </c>
      <c r="E3627">
        <v>-0.54786800000000002</v>
      </c>
      <c r="F3627">
        <v>-1</v>
      </c>
      <c r="G3627">
        <v>-0.54786800000000002</v>
      </c>
    </row>
    <row r="3628" spans="1:7">
      <c r="A3628" t="s">
        <v>144</v>
      </c>
      <c r="B3628">
        <v>57</v>
      </c>
      <c r="C3628">
        <v>1</v>
      </c>
      <c r="D3628">
        <v>0.73216999999999999</v>
      </c>
      <c r="E3628">
        <v>0.344279</v>
      </c>
      <c r="F3628">
        <v>-1</v>
      </c>
      <c r="G3628">
        <v>0.344279</v>
      </c>
    </row>
    <row r="3629" spans="1:7">
      <c r="A3629" t="s">
        <v>144</v>
      </c>
      <c r="B3629">
        <v>57</v>
      </c>
      <c r="C3629">
        <v>2</v>
      </c>
      <c r="D3629">
        <v>0.73216999999999999</v>
      </c>
      <c r="E3629">
        <v>0.33109499999999997</v>
      </c>
      <c r="F3629">
        <v>-1</v>
      </c>
      <c r="G3629">
        <v>0.33109499999999997</v>
      </c>
    </row>
    <row r="3630" spans="1:7">
      <c r="A3630" t="s">
        <v>144</v>
      </c>
      <c r="B3630">
        <v>57</v>
      </c>
      <c r="C3630">
        <v>3</v>
      </c>
      <c r="D3630">
        <v>0.73216999999999999</v>
      </c>
      <c r="E3630">
        <v>0.27671099999999998</v>
      </c>
      <c r="F3630">
        <v>-1</v>
      </c>
      <c r="G3630">
        <v>0.27671099999999998</v>
      </c>
    </row>
    <row r="3631" spans="1:7">
      <c r="A3631" t="s">
        <v>144</v>
      </c>
      <c r="B3631">
        <v>57</v>
      </c>
      <c r="C3631">
        <v>4</v>
      </c>
      <c r="D3631">
        <v>0.73216999999999999</v>
      </c>
      <c r="E3631">
        <v>-0.58711500000000005</v>
      </c>
      <c r="F3631">
        <v>-1</v>
      </c>
      <c r="G3631">
        <v>-0.58711500000000005</v>
      </c>
    </row>
    <row r="3632" spans="1:7">
      <c r="A3632" t="s">
        <v>144</v>
      </c>
      <c r="B3632">
        <v>57</v>
      </c>
      <c r="C3632">
        <v>5</v>
      </c>
      <c r="D3632">
        <v>0.73216999999999999</v>
      </c>
      <c r="E3632">
        <v>0.58412399999999998</v>
      </c>
      <c r="F3632">
        <v>-1</v>
      </c>
      <c r="G3632">
        <v>0.58412399999999998</v>
      </c>
    </row>
    <row r="3633" spans="1:7">
      <c r="A3633" t="s">
        <v>144</v>
      </c>
      <c r="B3633">
        <v>57</v>
      </c>
      <c r="C3633">
        <v>6</v>
      </c>
      <c r="D3633">
        <v>0.73216999999999999</v>
      </c>
      <c r="E3633">
        <v>-0.42237599999999997</v>
      </c>
      <c r="F3633">
        <v>-1</v>
      </c>
      <c r="G3633">
        <v>-0.42237599999999997</v>
      </c>
    </row>
    <row r="3634" spans="1:7">
      <c r="A3634" t="s">
        <v>144</v>
      </c>
      <c r="B3634">
        <v>57</v>
      </c>
      <c r="C3634">
        <v>7</v>
      </c>
      <c r="D3634">
        <v>0.73216999999999999</v>
      </c>
      <c r="E3634">
        <v>6.9399000000000002E-2</v>
      </c>
      <c r="F3634">
        <v>-1</v>
      </c>
      <c r="G3634">
        <v>6.9399000000000002E-2</v>
      </c>
    </row>
    <row r="3635" spans="1:7">
      <c r="A3635" t="s">
        <v>144</v>
      </c>
      <c r="B3635">
        <v>57</v>
      </c>
      <c r="C3635">
        <v>8</v>
      </c>
      <c r="D3635">
        <v>0.73216999999999999</v>
      </c>
      <c r="E3635">
        <v>0.66548700000000005</v>
      </c>
      <c r="F3635">
        <v>-1</v>
      </c>
      <c r="G3635">
        <v>0.66548700000000005</v>
      </c>
    </row>
    <row r="3636" spans="1:7">
      <c r="A3636" t="s">
        <v>144</v>
      </c>
      <c r="B3636">
        <v>57</v>
      </c>
      <c r="C3636">
        <v>9</v>
      </c>
      <c r="D3636">
        <v>0.73216999999999999</v>
      </c>
      <c r="E3636">
        <v>0.61265899999999995</v>
      </c>
      <c r="F3636">
        <v>-1</v>
      </c>
      <c r="G3636">
        <v>0.61265899999999995</v>
      </c>
    </row>
    <row r="3637" spans="1:7">
      <c r="A3637" t="s">
        <v>144</v>
      </c>
      <c r="B3637">
        <v>57</v>
      </c>
      <c r="C3637">
        <v>10</v>
      </c>
      <c r="D3637">
        <v>0.73216999999999999</v>
      </c>
      <c r="E3637">
        <v>4.2481999999999999E-2</v>
      </c>
      <c r="F3637">
        <v>-1</v>
      </c>
      <c r="G3637">
        <v>4.2481999999999999E-2</v>
      </c>
    </row>
    <row r="3638" spans="1:7">
      <c r="A3638" t="s">
        <v>144</v>
      </c>
      <c r="B3638">
        <v>57</v>
      </c>
      <c r="C3638">
        <v>11</v>
      </c>
      <c r="D3638">
        <v>0.73216999999999999</v>
      </c>
      <c r="E3638">
        <v>-0.99975599999999998</v>
      </c>
      <c r="F3638">
        <v>-1</v>
      </c>
      <c r="G3638">
        <v>-0.99975599999999998</v>
      </c>
    </row>
    <row r="3639" spans="1:7">
      <c r="A3639" t="s">
        <v>144</v>
      </c>
      <c r="B3639">
        <v>57</v>
      </c>
      <c r="C3639">
        <v>12</v>
      </c>
      <c r="D3639">
        <v>0.73216999999999999</v>
      </c>
      <c r="E3639">
        <v>0.88570800000000005</v>
      </c>
      <c r="F3639">
        <v>-1</v>
      </c>
      <c r="G3639">
        <v>0.88570800000000005</v>
      </c>
    </row>
    <row r="3640" spans="1:7">
      <c r="A3640" t="s">
        <v>144</v>
      </c>
      <c r="B3640">
        <v>57</v>
      </c>
      <c r="C3640">
        <v>13</v>
      </c>
      <c r="D3640">
        <v>0.73216999999999999</v>
      </c>
      <c r="E3640">
        <v>0.55006600000000005</v>
      </c>
      <c r="F3640">
        <v>-1</v>
      </c>
      <c r="G3640">
        <v>0.55006600000000005</v>
      </c>
    </row>
    <row r="3641" spans="1:7">
      <c r="A3641" t="s">
        <v>144</v>
      </c>
      <c r="B3641">
        <v>57</v>
      </c>
      <c r="C3641">
        <v>14</v>
      </c>
      <c r="D3641">
        <v>0.73216999999999999</v>
      </c>
      <c r="E3641">
        <v>3.1525999999999998E-2</v>
      </c>
      <c r="F3641">
        <v>-1</v>
      </c>
      <c r="G3641">
        <v>3.1525999999999998E-2</v>
      </c>
    </row>
    <row r="3642" spans="1:7">
      <c r="A3642" t="s">
        <v>144</v>
      </c>
      <c r="B3642">
        <v>57</v>
      </c>
      <c r="C3642">
        <v>15</v>
      </c>
      <c r="D3642">
        <v>0.73216999999999999</v>
      </c>
      <c r="E3642">
        <v>0.44917099999999999</v>
      </c>
      <c r="F3642">
        <v>-1</v>
      </c>
      <c r="G3642">
        <v>0.44917099999999999</v>
      </c>
    </row>
    <row r="3643" spans="1:7">
      <c r="A3643" t="s">
        <v>144</v>
      </c>
      <c r="B3643">
        <v>57</v>
      </c>
      <c r="C3643">
        <v>16</v>
      </c>
      <c r="D3643">
        <v>0.73216999999999999</v>
      </c>
      <c r="E3643">
        <v>6.4516000000000004E-2</v>
      </c>
      <c r="F3643">
        <v>-1</v>
      </c>
      <c r="G3643">
        <v>6.4516000000000004E-2</v>
      </c>
    </row>
    <row r="3644" spans="1:7">
      <c r="A3644" t="s">
        <v>144</v>
      </c>
      <c r="B3644">
        <v>57</v>
      </c>
      <c r="C3644">
        <v>17</v>
      </c>
      <c r="D3644">
        <v>0.73216999999999999</v>
      </c>
      <c r="E3644">
        <v>-0.19257199999999999</v>
      </c>
      <c r="F3644">
        <v>-1</v>
      </c>
      <c r="G3644">
        <v>-0.19257199999999999</v>
      </c>
    </row>
    <row r="3645" spans="1:7">
      <c r="A3645" t="s">
        <v>144</v>
      </c>
      <c r="B3645">
        <v>57</v>
      </c>
      <c r="C3645">
        <v>18</v>
      </c>
      <c r="D3645">
        <v>0.73216999999999999</v>
      </c>
      <c r="E3645">
        <v>0.56285300000000005</v>
      </c>
      <c r="F3645">
        <v>-1</v>
      </c>
      <c r="G3645">
        <v>0.56285300000000005</v>
      </c>
    </row>
    <row r="3646" spans="1:7">
      <c r="A3646" t="s">
        <v>144</v>
      </c>
      <c r="B3646">
        <v>57</v>
      </c>
      <c r="C3646">
        <v>19</v>
      </c>
      <c r="D3646">
        <v>0.73216999999999999</v>
      </c>
      <c r="E3646">
        <v>4.7455999999999998E-2</v>
      </c>
      <c r="F3646">
        <v>-1</v>
      </c>
      <c r="G3646">
        <v>4.7455999999999998E-2</v>
      </c>
    </row>
    <row r="3647" spans="1:7">
      <c r="A3647" t="s">
        <v>144</v>
      </c>
      <c r="B3647">
        <v>57</v>
      </c>
      <c r="C3647">
        <v>20</v>
      </c>
      <c r="D3647">
        <v>0.73216999999999999</v>
      </c>
      <c r="E3647">
        <v>-0.50230399999999997</v>
      </c>
      <c r="F3647">
        <v>-1</v>
      </c>
      <c r="G3647">
        <v>-0.50230399999999997</v>
      </c>
    </row>
    <row r="3648" spans="1:7">
      <c r="A3648" t="s">
        <v>144</v>
      </c>
      <c r="B3648">
        <v>57</v>
      </c>
      <c r="C3648">
        <v>21</v>
      </c>
      <c r="D3648">
        <v>0.73216999999999999</v>
      </c>
      <c r="E3648">
        <v>-0.93801699999999999</v>
      </c>
      <c r="F3648">
        <v>-1</v>
      </c>
      <c r="G3648">
        <v>-0.93801699999999999</v>
      </c>
    </row>
    <row r="3649" spans="1:7">
      <c r="A3649" t="s">
        <v>144</v>
      </c>
      <c r="B3649">
        <v>57</v>
      </c>
      <c r="C3649">
        <v>22</v>
      </c>
      <c r="D3649">
        <v>0.73216999999999999</v>
      </c>
      <c r="E3649">
        <v>0.47480699999999998</v>
      </c>
      <c r="F3649">
        <v>-1</v>
      </c>
      <c r="G3649">
        <v>0.47480699999999998</v>
      </c>
    </row>
    <row r="3650" spans="1:7">
      <c r="A3650" t="s">
        <v>144</v>
      </c>
      <c r="B3650">
        <v>57</v>
      </c>
      <c r="C3650">
        <v>23</v>
      </c>
      <c r="D3650">
        <v>0.73216999999999999</v>
      </c>
      <c r="E3650">
        <v>-0.66081699999999999</v>
      </c>
      <c r="F3650">
        <v>-1</v>
      </c>
      <c r="G3650">
        <v>-0.66081699999999999</v>
      </c>
    </row>
    <row r="3651" spans="1:7">
      <c r="A3651" t="s">
        <v>144</v>
      </c>
      <c r="B3651">
        <v>57</v>
      </c>
      <c r="C3651">
        <v>24</v>
      </c>
      <c r="D3651">
        <v>0.73216999999999999</v>
      </c>
      <c r="E3651">
        <v>-0.87731599999999998</v>
      </c>
      <c r="F3651">
        <v>-1</v>
      </c>
      <c r="G3651">
        <v>-0.87731599999999998</v>
      </c>
    </row>
    <row r="3652" spans="1:7">
      <c r="A3652" t="s">
        <v>144</v>
      </c>
      <c r="B3652">
        <v>57</v>
      </c>
      <c r="C3652">
        <v>25</v>
      </c>
      <c r="D3652">
        <v>0.73216999999999999</v>
      </c>
      <c r="E3652">
        <v>0.83669499999999997</v>
      </c>
      <c r="F3652">
        <v>-1</v>
      </c>
      <c r="G3652">
        <v>0.83669499999999997</v>
      </c>
    </row>
    <row r="3653" spans="1:7">
      <c r="A3653" t="s">
        <v>144</v>
      </c>
      <c r="B3653">
        <v>57</v>
      </c>
      <c r="C3653">
        <v>26</v>
      </c>
      <c r="D3653">
        <v>0.73216999999999999</v>
      </c>
      <c r="E3653">
        <v>-0.72801899999999997</v>
      </c>
      <c r="F3653">
        <v>-1</v>
      </c>
      <c r="G3653">
        <v>-0.72801899999999997</v>
      </c>
    </row>
    <row r="3654" spans="1:7">
      <c r="A3654" t="s">
        <v>144</v>
      </c>
      <c r="B3654">
        <v>57</v>
      </c>
      <c r="C3654">
        <v>27</v>
      </c>
      <c r="D3654">
        <v>0.73216999999999999</v>
      </c>
      <c r="E3654">
        <v>-0.50505100000000003</v>
      </c>
      <c r="F3654">
        <v>-1</v>
      </c>
      <c r="G3654">
        <v>-0.50505100000000003</v>
      </c>
    </row>
    <row r="3655" spans="1:7">
      <c r="A3655" t="s">
        <v>144</v>
      </c>
      <c r="B3655">
        <v>57</v>
      </c>
      <c r="C3655">
        <v>28</v>
      </c>
      <c r="D3655">
        <v>0.73216999999999999</v>
      </c>
      <c r="E3655">
        <v>-0.26548100000000002</v>
      </c>
      <c r="F3655">
        <v>-1</v>
      </c>
      <c r="G3655">
        <v>-0.26548100000000002</v>
      </c>
    </row>
    <row r="3656" spans="1:7">
      <c r="A3656" t="s">
        <v>144</v>
      </c>
      <c r="B3656">
        <v>57</v>
      </c>
      <c r="C3656">
        <v>29</v>
      </c>
      <c r="D3656">
        <v>0.73216999999999999</v>
      </c>
      <c r="E3656">
        <v>0.76714400000000005</v>
      </c>
      <c r="F3656">
        <v>-1</v>
      </c>
      <c r="G3656">
        <v>0.76714400000000005</v>
      </c>
    </row>
    <row r="3657" spans="1:7">
      <c r="A3657" t="s">
        <v>144</v>
      </c>
      <c r="B3657">
        <v>57</v>
      </c>
      <c r="C3657">
        <v>30</v>
      </c>
      <c r="D3657">
        <v>0.73216999999999999</v>
      </c>
      <c r="E3657">
        <v>0.98739600000000005</v>
      </c>
      <c r="F3657">
        <v>-1</v>
      </c>
      <c r="G3657">
        <v>0.98739600000000005</v>
      </c>
    </row>
    <row r="3658" spans="1:7">
      <c r="A3658" t="s">
        <v>144</v>
      </c>
      <c r="B3658">
        <v>57</v>
      </c>
      <c r="C3658">
        <v>31</v>
      </c>
      <c r="D3658">
        <v>0.73216999999999999</v>
      </c>
      <c r="E3658">
        <v>-0.38416699999999998</v>
      </c>
      <c r="F3658">
        <v>-1</v>
      </c>
      <c r="G3658">
        <v>-0.38416699999999998</v>
      </c>
    </row>
    <row r="3659" spans="1:7">
      <c r="A3659" t="s">
        <v>144</v>
      </c>
      <c r="B3659">
        <v>57</v>
      </c>
      <c r="C3659">
        <v>32</v>
      </c>
      <c r="D3659">
        <v>0.73216999999999999</v>
      </c>
      <c r="E3659">
        <v>0.28486</v>
      </c>
      <c r="F3659">
        <v>-1</v>
      </c>
      <c r="G3659">
        <v>0.28486</v>
      </c>
    </row>
    <row r="3660" spans="1:7">
      <c r="A3660" t="s">
        <v>144</v>
      </c>
      <c r="B3660">
        <v>57</v>
      </c>
      <c r="C3660">
        <v>33</v>
      </c>
      <c r="D3660">
        <v>0.73216999999999999</v>
      </c>
      <c r="E3660">
        <v>0.73699099999999995</v>
      </c>
      <c r="F3660">
        <v>-0.26892899999999997</v>
      </c>
      <c r="G3660">
        <v>0.46757500000000002</v>
      </c>
    </row>
    <row r="3661" spans="1:7">
      <c r="A3661" t="s">
        <v>144</v>
      </c>
      <c r="B3661">
        <v>57</v>
      </c>
      <c r="C3661">
        <v>34</v>
      </c>
      <c r="D3661">
        <v>0.73216999999999999</v>
      </c>
      <c r="E3661">
        <v>-0.328959</v>
      </c>
      <c r="F3661">
        <v>0.58226299999999998</v>
      </c>
      <c r="G3661">
        <v>-8.4905999999999995E-2</v>
      </c>
    </row>
    <row r="3662" spans="1:7">
      <c r="A3662" t="s">
        <v>144</v>
      </c>
      <c r="B3662">
        <v>57</v>
      </c>
      <c r="C3662">
        <v>35</v>
      </c>
      <c r="D3662">
        <v>0.73216999999999999</v>
      </c>
      <c r="E3662">
        <v>-5.3284999999999999E-2</v>
      </c>
      <c r="F3662">
        <v>-0.62703299999999995</v>
      </c>
      <c r="G3662">
        <v>-0.206952</v>
      </c>
    </row>
    <row r="3663" spans="1:7">
      <c r="A3663" t="s">
        <v>144</v>
      </c>
      <c r="B3663">
        <v>57</v>
      </c>
      <c r="C3663">
        <v>36</v>
      </c>
      <c r="D3663">
        <v>0.73216999999999999</v>
      </c>
      <c r="E3663">
        <v>-0.365093</v>
      </c>
      <c r="F3663">
        <v>8.8625999999999996E-2</v>
      </c>
      <c r="G3663">
        <v>-0.24357300000000001</v>
      </c>
    </row>
    <row r="3664" spans="1:7">
      <c r="A3664" t="s">
        <v>144</v>
      </c>
      <c r="B3664">
        <v>57</v>
      </c>
      <c r="C3664">
        <v>37</v>
      </c>
      <c r="D3664">
        <v>0.73216999999999999</v>
      </c>
      <c r="E3664">
        <v>-0.30860300000000002</v>
      </c>
      <c r="F3664">
        <v>-8.5848999999999995E-2</v>
      </c>
      <c r="G3664">
        <v>-0.248943</v>
      </c>
    </row>
    <row r="3665" spans="1:7">
      <c r="A3665" t="s">
        <v>144</v>
      </c>
      <c r="B3665">
        <v>57</v>
      </c>
      <c r="C3665">
        <v>38</v>
      </c>
      <c r="D3665">
        <v>0.73216999999999999</v>
      </c>
      <c r="E3665">
        <v>7.2114999999999999E-2</v>
      </c>
      <c r="F3665">
        <v>0.49571199999999999</v>
      </c>
      <c r="G3665">
        <v>0.18556700000000001</v>
      </c>
    </row>
    <row r="3666" spans="1:7">
      <c r="A3666" t="s">
        <v>144</v>
      </c>
      <c r="B3666">
        <v>57</v>
      </c>
      <c r="C3666">
        <v>39</v>
      </c>
      <c r="D3666">
        <v>0.73216999999999999</v>
      </c>
      <c r="E3666">
        <v>0.70729699999999995</v>
      </c>
      <c r="F3666">
        <v>-0.72609599999999996</v>
      </c>
      <c r="G3666">
        <v>0.32339099999999998</v>
      </c>
    </row>
    <row r="3667" spans="1:7">
      <c r="A3667" t="s">
        <v>144</v>
      </c>
      <c r="B3667">
        <v>57</v>
      </c>
      <c r="C3667">
        <v>40</v>
      </c>
      <c r="D3667">
        <v>0.73216999999999999</v>
      </c>
      <c r="E3667">
        <v>0.14203299999999999</v>
      </c>
      <c r="F3667">
        <v>-0.33573399999999998</v>
      </c>
      <c r="G3667">
        <v>1.4073E-2</v>
      </c>
    </row>
    <row r="3668" spans="1:7">
      <c r="A3668" t="s">
        <v>144</v>
      </c>
      <c r="B3668">
        <v>57</v>
      </c>
      <c r="C3668">
        <v>41</v>
      </c>
      <c r="D3668">
        <v>0.73216999999999999</v>
      </c>
      <c r="E3668">
        <v>-0.14999799999999999</v>
      </c>
      <c r="F3668">
        <v>0.58906800000000004</v>
      </c>
      <c r="G3668">
        <v>4.7946000000000003E-2</v>
      </c>
    </row>
    <row r="3669" spans="1:7">
      <c r="A3669" t="s">
        <v>144</v>
      </c>
      <c r="B3669">
        <v>57</v>
      </c>
      <c r="C3669">
        <v>42</v>
      </c>
      <c r="D3669">
        <v>0.73216999999999999</v>
      </c>
      <c r="E3669">
        <v>0.73662499999999997</v>
      </c>
      <c r="F3669">
        <v>0.23935699999999999</v>
      </c>
      <c r="G3669">
        <v>0.60344200000000003</v>
      </c>
    </row>
    <row r="3670" spans="1:7">
      <c r="A3670" t="s">
        <v>144</v>
      </c>
      <c r="B3670">
        <v>57</v>
      </c>
      <c r="C3670">
        <v>43</v>
      </c>
      <c r="D3670">
        <v>0.73216999999999999</v>
      </c>
      <c r="E3670">
        <v>0.59373799999999999</v>
      </c>
      <c r="F3670">
        <v>0.67925000000000002</v>
      </c>
      <c r="G3670">
        <v>0.61664099999999999</v>
      </c>
    </row>
    <row r="3671" spans="1:7">
      <c r="A3671" t="s">
        <v>144</v>
      </c>
      <c r="B3671">
        <v>57</v>
      </c>
      <c r="C3671">
        <v>44</v>
      </c>
      <c r="D3671">
        <v>0.73216999999999999</v>
      </c>
      <c r="E3671">
        <v>-0.977294</v>
      </c>
      <c r="F3671">
        <v>0.208533</v>
      </c>
      <c r="G3671">
        <v>-0.659694</v>
      </c>
    </row>
    <row r="3672" spans="1:7">
      <c r="A3672" t="s">
        <v>144</v>
      </c>
      <c r="B3672">
        <v>57</v>
      </c>
      <c r="C3672">
        <v>45</v>
      </c>
      <c r="D3672">
        <v>0.73216999999999999</v>
      </c>
      <c r="E3672">
        <v>-0.71053200000000005</v>
      </c>
      <c r="F3672">
        <v>-0.67186500000000005</v>
      </c>
      <c r="G3672">
        <v>-0.70017600000000002</v>
      </c>
    </row>
    <row r="3673" spans="1:7">
      <c r="A3673" t="s">
        <v>144</v>
      </c>
      <c r="B3673">
        <v>57</v>
      </c>
      <c r="C3673">
        <v>46</v>
      </c>
      <c r="D3673">
        <v>0.73216999999999999</v>
      </c>
      <c r="E3673">
        <v>0.124454</v>
      </c>
      <c r="F3673">
        <v>-0.235481</v>
      </c>
      <c r="G3673">
        <v>2.8053000000000002E-2</v>
      </c>
    </row>
    <row r="3674" spans="1:7">
      <c r="A3674" t="s">
        <v>144</v>
      </c>
      <c r="B3674">
        <v>57</v>
      </c>
      <c r="C3674">
        <v>47</v>
      </c>
      <c r="D3674">
        <v>0.73216999999999999</v>
      </c>
      <c r="E3674">
        <v>0.75142699999999996</v>
      </c>
      <c r="F3674">
        <v>-0.73189499999999996</v>
      </c>
      <c r="G3674">
        <v>0.35414800000000002</v>
      </c>
    </row>
    <row r="3675" spans="1:7">
      <c r="A3675" t="s">
        <v>144</v>
      </c>
      <c r="B3675">
        <v>57</v>
      </c>
      <c r="C3675">
        <v>48</v>
      </c>
      <c r="D3675">
        <v>0.73216999999999999</v>
      </c>
      <c r="E3675">
        <v>0.60261900000000002</v>
      </c>
      <c r="F3675">
        <v>-0.92327599999999999</v>
      </c>
      <c r="G3675">
        <v>0.193937</v>
      </c>
    </row>
    <row r="3676" spans="1:7">
      <c r="A3676" t="s">
        <v>144</v>
      </c>
      <c r="B3676">
        <v>57</v>
      </c>
      <c r="C3676">
        <v>49</v>
      </c>
      <c r="D3676">
        <v>0.73216999999999999</v>
      </c>
      <c r="E3676">
        <v>2.1668E-2</v>
      </c>
      <c r="F3676">
        <v>0.35065800000000003</v>
      </c>
      <c r="G3676">
        <v>0.109782</v>
      </c>
    </row>
    <row r="3677" spans="1:7">
      <c r="A3677" t="s">
        <v>144</v>
      </c>
      <c r="B3677" t="s">
        <v>145</v>
      </c>
      <c r="C3677">
        <v>58</v>
      </c>
    </row>
    <row r="3678" spans="1:7">
      <c r="A3678" t="s">
        <v>144</v>
      </c>
      <c r="B3678" t="s">
        <v>146</v>
      </c>
      <c r="C3678">
        <v>49</v>
      </c>
    </row>
    <row r="3679" spans="1:7">
      <c r="A3679" t="s">
        <v>144</v>
      </c>
      <c r="B3679" t="s">
        <v>147</v>
      </c>
      <c r="C3679">
        <v>49</v>
      </c>
    </row>
    <row r="3680" spans="1:7">
      <c r="A3680" t="s">
        <v>144</v>
      </c>
      <c r="B3680" t="s">
        <v>148</v>
      </c>
      <c r="C3680">
        <v>0.194189</v>
      </c>
    </row>
    <row r="3681" spans="1:7">
      <c r="A3681" t="s">
        <v>144</v>
      </c>
      <c r="B3681" t="s">
        <v>149</v>
      </c>
      <c r="C3681">
        <v>0.194189</v>
      </c>
    </row>
    <row r="3682" spans="1:7">
      <c r="A3682" t="s">
        <v>144</v>
      </c>
      <c r="B3682" t="s">
        <v>150</v>
      </c>
      <c r="C3682">
        <v>-1</v>
      </c>
    </row>
    <row r="3683" spans="1:7">
      <c r="A3683" t="s">
        <v>144</v>
      </c>
      <c r="B3683" t="s">
        <v>151</v>
      </c>
      <c r="C3683">
        <v>-1</v>
      </c>
    </row>
    <row r="3684" spans="1:7">
      <c r="A3684" t="s">
        <v>144</v>
      </c>
      <c r="B3684" t="s">
        <v>152</v>
      </c>
      <c r="C3684">
        <v>20</v>
      </c>
    </row>
    <row r="3685" spans="1:7">
      <c r="A3685" t="s">
        <v>144</v>
      </c>
      <c r="B3685" t="s">
        <v>153</v>
      </c>
      <c r="C3685">
        <v>20</v>
      </c>
    </row>
    <row r="3686" spans="1:7">
      <c r="A3686" t="s">
        <v>144</v>
      </c>
      <c r="B3686" t="s">
        <v>154</v>
      </c>
      <c r="C3686">
        <v>0</v>
      </c>
    </row>
    <row r="3687" spans="1:7">
      <c r="A3687" t="s">
        <v>144</v>
      </c>
      <c r="B3687" t="s">
        <v>155</v>
      </c>
    </row>
    <row r="3688" spans="1:7">
      <c r="A3688" t="s">
        <v>144</v>
      </c>
      <c r="B3688" t="s">
        <v>150</v>
      </c>
      <c r="C3688">
        <v>0.462783</v>
      </c>
    </row>
    <row r="3689" spans="1:7">
      <c r="A3689" t="s">
        <v>144</v>
      </c>
      <c r="B3689" t="s">
        <v>151</v>
      </c>
      <c r="C3689">
        <v>0.462783</v>
      </c>
    </row>
    <row r="3690" spans="1:7">
      <c r="A3690" t="s">
        <v>144</v>
      </c>
      <c r="B3690" t="s">
        <v>156</v>
      </c>
      <c r="C3690" t="s">
        <v>157</v>
      </c>
      <c r="D3690" t="s">
        <v>63</v>
      </c>
      <c r="E3690" t="s">
        <v>158</v>
      </c>
      <c r="F3690" t="s">
        <v>159</v>
      </c>
      <c r="G3690" t="s">
        <v>160</v>
      </c>
    </row>
    <row r="3691" spans="1:7">
      <c r="A3691" t="s">
        <v>144</v>
      </c>
      <c r="B3691">
        <v>58</v>
      </c>
      <c r="C3691">
        <v>0</v>
      </c>
      <c r="D3691">
        <v>0.462783</v>
      </c>
      <c r="E3691">
        <v>0.28446300000000002</v>
      </c>
      <c r="F3691">
        <v>-1</v>
      </c>
      <c r="G3691">
        <v>0.28446300000000002</v>
      </c>
    </row>
    <row r="3692" spans="1:7">
      <c r="A3692" t="s">
        <v>144</v>
      </c>
      <c r="B3692">
        <v>58</v>
      </c>
      <c r="C3692">
        <v>1</v>
      </c>
      <c r="D3692">
        <v>0.462783</v>
      </c>
      <c r="E3692">
        <v>-0.50776699999999997</v>
      </c>
      <c r="F3692">
        <v>-1</v>
      </c>
      <c r="G3692">
        <v>-0.50776699999999997</v>
      </c>
    </row>
    <row r="3693" spans="1:7">
      <c r="A3693" t="s">
        <v>144</v>
      </c>
      <c r="B3693">
        <v>58</v>
      </c>
      <c r="C3693">
        <v>2</v>
      </c>
      <c r="D3693">
        <v>0.462783</v>
      </c>
      <c r="E3693">
        <v>-0.64784699999999995</v>
      </c>
      <c r="F3693">
        <v>-1</v>
      </c>
      <c r="G3693">
        <v>-0.64784699999999995</v>
      </c>
    </row>
    <row r="3694" spans="1:7">
      <c r="A3694" t="s">
        <v>144</v>
      </c>
      <c r="B3694">
        <v>58</v>
      </c>
      <c r="C3694">
        <v>3</v>
      </c>
      <c r="D3694">
        <v>0.462783</v>
      </c>
      <c r="E3694">
        <v>-8.6916999999999994E-2</v>
      </c>
      <c r="F3694">
        <v>-1</v>
      </c>
      <c r="G3694">
        <v>-8.6916999999999994E-2</v>
      </c>
    </row>
    <row r="3695" spans="1:7">
      <c r="A3695" t="s">
        <v>144</v>
      </c>
      <c r="B3695">
        <v>58</v>
      </c>
      <c r="C3695">
        <v>4</v>
      </c>
      <c r="D3695">
        <v>0.462783</v>
      </c>
      <c r="E3695">
        <v>-0.67992200000000003</v>
      </c>
      <c r="F3695">
        <v>-1</v>
      </c>
      <c r="G3695">
        <v>-0.67992200000000003</v>
      </c>
    </row>
    <row r="3696" spans="1:7">
      <c r="A3696" t="s">
        <v>144</v>
      </c>
      <c r="B3696">
        <v>58</v>
      </c>
      <c r="C3696">
        <v>5</v>
      </c>
      <c r="D3696">
        <v>0.462783</v>
      </c>
      <c r="E3696">
        <v>-0.102481</v>
      </c>
      <c r="F3696">
        <v>-1</v>
      </c>
      <c r="G3696">
        <v>-0.102481</v>
      </c>
    </row>
    <row r="3697" spans="1:7">
      <c r="A3697" t="s">
        <v>144</v>
      </c>
      <c r="B3697">
        <v>58</v>
      </c>
      <c r="C3697">
        <v>6</v>
      </c>
      <c r="D3697">
        <v>0.462783</v>
      </c>
      <c r="E3697">
        <v>0.52439999999999998</v>
      </c>
      <c r="F3697">
        <v>-1</v>
      </c>
      <c r="G3697">
        <v>0.52439999999999998</v>
      </c>
    </row>
    <row r="3698" spans="1:7">
      <c r="A3698" t="s">
        <v>144</v>
      </c>
      <c r="B3698">
        <v>58</v>
      </c>
      <c r="C3698">
        <v>7</v>
      </c>
      <c r="D3698">
        <v>0.462783</v>
      </c>
      <c r="E3698">
        <v>0.52003500000000003</v>
      </c>
      <c r="F3698">
        <v>-1</v>
      </c>
      <c r="G3698">
        <v>0.52003500000000003</v>
      </c>
    </row>
    <row r="3699" spans="1:7">
      <c r="A3699" t="s">
        <v>144</v>
      </c>
      <c r="B3699">
        <v>58</v>
      </c>
      <c r="C3699">
        <v>8</v>
      </c>
      <c r="D3699">
        <v>0.462783</v>
      </c>
      <c r="E3699">
        <v>0.92748799999999998</v>
      </c>
      <c r="F3699">
        <v>-1</v>
      </c>
      <c r="G3699">
        <v>0.92748799999999998</v>
      </c>
    </row>
    <row r="3700" spans="1:7">
      <c r="A3700" t="s">
        <v>144</v>
      </c>
      <c r="B3700">
        <v>58</v>
      </c>
      <c r="C3700">
        <v>9</v>
      </c>
      <c r="D3700">
        <v>0.462783</v>
      </c>
      <c r="E3700">
        <v>-0.55678000000000005</v>
      </c>
      <c r="F3700">
        <v>-1</v>
      </c>
      <c r="G3700">
        <v>-0.55678000000000005</v>
      </c>
    </row>
    <row r="3701" spans="1:7">
      <c r="A3701" t="s">
        <v>144</v>
      </c>
      <c r="B3701">
        <v>58</v>
      </c>
      <c r="C3701">
        <v>10</v>
      </c>
      <c r="D3701">
        <v>0.462783</v>
      </c>
      <c r="E3701">
        <v>-0.35291600000000001</v>
      </c>
      <c r="F3701">
        <v>-1</v>
      </c>
      <c r="G3701">
        <v>-0.35291600000000001</v>
      </c>
    </row>
    <row r="3702" spans="1:7">
      <c r="A3702" t="s">
        <v>144</v>
      </c>
      <c r="B3702">
        <v>58</v>
      </c>
      <c r="C3702">
        <v>11</v>
      </c>
      <c r="D3702">
        <v>0.462783</v>
      </c>
      <c r="E3702">
        <v>0.96533100000000005</v>
      </c>
      <c r="F3702">
        <v>-1</v>
      </c>
      <c r="G3702">
        <v>0.96533100000000005</v>
      </c>
    </row>
    <row r="3703" spans="1:7">
      <c r="A3703" t="s">
        <v>144</v>
      </c>
      <c r="B3703">
        <v>58</v>
      </c>
      <c r="C3703">
        <v>12</v>
      </c>
      <c r="D3703">
        <v>0.462783</v>
      </c>
      <c r="E3703">
        <v>-0.78621799999999997</v>
      </c>
      <c r="F3703">
        <v>-1</v>
      </c>
      <c r="G3703">
        <v>-0.78621799999999997</v>
      </c>
    </row>
    <row r="3704" spans="1:7">
      <c r="A3704" t="s">
        <v>144</v>
      </c>
      <c r="B3704">
        <v>58</v>
      </c>
      <c r="C3704">
        <v>13</v>
      </c>
      <c r="D3704">
        <v>0.462783</v>
      </c>
      <c r="E3704">
        <v>-0.52262900000000001</v>
      </c>
      <c r="F3704">
        <v>-1</v>
      </c>
      <c r="G3704">
        <v>-0.52262900000000001</v>
      </c>
    </row>
    <row r="3705" spans="1:7">
      <c r="A3705" t="s">
        <v>144</v>
      </c>
      <c r="B3705">
        <v>58</v>
      </c>
      <c r="C3705">
        <v>14</v>
      </c>
      <c r="D3705">
        <v>0.462783</v>
      </c>
      <c r="E3705">
        <v>0.384716</v>
      </c>
      <c r="F3705">
        <v>-1</v>
      </c>
      <c r="G3705">
        <v>0.384716</v>
      </c>
    </row>
    <row r="3706" spans="1:7">
      <c r="A3706" t="s">
        <v>144</v>
      </c>
      <c r="B3706">
        <v>58</v>
      </c>
      <c r="C3706">
        <v>15</v>
      </c>
      <c r="D3706">
        <v>0.462783</v>
      </c>
      <c r="E3706">
        <v>0.130131</v>
      </c>
      <c r="F3706">
        <v>-1</v>
      </c>
      <c r="G3706">
        <v>0.130131</v>
      </c>
    </row>
    <row r="3707" spans="1:7">
      <c r="A3707" t="s">
        <v>144</v>
      </c>
      <c r="B3707">
        <v>58</v>
      </c>
      <c r="C3707">
        <v>16</v>
      </c>
      <c r="D3707">
        <v>0.462783</v>
      </c>
      <c r="E3707">
        <v>-0.62959699999999996</v>
      </c>
      <c r="F3707">
        <v>-1</v>
      </c>
      <c r="G3707">
        <v>-0.62959699999999996</v>
      </c>
    </row>
    <row r="3708" spans="1:7">
      <c r="A3708" t="s">
        <v>144</v>
      </c>
      <c r="B3708">
        <v>58</v>
      </c>
      <c r="C3708">
        <v>17</v>
      </c>
      <c r="D3708">
        <v>0.462783</v>
      </c>
      <c r="E3708">
        <v>0.431593</v>
      </c>
      <c r="F3708">
        <v>-1</v>
      </c>
      <c r="G3708">
        <v>0.431593</v>
      </c>
    </row>
    <row r="3709" spans="1:7">
      <c r="A3709" t="s">
        <v>144</v>
      </c>
      <c r="B3709">
        <v>58</v>
      </c>
      <c r="C3709">
        <v>18</v>
      </c>
      <c r="D3709">
        <v>0.462783</v>
      </c>
      <c r="E3709">
        <v>0.13589899999999999</v>
      </c>
      <c r="F3709">
        <v>-1</v>
      </c>
      <c r="G3709">
        <v>0.13589899999999999</v>
      </c>
    </row>
    <row r="3710" spans="1:7">
      <c r="A3710" t="s">
        <v>144</v>
      </c>
      <c r="B3710">
        <v>58</v>
      </c>
      <c r="C3710">
        <v>19</v>
      </c>
      <c r="D3710">
        <v>0.462783</v>
      </c>
      <c r="E3710">
        <v>0.354686</v>
      </c>
      <c r="F3710">
        <v>-1</v>
      </c>
      <c r="G3710">
        <v>0.354686</v>
      </c>
    </row>
    <row r="3711" spans="1:7">
      <c r="A3711" t="s">
        <v>144</v>
      </c>
      <c r="B3711">
        <v>58</v>
      </c>
      <c r="C3711">
        <v>20</v>
      </c>
      <c r="D3711">
        <v>0.462783</v>
      </c>
      <c r="E3711">
        <v>0.77749000000000001</v>
      </c>
      <c r="F3711">
        <v>9.4363000000000002E-2</v>
      </c>
      <c r="G3711">
        <v>0.41050199999999998</v>
      </c>
    </row>
    <row r="3712" spans="1:7">
      <c r="A3712" t="s">
        <v>144</v>
      </c>
      <c r="B3712">
        <v>58</v>
      </c>
      <c r="C3712">
        <v>21</v>
      </c>
      <c r="D3712">
        <v>0.462783</v>
      </c>
      <c r="E3712">
        <v>-0.48280299999999998</v>
      </c>
      <c r="F3712">
        <v>-0.97579899999999997</v>
      </c>
      <c r="G3712">
        <v>-0.74764900000000001</v>
      </c>
    </row>
    <row r="3713" spans="1:7">
      <c r="A3713" t="s">
        <v>144</v>
      </c>
      <c r="B3713">
        <v>58</v>
      </c>
      <c r="C3713">
        <v>22</v>
      </c>
      <c r="D3713">
        <v>0.462783</v>
      </c>
      <c r="E3713">
        <v>0.28189900000000001</v>
      </c>
      <c r="F3713">
        <v>0.39307799999999998</v>
      </c>
      <c r="G3713">
        <v>0.34162700000000001</v>
      </c>
    </row>
    <row r="3714" spans="1:7">
      <c r="A3714" t="s">
        <v>144</v>
      </c>
      <c r="B3714">
        <v>58</v>
      </c>
      <c r="C3714">
        <v>23</v>
      </c>
      <c r="D3714">
        <v>0.462783</v>
      </c>
      <c r="E3714">
        <v>0.66295400000000004</v>
      </c>
      <c r="F3714">
        <v>0.88769200000000004</v>
      </c>
      <c r="G3714">
        <v>0.78368700000000002</v>
      </c>
    </row>
    <row r="3715" spans="1:7">
      <c r="A3715" t="s">
        <v>144</v>
      </c>
      <c r="B3715">
        <v>58</v>
      </c>
      <c r="C3715">
        <v>24</v>
      </c>
      <c r="D3715">
        <v>0.462783</v>
      </c>
      <c r="E3715">
        <v>-0.95318499999999995</v>
      </c>
      <c r="F3715">
        <v>-0.399426</v>
      </c>
      <c r="G3715">
        <v>-0.65569599999999995</v>
      </c>
    </row>
    <row r="3716" spans="1:7">
      <c r="A3716" t="s">
        <v>144</v>
      </c>
      <c r="B3716">
        <v>58</v>
      </c>
      <c r="C3716">
        <v>25</v>
      </c>
      <c r="D3716">
        <v>0.462783</v>
      </c>
      <c r="E3716">
        <v>0.75643199999999999</v>
      </c>
      <c r="F3716">
        <v>0.24024200000000001</v>
      </c>
      <c r="G3716">
        <v>0.479126</v>
      </c>
    </row>
    <row r="3717" spans="1:7">
      <c r="A3717" t="s">
        <v>144</v>
      </c>
      <c r="B3717">
        <v>58</v>
      </c>
      <c r="C3717">
        <v>26</v>
      </c>
      <c r="D3717">
        <v>0.462783</v>
      </c>
      <c r="E3717">
        <v>-0.67696199999999995</v>
      </c>
      <c r="F3717">
        <v>0.14557300000000001</v>
      </c>
      <c r="G3717">
        <v>-0.23508200000000001</v>
      </c>
    </row>
    <row r="3718" spans="1:7">
      <c r="A3718" t="s">
        <v>144</v>
      </c>
      <c r="B3718">
        <v>58</v>
      </c>
      <c r="C3718">
        <v>27</v>
      </c>
      <c r="D3718">
        <v>0.462783</v>
      </c>
      <c r="E3718">
        <v>-0.93832199999999999</v>
      </c>
      <c r="F3718">
        <v>-0.339671</v>
      </c>
      <c r="G3718">
        <v>-0.61671600000000004</v>
      </c>
    </row>
    <row r="3719" spans="1:7">
      <c r="A3719" t="s">
        <v>144</v>
      </c>
      <c r="B3719">
        <v>58</v>
      </c>
      <c r="C3719">
        <v>28</v>
      </c>
      <c r="D3719">
        <v>0.462783</v>
      </c>
      <c r="E3719">
        <v>0.86553500000000005</v>
      </c>
      <c r="F3719">
        <v>-0.53657600000000005</v>
      </c>
      <c r="G3719">
        <v>0.11229699999999999</v>
      </c>
    </row>
    <row r="3720" spans="1:7">
      <c r="A3720" t="s">
        <v>144</v>
      </c>
      <c r="B3720">
        <v>58</v>
      </c>
      <c r="C3720">
        <v>29</v>
      </c>
      <c r="D3720">
        <v>0.462783</v>
      </c>
      <c r="E3720">
        <v>0.45188800000000001</v>
      </c>
      <c r="F3720">
        <v>0.67610700000000001</v>
      </c>
      <c r="G3720">
        <v>0.57234200000000002</v>
      </c>
    </row>
    <row r="3721" spans="1:7">
      <c r="A3721" t="s">
        <v>144</v>
      </c>
      <c r="B3721">
        <v>58</v>
      </c>
      <c r="C3721">
        <v>30</v>
      </c>
      <c r="D3721">
        <v>0.462783</v>
      </c>
      <c r="E3721">
        <v>0.49861100000000003</v>
      </c>
      <c r="F3721">
        <v>-8.6276000000000005E-2</v>
      </c>
      <c r="G3721">
        <v>0.18440000000000001</v>
      </c>
    </row>
    <row r="3722" spans="1:7">
      <c r="A3722" t="s">
        <v>144</v>
      </c>
      <c r="B3722">
        <v>58</v>
      </c>
      <c r="C3722">
        <v>31</v>
      </c>
      <c r="D3722">
        <v>0.462783</v>
      </c>
      <c r="E3722">
        <v>0.224525</v>
      </c>
      <c r="F3722">
        <v>0.797296</v>
      </c>
      <c r="G3722">
        <v>0.53222700000000001</v>
      </c>
    </row>
    <row r="3723" spans="1:7">
      <c r="A3723" t="s">
        <v>144</v>
      </c>
      <c r="B3723">
        <v>58</v>
      </c>
      <c r="C3723">
        <v>32</v>
      </c>
      <c r="D3723">
        <v>0.462783</v>
      </c>
      <c r="E3723">
        <v>0.91579900000000003</v>
      </c>
      <c r="F3723">
        <v>-3.0335000000000001E-2</v>
      </c>
      <c r="G3723">
        <v>0.40751900000000002</v>
      </c>
    </row>
    <row r="3724" spans="1:7">
      <c r="A3724" t="s">
        <v>144</v>
      </c>
      <c r="B3724">
        <v>58</v>
      </c>
      <c r="C3724">
        <v>33</v>
      </c>
      <c r="D3724">
        <v>0.462783</v>
      </c>
      <c r="E3724">
        <v>-0.251106</v>
      </c>
      <c r="F3724">
        <v>0.57490799999999997</v>
      </c>
      <c r="G3724">
        <v>0.19264300000000001</v>
      </c>
    </row>
    <row r="3725" spans="1:7">
      <c r="A3725" t="s">
        <v>144</v>
      </c>
      <c r="B3725">
        <v>58</v>
      </c>
      <c r="C3725">
        <v>34</v>
      </c>
      <c r="D3725">
        <v>0.462783</v>
      </c>
      <c r="E3725">
        <v>-0.51741099999999995</v>
      </c>
      <c r="F3725">
        <v>0.97225899999999998</v>
      </c>
      <c r="G3725">
        <v>0.28286499999999998</v>
      </c>
    </row>
    <row r="3726" spans="1:7">
      <c r="A3726" t="s">
        <v>144</v>
      </c>
      <c r="B3726">
        <v>58</v>
      </c>
      <c r="C3726">
        <v>35</v>
      </c>
      <c r="D3726">
        <v>0.462783</v>
      </c>
      <c r="E3726">
        <v>-0.151341</v>
      </c>
      <c r="F3726">
        <v>0.269478</v>
      </c>
      <c r="G3726">
        <v>7.4730000000000005E-2</v>
      </c>
    </row>
    <row r="3727" spans="1:7">
      <c r="A3727" t="s">
        <v>144</v>
      </c>
      <c r="B3727">
        <v>58</v>
      </c>
      <c r="C3727">
        <v>36</v>
      </c>
      <c r="D3727">
        <v>0.462783</v>
      </c>
      <c r="E3727">
        <v>-2.9786E-2</v>
      </c>
      <c r="F3727">
        <v>0.71895500000000001</v>
      </c>
      <c r="G3727">
        <v>0.37245099999999998</v>
      </c>
    </row>
    <row r="3728" spans="1:7">
      <c r="A3728" t="s">
        <v>144</v>
      </c>
      <c r="B3728">
        <v>58</v>
      </c>
      <c r="C3728">
        <v>37</v>
      </c>
      <c r="D3728">
        <v>0.462783</v>
      </c>
      <c r="E3728">
        <v>-0.80696999999999997</v>
      </c>
      <c r="F3728">
        <v>-0.30063800000000002</v>
      </c>
      <c r="G3728">
        <v>-0.53495999999999999</v>
      </c>
    </row>
    <row r="3729" spans="1:7">
      <c r="A3729" t="s">
        <v>144</v>
      </c>
      <c r="B3729">
        <v>58</v>
      </c>
      <c r="C3729">
        <v>38</v>
      </c>
      <c r="D3729">
        <v>0.462783</v>
      </c>
      <c r="E3729">
        <v>-0.49125600000000003</v>
      </c>
      <c r="F3729">
        <v>-0.46205000000000002</v>
      </c>
      <c r="G3729">
        <v>-0.47556599999999999</v>
      </c>
    </row>
    <row r="3730" spans="1:7">
      <c r="A3730" t="s">
        <v>144</v>
      </c>
      <c r="B3730">
        <v>58</v>
      </c>
      <c r="C3730">
        <v>39</v>
      </c>
      <c r="D3730">
        <v>0.462783</v>
      </c>
      <c r="E3730">
        <v>-0.485458</v>
      </c>
      <c r="F3730">
        <v>-0.12854399999999999</v>
      </c>
      <c r="G3730">
        <v>-0.29371799999999998</v>
      </c>
    </row>
    <row r="3731" spans="1:7">
      <c r="A3731" t="s">
        <v>144</v>
      </c>
      <c r="B3731">
        <v>58</v>
      </c>
      <c r="C3731">
        <v>40</v>
      </c>
      <c r="D3731">
        <v>0.462783</v>
      </c>
      <c r="E3731">
        <v>-0.61494800000000005</v>
      </c>
      <c r="F3731">
        <v>0.96121100000000004</v>
      </c>
      <c r="G3731">
        <v>0.231792</v>
      </c>
    </row>
    <row r="3732" spans="1:7">
      <c r="A3732" t="s">
        <v>144</v>
      </c>
      <c r="B3732">
        <v>58</v>
      </c>
      <c r="C3732">
        <v>41</v>
      </c>
      <c r="D3732">
        <v>0.462783</v>
      </c>
      <c r="E3732">
        <v>-0.35630400000000001</v>
      </c>
      <c r="F3732">
        <v>0.15295900000000001</v>
      </c>
      <c r="G3732">
        <v>-8.2719000000000001E-2</v>
      </c>
    </row>
    <row r="3733" spans="1:7">
      <c r="A3733" t="s">
        <v>144</v>
      </c>
      <c r="B3733">
        <v>58</v>
      </c>
      <c r="C3733">
        <v>42</v>
      </c>
      <c r="D3733">
        <v>0.462783</v>
      </c>
      <c r="E3733">
        <v>0.68504900000000002</v>
      </c>
      <c r="F3733">
        <v>0.88531099999999996</v>
      </c>
      <c r="G3733">
        <v>0.79263300000000003</v>
      </c>
    </row>
    <row r="3734" spans="1:7">
      <c r="A3734" t="s">
        <v>144</v>
      </c>
      <c r="B3734">
        <v>58</v>
      </c>
      <c r="C3734">
        <v>43</v>
      </c>
      <c r="D3734">
        <v>0.462783</v>
      </c>
      <c r="E3734">
        <v>0.80605499999999997</v>
      </c>
      <c r="F3734">
        <v>3.6073000000000001E-2</v>
      </c>
      <c r="G3734">
        <v>0.39240700000000001</v>
      </c>
    </row>
    <row r="3735" spans="1:7">
      <c r="A3735" t="s">
        <v>144</v>
      </c>
      <c r="B3735">
        <v>58</v>
      </c>
      <c r="C3735">
        <v>44</v>
      </c>
      <c r="D3735">
        <v>0.462783</v>
      </c>
      <c r="E3735">
        <v>0.64223200000000003</v>
      </c>
      <c r="F3735">
        <v>-0.96856600000000004</v>
      </c>
      <c r="G3735">
        <v>-0.22311700000000001</v>
      </c>
    </row>
    <row r="3736" spans="1:7">
      <c r="A3736" t="s">
        <v>144</v>
      </c>
      <c r="B3736">
        <v>58</v>
      </c>
      <c r="C3736">
        <v>45</v>
      </c>
      <c r="D3736">
        <v>0.462783</v>
      </c>
      <c r="E3736">
        <v>-0.45838800000000002</v>
      </c>
      <c r="F3736">
        <v>0.35548000000000002</v>
      </c>
      <c r="G3736">
        <v>-2.1163999999999999E-2</v>
      </c>
    </row>
    <row r="3737" spans="1:7">
      <c r="A3737" t="s">
        <v>144</v>
      </c>
      <c r="B3737">
        <v>58</v>
      </c>
      <c r="C3737">
        <v>46</v>
      </c>
      <c r="D3737">
        <v>0.462783</v>
      </c>
      <c r="E3737">
        <v>0.51512199999999997</v>
      </c>
      <c r="F3737">
        <v>-0.13702800000000001</v>
      </c>
      <c r="G3737">
        <v>0.16477600000000001</v>
      </c>
    </row>
    <row r="3738" spans="1:7">
      <c r="A3738" t="s">
        <v>144</v>
      </c>
      <c r="B3738">
        <v>58</v>
      </c>
      <c r="C3738">
        <v>47</v>
      </c>
      <c r="D3738">
        <v>0.462783</v>
      </c>
      <c r="E3738">
        <v>-0.30576500000000001</v>
      </c>
      <c r="F3738">
        <v>0.99350000000000005</v>
      </c>
      <c r="G3738">
        <v>0.39222200000000002</v>
      </c>
    </row>
    <row r="3739" spans="1:7">
      <c r="A3739" t="s">
        <v>144</v>
      </c>
      <c r="B3739">
        <v>58</v>
      </c>
      <c r="C3739">
        <v>48</v>
      </c>
      <c r="D3739">
        <v>0.462783</v>
      </c>
      <c r="E3739">
        <v>0.853298</v>
      </c>
      <c r="F3739">
        <v>0.262185</v>
      </c>
      <c r="G3739">
        <v>0.53574100000000002</v>
      </c>
    </row>
    <row r="3740" spans="1:7">
      <c r="A3740" t="s">
        <v>144</v>
      </c>
      <c r="B3740">
        <v>58</v>
      </c>
      <c r="C3740">
        <v>49</v>
      </c>
      <c r="D3740">
        <v>0.462783</v>
      </c>
      <c r="E3740">
        <v>0.85824100000000003</v>
      </c>
      <c r="F3740">
        <v>-0.16894999999999999</v>
      </c>
      <c r="G3740">
        <v>0.30641600000000002</v>
      </c>
    </row>
    <row r="3741" spans="1:7">
      <c r="A3741" t="s">
        <v>144</v>
      </c>
      <c r="B3741" t="s">
        <v>145</v>
      </c>
      <c r="C3741">
        <v>59</v>
      </c>
    </row>
    <row r="3742" spans="1:7">
      <c r="A3742" t="s">
        <v>144</v>
      </c>
      <c r="B3742" t="s">
        <v>146</v>
      </c>
      <c r="C3742">
        <v>71</v>
      </c>
    </row>
    <row r="3743" spans="1:7">
      <c r="A3743" t="s">
        <v>144</v>
      </c>
      <c r="B3743" t="s">
        <v>147</v>
      </c>
      <c r="C3743">
        <v>71</v>
      </c>
    </row>
    <row r="3744" spans="1:7">
      <c r="A3744" t="s">
        <v>144</v>
      </c>
      <c r="B3744" t="s">
        <v>148</v>
      </c>
      <c r="C3744">
        <v>0.65932199999999996</v>
      </c>
    </row>
    <row r="3745" spans="1:7">
      <c r="A3745" t="s">
        <v>144</v>
      </c>
      <c r="B3745" t="s">
        <v>149</v>
      </c>
      <c r="C3745">
        <v>0.65932199999999996</v>
      </c>
    </row>
    <row r="3746" spans="1:7">
      <c r="A3746" t="s">
        <v>144</v>
      </c>
      <c r="B3746" t="s">
        <v>150</v>
      </c>
      <c r="C3746">
        <v>-1</v>
      </c>
    </row>
    <row r="3747" spans="1:7">
      <c r="A3747" t="s">
        <v>144</v>
      </c>
      <c r="B3747" t="s">
        <v>151</v>
      </c>
      <c r="C3747">
        <v>-1</v>
      </c>
    </row>
    <row r="3748" spans="1:7">
      <c r="A3748" t="s">
        <v>144</v>
      </c>
      <c r="B3748" t="s">
        <v>152</v>
      </c>
      <c r="C3748">
        <v>22</v>
      </c>
    </row>
    <row r="3749" spans="1:7">
      <c r="A3749" t="s">
        <v>144</v>
      </c>
      <c r="B3749" t="s">
        <v>153</v>
      </c>
      <c r="C3749">
        <v>22</v>
      </c>
    </row>
    <row r="3750" spans="1:7">
      <c r="A3750" t="s">
        <v>144</v>
      </c>
      <c r="B3750" t="s">
        <v>154</v>
      </c>
      <c r="C3750">
        <v>0</v>
      </c>
    </row>
    <row r="3751" spans="1:7">
      <c r="A3751" t="s">
        <v>144</v>
      </c>
      <c r="B3751" t="s">
        <v>155</v>
      </c>
    </row>
    <row r="3752" spans="1:7">
      <c r="A3752" t="s">
        <v>144</v>
      </c>
      <c r="B3752" t="s">
        <v>150</v>
      </c>
      <c r="C3752">
        <v>0.50614899999999996</v>
      </c>
    </row>
    <row r="3753" spans="1:7">
      <c r="A3753" t="s">
        <v>144</v>
      </c>
      <c r="B3753" t="s">
        <v>151</v>
      </c>
      <c r="C3753">
        <v>0.50614899999999996</v>
      </c>
    </row>
    <row r="3754" spans="1:7">
      <c r="A3754" t="s">
        <v>144</v>
      </c>
      <c r="B3754" t="s">
        <v>156</v>
      </c>
      <c r="C3754" t="s">
        <v>157</v>
      </c>
      <c r="D3754" t="s">
        <v>63</v>
      </c>
      <c r="E3754" t="s">
        <v>158</v>
      </c>
      <c r="F3754" t="s">
        <v>159</v>
      </c>
      <c r="G3754" t="s">
        <v>160</v>
      </c>
    </row>
    <row r="3755" spans="1:7">
      <c r="A3755" t="s">
        <v>144</v>
      </c>
      <c r="B3755">
        <v>59</v>
      </c>
      <c r="C3755">
        <v>0</v>
      </c>
      <c r="D3755">
        <v>0.50614899999999996</v>
      </c>
      <c r="E3755">
        <v>0.72530300000000003</v>
      </c>
      <c r="F3755">
        <v>-1</v>
      </c>
      <c r="G3755">
        <v>0.72530300000000003</v>
      </c>
    </row>
    <row r="3756" spans="1:7">
      <c r="A3756" t="s">
        <v>144</v>
      </c>
      <c r="B3756">
        <v>59</v>
      </c>
      <c r="C3756">
        <v>1</v>
      </c>
      <c r="D3756">
        <v>0.50614899999999996</v>
      </c>
      <c r="E3756">
        <v>0.742363</v>
      </c>
      <c r="F3756">
        <v>-1</v>
      </c>
      <c r="G3756">
        <v>0.742363</v>
      </c>
    </row>
    <row r="3757" spans="1:7">
      <c r="A3757" t="s">
        <v>144</v>
      </c>
      <c r="B3757">
        <v>59</v>
      </c>
      <c r="C3757">
        <v>2</v>
      </c>
      <c r="D3757">
        <v>0.50614899999999996</v>
      </c>
      <c r="E3757">
        <v>0.17902199999999999</v>
      </c>
      <c r="F3757">
        <v>-1</v>
      </c>
      <c r="G3757">
        <v>0.17902199999999999</v>
      </c>
    </row>
    <row r="3758" spans="1:7">
      <c r="A3758" t="s">
        <v>144</v>
      </c>
      <c r="B3758">
        <v>59</v>
      </c>
      <c r="C3758">
        <v>3</v>
      </c>
      <c r="D3758">
        <v>0.50614899999999996</v>
      </c>
      <c r="E3758">
        <v>0.78624799999999995</v>
      </c>
      <c r="F3758">
        <v>-1</v>
      </c>
      <c r="G3758">
        <v>0.78624799999999995</v>
      </c>
    </row>
    <row r="3759" spans="1:7">
      <c r="A3759" t="s">
        <v>144</v>
      </c>
      <c r="B3759">
        <v>59</v>
      </c>
      <c r="C3759">
        <v>4</v>
      </c>
      <c r="D3759">
        <v>0.50614899999999996</v>
      </c>
      <c r="E3759">
        <v>-0.50666800000000001</v>
      </c>
      <c r="F3759">
        <v>-1</v>
      </c>
      <c r="G3759">
        <v>-0.50666800000000001</v>
      </c>
    </row>
    <row r="3760" spans="1:7">
      <c r="A3760" t="s">
        <v>144</v>
      </c>
      <c r="B3760">
        <v>59</v>
      </c>
      <c r="C3760">
        <v>5</v>
      </c>
      <c r="D3760">
        <v>0.50614899999999996</v>
      </c>
      <c r="E3760">
        <v>-0.73229200000000005</v>
      </c>
      <c r="F3760">
        <v>-1</v>
      </c>
      <c r="G3760">
        <v>-0.73229200000000005</v>
      </c>
    </row>
    <row r="3761" spans="1:7">
      <c r="A3761" t="s">
        <v>144</v>
      </c>
      <c r="B3761">
        <v>59</v>
      </c>
      <c r="C3761">
        <v>6</v>
      </c>
      <c r="D3761">
        <v>0.50614899999999996</v>
      </c>
      <c r="E3761">
        <v>0.41123700000000002</v>
      </c>
      <c r="F3761">
        <v>-1</v>
      </c>
      <c r="G3761">
        <v>0.41123700000000002</v>
      </c>
    </row>
    <row r="3762" spans="1:7">
      <c r="A3762" t="s">
        <v>144</v>
      </c>
      <c r="B3762">
        <v>59</v>
      </c>
      <c r="C3762">
        <v>7</v>
      </c>
      <c r="D3762">
        <v>0.50614899999999996</v>
      </c>
      <c r="E3762">
        <v>0.111972</v>
      </c>
      <c r="F3762">
        <v>-1</v>
      </c>
      <c r="G3762">
        <v>0.111972</v>
      </c>
    </row>
    <row r="3763" spans="1:7">
      <c r="A3763" t="s">
        <v>144</v>
      </c>
      <c r="B3763">
        <v>59</v>
      </c>
      <c r="C3763">
        <v>8</v>
      </c>
      <c r="D3763">
        <v>0.50614899999999996</v>
      </c>
      <c r="E3763">
        <v>-0.51313799999999998</v>
      </c>
      <c r="F3763">
        <v>-1</v>
      </c>
      <c r="G3763">
        <v>-0.51313799999999998</v>
      </c>
    </row>
    <row r="3764" spans="1:7">
      <c r="A3764" t="s">
        <v>144</v>
      </c>
      <c r="B3764">
        <v>59</v>
      </c>
      <c r="C3764">
        <v>9</v>
      </c>
      <c r="D3764">
        <v>0.50614899999999996</v>
      </c>
      <c r="E3764">
        <v>-4.0711999999999998E-2</v>
      </c>
      <c r="F3764">
        <v>-1</v>
      </c>
      <c r="G3764">
        <v>-4.0711999999999998E-2</v>
      </c>
    </row>
    <row r="3765" spans="1:7">
      <c r="A3765" t="s">
        <v>144</v>
      </c>
      <c r="B3765">
        <v>59</v>
      </c>
      <c r="C3765">
        <v>10</v>
      </c>
      <c r="D3765">
        <v>0.50614899999999996</v>
      </c>
      <c r="E3765">
        <v>-0.64067499999999999</v>
      </c>
      <c r="F3765">
        <v>-1</v>
      </c>
      <c r="G3765">
        <v>-0.64067499999999999</v>
      </c>
    </row>
    <row r="3766" spans="1:7">
      <c r="A3766" t="s">
        <v>144</v>
      </c>
      <c r="B3766">
        <v>59</v>
      </c>
      <c r="C3766">
        <v>11</v>
      </c>
      <c r="D3766">
        <v>0.50614899999999996</v>
      </c>
      <c r="E3766">
        <v>-8.3589999999999998E-2</v>
      </c>
      <c r="F3766">
        <v>-1</v>
      </c>
      <c r="G3766">
        <v>-8.3589999999999998E-2</v>
      </c>
    </row>
    <row r="3767" spans="1:7">
      <c r="A3767" t="s">
        <v>144</v>
      </c>
      <c r="B3767">
        <v>59</v>
      </c>
      <c r="C3767">
        <v>12</v>
      </c>
      <c r="D3767">
        <v>0.50614899999999996</v>
      </c>
      <c r="E3767">
        <v>0.87267700000000004</v>
      </c>
      <c r="F3767">
        <v>-1</v>
      </c>
      <c r="G3767">
        <v>0.87267700000000004</v>
      </c>
    </row>
    <row r="3768" spans="1:7">
      <c r="A3768" t="s">
        <v>144</v>
      </c>
      <c r="B3768">
        <v>59</v>
      </c>
      <c r="C3768">
        <v>13</v>
      </c>
      <c r="D3768">
        <v>0.50614899999999996</v>
      </c>
      <c r="E3768">
        <v>-0.88882099999999997</v>
      </c>
      <c r="F3768">
        <v>-1</v>
      </c>
      <c r="G3768">
        <v>-0.88882099999999997</v>
      </c>
    </row>
    <row r="3769" spans="1:7">
      <c r="A3769" t="s">
        <v>144</v>
      </c>
      <c r="B3769">
        <v>59</v>
      </c>
      <c r="C3769">
        <v>14</v>
      </c>
      <c r="D3769">
        <v>0.50614899999999996</v>
      </c>
      <c r="E3769">
        <v>0.48933399999999999</v>
      </c>
      <c r="F3769">
        <v>-1</v>
      </c>
      <c r="G3769">
        <v>0.48933399999999999</v>
      </c>
    </row>
    <row r="3770" spans="1:7">
      <c r="A3770" t="s">
        <v>144</v>
      </c>
      <c r="B3770">
        <v>59</v>
      </c>
      <c r="C3770">
        <v>15</v>
      </c>
      <c r="D3770">
        <v>0.50614899999999996</v>
      </c>
      <c r="E3770">
        <v>0.99493399999999999</v>
      </c>
      <c r="F3770">
        <v>-1</v>
      </c>
      <c r="G3770">
        <v>0.99493399999999999</v>
      </c>
    </row>
    <row r="3771" spans="1:7">
      <c r="A3771" t="s">
        <v>144</v>
      </c>
      <c r="B3771">
        <v>59</v>
      </c>
      <c r="C3771">
        <v>16</v>
      </c>
      <c r="D3771">
        <v>0.50614899999999996</v>
      </c>
      <c r="E3771">
        <v>0.487564</v>
      </c>
      <c r="F3771">
        <v>-1</v>
      </c>
      <c r="G3771">
        <v>0.487564</v>
      </c>
    </row>
    <row r="3772" spans="1:7">
      <c r="A3772" t="s">
        <v>144</v>
      </c>
      <c r="B3772">
        <v>59</v>
      </c>
      <c r="C3772">
        <v>17</v>
      </c>
      <c r="D3772">
        <v>0.50614899999999996</v>
      </c>
      <c r="E3772">
        <v>-0.71831400000000001</v>
      </c>
      <c r="F3772">
        <v>-1</v>
      </c>
      <c r="G3772">
        <v>-0.71831400000000001</v>
      </c>
    </row>
    <row r="3773" spans="1:7">
      <c r="A3773" t="s">
        <v>144</v>
      </c>
      <c r="B3773">
        <v>59</v>
      </c>
      <c r="C3773">
        <v>18</v>
      </c>
      <c r="D3773">
        <v>0.50614899999999996</v>
      </c>
      <c r="E3773">
        <v>0.81673600000000002</v>
      </c>
      <c r="F3773">
        <v>-1</v>
      </c>
      <c r="G3773">
        <v>0.81673600000000002</v>
      </c>
    </row>
    <row r="3774" spans="1:7">
      <c r="A3774" t="s">
        <v>144</v>
      </c>
      <c r="B3774">
        <v>59</v>
      </c>
      <c r="C3774">
        <v>19</v>
      </c>
      <c r="D3774">
        <v>0.50614899999999996</v>
      </c>
      <c r="E3774">
        <v>0.52662699999999996</v>
      </c>
      <c r="F3774">
        <v>-1</v>
      </c>
      <c r="G3774">
        <v>0.52662699999999996</v>
      </c>
    </row>
    <row r="3775" spans="1:7">
      <c r="A3775" t="s">
        <v>144</v>
      </c>
      <c r="B3775">
        <v>59</v>
      </c>
      <c r="C3775">
        <v>20</v>
      </c>
      <c r="D3775">
        <v>0.50614899999999996</v>
      </c>
      <c r="E3775">
        <v>-0.99182099999999995</v>
      </c>
      <c r="F3775">
        <v>-1</v>
      </c>
      <c r="G3775">
        <v>-0.99182099999999995</v>
      </c>
    </row>
    <row r="3776" spans="1:7">
      <c r="A3776" t="s">
        <v>144</v>
      </c>
      <c r="B3776">
        <v>59</v>
      </c>
      <c r="C3776">
        <v>21</v>
      </c>
      <c r="D3776">
        <v>0.50614899999999996</v>
      </c>
      <c r="E3776">
        <v>0.80520000000000003</v>
      </c>
      <c r="F3776">
        <v>-1</v>
      </c>
      <c r="G3776">
        <v>0.80520000000000003</v>
      </c>
    </row>
    <row r="3777" spans="1:7">
      <c r="A3777" t="s">
        <v>144</v>
      </c>
      <c r="B3777">
        <v>59</v>
      </c>
      <c r="C3777">
        <v>22</v>
      </c>
      <c r="D3777">
        <v>0.50614899999999996</v>
      </c>
      <c r="E3777">
        <v>-0.23929600000000001</v>
      </c>
      <c r="F3777">
        <v>-0.90362299999999995</v>
      </c>
      <c r="G3777">
        <v>-0.56737400000000004</v>
      </c>
    </row>
    <row r="3778" spans="1:7">
      <c r="A3778" t="s">
        <v>144</v>
      </c>
      <c r="B3778">
        <v>59</v>
      </c>
      <c r="C3778">
        <v>23</v>
      </c>
      <c r="D3778">
        <v>0.50614899999999996</v>
      </c>
      <c r="E3778">
        <v>-0.42201</v>
      </c>
      <c r="F3778">
        <v>-0.169958</v>
      </c>
      <c r="G3778">
        <v>-0.29753400000000002</v>
      </c>
    </row>
    <row r="3779" spans="1:7">
      <c r="A3779" t="s">
        <v>144</v>
      </c>
      <c r="B3779">
        <v>59</v>
      </c>
      <c r="C3779">
        <v>24</v>
      </c>
      <c r="D3779">
        <v>0.50614899999999996</v>
      </c>
      <c r="E3779">
        <v>-0.83300300000000005</v>
      </c>
      <c r="F3779">
        <v>0.46427800000000002</v>
      </c>
      <c r="G3779">
        <v>-0.19234000000000001</v>
      </c>
    </row>
    <row r="3780" spans="1:7">
      <c r="A3780" t="s">
        <v>144</v>
      </c>
      <c r="B3780">
        <v>59</v>
      </c>
      <c r="C3780">
        <v>25</v>
      </c>
      <c r="D3780">
        <v>0.50614899999999996</v>
      </c>
      <c r="E3780">
        <v>-0.99786399999999997</v>
      </c>
      <c r="F3780">
        <v>0.56526399999999999</v>
      </c>
      <c r="G3780">
        <v>-0.225912</v>
      </c>
    </row>
    <row r="3781" spans="1:7">
      <c r="A3781" t="s">
        <v>144</v>
      </c>
      <c r="B3781">
        <v>59</v>
      </c>
      <c r="C3781">
        <v>26</v>
      </c>
      <c r="D3781">
        <v>0.50614899999999996</v>
      </c>
      <c r="E3781">
        <v>-0.77501799999999998</v>
      </c>
      <c r="F3781">
        <v>-0.954924</v>
      </c>
      <c r="G3781">
        <v>-0.86386499999999999</v>
      </c>
    </row>
    <row r="3782" spans="1:7">
      <c r="A3782" t="s">
        <v>144</v>
      </c>
      <c r="B3782">
        <v>59</v>
      </c>
      <c r="C3782">
        <v>27</v>
      </c>
      <c r="D3782">
        <v>0.50614899999999996</v>
      </c>
      <c r="E3782">
        <v>-0.28778999999999999</v>
      </c>
      <c r="F3782">
        <v>-0.48057499999999997</v>
      </c>
      <c r="G3782">
        <v>-0.38299699999999998</v>
      </c>
    </row>
    <row r="3783" spans="1:7">
      <c r="A3783" t="s">
        <v>144</v>
      </c>
      <c r="B3783">
        <v>59</v>
      </c>
      <c r="C3783">
        <v>28</v>
      </c>
      <c r="D3783">
        <v>0.50614899999999996</v>
      </c>
      <c r="E3783">
        <v>0.47926299999999999</v>
      </c>
      <c r="F3783">
        <v>0.60264899999999999</v>
      </c>
      <c r="G3783">
        <v>0.54019700000000004</v>
      </c>
    </row>
    <row r="3784" spans="1:7">
      <c r="A3784" t="s">
        <v>144</v>
      </c>
      <c r="B3784">
        <v>59</v>
      </c>
      <c r="C3784">
        <v>29</v>
      </c>
      <c r="D3784">
        <v>0.50614899999999996</v>
      </c>
      <c r="E3784">
        <v>-0.58027899999999999</v>
      </c>
      <c r="F3784">
        <v>-0.2266</v>
      </c>
      <c r="G3784">
        <v>-0.40561399999999997</v>
      </c>
    </row>
    <row r="3785" spans="1:7">
      <c r="A3785" t="s">
        <v>144</v>
      </c>
      <c r="B3785">
        <v>59</v>
      </c>
      <c r="C3785">
        <v>30</v>
      </c>
      <c r="D3785">
        <v>0.50614899999999996</v>
      </c>
      <c r="E3785">
        <v>0.61275100000000005</v>
      </c>
      <c r="F3785">
        <v>-0.60319800000000001</v>
      </c>
      <c r="G3785">
        <v>1.2253999999999999E-2</v>
      </c>
    </row>
    <row r="3786" spans="1:7">
      <c r="A3786" t="s">
        <v>144</v>
      </c>
      <c r="B3786">
        <v>59</v>
      </c>
      <c r="C3786">
        <v>31</v>
      </c>
      <c r="D3786">
        <v>0.50614899999999996</v>
      </c>
      <c r="E3786">
        <v>-0.51988299999999998</v>
      </c>
      <c r="F3786">
        <v>0.15933700000000001</v>
      </c>
      <c r="G3786">
        <v>-0.18445</v>
      </c>
    </row>
    <row r="3787" spans="1:7">
      <c r="A3787" t="s">
        <v>144</v>
      </c>
      <c r="B3787">
        <v>59</v>
      </c>
      <c r="C3787">
        <v>32</v>
      </c>
      <c r="D3787">
        <v>0.50614899999999996</v>
      </c>
      <c r="E3787">
        <v>0.75151800000000002</v>
      </c>
      <c r="F3787">
        <v>0.51301600000000003</v>
      </c>
      <c r="G3787">
        <v>0.63373400000000002</v>
      </c>
    </row>
    <row r="3788" spans="1:7">
      <c r="A3788" t="s">
        <v>144</v>
      </c>
      <c r="B3788">
        <v>59</v>
      </c>
      <c r="C3788">
        <v>33</v>
      </c>
      <c r="D3788">
        <v>0.50614899999999996</v>
      </c>
      <c r="E3788">
        <v>0.26041399999999998</v>
      </c>
      <c r="F3788">
        <v>-0.460005</v>
      </c>
      <c r="G3788">
        <v>-9.5365000000000005E-2</v>
      </c>
    </row>
    <row r="3789" spans="1:7">
      <c r="A3789" t="s">
        <v>144</v>
      </c>
      <c r="B3789">
        <v>59</v>
      </c>
      <c r="C3789">
        <v>34</v>
      </c>
      <c r="D3789">
        <v>0.50614899999999996</v>
      </c>
      <c r="E3789">
        <v>7.0800000000000004E-3</v>
      </c>
      <c r="F3789">
        <v>0.51854</v>
      </c>
      <c r="G3789">
        <v>0.25966499999999998</v>
      </c>
    </row>
    <row r="3790" spans="1:7">
      <c r="A3790" t="s">
        <v>144</v>
      </c>
      <c r="B3790">
        <v>59</v>
      </c>
      <c r="C3790">
        <v>35</v>
      </c>
      <c r="D3790">
        <v>0.50614899999999996</v>
      </c>
      <c r="E3790">
        <v>-0.35410599999999998</v>
      </c>
      <c r="F3790">
        <v>0.80748900000000001</v>
      </c>
      <c r="G3790">
        <v>0.21954799999999999</v>
      </c>
    </row>
    <row r="3791" spans="1:7">
      <c r="A3791" t="s">
        <v>144</v>
      </c>
      <c r="B3791">
        <v>59</v>
      </c>
      <c r="C3791">
        <v>36</v>
      </c>
      <c r="D3791">
        <v>0.50614899999999996</v>
      </c>
      <c r="E3791">
        <v>-0.280221</v>
      </c>
      <c r="F3791">
        <v>-0.73857799999999996</v>
      </c>
      <c r="G3791">
        <v>-0.50658099999999995</v>
      </c>
    </row>
    <row r="3792" spans="1:7">
      <c r="A3792" t="s">
        <v>144</v>
      </c>
      <c r="B3792">
        <v>59</v>
      </c>
      <c r="C3792">
        <v>37</v>
      </c>
      <c r="D3792">
        <v>0.50614899999999996</v>
      </c>
      <c r="E3792">
        <v>-0.28348600000000002</v>
      </c>
      <c r="F3792">
        <v>0.34961999999999999</v>
      </c>
      <c r="G3792">
        <v>2.9173999999999999E-2</v>
      </c>
    </row>
    <row r="3793" spans="1:7">
      <c r="A3793" t="s">
        <v>144</v>
      </c>
      <c r="B3793">
        <v>59</v>
      </c>
      <c r="C3793">
        <v>38</v>
      </c>
      <c r="D3793">
        <v>0.50614899999999996</v>
      </c>
      <c r="E3793">
        <v>0.29755500000000001</v>
      </c>
      <c r="F3793">
        <v>-0.215918</v>
      </c>
      <c r="G3793">
        <v>4.3976000000000001E-2</v>
      </c>
    </row>
    <row r="3794" spans="1:7">
      <c r="A3794" t="s">
        <v>144</v>
      </c>
      <c r="B3794">
        <v>59</v>
      </c>
      <c r="C3794">
        <v>39</v>
      </c>
      <c r="D3794">
        <v>0.50614899999999996</v>
      </c>
      <c r="E3794">
        <v>4.2084999999999997E-2</v>
      </c>
      <c r="F3794">
        <v>0.87975700000000001</v>
      </c>
      <c r="G3794">
        <v>0.45577000000000001</v>
      </c>
    </row>
    <row r="3795" spans="1:7">
      <c r="A3795" t="s">
        <v>144</v>
      </c>
      <c r="B3795">
        <v>59</v>
      </c>
      <c r="C3795">
        <v>40</v>
      </c>
      <c r="D3795">
        <v>0.50614899999999996</v>
      </c>
      <c r="E3795">
        <v>-8.7741E-2</v>
      </c>
      <c r="F3795">
        <v>0.75524199999999997</v>
      </c>
      <c r="G3795">
        <v>0.328567</v>
      </c>
    </row>
    <row r="3796" spans="1:7">
      <c r="A3796" t="s">
        <v>144</v>
      </c>
      <c r="B3796">
        <v>59</v>
      </c>
      <c r="C3796">
        <v>41</v>
      </c>
      <c r="D3796">
        <v>0.50614899999999996</v>
      </c>
      <c r="E3796">
        <v>-0.67021699999999995</v>
      </c>
      <c r="F3796">
        <v>-0.62422599999999995</v>
      </c>
      <c r="G3796">
        <v>-0.64750399999999997</v>
      </c>
    </row>
    <row r="3797" spans="1:7">
      <c r="A3797" t="s">
        <v>144</v>
      </c>
      <c r="B3797">
        <v>59</v>
      </c>
      <c r="C3797">
        <v>42</v>
      </c>
      <c r="D3797">
        <v>0.50614899999999996</v>
      </c>
      <c r="E3797">
        <v>5.3407000000000003E-2</v>
      </c>
      <c r="F3797">
        <v>-0.26212299999999999</v>
      </c>
      <c r="G3797">
        <v>-0.102418</v>
      </c>
    </row>
    <row r="3798" spans="1:7">
      <c r="A3798" t="s">
        <v>144</v>
      </c>
      <c r="B3798">
        <v>59</v>
      </c>
      <c r="C3798">
        <v>43</v>
      </c>
      <c r="D3798">
        <v>0.50614899999999996</v>
      </c>
      <c r="E3798">
        <v>0.151952</v>
      </c>
      <c r="F3798">
        <v>0.54783800000000005</v>
      </c>
      <c r="G3798">
        <v>0.34745999999999999</v>
      </c>
    </row>
    <row r="3799" spans="1:7">
      <c r="A3799" t="s">
        <v>144</v>
      </c>
      <c r="B3799">
        <v>59</v>
      </c>
      <c r="C3799">
        <v>44</v>
      </c>
      <c r="D3799">
        <v>0.50614899999999996</v>
      </c>
      <c r="E3799">
        <v>0.29505300000000001</v>
      </c>
      <c r="F3799">
        <v>0.74123399999999995</v>
      </c>
      <c r="G3799">
        <v>0.51539999999999997</v>
      </c>
    </row>
    <row r="3800" spans="1:7">
      <c r="A3800" t="s">
        <v>144</v>
      </c>
      <c r="B3800">
        <v>59</v>
      </c>
      <c r="C3800">
        <v>45</v>
      </c>
      <c r="D3800">
        <v>0.50614899999999996</v>
      </c>
      <c r="E3800">
        <v>0.58006500000000005</v>
      </c>
      <c r="F3800">
        <v>0.58299500000000004</v>
      </c>
      <c r="G3800">
        <v>0.58151200000000003</v>
      </c>
    </row>
    <row r="3801" spans="1:7">
      <c r="A3801" t="s">
        <v>144</v>
      </c>
      <c r="B3801">
        <v>59</v>
      </c>
      <c r="C3801">
        <v>46</v>
      </c>
      <c r="D3801">
        <v>0.50614899999999996</v>
      </c>
      <c r="E3801">
        <v>-0.34296700000000002</v>
      </c>
      <c r="F3801">
        <v>0.60792900000000005</v>
      </c>
      <c r="G3801">
        <v>0.126633</v>
      </c>
    </row>
    <row r="3802" spans="1:7">
      <c r="A3802" t="s">
        <v>144</v>
      </c>
      <c r="B3802">
        <v>59</v>
      </c>
      <c r="C3802">
        <v>47</v>
      </c>
      <c r="D3802">
        <v>0.50614899999999996</v>
      </c>
      <c r="E3802">
        <v>-0.99417100000000003</v>
      </c>
      <c r="F3802">
        <v>-0.68874199999999997</v>
      </c>
      <c r="G3802">
        <v>-0.84333499999999995</v>
      </c>
    </row>
    <row r="3803" spans="1:7">
      <c r="A3803" t="s">
        <v>144</v>
      </c>
      <c r="B3803">
        <v>59</v>
      </c>
      <c r="C3803">
        <v>48</v>
      </c>
      <c r="D3803">
        <v>0.50614899999999996</v>
      </c>
      <c r="E3803">
        <v>0.95394800000000002</v>
      </c>
      <c r="F3803">
        <v>0.47154099999999999</v>
      </c>
      <c r="G3803">
        <v>0.71571099999999999</v>
      </c>
    </row>
    <row r="3804" spans="1:7">
      <c r="A3804" t="s">
        <v>144</v>
      </c>
      <c r="B3804">
        <v>59</v>
      </c>
      <c r="C3804">
        <v>49</v>
      </c>
      <c r="D3804">
        <v>0.50614899999999996</v>
      </c>
      <c r="E3804">
        <v>0.79961499999999996</v>
      </c>
      <c r="F3804">
        <v>-0.146397</v>
      </c>
      <c r="G3804">
        <v>0.33242699999999997</v>
      </c>
    </row>
    <row r="3805" spans="1:7">
      <c r="A3805" t="s">
        <v>144</v>
      </c>
      <c r="B3805" t="s">
        <v>145</v>
      </c>
      <c r="C3805">
        <v>60</v>
      </c>
    </row>
    <row r="3806" spans="1:7">
      <c r="A3806" t="s">
        <v>144</v>
      </c>
      <c r="B3806" t="s">
        <v>146</v>
      </c>
      <c r="C3806">
        <v>71</v>
      </c>
    </row>
    <row r="3807" spans="1:7">
      <c r="A3807" t="s">
        <v>144</v>
      </c>
      <c r="B3807" t="s">
        <v>147</v>
      </c>
      <c r="C3807">
        <v>71</v>
      </c>
    </row>
    <row r="3808" spans="1:7">
      <c r="A3808" t="s">
        <v>144</v>
      </c>
      <c r="B3808" t="s">
        <v>148</v>
      </c>
      <c r="C3808">
        <v>0.429456</v>
      </c>
    </row>
    <row r="3809" spans="1:7">
      <c r="A3809" t="s">
        <v>144</v>
      </c>
      <c r="B3809" t="s">
        <v>149</v>
      </c>
      <c r="C3809">
        <v>0.429456</v>
      </c>
    </row>
    <row r="3810" spans="1:7">
      <c r="A3810" t="s">
        <v>144</v>
      </c>
      <c r="B3810" t="s">
        <v>150</v>
      </c>
      <c r="C3810">
        <v>-1</v>
      </c>
    </row>
    <row r="3811" spans="1:7">
      <c r="A3811" t="s">
        <v>144</v>
      </c>
      <c r="B3811" t="s">
        <v>151</v>
      </c>
      <c r="C3811">
        <v>-1</v>
      </c>
    </row>
    <row r="3812" spans="1:7">
      <c r="A3812" t="s">
        <v>144</v>
      </c>
      <c r="B3812" t="s">
        <v>152</v>
      </c>
      <c r="C3812">
        <v>15</v>
      </c>
    </row>
    <row r="3813" spans="1:7">
      <c r="A3813" t="s">
        <v>144</v>
      </c>
      <c r="B3813" t="s">
        <v>153</v>
      </c>
      <c r="C3813">
        <v>15</v>
      </c>
    </row>
    <row r="3814" spans="1:7">
      <c r="A3814" t="s">
        <v>144</v>
      </c>
      <c r="B3814" t="s">
        <v>154</v>
      </c>
      <c r="C3814">
        <v>0</v>
      </c>
    </row>
    <row r="3815" spans="1:7">
      <c r="A3815" t="s">
        <v>144</v>
      </c>
      <c r="B3815" t="s">
        <v>155</v>
      </c>
    </row>
    <row r="3816" spans="1:7">
      <c r="A3816" t="s">
        <v>144</v>
      </c>
      <c r="B3816" t="s">
        <v>150</v>
      </c>
      <c r="C3816">
        <v>0.83477299999999999</v>
      </c>
    </row>
    <row r="3817" spans="1:7">
      <c r="A3817" t="s">
        <v>144</v>
      </c>
      <c r="B3817" t="s">
        <v>151</v>
      </c>
      <c r="C3817">
        <v>0.83477299999999999</v>
      </c>
    </row>
    <row r="3818" spans="1:7">
      <c r="A3818" t="s">
        <v>144</v>
      </c>
      <c r="B3818" t="s">
        <v>156</v>
      </c>
      <c r="C3818" t="s">
        <v>157</v>
      </c>
      <c r="D3818" t="s">
        <v>63</v>
      </c>
      <c r="E3818" t="s">
        <v>158</v>
      </c>
      <c r="F3818" t="s">
        <v>159</v>
      </c>
      <c r="G3818" t="s">
        <v>160</v>
      </c>
    </row>
    <row r="3819" spans="1:7">
      <c r="A3819" t="s">
        <v>144</v>
      </c>
      <c r="B3819">
        <v>60</v>
      </c>
      <c r="C3819">
        <v>0</v>
      </c>
      <c r="D3819">
        <v>0.83477299999999999</v>
      </c>
      <c r="E3819">
        <v>0.29325200000000001</v>
      </c>
      <c r="F3819">
        <v>-1</v>
      </c>
      <c r="G3819">
        <v>0.29325200000000001</v>
      </c>
    </row>
    <row r="3820" spans="1:7">
      <c r="A3820" t="s">
        <v>144</v>
      </c>
      <c r="B3820">
        <v>60</v>
      </c>
      <c r="C3820">
        <v>1</v>
      </c>
      <c r="D3820">
        <v>0.83477299999999999</v>
      </c>
      <c r="E3820">
        <v>0.96688700000000005</v>
      </c>
      <c r="F3820">
        <v>-1</v>
      </c>
      <c r="G3820">
        <v>0.96688700000000005</v>
      </c>
    </row>
    <row r="3821" spans="1:7">
      <c r="A3821" t="s">
        <v>144</v>
      </c>
      <c r="B3821">
        <v>60</v>
      </c>
      <c r="C3821">
        <v>2</v>
      </c>
      <c r="D3821">
        <v>0.83477299999999999</v>
      </c>
      <c r="E3821">
        <v>-0.98983699999999997</v>
      </c>
      <c r="F3821">
        <v>-1</v>
      </c>
      <c r="G3821">
        <v>-0.98983699999999997</v>
      </c>
    </row>
    <row r="3822" spans="1:7">
      <c r="A3822" t="s">
        <v>144</v>
      </c>
      <c r="B3822">
        <v>60</v>
      </c>
      <c r="C3822">
        <v>3</v>
      </c>
      <c r="D3822">
        <v>0.83477299999999999</v>
      </c>
      <c r="E3822">
        <v>-0.15604100000000001</v>
      </c>
      <c r="F3822">
        <v>-1</v>
      </c>
      <c r="G3822">
        <v>-0.15604100000000001</v>
      </c>
    </row>
    <row r="3823" spans="1:7">
      <c r="A3823" t="s">
        <v>144</v>
      </c>
      <c r="B3823">
        <v>60</v>
      </c>
      <c r="C3823">
        <v>4</v>
      </c>
      <c r="D3823">
        <v>0.83477299999999999</v>
      </c>
      <c r="E3823">
        <v>-0.13708899999999999</v>
      </c>
      <c r="F3823">
        <v>-1</v>
      </c>
      <c r="G3823">
        <v>-0.13708899999999999</v>
      </c>
    </row>
    <row r="3824" spans="1:7">
      <c r="A3824" t="s">
        <v>144</v>
      </c>
      <c r="B3824">
        <v>60</v>
      </c>
      <c r="C3824">
        <v>5</v>
      </c>
      <c r="D3824">
        <v>0.83477299999999999</v>
      </c>
      <c r="E3824">
        <v>0.96111899999999995</v>
      </c>
      <c r="F3824">
        <v>-1</v>
      </c>
      <c r="G3824">
        <v>0.96111899999999995</v>
      </c>
    </row>
    <row r="3825" spans="1:7">
      <c r="A3825" t="s">
        <v>144</v>
      </c>
      <c r="B3825">
        <v>60</v>
      </c>
      <c r="C3825">
        <v>6</v>
      </c>
      <c r="D3825">
        <v>0.83477299999999999</v>
      </c>
      <c r="E3825">
        <v>-0.98699899999999996</v>
      </c>
      <c r="F3825">
        <v>-1</v>
      </c>
      <c r="G3825">
        <v>-0.98699899999999996</v>
      </c>
    </row>
    <row r="3826" spans="1:7">
      <c r="A3826" t="s">
        <v>144</v>
      </c>
      <c r="B3826">
        <v>60</v>
      </c>
      <c r="C3826">
        <v>7</v>
      </c>
      <c r="D3826">
        <v>0.83477299999999999</v>
      </c>
      <c r="E3826">
        <v>0.64983100000000005</v>
      </c>
      <c r="F3826">
        <v>-1</v>
      </c>
      <c r="G3826">
        <v>0.64983100000000005</v>
      </c>
    </row>
    <row r="3827" spans="1:7">
      <c r="A3827" t="s">
        <v>144</v>
      </c>
      <c r="B3827">
        <v>60</v>
      </c>
      <c r="C3827">
        <v>8</v>
      </c>
      <c r="D3827">
        <v>0.83477299999999999</v>
      </c>
      <c r="E3827">
        <v>0.95803700000000003</v>
      </c>
      <c r="F3827">
        <v>-1</v>
      </c>
      <c r="G3827">
        <v>0.95803700000000003</v>
      </c>
    </row>
    <row r="3828" spans="1:7">
      <c r="A3828" t="s">
        <v>144</v>
      </c>
      <c r="B3828">
        <v>60</v>
      </c>
      <c r="C3828">
        <v>9</v>
      </c>
      <c r="D3828">
        <v>0.83477299999999999</v>
      </c>
      <c r="E3828">
        <v>-6.8331000000000003E-2</v>
      </c>
      <c r="F3828">
        <v>-1</v>
      </c>
      <c r="G3828">
        <v>-6.8331000000000003E-2</v>
      </c>
    </row>
    <row r="3829" spans="1:7">
      <c r="A3829" t="s">
        <v>144</v>
      </c>
      <c r="B3829">
        <v>60</v>
      </c>
      <c r="C3829">
        <v>10</v>
      </c>
      <c r="D3829">
        <v>0.83477299999999999</v>
      </c>
      <c r="E3829">
        <v>0.37723899999999999</v>
      </c>
      <c r="F3829">
        <v>-1</v>
      </c>
      <c r="G3829">
        <v>0.37723899999999999</v>
      </c>
    </row>
    <row r="3830" spans="1:7">
      <c r="A3830" t="s">
        <v>144</v>
      </c>
      <c r="B3830">
        <v>60</v>
      </c>
      <c r="C3830">
        <v>11</v>
      </c>
      <c r="D3830">
        <v>0.83477299999999999</v>
      </c>
      <c r="E3830">
        <v>0.56752199999999997</v>
      </c>
      <c r="F3830">
        <v>-1</v>
      </c>
      <c r="G3830">
        <v>0.56752199999999997</v>
      </c>
    </row>
    <row r="3831" spans="1:7">
      <c r="A3831" t="s">
        <v>144</v>
      </c>
      <c r="B3831">
        <v>60</v>
      </c>
      <c r="C3831">
        <v>12</v>
      </c>
      <c r="D3831">
        <v>0.83477299999999999</v>
      </c>
      <c r="E3831">
        <v>-6.7811999999999997E-2</v>
      </c>
      <c r="F3831">
        <v>-1</v>
      </c>
      <c r="G3831">
        <v>-6.7811999999999997E-2</v>
      </c>
    </row>
    <row r="3832" spans="1:7">
      <c r="A3832" t="s">
        <v>144</v>
      </c>
      <c r="B3832">
        <v>60</v>
      </c>
      <c r="C3832">
        <v>13</v>
      </c>
      <c r="D3832">
        <v>0.83477299999999999</v>
      </c>
      <c r="E3832">
        <v>0.54075700000000004</v>
      </c>
      <c r="F3832">
        <v>-1</v>
      </c>
      <c r="G3832">
        <v>0.54075700000000004</v>
      </c>
    </row>
    <row r="3833" spans="1:7">
      <c r="A3833" t="s">
        <v>144</v>
      </c>
      <c r="B3833">
        <v>60</v>
      </c>
      <c r="C3833">
        <v>14</v>
      </c>
      <c r="D3833">
        <v>0.83477299999999999</v>
      </c>
      <c r="E3833">
        <v>0.43836799999999998</v>
      </c>
      <c r="F3833">
        <v>-1</v>
      </c>
      <c r="G3833">
        <v>0.43836799999999998</v>
      </c>
    </row>
    <row r="3834" spans="1:7">
      <c r="A3834" t="s">
        <v>144</v>
      </c>
      <c r="B3834">
        <v>60</v>
      </c>
      <c r="C3834">
        <v>15</v>
      </c>
      <c r="D3834">
        <v>0.83477299999999999</v>
      </c>
      <c r="E3834">
        <v>0.47926299999999999</v>
      </c>
      <c r="F3834">
        <v>-0.212256</v>
      </c>
      <c r="G3834">
        <v>0.36500500000000002</v>
      </c>
    </row>
    <row r="3835" spans="1:7">
      <c r="A3835" t="s">
        <v>144</v>
      </c>
      <c r="B3835">
        <v>60</v>
      </c>
      <c r="C3835">
        <v>16</v>
      </c>
      <c r="D3835">
        <v>0.83477299999999999</v>
      </c>
      <c r="E3835">
        <v>-0.23072000000000001</v>
      </c>
      <c r="F3835">
        <v>0.25214399999999998</v>
      </c>
      <c r="G3835">
        <v>-0.15093799999999999</v>
      </c>
    </row>
    <row r="3836" spans="1:7">
      <c r="A3836" t="s">
        <v>144</v>
      </c>
      <c r="B3836">
        <v>60</v>
      </c>
      <c r="C3836">
        <v>17</v>
      </c>
      <c r="D3836">
        <v>0.83477299999999999</v>
      </c>
      <c r="E3836">
        <v>0.951048</v>
      </c>
      <c r="F3836">
        <v>-0.16586799999999999</v>
      </c>
      <c r="G3836">
        <v>0.76650300000000005</v>
      </c>
    </row>
    <row r="3837" spans="1:7">
      <c r="A3837" t="s">
        <v>144</v>
      </c>
      <c r="B3837">
        <v>60</v>
      </c>
      <c r="C3837">
        <v>18</v>
      </c>
      <c r="D3837">
        <v>0.83477299999999999</v>
      </c>
      <c r="E3837">
        <v>0.58204900000000004</v>
      </c>
      <c r="F3837">
        <v>-0.54200899999999996</v>
      </c>
      <c r="G3837">
        <v>0.39632400000000001</v>
      </c>
    </row>
    <row r="3838" spans="1:7">
      <c r="A3838" t="s">
        <v>144</v>
      </c>
      <c r="B3838">
        <v>60</v>
      </c>
      <c r="C3838">
        <v>19</v>
      </c>
      <c r="D3838">
        <v>0.83477299999999999</v>
      </c>
      <c r="E3838">
        <v>0.41035199999999999</v>
      </c>
      <c r="F3838">
        <v>0.74178299999999997</v>
      </c>
      <c r="G3838">
        <v>0.465113</v>
      </c>
    </row>
    <row r="3839" spans="1:7">
      <c r="A3839" t="s">
        <v>144</v>
      </c>
      <c r="B3839">
        <v>60</v>
      </c>
      <c r="C3839">
        <v>20</v>
      </c>
      <c r="D3839">
        <v>0.83477299999999999</v>
      </c>
      <c r="E3839">
        <v>0.55766499999999997</v>
      </c>
      <c r="F3839">
        <v>0.84289099999999995</v>
      </c>
      <c r="G3839">
        <v>0.604792</v>
      </c>
    </row>
    <row r="3840" spans="1:7">
      <c r="A3840" t="s">
        <v>144</v>
      </c>
      <c r="B3840">
        <v>60</v>
      </c>
      <c r="C3840">
        <v>21</v>
      </c>
      <c r="D3840">
        <v>0.83477299999999999</v>
      </c>
      <c r="E3840">
        <v>-0.24304899999999999</v>
      </c>
      <c r="F3840">
        <v>0.23572499999999999</v>
      </c>
      <c r="G3840">
        <v>-0.16394300000000001</v>
      </c>
    </row>
    <row r="3841" spans="1:7">
      <c r="A3841" t="s">
        <v>144</v>
      </c>
      <c r="B3841">
        <v>60</v>
      </c>
      <c r="C3841">
        <v>22</v>
      </c>
      <c r="D3841">
        <v>0.83477299999999999</v>
      </c>
      <c r="E3841">
        <v>0.81084599999999996</v>
      </c>
      <c r="F3841">
        <v>-0.90362299999999995</v>
      </c>
      <c r="G3841">
        <v>0.52756899999999995</v>
      </c>
    </row>
    <row r="3842" spans="1:7">
      <c r="A3842" t="s">
        <v>144</v>
      </c>
      <c r="B3842">
        <v>60</v>
      </c>
      <c r="C3842">
        <v>23</v>
      </c>
      <c r="D3842">
        <v>0.83477299999999999</v>
      </c>
      <c r="E3842">
        <v>0.95471099999999998</v>
      </c>
      <c r="F3842">
        <v>-0.169958</v>
      </c>
      <c r="G3842">
        <v>0.76888500000000004</v>
      </c>
    </row>
    <row r="3843" spans="1:7">
      <c r="A3843" t="s">
        <v>144</v>
      </c>
      <c r="B3843">
        <v>60</v>
      </c>
      <c r="C3843">
        <v>24</v>
      </c>
      <c r="D3843">
        <v>0.83477299999999999</v>
      </c>
      <c r="E3843">
        <v>0.525864</v>
      </c>
      <c r="F3843">
        <v>0.46427800000000002</v>
      </c>
      <c r="G3843">
        <v>0.51568899999999995</v>
      </c>
    </row>
    <row r="3844" spans="1:7">
      <c r="A3844" t="s">
        <v>144</v>
      </c>
      <c r="B3844">
        <v>60</v>
      </c>
      <c r="C3844">
        <v>25</v>
      </c>
      <c r="D3844">
        <v>0.83477299999999999</v>
      </c>
      <c r="E3844">
        <v>0.90765099999999999</v>
      </c>
      <c r="F3844">
        <v>0.56526399999999999</v>
      </c>
      <c r="G3844">
        <v>0.85107900000000003</v>
      </c>
    </row>
    <row r="3845" spans="1:7">
      <c r="A3845" t="s">
        <v>144</v>
      </c>
      <c r="B3845">
        <v>60</v>
      </c>
      <c r="C3845">
        <v>26</v>
      </c>
      <c r="D3845">
        <v>0.83477299999999999</v>
      </c>
      <c r="E3845">
        <v>-0.30036299999999999</v>
      </c>
      <c r="F3845">
        <v>-0.954924</v>
      </c>
      <c r="G3845">
        <v>-0.40851399999999999</v>
      </c>
    </row>
    <row r="3846" spans="1:7">
      <c r="A3846" t="s">
        <v>144</v>
      </c>
      <c r="B3846">
        <v>60</v>
      </c>
      <c r="C3846">
        <v>27</v>
      </c>
      <c r="D3846">
        <v>0.83477299999999999</v>
      </c>
      <c r="E3846">
        <v>-0.51286399999999999</v>
      </c>
      <c r="F3846">
        <v>-0.48057499999999997</v>
      </c>
      <c r="G3846">
        <v>-0.50752900000000001</v>
      </c>
    </row>
    <row r="3847" spans="1:7">
      <c r="A3847" t="s">
        <v>144</v>
      </c>
      <c r="B3847">
        <v>60</v>
      </c>
      <c r="C3847">
        <v>28</v>
      </c>
      <c r="D3847">
        <v>0.83477299999999999</v>
      </c>
      <c r="E3847">
        <v>0.123539</v>
      </c>
      <c r="F3847">
        <v>0.60264899999999999</v>
      </c>
      <c r="G3847">
        <v>0.20270099999999999</v>
      </c>
    </row>
    <row r="3848" spans="1:7">
      <c r="A3848" t="s">
        <v>144</v>
      </c>
      <c r="B3848">
        <v>60</v>
      </c>
      <c r="C3848">
        <v>29</v>
      </c>
      <c r="D3848">
        <v>0.83477299999999999</v>
      </c>
      <c r="E3848">
        <v>0.28345599999999999</v>
      </c>
      <c r="F3848">
        <v>-0.2266</v>
      </c>
      <c r="G3848">
        <v>0.199181</v>
      </c>
    </row>
    <row r="3849" spans="1:7">
      <c r="A3849" t="s">
        <v>144</v>
      </c>
      <c r="B3849">
        <v>60</v>
      </c>
      <c r="C3849">
        <v>30</v>
      </c>
      <c r="D3849">
        <v>0.83477299999999999</v>
      </c>
      <c r="E3849">
        <v>-0.106235</v>
      </c>
      <c r="F3849">
        <v>-0.60319800000000001</v>
      </c>
      <c r="G3849">
        <v>-0.18834699999999999</v>
      </c>
    </row>
    <row r="3850" spans="1:7">
      <c r="A3850" t="s">
        <v>144</v>
      </c>
      <c r="B3850">
        <v>60</v>
      </c>
      <c r="C3850">
        <v>31</v>
      </c>
      <c r="D3850">
        <v>0.83477299999999999</v>
      </c>
      <c r="E3850">
        <v>0.65547699999999998</v>
      </c>
      <c r="F3850">
        <v>0.15933700000000001</v>
      </c>
      <c r="G3850">
        <v>0.57350100000000004</v>
      </c>
    </row>
    <row r="3851" spans="1:7">
      <c r="A3851" t="s">
        <v>144</v>
      </c>
      <c r="B3851">
        <v>60</v>
      </c>
      <c r="C3851">
        <v>32</v>
      </c>
      <c r="D3851">
        <v>0.83477299999999999</v>
      </c>
      <c r="E3851">
        <v>-0.11920500000000001</v>
      </c>
      <c r="F3851">
        <v>0.51301600000000003</v>
      </c>
      <c r="G3851">
        <v>-1.4744999999999999E-2</v>
      </c>
    </row>
    <row r="3852" spans="1:7">
      <c r="A3852" t="s">
        <v>144</v>
      </c>
      <c r="B3852">
        <v>60</v>
      </c>
      <c r="C3852">
        <v>33</v>
      </c>
      <c r="D3852">
        <v>0.83477299999999999</v>
      </c>
      <c r="E3852">
        <v>-0.98269600000000001</v>
      </c>
      <c r="F3852">
        <v>-0.460005</v>
      </c>
      <c r="G3852">
        <v>-0.89633300000000005</v>
      </c>
    </row>
    <row r="3853" spans="1:7">
      <c r="A3853" t="s">
        <v>144</v>
      </c>
      <c r="B3853">
        <v>60</v>
      </c>
      <c r="C3853">
        <v>34</v>
      </c>
      <c r="D3853">
        <v>0.83477299999999999</v>
      </c>
      <c r="E3853">
        <v>-0.99606300000000003</v>
      </c>
      <c r="F3853">
        <v>0.51854</v>
      </c>
      <c r="G3853">
        <v>-0.74580900000000006</v>
      </c>
    </row>
    <row r="3854" spans="1:7">
      <c r="A3854" t="s">
        <v>144</v>
      </c>
      <c r="B3854">
        <v>60</v>
      </c>
      <c r="C3854">
        <v>35</v>
      </c>
      <c r="D3854">
        <v>0.83477299999999999</v>
      </c>
      <c r="E3854">
        <v>0.61149900000000001</v>
      </c>
      <c r="F3854">
        <v>0.80748900000000001</v>
      </c>
      <c r="G3854">
        <v>0.64388199999999995</v>
      </c>
    </row>
    <row r="3855" spans="1:7">
      <c r="A3855" t="s">
        <v>144</v>
      </c>
      <c r="B3855">
        <v>60</v>
      </c>
      <c r="C3855">
        <v>36</v>
      </c>
      <c r="D3855">
        <v>0.83477299999999999</v>
      </c>
      <c r="E3855">
        <v>0.456374</v>
      </c>
      <c r="F3855">
        <v>-0.73857799999999996</v>
      </c>
      <c r="G3855">
        <v>0.25893500000000003</v>
      </c>
    </row>
    <row r="3856" spans="1:7">
      <c r="A3856" t="s">
        <v>144</v>
      </c>
      <c r="B3856">
        <v>60</v>
      </c>
      <c r="C3856">
        <v>37</v>
      </c>
      <c r="D3856">
        <v>0.83477299999999999</v>
      </c>
      <c r="E3856">
        <v>-0.44190800000000002</v>
      </c>
      <c r="F3856">
        <v>0.34961999999999999</v>
      </c>
      <c r="G3856">
        <v>-0.31112600000000001</v>
      </c>
    </row>
    <row r="3857" spans="1:7">
      <c r="A3857" t="s">
        <v>144</v>
      </c>
      <c r="B3857">
        <v>60</v>
      </c>
      <c r="C3857">
        <v>38</v>
      </c>
      <c r="D3857">
        <v>0.83477299999999999</v>
      </c>
      <c r="E3857">
        <v>0.406476</v>
      </c>
      <c r="F3857">
        <v>-0.215918</v>
      </c>
      <c r="G3857">
        <v>0.30364000000000002</v>
      </c>
    </row>
    <row r="3858" spans="1:7">
      <c r="A3858" t="s">
        <v>144</v>
      </c>
      <c r="B3858">
        <v>60</v>
      </c>
      <c r="C3858">
        <v>39</v>
      </c>
      <c r="D3858">
        <v>0.83477299999999999</v>
      </c>
      <c r="E3858">
        <v>0.88149699999999998</v>
      </c>
      <c r="F3858">
        <v>0.87975700000000001</v>
      </c>
      <c r="G3858">
        <v>0.88120900000000002</v>
      </c>
    </row>
    <row r="3859" spans="1:7">
      <c r="A3859" t="s">
        <v>144</v>
      </c>
      <c r="B3859">
        <v>60</v>
      </c>
      <c r="C3859">
        <v>40</v>
      </c>
      <c r="D3859">
        <v>0.83477299999999999</v>
      </c>
      <c r="E3859">
        <v>0.77291200000000004</v>
      </c>
      <c r="F3859">
        <v>0.75524199999999997</v>
      </c>
      <c r="G3859">
        <v>0.76999200000000001</v>
      </c>
    </row>
    <row r="3860" spans="1:7">
      <c r="A3860" t="s">
        <v>144</v>
      </c>
      <c r="B3860">
        <v>60</v>
      </c>
      <c r="C3860">
        <v>41</v>
      </c>
      <c r="D3860">
        <v>0.83477299999999999</v>
      </c>
      <c r="E3860">
        <v>-0.59776600000000002</v>
      </c>
      <c r="F3860">
        <v>-0.62422599999999995</v>
      </c>
      <c r="G3860">
        <v>-0.60213799999999995</v>
      </c>
    </row>
    <row r="3861" spans="1:7">
      <c r="A3861" t="s">
        <v>144</v>
      </c>
      <c r="B3861">
        <v>60</v>
      </c>
      <c r="C3861">
        <v>42</v>
      </c>
      <c r="D3861">
        <v>0.83477299999999999</v>
      </c>
      <c r="E3861">
        <v>-0.52537599999999995</v>
      </c>
      <c r="F3861">
        <v>-0.26212299999999999</v>
      </c>
      <c r="G3861">
        <v>-0.48187999999999998</v>
      </c>
    </row>
    <row r="3862" spans="1:7">
      <c r="A3862" t="s">
        <v>144</v>
      </c>
      <c r="B3862">
        <v>60</v>
      </c>
      <c r="C3862">
        <v>43</v>
      </c>
      <c r="D3862">
        <v>0.83477299999999999</v>
      </c>
      <c r="E3862">
        <v>-0.97595100000000001</v>
      </c>
      <c r="F3862">
        <v>0.54783800000000005</v>
      </c>
      <c r="G3862">
        <v>-0.72418000000000005</v>
      </c>
    </row>
    <row r="3863" spans="1:7">
      <c r="A3863" t="s">
        <v>144</v>
      </c>
      <c r="B3863">
        <v>60</v>
      </c>
      <c r="C3863">
        <v>44</v>
      </c>
      <c r="D3863">
        <v>0.83477299999999999</v>
      </c>
      <c r="E3863">
        <v>4.5747000000000003E-2</v>
      </c>
      <c r="F3863">
        <v>0.74123399999999995</v>
      </c>
      <c r="G3863">
        <v>0.160661</v>
      </c>
    </row>
    <row r="3864" spans="1:7">
      <c r="A3864" t="s">
        <v>144</v>
      </c>
      <c r="B3864">
        <v>60</v>
      </c>
      <c r="C3864">
        <v>45</v>
      </c>
      <c r="D3864">
        <v>0.83477299999999999</v>
      </c>
      <c r="E3864">
        <v>-0.68782600000000005</v>
      </c>
      <c r="F3864">
        <v>0.58299500000000004</v>
      </c>
      <c r="G3864">
        <v>-0.477852</v>
      </c>
    </row>
    <row r="3865" spans="1:7">
      <c r="A3865" t="s">
        <v>144</v>
      </c>
      <c r="B3865">
        <v>60</v>
      </c>
      <c r="C3865">
        <v>46</v>
      </c>
      <c r="D3865">
        <v>0.83477299999999999</v>
      </c>
      <c r="E3865">
        <v>0.49864199999999997</v>
      </c>
      <c r="F3865">
        <v>0.60792900000000005</v>
      </c>
      <c r="G3865">
        <v>0.51669900000000002</v>
      </c>
    </row>
    <row r="3866" spans="1:7">
      <c r="A3866" t="s">
        <v>144</v>
      </c>
      <c r="B3866">
        <v>60</v>
      </c>
      <c r="C3866">
        <v>47</v>
      </c>
      <c r="D3866">
        <v>0.83477299999999999</v>
      </c>
      <c r="E3866">
        <v>0.27842</v>
      </c>
      <c r="F3866">
        <v>-0.68874199999999997</v>
      </c>
      <c r="G3866">
        <v>0.118619</v>
      </c>
    </row>
    <row r="3867" spans="1:7">
      <c r="A3867" t="s">
        <v>144</v>
      </c>
      <c r="B3867">
        <v>60</v>
      </c>
      <c r="C3867">
        <v>48</v>
      </c>
      <c r="D3867">
        <v>0.83477299999999999</v>
      </c>
      <c r="E3867">
        <v>-0.36036299999999999</v>
      </c>
      <c r="F3867">
        <v>0.47154099999999999</v>
      </c>
      <c r="G3867">
        <v>-0.222909</v>
      </c>
    </row>
    <row r="3868" spans="1:7">
      <c r="A3868" t="s">
        <v>144</v>
      </c>
      <c r="B3868">
        <v>60</v>
      </c>
      <c r="C3868">
        <v>49</v>
      </c>
      <c r="D3868">
        <v>0.83477299999999999</v>
      </c>
      <c r="E3868">
        <v>0.17630499999999999</v>
      </c>
      <c r="F3868">
        <v>-0.146397</v>
      </c>
      <c r="G3868">
        <v>0.122986</v>
      </c>
    </row>
    <row r="3869" spans="1:7">
      <c r="A3869" t="s">
        <v>144</v>
      </c>
      <c r="B3869" t="s">
        <v>145</v>
      </c>
      <c r="C3869">
        <v>61</v>
      </c>
    </row>
    <row r="3870" spans="1:7">
      <c r="A3870" t="s">
        <v>144</v>
      </c>
      <c r="B3870" t="s">
        <v>146</v>
      </c>
      <c r="C3870">
        <v>41</v>
      </c>
    </row>
    <row r="3871" spans="1:7">
      <c r="A3871" t="s">
        <v>144</v>
      </c>
      <c r="B3871" t="s">
        <v>147</v>
      </c>
      <c r="C3871">
        <v>41</v>
      </c>
    </row>
    <row r="3872" spans="1:7">
      <c r="A3872" t="s">
        <v>144</v>
      </c>
      <c r="B3872" t="s">
        <v>148</v>
      </c>
      <c r="C3872">
        <v>0.75075499999999995</v>
      </c>
    </row>
    <row r="3873" spans="1:7">
      <c r="A3873" t="s">
        <v>144</v>
      </c>
      <c r="B3873" t="s">
        <v>149</v>
      </c>
      <c r="C3873">
        <v>0.75075499999999995</v>
      </c>
    </row>
    <row r="3874" spans="1:7">
      <c r="A3874" t="s">
        <v>144</v>
      </c>
      <c r="B3874" t="s">
        <v>150</v>
      </c>
      <c r="C3874">
        <v>-1</v>
      </c>
    </row>
    <row r="3875" spans="1:7">
      <c r="A3875" t="s">
        <v>144</v>
      </c>
      <c r="B3875" t="s">
        <v>151</v>
      </c>
      <c r="C3875">
        <v>-1</v>
      </c>
    </row>
    <row r="3876" spans="1:7">
      <c r="A3876" t="s">
        <v>144</v>
      </c>
      <c r="B3876" t="s">
        <v>152</v>
      </c>
      <c r="C3876">
        <v>39</v>
      </c>
    </row>
    <row r="3877" spans="1:7">
      <c r="A3877" t="s">
        <v>144</v>
      </c>
      <c r="B3877" t="s">
        <v>153</v>
      </c>
      <c r="C3877">
        <v>39</v>
      </c>
    </row>
    <row r="3878" spans="1:7">
      <c r="A3878" t="s">
        <v>144</v>
      </c>
      <c r="B3878" t="s">
        <v>154</v>
      </c>
      <c r="C3878">
        <v>0</v>
      </c>
    </row>
    <row r="3879" spans="1:7">
      <c r="A3879" t="s">
        <v>144</v>
      </c>
      <c r="B3879" t="s">
        <v>161</v>
      </c>
    </row>
    <row r="3880" spans="1:7">
      <c r="A3880" t="s">
        <v>144</v>
      </c>
      <c r="B3880">
        <v>61</v>
      </c>
      <c r="C3880">
        <v>0</v>
      </c>
      <c r="D3880">
        <v>-1</v>
      </c>
      <c r="E3880">
        <v>0.42713699999999999</v>
      </c>
      <c r="F3880">
        <v>-1</v>
      </c>
      <c r="G3880">
        <v>0.42713699999999999</v>
      </c>
    </row>
    <row r="3881" spans="1:7">
      <c r="A3881" t="s">
        <v>144</v>
      </c>
      <c r="B3881">
        <v>61</v>
      </c>
      <c r="C3881">
        <v>1</v>
      </c>
      <c r="D3881">
        <v>-1</v>
      </c>
      <c r="E3881">
        <v>0.72936199999999995</v>
      </c>
      <c r="F3881">
        <v>-1</v>
      </c>
      <c r="G3881">
        <v>0.72936199999999995</v>
      </c>
    </row>
    <row r="3882" spans="1:7">
      <c r="A3882" t="s">
        <v>144</v>
      </c>
      <c r="B3882">
        <v>61</v>
      </c>
      <c r="C3882">
        <v>2</v>
      </c>
      <c r="D3882">
        <v>-1</v>
      </c>
      <c r="E3882">
        <v>-0.838862</v>
      </c>
      <c r="F3882">
        <v>-1</v>
      </c>
      <c r="G3882">
        <v>-0.838862</v>
      </c>
    </row>
    <row r="3883" spans="1:7">
      <c r="A3883" t="s">
        <v>144</v>
      </c>
      <c r="B3883">
        <v>61</v>
      </c>
      <c r="C3883">
        <v>3</v>
      </c>
      <c r="D3883">
        <v>-1</v>
      </c>
      <c r="E3883">
        <v>-0.39564199999999999</v>
      </c>
      <c r="F3883">
        <v>-1</v>
      </c>
      <c r="G3883">
        <v>-0.39564199999999999</v>
      </c>
    </row>
    <row r="3884" spans="1:7">
      <c r="A3884" t="s">
        <v>144</v>
      </c>
      <c r="B3884">
        <v>61</v>
      </c>
      <c r="C3884">
        <v>4</v>
      </c>
      <c r="D3884">
        <v>-1</v>
      </c>
      <c r="E3884">
        <v>0.14709900000000001</v>
      </c>
      <c r="F3884">
        <v>-1</v>
      </c>
      <c r="G3884">
        <v>0.14709900000000001</v>
      </c>
    </row>
    <row r="3885" spans="1:7">
      <c r="A3885" t="s">
        <v>144</v>
      </c>
      <c r="B3885">
        <v>61</v>
      </c>
      <c r="C3885">
        <v>5</v>
      </c>
      <c r="D3885">
        <v>-1</v>
      </c>
      <c r="E3885">
        <v>-0.95202500000000001</v>
      </c>
      <c r="F3885">
        <v>-1</v>
      </c>
      <c r="G3885">
        <v>-0.95202500000000001</v>
      </c>
    </row>
    <row r="3886" spans="1:7">
      <c r="A3886" t="s">
        <v>144</v>
      </c>
      <c r="B3886">
        <v>61</v>
      </c>
      <c r="C3886">
        <v>6</v>
      </c>
      <c r="D3886">
        <v>-1</v>
      </c>
      <c r="E3886">
        <v>0.98110900000000001</v>
      </c>
      <c r="F3886">
        <v>-1</v>
      </c>
      <c r="G3886">
        <v>0.98110900000000001</v>
      </c>
    </row>
    <row r="3887" spans="1:7">
      <c r="A3887" t="s">
        <v>144</v>
      </c>
      <c r="B3887">
        <v>61</v>
      </c>
      <c r="C3887">
        <v>7</v>
      </c>
      <c r="D3887">
        <v>-1</v>
      </c>
      <c r="E3887">
        <v>0.99932900000000002</v>
      </c>
      <c r="F3887">
        <v>-1</v>
      </c>
      <c r="G3887">
        <v>0.99932900000000002</v>
      </c>
    </row>
    <row r="3888" spans="1:7">
      <c r="A3888" t="s">
        <v>144</v>
      </c>
      <c r="B3888">
        <v>61</v>
      </c>
      <c r="C3888">
        <v>8</v>
      </c>
      <c r="D3888">
        <v>-1</v>
      </c>
      <c r="E3888">
        <v>-0.19470799999999999</v>
      </c>
      <c r="F3888">
        <v>-1</v>
      </c>
      <c r="G3888">
        <v>-0.19470799999999999</v>
      </c>
    </row>
    <row r="3889" spans="1:7">
      <c r="A3889" t="s">
        <v>144</v>
      </c>
      <c r="B3889">
        <v>61</v>
      </c>
      <c r="C3889">
        <v>9</v>
      </c>
      <c r="D3889">
        <v>-1</v>
      </c>
      <c r="E3889">
        <v>0.23972299999999999</v>
      </c>
      <c r="F3889">
        <v>-1</v>
      </c>
      <c r="G3889">
        <v>0.23972299999999999</v>
      </c>
    </row>
    <row r="3890" spans="1:7">
      <c r="A3890" t="s">
        <v>144</v>
      </c>
      <c r="B3890">
        <v>61</v>
      </c>
      <c r="C3890">
        <v>10</v>
      </c>
      <c r="D3890">
        <v>-1</v>
      </c>
      <c r="E3890">
        <v>-0.25702700000000001</v>
      </c>
      <c r="F3890">
        <v>-1</v>
      </c>
      <c r="G3890">
        <v>-0.25702700000000001</v>
      </c>
    </row>
    <row r="3891" spans="1:7">
      <c r="A3891" t="s">
        <v>144</v>
      </c>
      <c r="B3891">
        <v>61</v>
      </c>
      <c r="C3891">
        <v>11</v>
      </c>
      <c r="D3891">
        <v>-1</v>
      </c>
      <c r="E3891">
        <v>0.23908199999999999</v>
      </c>
      <c r="F3891">
        <v>-1</v>
      </c>
      <c r="G3891">
        <v>0.23908199999999999</v>
      </c>
    </row>
    <row r="3892" spans="1:7">
      <c r="A3892" t="s">
        <v>144</v>
      </c>
      <c r="B3892">
        <v>61</v>
      </c>
      <c r="C3892">
        <v>12</v>
      </c>
      <c r="D3892">
        <v>-1</v>
      </c>
      <c r="E3892">
        <v>-0.36304799999999998</v>
      </c>
      <c r="F3892">
        <v>-1</v>
      </c>
      <c r="G3892">
        <v>-0.36304799999999998</v>
      </c>
    </row>
    <row r="3893" spans="1:7">
      <c r="A3893" t="s">
        <v>144</v>
      </c>
      <c r="B3893">
        <v>61</v>
      </c>
      <c r="C3893">
        <v>13</v>
      </c>
      <c r="D3893">
        <v>-1</v>
      </c>
      <c r="E3893">
        <v>-0.67555799999999999</v>
      </c>
      <c r="F3893">
        <v>-1</v>
      </c>
      <c r="G3893">
        <v>-0.67555799999999999</v>
      </c>
    </row>
    <row r="3894" spans="1:7">
      <c r="A3894" t="s">
        <v>144</v>
      </c>
      <c r="B3894">
        <v>61</v>
      </c>
      <c r="C3894">
        <v>14</v>
      </c>
      <c r="D3894">
        <v>-1</v>
      </c>
      <c r="E3894">
        <v>0.92171999999999998</v>
      </c>
      <c r="F3894">
        <v>-1</v>
      </c>
      <c r="G3894">
        <v>0.92171999999999998</v>
      </c>
    </row>
    <row r="3895" spans="1:7">
      <c r="A3895" t="s">
        <v>144</v>
      </c>
      <c r="B3895">
        <v>61</v>
      </c>
      <c r="C3895">
        <v>15</v>
      </c>
      <c r="D3895">
        <v>-1</v>
      </c>
      <c r="E3895">
        <v>0.98080400000000001</v>
      </c>
      <c r="F3895">
        <v>-1</v>
      </c>
      <c r="G3895">
        <v>0.98080400000000001</v>
      </c>
    </row>
    <row r="3896" spans="1:7">
      <c r="A3896" t="s">
        <v>144</v>
      </c>
      <c r="B3896">
        <v>61</v>
      </c>
      <c r="C3896">
        <v>16</v>
      </c>
      <c r="D3896">
        <v>-1</v>
      </c>
      <c r="E3896">
        <v>0.57707399999999998</v>
      </c>
      <c r="F3896">
        <v>-1</v>
      </c>
      <c r="G3896">
        <v>0.57707399999999998</v>
      </c>
    </row>
    <row r="3897" spans="1:7">
      <c r="A3897" t="s">
        <v>144</v>
      </c>
      <c r="B3897">
        <v>61</v>
      </c>
      <c r="C3897">
        <v>17</v>
      </c>
      <c r="D3897">
        <v>-1</v>
      </c>
      <c r="E3897">
        <v>0.78011399999999997</v>
      </c>
      <c r="F3897">
        <v>-1</v>
      </c>
      <c r="G3897">
        <v>0.78011399999999997</v>
      </c>
    </row>
    <row r="3898" spans="1:7">
      <c r="A3898" t="s">
        <v>144</v>
      </c>
      <c r="B3898">
        <v>61</v>
      </c>
      <c r="C3898">
        <v>18</v>
      </c>
      <c r="D3898">
        <v>-1</v>
      </c>
      <c r="E3898">
        <v>-0.41880600000000001</v>
      </c>
      <c r="F3898">
        <v>-1</v>
      </c>
      <c r="G3898">
        <v>-0.41880600000000001</v>
      </c>
    </row>
    <row r="3899" spans="1:7">
      <c r="A3899" t="s">
        <v>144</v>
      </c>
      <c r="B3899">
        <v>61</v>
      </c>
      <c r="C3899">
        <v>19</v>
      </c>
      <c r="D3899">
        <v>-1</v>
      </c>
      <c r="E3899">
        <v>-3.7538000000000002E-2</v>
      </c>
      <c r="F3899">
        <v>-1</v>
      </c>
      <c r="G3899">
        <v>-3.7538000000000002E-2</v>
      </c>
    </row>
    <row r="3900" spans="1:7">
      <c r="A3900" t="s">
        <v>144</v>
      </c>
      <c r="B3900">
        <v>61</v>
      </c>
      <c r="C3900">
        <v>20</v>
      </c>
      <c r="D3900">
        <v>-1</v>
      </c>
      <c r="E3900">
        <v>0.538408</v>
      </c>
      <c r="F3900">
        <v>-1</v>
      </c>
      <c r="G3900">
        <v>0.538408</v>
      </c>
    </row>
    <row r="3901" spans="1:7">
      <c r="A3901" t="s">
        <v>144</v>
      </c>
      <c r="B3901">
        <v>61</v>
      </c>
      <c r="C3901">
        <v>21</v>
      </c>
      <c r="D3901">
        <v>-1</v>
      </c>
      <c r="E3901">
        <v>0.31244899999999998</v>
      </c>
      <c r="F3901">
        <v>-1</v>
      </c>
      <c r="G3901">
        <v>0.31244899999999998</v>
      </c>
    </row>
    <row r="3902" spans="1:7">
      <c r="A3902" t="s">
        <v>144</v>
      </c>
      <c r="B3902">
        <v>61</v>
      </c>
      <c r="C3902">
        <v>22</v>
      </c>
      <c r="D3902">
        <v>-1</v>
      </c>
      <c r="E3902">
        <v>0.58757300000000001</v>
      </c>
      <c r="F3902">
        <v>-1</v>
      </c>
      <c r="G3902">
        <v>0.58757300000000001</v>
      </c>
    </row>
    <row r="3903" spans="1:7">
      <c r="A3903" t="s">
        <v>144</v>
      </c>
      <c r="B3903">
        <v>61</v>
      </c>
      <c r="C3903">
        <v>23</v>
      </c>
      <c r="D3903">
        <v>-1</v>
      </c>
      <c r="E3903">
        <v>-3.3295999999999999E-2</v>
      </c>
      <c r="F3903">
        <v>-1</v>
      </c>
      <c r="G3903">
        <v>-3.3295999999999999E-2</v>
      </c>
    </row>
    <row r="3904" spans="1:7">
      <c r="A3904" t="s">
        <v>144</v>
      </c>
      <c r="B3904">
        <v>61</v>
      </c>
      <c r="C3904">
        <v>24</v>
      </c>
      <c r="D3904">
        <v>-1</v>
      </c>
      <c r="E3904">
        <v>0.49452200000000002</v>
      </c>
      <c r="F3904">
        <v>-1</v>
      </c>
      <c r="G3904">
        <v>0.49452200000000002</v>
      </c>
    </row>
    <row r="3905" spans="1:7">
      <c r="A3905" t="s">
        <v>144</v>
      </c>
      <c r="B3905">
        <v>61</v>
      </c>
      <c r="C3905">
        <v>25</v>
      </c>
      <c r="D3905">
        <v>-1</v>
      </c>
      <c r="E3905">
        <v>-0.19580700000000001</v>
      </c>
      <c r="F3905">
        <v>-1</v>
      </c>
      <c r="G3905">
        <v>-0.19580700000000001</v>
      </c>
    </row>
    <row r="3906" spans="1:7">
      <c r="A3906" t="s">
        <v>144</v>
      </c>
      <c r="B3906">
        <v>61</v>
      </c>
      <c r="C3906">
        <v>26</v>
      </c>
      <c r="D3906">
        <v>-1</v>
      </c>
      <c r="E3906">
        <v>0.99499499999999996</v>
      </c>
      <c r="F3906">
        <v>-1</v>
      </c>
      <c r="G3906">
        <v>0.99499499999999996</v>
      </c>
    </row>
    <row r="3907" spans="1:7">
      <c r="A3907" t="s">
        <v>144</v>
      </c>
      <c r="B3907">
        <v>61</v>
      </c>
      <c r="C3907">
        <v>27</v>
      </c>
      <c r="D3907">
        <v>-1</v>
      </c>
      <c r="E3907">
        <v>0.39082</v>
      </c>
      <c r="F3907">
        <v>-1</v>
      </c>
      <c r="G3907">
        <v>0.39082</v>
      </c>
    </row>
    <row r="3908" spans="1:7">
      <c r="A3908" t="s">
        <v>144</v>
      </c>
      <c r="B3908">
        <v>61</v>
      </c>
      <c r="C3908">
        <v>28</v>
      </c>
      <c r="D3908">
        <v>-1</v>
      </c>
      <c r="E3908">
        <v>-0.13358</v>
      </c>
      <c r="F3908">
        <v>-1</v>
      </c>
      <c r="G3908">
        <v>-0.13358</v>
      </c>
    </row>
    <row r="3909" spans="1:7">
      <c r="A3909" t="s">
        <v>144</v>
      </c>
      <c r="B3909">
        <v>61</v>
      </c>
      <c r="C3909">
        <v>29</v>
      </c>
      <c r="D3909">
        <v>-1</v>
      </c>
      <c r="E3909">
        <v>0.568438</v>
      </c>
      <c r="F3909">
        <v>-1</v>
      </c>
      <c r="G3909">
        <v>0.568438</v>
      </c>
    </row>
    <row r="3910" spans="1:7">
      <c r="A3910" t="s">
        <v>144</v>
      </c>
      <c r="B3910">
        <v>61</v>
      </c>
      <c r="C3910">
        <v>30</v>
      </c>
      <c r="D3910">
        <v>-1</v>
      </c>
      <c r="E3910">
        <v>-0.392621</v>
      </c>
      <c r="F3910">
        <v>-1</v>
      </c>
      <c r="G3910">
        <v>-0.392621</v>
      </c>
    </row>
    <row r="3911" spans="1:7">
      <c r="A3911" t="s">
        <v>144</v>
      </c>
      <c r="B3911">
        <v>61</v>
      </c>
      <c r="C3911">
        <v>31</v>
      </c>
      <c r="D3911">
        <v>-1</v>
      </c>
      <c r="E3911">
        <v>0.44514300000000001</v>
      </c>
      <c r="F3911">
        <v>-1</v>
      </c>
      <c r="G3911">
        <v>0.44514300000000001</v>
      </c>
    </row>
    <row r="3912" spans="1:7">
      <c r="A3912" t="s">
        <v>144</v>
      </c>
      <c r="B3912">
        <v>61</v>
      </c>
      <c r="C3912">
        <v>32</v>
      </c>
      <c r="D3912">
        <v>-1</v>
      </c>
      <c r="E3912">
        <v>-0.60371699999999995</v>
      </c>
      <c r="F3912">
        <v>-1</v>
      </c>
      <c r="G3912">
        <v>-0.60371699999999995</v>
      </c>
    </row>
    <row r="3913" spans="1:7">
      <c r="A3913" t="s">
        <v>144</v>
      </c>
      <c r="B3913">
        <v>61</v>
      </c>
      <c r="C3913">
        <v>33</v>
      </c>
      <c r="D3913">
        <v>-1</v>
      </c>
      <c r="E3913">
        <v>-0.95925800000000006</v>
      </c>
      <c r="F3913">
        <v>-1</v>
      </c>
      <c r="G3913">
        <v>-0.95925800000000006</v>
      </c>
    </row>
    <row r="3914" spans="1:7">
      <c r="A3914" t="s">
        <v>144</v>
      </c>
      <c r="B3914">
        <v>61</v>
      </c>
      <c r="C3914">
        <v>34</v>
      </c>
      <c r="D3914">
        <v>-1</v>
      </c>
      <c r="E3914">
        <v>0.298929</v>
      </c>
      <c r="F3914">
        <v>-1</v>
      </c>
      <c r="G3914">
        <v>0.298929</v>
      </c>
    </row>
    <row r="3915" spans="1:7">
      <c r="A3915" t="s">
        <v>144</v>
      </c>
      <c r="B3915">
        <v>61</v>
      </c>
      <c r="C3915">
        <v>35</v>
      </c>
      <c r="D3915">
        <v>-1</v>
      </c>
      <c r="E3915">
        <v>-0.68181400000000003</v>
      </c>
      <c r="F3915">
        <v>-1</v>
      </c>
      <c r="G3915">
        <v>-0.68181400000000003</v>
      </c>
    </row>
    <row r="3916" spans="1:7">
      <c r="A3916" t="s">
        <v>144</v>
      </c>
      <c r="B3916">
        <v>61</v>
      </c>
      <c r="C3916">
        <v>36</v>
      </c>
      <c r="D3916">
        <v>-1</v>
      </c>
      <c r="E3916">
        <v>-0.65773499999999996</v>
      </c>
      <c r="F3916">
        <v>-1</v>
      </c>
      <c r="G3916">
        <v>-0.65773499999999996</v>
      </c>
    </row>
    <row r="3917" spans="1:7">
      <c r="A3917" t="s">
        <v>144</v>
      </c>
      <c r="B3917">
        <v>61</v>
      </c>
      <c r="C3917">
        <v>37</v>
      </c>
      <c r="D3917">
        <v>-1</v>
      </c>
      <c r="E3917">
        <v>-0.58870199999999995</v>
      </c>
      <c r="F3917">
        <v>-1</v>
      </c>
      <c r="G3917">
        <v>-0.58870199999999995</v>
      </c>
    </row>
    <row r="3918" spans="1:7">
      <c r="A3918" t="s">
        <v>144</v>
      </c>
      <c r="B3918">
        <v>61</v>
      </c>
      <c r="C3918">
        <v>38</v>
      </c>
      <c r="D3918">
        <v>-1</v>
      </c>
      <c r="E3918">
        <v>-0.70595399999999997</v>
      </c>
      <c r="F3918">
        <v>-1</v>
      </c>
      <c r="G3918">
        <v>-0.70595399999999997</v>
      </c>
    </row>
    <row r="3919" spans="1:7">
      <c r="A3919" t="s">
        <v>144</v>
      </c>
      <c r="B3919">
        <v>61</v>
      </c>
      <c r="C3919">
        <v>39</v>
      </c>
      <c r="D3919">
        <v>-1</v>
      </c>
      <c r="E3919">
        <v>0.100192</v>
      </c>
      <c r="F3919">
        <v>-1</v>
      </c>
      <c r="G3919">
        <v>0.100192</v>
      </c>
    </row>
    <row r="3920" spans="1:7">
      <c r="A3920" t="s">
        <v>144</v>
      </c>
      <c r="B3920">
        <v>61</v>
      </c>
      <c r="C3920">
        <v>40</v>
      </c>
      <c r="D3920">
        <v>-1</v>
      </c>
      <c r="E3920">
        <v>-0.92260500000000001</v>
      </c>
      <c r="F3920">
        <v>-1</v>
      </c>
      <c r="G3920">
        <v>-0.92260500000000001</v>
      </c>
    </row>
    <row r="3921" spans="1:7">
      <c r="A3921" t="s">
        <v>144</v>
      </c>
      <c r="B3921">
        <v>61</v>
      </c>
      <c r="C3921">
        <v>41</v>
      </c>
      <c r="D3921">
        <v>-1</v>
      </c>
      <c r="E3921">
        <v>-0.79461000000000004</v>
      </c>
      <c r="F3921">
        <v>-1</v>
      </c>
      <c r="G3921">
        <v>-0.79461000000000004</v>
      </c>
    </row>
    <row r="3922" spans="1:7">
      <c r="A3922" t="s">
        <v>144</v>
      </c>
      <c r="B3922">
        <v>61</v>
      </c>
      <c r="C3922">
        <v>42</v>
      </c>
      <c r="D3922">
        <v>-1</v>
      </c>
      <c r="E3922">
        <v>0.91161800000000004</v>
      </c>
      <c r="F3922">
        <v>-1</v>
      </c>
      <c r="G3922">
        <v>0.91161800000000004</v>
      </c>
    </row>
    <row r="3923" spans="1:7">
      <c r="A3923" t="s">
        <v>144</v>
      </c>
      <c r="B3923">
        <v>61</v>
      </c>
      <c r="C3923">
        <v>43</v>
      </c>
      <c r="D3923">
        <v>-1</v>
      </c>
      <c r="E3923">
        <v>0.70174300000000001</v>
      </c>
      <c r="F3923">
        <v>-1</v>
      </c>
      <c r="G3923">
        <v>0.70174300000000001</v>
      </c>
    </row>
    <row r="3924" spans="1:7">
      <c r="A3924" t="s">
        <v>144</v>
      </c>
      <c r="B3924">
        <v>61</v>
      </c>
      <c r="C3924">
        <v>44</v>
      </c>
      <c r="D3924">
        <v>-1</v>
      </c>
      <c r="E3924">
        <v>0.29392400000000002</v>
      </c>
      <c r="F3924">
        <v>-1</v>
      </c>
      <c r="G3924">
        <v>0.29392400000000002</v>
      </c>
    </row>
    <row r="3925" spans="1:7">
      <c r="A3925" t="s">
        <v>144</v>
      </c>
      <c r="B3925">
        <v>61</v>
      </c>
      <c r="C3925">
        <v>45</v>
      </c>
      <c r="D3925">
        <v>-1</v>
      </c>
      <c r="E3925">
        <v>-0.58284199999999997</v>
      </c>
      <c r="F3925">
        <v>-1</v>
      </c>
      <c r="G3925">
        <v>-0.58284199999999997</v>
      </c>
    </row>
    <row r="3926" spans="1:7">
      <c r="A3926" t="s">
        <v>144</v>
      </c>
      <c r="B3926">
        <v>61</v>
      </c>
      <c r="C3926">
        <v>46</v>
      </c>
      <c r="D3926">
        <v>-1</v>
      </c>
      <c r="E3926">
        <v>0.47663800000000001</v>
      </c>
      <c r="F3926">
        <v>-1</v>
      </c>
      <c r="G3926">
        <v>0.47663800000000001</v>
      </c>
    </row>
    <row r="3927" spans="1:7">
      <c r="A3927" t="s">
        <v>144</v>
      </c>
      <c r="B3927">
        <v>61</v>
      </c>
      <c r="C3927">
        <v>47</v>
      </c>
      <c r="D3927">
        <v>-1</v>
      </c>
      <c r="E3927">
        <v>-0.10315299999999999</v>
      </c>
      <c r="F3927">
        <v>-1</v>
      </c>
      <c r="G3927">
        <v>-0.10315299999999999</v>
      </c>
    </row>
    <row r="3928" spans="1:7">
      <c r="A3928" t="s">
        <v>144</v>
      </c>
      <c r="B3928">
        <v>61</v>
      </c>
      <c r="C3928">
        <v>48</v>
      </c>
      <c r="D3928">
        <v>-1</v>
      </c>
      <c r="E3928">
        <v>0.45551900000000001</v>
      </c>
      <c r="F3928">
        <v>-1</v>
      </c>
      <c r="G3928">
        <v>0.45551900000000001</v>
      </c>
    </row>
    <row r="3929" spans="1:7">
      <c r="A3929" t="s">
        <v>144</v>
      </c>
      <c r="B3929">
        <v>61</v>
      </c>
      <c r="C3929">
        <v>49</v>
      </c>
      <c r="D3929">
        <v>-1</v>
      </c>
      <c r="E3929">
        <v>0.30317100000000002</v>
      </c>
      <c r="F3929">
        <v>-1</v>
      </c>
      <c r="G3929">
        <v>0.30317100000000002</v>
      </c>
    </row>
    <row r="3930" spans="1:7">
      <c r="A3930" t="s">
        <v>144</v>
      </c>
      <c r="B3930" t="s">
        <v>145</v>
      </c>
      <c r="C3930">
        <v>62</v>
      </c>
    </row>
    <row r="3931" spans="1:7">
      <c r="A3931" t="s">
        <v>144</v>
      </c>
      <c r="B3931" t="s">
        <v>146</v>
      </c>
      <c r="C3931">
        <v>10</v>
      </c>
    </row>
    <row r="3932" spans="1:7">
      <c r="A3932" t="s">
        <v>144</v>
      </c>
      <c r="B3932" t="s">
        <v>147</v>
      </c>
      <c r="C3932">
        <v>10</v>
      </c>
    </row>
    <row r="3933" spans="1:7">
      <c r="A3933" t="s">
        <v>144</v>
      </c>
      <c r="B3933" t="s">
        <v>148</v>
      </c>
      <c r="C3933">
        <v>0.43568200000000001</v>
      </c>
    </row>
    <row r="3934" spans="1:7">
      <c r="A3934" t="s">
        <v>144</v>
      </c>
      <c r="B3934" t="s">
        <v>149</v>
      </c>
      <c r="C3934">
        <v>0.43568200000000001</v>
      </c>
    </row>
    <row r="3935" spans="1:7">
      <c r="A3935" t="s">
        <v>144</v>
      </c>
      <c r="B3935" t="s">
        <v>150</v>
      </c>
      <c r="C3935">
        <v>-1</v>
      </c>
    </row>
    <row r="3936" spans="1:7">
      <c r="A3936" t="s">
        <v>144</v>
      </c>
      <c r="B3936" t="s">
        <v>151</v>
      </c>
      <c r="C3936">
        <v>-1</v>
      </c>
    </row>
    <row r="3937" spans="1:7">
      <c r="A3937" t="s">
        <v>144</v>
      </c>
      <c r="B3937" t="s">
        <v>152</v>
      </c>
      <c r="C3937">
        <v>22</v>
      </c>
    </row>
    <row r="3938" spans="1:7">
      <c r="A3938" t="s">
        <v>144</v>
      </c>
      <c r="B3938" t="s">
        <v>153</v>
      </c>
      <c r="C3938">
        <v>22</v>
      </c>
    </row>
    <row r="3939" spans="1:7">
      <c r="A3939" t="s">
        <v>144</v>
      </c>
      <c r="B3939" t="s">
        <v>154</v>
      </c>
      <c r="C3939">
        <v>0</v>
      </c>
    </row>
    <row r="3940" spans="1:7">
      <c r="A3940" t="s">
        <v>144</v>
      </c>
      <c r="B3940" t="s">
        <v>155</v>
      </c>
    </row>
    <row r="3941" spans="1:7">
      <c r="A3941" t="s">
        <v>144</v>
      </c>
      <c r="B3941" t="s">
        <v>150</v>
      </c>
      <c r="C3941">
        <v>0.73744900000000002</v>
      </c>
    </row>
    <row r="3942" spans="1:7">
      <c r="A3942" t="s">
        <v>144</v>
      </c>
      <c r="B3942" t="s">
        <v>151</v>
      </c>
      <c r="C3942">
        <v>0.73744900000000002</v>
      </c>
    </row>
    <row r="3943" spans="1:7">
      <c r="A3943" t="s">
        <v>144</v>
      </c>
      <c r="B3943" t="s">
        <v>156</v>
      </c>
      <c r="C3943" t="s">
        <v>157</v>
      </c>
      <c r="D3943" t="s">
        <v>63</v>
      </c>
      <c r="E3943" t="s">
        <v>158</v>
      </c>
      <c r="F3943" t="s">
        <v>159</v>
      </c>
      <c r="G3943" t="s">
        <v>160</v>
      </c>
    </row>
    <row r="3944" spans="1:7">
      <c r="A3944" t="s">
        <v>144</v>
      </c>
      <c r="B3944">
        <v>62</v>
      </c>
      <c r="C3944">
        <v>0</v>
      </c>
      <c r="D3944">
        <v>0.73744900000000002</v>
      </c>
      <c r="E3944">
        <v>0.62172300000000003</v>
      </c>
      <c r="F3944">
        <v>-1</v>
      </c>
      <c r="G3944">
        <v>0.62172300000000003</v>
      </c>
    </row>
    <row r="3945" spans="1:7">
      <c r="A3945" t="s">
        <v>144</v>
      </c>
      <c r="B3945">
        <v>62</v>
      </c>
      <c r="C3945">
        <v>1</v>
      </c>
      <c r="D3945">
        <v>0.73744900000000002</v>
      </c>
      <c r="E3945">
        <v>-0.54197799999999996</v>
      </c>
      <c r="F3945">
        <v>-1</v>
      </c>
      <c r="G3945">
        <v>-0.54197799999999996</v>
      </c>
    </row>
    <row r="3946" spans="1:7">
      <c r="A3946" t="s">
        <v>144</v>
      </c>
      <c r="B3946">
        <v>62</v>
      </c>
      <c r="C3946">
        <v>2</v>
      </c>
      <c r="D3946">
        <v>0.73744900000000002</v>
      </c>
      <c r="E3946">
        <v>-0.77584200000000003</v>
      </c>
      <c r="F3946">
        <v>-1</v>
      </c>
      <c r="G3946">
        <v>-0.77584200000000003</v>
      </c>
    </row>
    <row r="3947" spans="1:7">
      <c r="A3947" t="s">
        <v>144</v>
      </c>
      <c r="B3947">
        <v>62</v>
      </c>
      <c r="C3947">
        <v>3</v>
      </c>
      <c r="D3947">
        <v>0.73744900000000002</v>
      </c>
      <c r="E3947">
        <v>-7.1656999999999998E-2</v>
      </c>
      <c r="F3947">
        <v>-1</v>
      </c>
      <c r="G3947">
        <v>-7.1656999999999998E-2</v>
      </c>
    </row>
    <row r="3948" spans="1:7">
      <c r="A3948" t="s">
        <v>144</v>
      </c>
      <c r="B3948">
        <v>62</v>
      </c>
      <c r="C3948">
        <v>4</v>
      </c>
      <c r="D3948">
        <v>0.73744900000000002</v>
      </c>
      <c r="E3948">
        <v>-0.11508500000000001</v>
      </c>
      <c r="F3948">
        <v>-1</v>
      </c>
      <c r="G3948">
        <v>-0.11508500000000001</v>
      </c>
    </row>
    <row r="3949" spans="1:7">
      <c r="A3949" t="s">
        <v>144</v>
      </c>
      <c r="B3949">
        <v>62</v>
      </c>
      <c r="C3949">
        <v>5</v>
      </c>
      <c r="D3949">
        <v>0.73744900000000002</v>
      </c>
      <c r="E3949">
        <v>-0.87475199999999997</v>
      </c>
      <c r="F3949">
        <v>-1</v>
      </c>
      <c r="G3949">
        <v>-0.87475199999999997</v>
      </c>
    </row>
    <row r="3950" spans="1:7">
      <c r="A3950" t="s">
        <v>144</v>
      </c>
      <c r="B3950">
        <v>62</v>
      </c>
      <c r="C3950">
        <v>6</v>
      </c>
      <c r="D3950">
        <v>0.73744900000000002</v>
      </c>
      <c r="E3950">
        <v>0.50468500000000005</v>
      </c>
      <c r="F3950">
        <v>-1</v>
      </c>
      <c r="G3950">
        <v>0.50468500000000005</v>
      </c>
    </row>
    <row r="3951" spans="1:7">
      <c r="A3951" t="s">
        <v>144</v>
      </c>
      <c r="B3951">
        <v>62</v>
      </c>
      <c r="C3951">
        <v>7</v>
      </c>
      <c r="D3951">
        <v>0.73744900000000002</v>
      </c>
      <c r="E3951">
        <v>-0.56715599999999999</v>
      </c>
      <c r="F3951">
        <v>-1</v>
      </c>
      <c r="G3951">
        <v>-0.56715599999999999</v>
      </c>
    </row>
    <row r="3952" spans="1:7">
      <c r="A3952" t="s">
        <v>144</v>
      </c>
      <c r="B3952">
        <v>62</v>
      </c>
      <c r="C3952">
        <v>8</v>
      </c>
      <c r="D3952">
        <v>0.73744900000000002</v>
      </c>
      <c r="E3952">
        <v>0.95077400000000001</v>
      </c>
      <c r="F3952">
        <v>-1</v>
      </c>
      <c r="G3952">
        <v>0.95077400000000001</v>
      </c>
    </row>
    <row r="3953" spans="1:7">
      <c r="A3953" t="s">
        <v>144</v>
      </c>
      <c r="B3953">
        <v>62</v>
      </c>
      <c r="C3953">
        <v>9</v>
      </c>
      <c r="D3953">
        <v>0.73744900000000002</v>
      </c>
      <c r="E3953">
        <v>0.36155300000000001</v>
      </c>
      <c r="F3953">
        <v>-1</v>
      </c>
      <c r="G3953">
        <v>0.36155300000000001</v>
      </c>
    </row>
    <row r="3954" spans="1:7">
      <c r="A3954" t="s">
        <v>144</v>
      </c>
      <c r="B3954">
        <v>62</v>
      </c>
      <c r="C3954">
        <v>10</v>
      </c>
      <c r="D3954">
        <v>0.73744900000000002</v>
      </c>
      <c r="E3954">
        <v>0.78170099999999998</v>
      </c>
      <c r="F3954">
        <v>-1</v>
      </c>
      <c r="G3954">
        <v>0.78170099999999998</v>
      </c>
    </row>
    <row r="3955" spans="1:7">
      <c r="A3955" t="s">
        <v>144</v>
      </c>
      <c r="B3955">
        <v>62</v>
      </c>
      <c r="C3955">
        <v>11</v>
      </c>
      <c r="D3955">
        <v>0.73744900000000002</v>
      </c>
      <c r="E3955">
        <v>-0.94857599999999997</v>
      </c>
      <c r="F3955">
        <v>-1</v>
      </c>
      <c r="G3955">
        <v>-0.94857599999999997</v>
      </c>
    </row>
    <row r="3956" spans="1:7">
      <c r="A3956" t="s">
        <v>144</v>
      </c>
      <c r="B3956">
        <v>62</v>
      </c>
      <c r="C3956">
        <v>12</v>
      </c>
      <c r="D3956">
        <v>0.73744900000000002</v>
      </c>
      <c r="E3956">
        <v>0.83129399999999998</v>
      </c>
      <c r="F3956">
        <v>-1</v>
      </c>
      <c r="G3956">
        <v>0.83129399999999998</v>
      </c>
    </row>
    <row r="3957" spans="1:7">
      <c r="A3957" t="s">
        <v>144</v>
      </c>
      <c r="B3957">
        <v>62</v>
      </c>
      <c r="C3957">
        <v>13</v>
      </c>
      <c r="D3957">
        <v>0.73744900000000002</v>
      </c>
      <c r="E3957">
        <v>0.39585599999999999</v>
      </c>
      <c r="F3957">
        <v>-1</v>
      </c>
      <c r="G3957">
        <v>0.39585599999999999</v>
      </c>
    </row>
    <row r="3958" spans="1:7">
      <c r="A3958" t="s">
        <v>144</v>
      </c>
      <c r="B3958">
        <v>62</v>
      </c>
      <c r="C3958">
        <v>14</v>
      </c>
      <c r="D3958">
        <v>0.73744900000000002</v>
      </c>
      <c r="E3958">
        <v>-0.78020599999999996</v>
      </c>
      <c r="F3958">
        <v>-1</v>
      </c>
      <c r="G3958">
        <v>-0.78020599999999996</v>
      </c>
    </row>
    <row r="3959" spans="1:7">
      <c r="A3959" t="s">
        <v>144</v>
      </c>
      <c r="B3959">
        <v>62</v>
      </c>
      <c r="C3959">
        <v>15</v>
      </c>
      <c r="D3959">
        <v>0.73744900000000002</v>
      </c>
      <c r="E3959">
        <v>0.47114499999999998</v>
      </c>
      <c r="F3959">
        <v>-1</v>
      </c>
      <c r="G3959">
        <v>0.47114499999999998</v>
      </c>
    </row>
    <row r="3960" spans="1:7">
      <c r="A3960" t="s">
        <v>144</v>
      </c>
      <c r="B3960">
        <v>62</v>
      </c>
      <c r="C3960">
        <v>16</v>
      </c>
      <c r="D3960">
        <v>0.73744900000000002</v>
      </c>
      <c r="E3960">
        <v>0.31186900000000001</v>
      </c>
      <c r="F3960">
        <v>-1</v>
      </c>
      <c r="G3960">
        <v>0.31186900000000001</v>
      </c>
    </row>
    <row r="3961" spans="1:7">
      <c r="A3961" t="s">
        <v>144</v>
      </c>
      <c r="B3961">
        <v>62</v>
      </c>
      <c r="C3961">
        <v>17</v>
      </c>
      <c r="D3961">
        <v>0.73744900000000002</v>
      </c>
      <c r="E3961">
        <v>0.29496099999999997</v>
      </c>
      <c r="F3961">
        <v>-1</v>
      </c>
      <c r="G3961">
        <v>0.29496099999999997</v>
      </c>
    </row>
    <row r="3962" spans="1:7">
      <c r="A3962" t="s">
        <v>144</v>
      </c>
      <c r="B3962">
        <v>62</v>
      </c>
      <c r="C3962">
        <v>18</v>
      </c>
      <c r="D3962">
        <v>0.73744900000000002</v>
      </c>
      <c r="E3962">
        <v>0.23908199999999999</v>
      </c>
      <c r="F3962">
        <v>-1</v>
      </c>
      <c r="G3962">
        <v>0.23908199999999999</v>
      </c>
    </row>
    <row r="3963" spans="1:7">
      <c r="A3963" t="s">
        <v>144</v>
      </c>
      <c r="B3963">
        <v>62</v>
      </c>
      <c r="C3963">
        <v>19</v>
      </c>
      <c r="D3963">
        <v>0.73744900000000002</v>
      </c>
      <c r="E3963">
        <v>-0.730155</v>
      </c>
      <c r="F3963">
        <v>-1</v>
      </c>
      <c r="G3963">
        <v>-0.730155</v>
      </c>
    </row>
    <row r="3964" spans="1:7">
      <c r="A3964" t="s">
        <v>144</v>
      </c>
      <c r="B3964">
        <v>62</v>
      </c>
      <c r="C3964">
        <v>20</v>
      </c>
      <c r="D3964">
        <v>0.73744900000000002</v>
      </c>
      <c r="E3964">
        <v>0.25745400000000002</v>
      </c>
      <c r="F3964">
        <v>-1</v>
      </c>
      <c r="G3964">
        <v>0.25745400000000002</v>
      </c>
    </row>
    <row r="3965" spans="1:7">
      <c r="A3965" t="s">
        <v>144</v>
      </c>
      <c r="B3965">
        <v>62</v>
      </c>
      <c r="C3965">
        <v>21</v>
      </c>
      <c r="D3965">
        <v>0.73744900000000002</v>
      </c>
      <c r="E3965">
        <v>0.413495</v>
      </c>
      <c r="F3965">
        <v>-1</v>
      </c>
      <c r="G3965">
        <v>0.413495</v>
      </c>
    </row>
    <row r="3966" spans="1:7">
      <c r="A3966" t="s">
        <v>144</v>
      </c>
      <c r="B3966">
        <v>62</v>
      </c>
      <c r="C3966">
        <v>22</v>
      </c>
      <c r="D3966">
        <v>0.73744900000000002</v>
      </c>
      <c r="E3966">
        <v>0.48231499999999999</v>
      </c>
      <c r="F3966">
        <v>-0.35831800000000003</v>
      </c>
      <c r="G3966">
        <v>0.26160600000000001</v>
      </c>
    </row>
    <row r="3967" spans="1:7">
      <c r="A3967" t="s">
        <v>144</v>
      </c>
      <c r="B3967">
        <v>62</v>
      </c>
      <c r="C3967">
        <v>23</v>
      </c>
      <c r="D3967">
        <v>0.73744900000000002</v>
      </c>
      <c r="E3967">
        <v>0.83660400000000001</v>
      </c>
      <c r="F3967">
        <v>0.63753199999999999</v>
      </c>
      <c r="G3967">
        <v>0.78433699999999995</v>
      </c>
    </row>
    <row r="3968" spans="1:7">
      <c r="A3968" t="s">
        <v>144</v>
      </c>
      <c r="B3968">
        <v>62</v>
      </c>
      <c r="C3968">
        <v>24</v>
      </c>
      <c r="D3968">
        <v>0.73744900000000002</v>
      </c>
      <c r="E3968">
        <v>0.42469600000000002</v>
      </c>
      <c r="F3968">
        <v>0.39991500000000002</v>
      </c>
      <c r="G3968">
        <v>0.41818899999999998</v>
      </c>
    </row>
    <row r="3969" spans="1:7">
      <c r="A3969" t="s">
        <v>144</v>
      </c>
      <c r="B3969">
        <v>62</v>
      </c>
      <c r="C3969">
        <v>25</v>
      </c>
      <c r="D3969">
        <v>0.73744900000000002</v>
      </c>
      <c r="E3969">
        <v>0.38148100000000001</v>
      </c>
      <c r="F3969">
        <v>0.69939300000000004</v>
      </c>
      <c r="G3969">
        <v>0.464949</v>
      </c>
    </row>
    <row r="3970" spans="1:7">
      <c r="A3970" t="s">
        <v>144</v>
      </c>
      <c r="B3970">
        <v>62</v>
      </c>
      <c r="C3970">
        <v>26</v>
      </c>
      <c r="D3970">
        <v>0.73744900000000002</v>
      </c>
      <c r="E3970">
        <v>0.56346300000000005</v>
      </c>
      <c r="F3970">
        <v>5.8411999999999999E-2</v>
      </c>
      <c r="G3970">
        <v>0.43086200000000002</v>
      </c>
    </row>
    <row r="3971" spans="1:7">
      <c r="A3971" t="s">
        <v>144</v>
      </c>
      <c r="B3971">
        <v>62</v>
      </c>
      <c r="C3971">
        <v>27</v>
      </c>
      <c r="D3971">
        <v>0.73744900000000002</v>
      </c>
      <c r="E3971">
        <v>-0.71791700000000003</v>
      </c>
      <c r="F3971">
        <v>-0.76934100000000005</v>
      </c>
      <c r="G3971">
        <v>-0.73141900000000004</v>
      </c>
    </row>
    <row r="3972" spans="1:7">
      <c r="A3972" t="s">
        <v>144</v>
      </c>
      <c r="B3972">
        <v>62</v>
      </c>
      <c r="C3972">
        <v>28</v>
      </c>
      <c r="D3972">
        <v>0.73744900000000002</v>
      </c>
      <c r="E3972">
        <v>-0.16894999999999999</v>
      </c>
      <c r="F3972">
        <v>1.7609E-2</v>
      </c>
      <c r="G3972">
        <v>-0.11996900000000001</v>
      </c>
    </row>
    <row r="3973" spans="1:7">
      <c r="A3973" t="s">
        <v>144</v>
      </c>
      <c r="B3973">
        <v>62</v>
      </c>
      <c r="C3973">
        <v>29</v>
      </c>
      <c r="D3973">
        <v>0.73744900000000002</v>
      </c>
      <c r="E3973">
        <v>-0.46784900000000001</v>
      </c>
      <c r="F3973">
        <v>-0.721244</v>
      </c>
      <c r="G3973">
        <v>-0.53437800000000002</v>
      </c>
    </row>
    <row r="3974" spans="1:7">
      <c r="A3974" t="s">
        <v>144</v>
      </c>
      <c r="B3974">
        <v>62</v>
      </c>
      <c r="C3974">
        <v>30</v>
      </c>
      <c r="D3974">
        <v>0.73744900000000002</v>
      </c>
      <c r="E3974">
        <v>0.53526399999999996</v>
      </c>
      <c r="F3974">
        <v>0.61998299999999995</v>
      </c>
      <c r="G3974">
        <v>0.55750699999999997</v>
      </c>
    </row>
    <row r="3975" spans="1:7">
      <c r="A3975" t="s">
        <v>144</v>
      </c>
      <c r="B3975">
        <v>62</v>
      </c>
      <c r="C3975">
        <v>31</v>
      </c>
      <c r="D3975">
        <v>0.73744900000000002</v>
      </c>
      <c r="E3975">
        <v>0.54399200000000003</v>
      </c>
      <c r="F3975">
        <v>-0.93487399999999998</v>
      </c>
      <c r="G3975">
        <v>0.15571499999999999</v>
      </c>
    </row>
    <row r="3976" spans="1:7">
      <c r="A3976" t="s">
        <v>144</v>
      </c>
      <c r="B3976">
        <v>62</v>
      </c>
      <c r="C3976">
        <v>32</v>
      </c>
      <c r="D3976">
        <v>0.73744900000000002</v>
      </c>
      <c r="E3976">
        <v>-0.27643699999999999</v>
      </c>
      <c r="F3976">
        <v>-0.963866</v>
      </c>
      <c r="G3976">
        <v>-0.45692199999999999</v>
      </c>
    </row>
    <row r="3977" spans="1:7">
      <c r="A3977" t="s">
        <v>144</v>
      </c>
      <c r="B3977">
        <v>62</v>
      </c>
      <c r="C3977">
        <v>33</v>
      </c>
      <c r="D3977">
        <v>0.73744900000000002</v>
      </c>
      <c r="E3977">
        <v>-6.8484000000000003E-2</v>
      </c>
      <c r="F3977">
        <v>0.42143000000000003</v>
      </c>
      <c r="G3977">
        <v>6.0144000000000003E-2</v>
      </c>
    </row>
    <row r="3978" spans="1:7">
      <c r="A3978" t="s">
        <v>144</v>
      </c>
      <c r="B3978">
        <v>62</v>
      </c>
      <c r="C3978">
        <v>34</v>
      </c>
      <c r="D3978">
        <v>0.73744900000000002</v>
      </c>
      <c r="E3978">
        <v>-0.84408099999999997</v>
      </c>
      <c r="F3978">
        <v>0.28397499999999998</v>
      </c>
      <c r="G3978">
        <v>-0.54790899999999998</v>
      </c>
    </row>
    <row r="3979" spans="1:7">
      <c r="A3979" t="s">
        <v>144</v>
      </c>
      <c r="B3979">
        <v>62</v>
      </c>
      <c r="C3979">
        <v>35</v>
      </c>
      <c r="D3979">
        <v>0.73744900000000002</v>
      </c>
      <c r="E3979">
        <v>-0.27771800000000002</v>
      </c>
      <c r="F3979">
        <v>0.49809300000000001</v>
      </c>
      <c r="G3979">
        <v>-7.4028999999999998E-2</v>
      </c>
    </row>
    <row r="3980" spans="1:7">
      <c r="A3980" t="s">
        <v>144</v>
      </c>
      <c r="B3980">
        <v>62</v>
      </c>
      <c r="C3980">
        <v>36</v>
      </c>
      <c r="D3980">
        <v>0.73744900000000002</v>
      </c>
      <c r="E3980">
        <v>-0.92117099999999996</v>
      </c>
      <c r="F3980">
        <v>0.27155400000000002</v>
      </c>
      <c r="G3980">
        <v>-0.60802</v>
      </c>
    </row>
    <row r="3981" spans="1:7">
      <c r="A3981" t="s">
        <v>144</v>
      </c>
      <c r="B3981">
        <v>62</v>
      </c>
      <c r="C3981">
        <v>37</v>
      </c>
      <c r="D3981">
        <v>0.73744900000000002</v>
      </c>
      <c r="E3981">
        <v>-0.31977299999999997</v>
      </c>
      <c r="F3981">
        <v>-0.91738600000000003</v>
      </c>
      <c r="G3981">
        <v>-0.47667700000000002</v>
      </c>
    </row>
    <row r="3982" spans="1:7">
      <c r="A3982" t="s">
        <v>144</v>
      </c>
      <c r="B3982">
        <v>62</v>
      </c>
      <c r="C3982">
        <v>38</v>
      </c>
      <c r="D3982">
        <v>0.73744900000000002</v>
      </c>
      <c r="E3982">
        <v>-0.84957400000000005</v>
      </c>
      <c r="F3982">
        <v>-0.48973100000000003</v>
      </c>
      <c r="G3982">
        <v>-0.75509700000000002</v>
      </c>
    </row>
    <row r="3983" spans="1:7">
      <c r="A3983" t="s">
        <v>144</v>
      </c>
      <c r="B3983">
        <v>62</v>
      </c>
      <c r="C3983">
        <v>39</v>
      </c>
      <c r="D3983">
        <v>0.73744900000000002</v>
      </c>
      <c r="E3983">
        <v>-0.35087099999999999</v>
      </c>
      <c r="F3983">
        <v>-0.85818000000000005</v>
      </c>
      <c r="G3983">
        <v>-0.484066</v>
      </c>
    </row>
    <row r="3984" spans="1:7">
      <c r="A3984" t="s">
        <v>144</v>
      </c>
      <c r="B3984">
        <v>62</v>
      </c>
      <c r="C3984">
        <v>40</v>
      </c>
      <c r="D3984">
        <v>0.73744900000000002</v>
      </c>
      <c r="E3984">
        <v>0.74690999999999996</v>
      </c>
      <c r="F3984">
        <v>0.54127599999999998</v>
      </c>
      <c r="G3984">
        <v>0.69292100000000001</v>
      </c>
    </row>
    <row r="3985" spans="1:7">
      <c r="A3985" t="s">
        <v>144</v>
      </c>
      <c r="B3985">
        <v>62</v>
      </c>
      <c r="C3985">
        <v>41</v>
      </c>
      <c r="D3985">
        <v>0.73744900000000002</v>
      </c>
      <c r="E3985">
        <v>0.83663399999999999</v>
      </c>
      <c r="F3985">
        <v>-0.68401100000000004</v>
      </c>
      <c r="G3985">
        <v>0.437388</v>
      </c>
    </row>
    <row r="3986" spans="1:7">
      <c r="A3986" t="s">
        <v>144</v>
      </c>
      <c r="B3986">
        <v>62</v>
      </c>
      <c r="C3986">
        <v>42</v>
      </c>
      <c r="D3986">
        <v>0.73744900000000002</v>
      </c>
      <c r="E3986">
        <v>0.46903899999999998</v>
      </c>
      <c r="F3986">
        <v>0.14441399999999999</v>
      </c>
      <c r="G3986">
        <v>0.38380799999999998</v>
      </c>
    </row>
    <row r="3987" spans="1:7">
      <c r="A3987" t="s">
        <v>144</v>
      </c>
      <c r="B3987">
        <v>62</v>
      </c>
      <c r="C3987">
        <v>43</v>
      </c>
      <c r="D3987">
        <v>0.73744900000000002</v>
      </c>
      <c r="E3987">
        <v>0.46488800000000002</v>
      </c>
      <c r="F3987">
        <v>0.87536199999999997</v>
      </c>
      <c r="G3987">
        <v>0.57265900000000003</v>
      </c>
    </row>
    <row r="3988" spans="1:7">
      <c r="A3988" t="s">
        <v>144</v>
      </c>
      <c r="B3988">
        <v>62</v>
      </c>
      <c r="C3988">
        <v>44</v>
      </c>
      <c r="D3988">
        <v>0.73744900000000002</v>
      </c>
      <c r="E3988">
        <v>7.4465000000000003E-2</v>
      </c>
      <c r="F3988">
        <v>0.77306399999999997</v>
      </c>
      <c r="G3988">
        <v>0.25788299999999997</v>
      </c>
    </row>
    <row r="3989" spans="1:7">
      <c r="A3989" t="s">
        <v>144</v>
      </c>
      <c r="B3989">
        <v>62</v>
      </c>
      <c r="C3989">
        <v>45</v>
      </c>
      <c r="D3989">
        <v>0.73744900000000002</v>
      </c>
      <c r="E3989">
        <v>-0.57591499999999995</v>
      </c>
      <c r="F3989">
        <v>-4.2023999999999999E-2</v>
      </c>
      <c r="G3989">
        <v>-0.43574099999999999</v>
      </c>
    </row>
    <row r="3990" spans="1:7">
      <c r="A3990" t="s">
        <v>144</v>
      </c>
      <c r="B3990">
        <v>62</v>
      </c>
      <c r="C3990">
        <v>46</v>
      </c>
      <c r="D3990">
        <v>0.73744900000000002</v>
      </c>
      <c r="E3990">
        <v>-0.94714200000000004</v>
      </c>
      <c r="F3990">
        <v>-1.7701000000000001E-2</v>
      </c>
      <c r="G3990">
        <v>-0.70311599999999996</v>
      </c>
    </row>
    <row r="3991" spans="1:7">
      <c r="A3991" t="s">
        <v>144</v>
      </c>
      <c r="B3991">
        <v>62</v>
      </c>
      <c r="C3991">
        <v>47</v>
      </c>
      <c r="D3991">
        <v>0.73744900000000002</v>
      </c>
      <c r="E3991">
        <v>0.51661699999999999</v>
      </c>
      <c r="F3991">
        <v>0.42173500000000003</v>
      </c>
      <c r="G3991">
        <v>0.49170599999999998</v>
      </c>
    </row>
    <row r="3992" spans="1:7">
      <c r="A3992" t="s">
        <v>144</v>
      </c>
      <c r="B3992">
        <v>62</v>
      </c>
      <c r="C3992">
        <v>48</v>
      </c>
      <c r="D3992">
        <v>0.73744900000000002</v>
      </c>
      <c r="E3992">
        <v>-0.23346700000000001</v>
      </c>
      <c r="F3992">
        <v>-0.32352700000000001</v>
      </c>
      <c r="G3992">
        <v>-0.25711200000000001</v>
      </c>
    </row>
    <row r="3993" spans="1:7">
      <c r="A3993" t="s">
        <v>144</v>
      </c>
      <c r="B3993">
        <v>62</v>
      </c>
      <c r="C3993">
        <v>49</v>
      </c>
      <c r="D3993">
        <v>0.73744900000000002</v>
      </c>
      <c r="E3993">
        <v>-0.82470200000000005</v>
      </c>
      <c r="F3993">
        <v>0.77138600000000002</v>
      </c>
      <c r="G3993">
        <v>-0.40564800000000001</v>
      </c>
    </row>
    <row r="3994" spans="1:7">
      <c r="A3994" t="s">
        <v>144</v>
      </c>
      <c r="B3994" t="s">
        <v>145</v>
      </c>
      <c r="C3994">
        <v>63</v>
      </c>
    </row>
    <row r="3995" spans="1:7">
      <c r="A3995" t="s">
        <v>144</v>
      </c>
      <c r="B3995" t="s">
        <v>146</v>
      </c>
      <c r="C3995">
        <v>25</v>
      </c>
    </row>
    <row r="3996" spans="1:7">
      <c r="A3996" t="s">
        <v>144</v>
      </c>
      <c r="B3996" t="s">
        <v>147</v>
      </c>
      <c r="C3996">
        <v>25</v>
      </c>
    </row>
    <row r="3997" spans="1:7">
      <c r="A3997" t="s">
        <v>144</v>
      </c>
      <c r="B3997" t="s">
        <v>148</v>
      </c>
      <c r="C3997">
        <v>0.89593199999999995</v>
      </c>
    </row>
    <row r="3998" spans="1:7">
      <c r="A3998" t="s">
        <v>144</v>
      </c>
      <c r="B3998" t="s">
        <v>149</v>
      </c>
      <c r="C3998">
        <v>0.89593199999999995</v>
      </c>
    </row>
    <row r="3999" spans="1:7">
      <c r="A3999" t="s">
        <v>144</v>
      </c>
      <c r="B3999" t="s">
        <v>150</v>
      </c>
      <c r="C3999">
        <v>-1</v>
      </c>
    </row>
    <row r="4000" spans="1:7">
      <c r="A4000" t="s">
        <v>144</v>
      </c>
      <c r="B4000" t="s">
        <v>151</v>
      </c>
      <c r="C4000">
        <v>-1</v>
      </c>
    </row>
    <row r="4001" spans="1:7">
      <c r="A4001" t="s">
        <v>144</v>
      </c>
      <c r="B4001" t="s">
        <v>152</v>
      </c>
      <c r="C4001">
        <v>37</v>
      </c>
    </row>
    <row r="4002" spans="1:7">
      <c r="A4002" t="s">
        <v>144</v>
      </c>
      <c r="B4002" t="s">
        <v>153</v>
      </c>
      <c r="C4002">
        <v>37</v>
      </c>
    </row>
    <row r="4003" spans="1:7">
      <c r="A4003" t="s">
        <v>144</v>
      </c>
      <c r="B4003" t="s">
        <v>154</v>
      </c>
      <c r="C4003">
        <v>0</v>
      </c>
    </row>
    <row r="4004" spans="1:7">
      <c r="A4004" t="s">
        <v>144</v>
      </c>
      <c r="B4004" t="s">
        <v>161</v>
      </c>
    </row>
    <row r="4005" spans="1:7">
      <c r="A4005" t="s">
        <v>144</v>
      </c>
      <c r="B4005">
        <v>63</v>
      </c>
      <c r="C4005">
        <v>0</v>
      </c>
      <c r="D4005">
        <v>-1</v>
      </c>
      <c r="E4005">
        <v>-0.279061</v>
      </c>
      <c r="F4005">
        <v>-1</v>
      </c>
      <c r="G4005">
        <v>-0.279061</v>
      </c>
    </row>
    <row r="4006" spans="1:7">
      <c r="A4006" t="s">
        <v>144</v>
      </c>
      <c r="B4006">
        <v>63</v>
      </c>
      <c r="C4006">
        <v>1</v>
      </c>
      <c r="D4006">
        <v>-1</v>
      </c>
      <c r="E4006">
        <v>-0.249916</v>
      </c>
      <c r="F4006">
        <v>-1</v>
      </c>
      <c r="G4006">
        <v>-0.249916</v>
      </c>
    </row>
    <row r="4007" spans="1:7">
      <c r="A4007" t="s">
        <v>144</v>
      </c>
      <c r="B4007">
        <v>63</v>
      </c>
      <c r="C4007">
        <v>2</v>
      </c>
      <c r="D4007">
        <v>-1</v>
      </c>
      <c r="E4007">
        <v>0.31858300000000001</v>
      </c>
      <c r="F4007">
        <v>-1</v>
      </c>
      <c r="G4007">
        <v>0.31858300000000001</v>
      </c>
    </row>
    <row r="4008" spans="1:7">
      <c r="A4008" t="s">
        <v>144</v>
      </c>
      <c r="B4008">
        <v>63</v>
      </c>
      <c r="C4008">
        <v>3</v>
      </c>
      <c r="D4008">
        <v>-1</v>
      </c>
      <c r="E4008">
        <v>0.92113999999999996</v>
      </c>
      <c r="F4008">
        <v>-1</v>
      </c>
      <c r="G4008">
        <v>0.92113999999999996</v>
      </c>
    </row>
    <row r="4009" spans="1:7">
      <c r="A4009" t="s">
        <v>144</v>
      </c>
      <c r="B4009">
        <v>63</v>
      </c>
      <c r="C4009">
        <v>4</v>
      </c>
      <c r="D4009">
        <v>-1</v>
      </c>
      <c r="E4009">
        <v>0.24051600000000001</v>
      </c>
      <c r="F4009">
        <v>-1</v>
      </c>
      <c r="G4009">
        <v>0.24051600000000001</v>
      </c>
    </row>
    <row r="4010" spans="1:7">
      <c r="A4010" t="s">
        <v>144</v>
      </c>
      <c r="B4010">
        <v>63</v>
      </c>
      <c r="C4010">
        <v>5</v>
      </c>
      <c r="D4010">
        <v>-1</v>
      </c>
      <c r="E4010">
        <v>0.499222</v>
      </c>
      <c r="F4010">
        <v>-1</v>
      </c>
      <c r="G4010">
        <v>0.499222</v>
      </c>
    </row>
    <row r="4011" spans="1:7">
      <c r="A4011" t="s">
        <v>144</v>
      </c>
      <c r="B4011">
        <v>63</v>
      </c>
      <c r="C4011">
        <v>6</v>
      </c>
      <c r="D4011">
        <v>-1</v>
      </c>
      <c r="E4011">
        <v>-0.131352</v>
      </c>
      <c r="F4011">
        <v>-1</v>
      </c>
      <c r="G4011">
        <v>-0.131352</v>
      </c>
    </row>
    <row r="4012" spans="1:7">
      <c r="A4012" t="s">
        <v>144</v>
      </c>
      <c r="B4012">
        <v>63</v>
      </c>
      <c r="C4012">
        <v>7</v>
      </c>
      <c r="D4012">
        <v>-1</v>
      </c>
      <c r="E4012">
        <v>-0.18454499999999999</v>
      </c>
      <c r="F4012">
        <v>-1</v>
      </c>
      <c r="G4012">
        <v>-0.18454499999999999</v>
      </c>
    </row>
    <row r="4013" spans="1:7">
      <c r="A4013" t="s">
        <v>144</v>
      </c>
      <c r="B4013">
        <v>63</v>
      </c>
      <c r="C4013">
        <v>8</v>
      </c>
      <c r="D4013">
        <v>-1</v>
      </c>
      <c r="E4013">
        <v>0.59996300000000002</v>
      </c>
      <c r="F4013">
        <v>-1</v>
      </c>
      <c r="G4013">
        <v>0.59996300000000002</v>
      </c>
    </row>
    <row r="4014" spans="1:7">
      <c r="A4014" t="s">
        <v>144</v>
      </c>
      <c r="B4014">
        <v>63</v>
      </c>
      <c r="C4014">
        <v>9</v>
      </c>
      <c r="D4014">
        <v>-1</v>
      </c>
      <c r="E4014">
        <v>0.70839600000000003</v>
      </c>
      <c r="F4014">
        <v>-1</v>
      </c>
      <c r="G4014">
        <v>0.70839600000000003</v>
      </c>
    </row>
    <row r="4015" spans="1:7">
      <c r="A4015" t="s">
        <v>144</v>
      </c>
      <c r="B4015">
        <v>63</v>
      </c>
      <c r="C4015">
        <v>10</v>
      </c>
      <c r="D4015">
        <v>-1</v>
      </c>
      <c r="E4015">
        <v>-0.486404</v>
      </c>
      <c r="F4015">
        <v>-1</v>
      </c>
      <c r="G4015">
        <v>-0.486404</v>
      </c>
    </row>
    <row r="4016" spans="1:7">
      <c r="A4016" t="s">
        <v>144</v>
      </c>
      <c r="B4016">
        <v>63</v>
      </c>
      <c r="C4016">
        <v>11</v>
      </c>
      <c r="D4016">
        <v>-1</v>
      </c>
      <c r="E4016">
        <v>0.96044799999999997</v>
      </c>
      <c r="F4016">
        <v>-1</v>
      </c>
      <c r="G4016">
        <v>0.96044799999999997</v>
      </c>
    </row>
    <row r="4017" spans="1:7">
      <c r="A4017" t="s">
        <v>144</v>
      </c>
      <c r="B4017">
        <v>63</v>
      </c>
      <c r="C4017">
        <v>12</v>
      </c>
      <c r="D4017">
        <v>-1</v>
      </c>
      <c r="E4017">
        <v>-0.76000199999999996</v>
      </c>
      <c r="F4017">
        <v>-1</v>
      </c>
      <c r="G4017">
        <v>-0.76000199999999996</v>
      </c>
    </row>
    <row r="4018" spans="1:7">
      <c r="A4018" t="s">
        <v>144</v>
      </c>
      <c r="B4018">
        <v>63</v>
      </c>
      <c r="C4018">
        <v>13</v>
      </c>
      <c r="D4018">
        <v>-1</v>
      </c>
      <c r="E4018">
        <v>-0.32148199999999999</v>
      </c>
      <c r="F4018">
        <v>-1</v>
      </c>
      <c r="G4018">
        <v>-0.32148199999999999</v>
      </c>
    </row>
    <row r="4019" spans="1:7">
      <c r="A4019" t="s">
        <v>144</v>
      </c>
      <c r="B4019">
        <v>63</v>
      </c>
      <c r="C4019">
        <v>14</v>
      </c>
      <c r="D4019">
        <v>-1</v>
      </c>
      <c r="E4019">
        <v>-0.76299300000000003</v>
      </c>
      <c r="F4019">
        <v>-1</v>
      </c>
      <c r="G4019">
        <v>-0.76299300000000003</v>
      </c>
    </row>
    <row r="4020" spans="1:7">
      <c r="A4020" t="s">
        <v>144</v>
      </c>
      <c r="B4020">
        <v>63</v>
      </c>
      <c r="C4020">
        <v>15</v>
      </c>
      <c r="D4020">
        <v>-1</v>
      </c>
      <c r="E4020">
        <v>-0.107395</v>
      </c>
      <c r="F4020">
        <v>-1</v>
      </c>
      <c r="G4020">
        <v>-0.107395</v>
      </c>
    </row>
    <row r="4021" spans="1:7">
      <c r="A4021" t="s">
        <v>144</v>
      </c>
      <c r="B4021">
        <v>63</v>
      </c>
      <c r="C4021">
        <v>16</v>
      </c>
      <c r="D4021">
        <v>-1</v>
      </c>
      <c r="E4021">
        <v>-0.456374</v>
      </c>
      <c r="F4021">
        <v>-1</v>
      </c>
      <c r="G4021">
        <v>-0.456374</v>
      </c>
    </row>
    <row r="4022" spans="1:7">
      <c r="A4022" t="s">
        <v>144</v>
      </c>
      <c r="B4022">
        <v>63</v>
      </c>
      <c r="C4022">
        <v>17</v>
      </c>
      <c r="D4022">
        <v>-1</v>
      </c>
      <c r="E4022">
        <v>3.0671E-2</v>
      </c>
      <c r="F4022">
        <v>-1</v>
      </c>
      <c r="G4022">
        <v>3.0671E-2</v>
      </c>
    </row>
    <row r="4023" spans="1:7">
      <c r="A4023" t="s">
        <v>144</v>
      </c>
      <c r="B4023">
        <v>63</v>
      </c>
      <c r="C4023">
        <v>18</v>
      </c>
      <c r="D4023">
        <v>-1</v>
      </c>
      <c r="E4023">
        <v>0.823847</v>
      </c>
      <c r="F4023">
        <v>-1</v>
      </c>
      <c r="G4023">
        <v>0.823847</v>
      </c>
    </row>
    <row r="4024" spans="1:7">
      <c r="A4024" t="s">
        <v>144</v>
      </c>
      <c r="B4024">
        <v>63</v>
      </c>
      <c r="C4024">
        <v>19</v>
      </c>
      <c r="D4024">
        <v>-1</v>
      </c>
      <c r="E4024">
        <v>8.5788000000000003E-2</v>
      </c>
      <c r="F4024">
        <v>-1</v>
      </c>
      <c r="G4024">
        <v>8.5788000000000003E-2</v>
      </c>
    </row>
    <row r="4025" spans="1:7">
      <c r="A4025" t="s">
        <v>144</v>
      </c>
      <c r="B4025">
        <v>63</v>
      </c>
      <c r="C4025">
        <v>20</v>
      </c>
      <c r="D4025">
        <v>-1</v>
      </c>
      <c r="E4025">
        <v>-9.0060000000000001E-2</v>
      </c>
      <c r="F4025">
        <v>-1</v>
      </c>
      <c r="G4025">
        <v>-9.0060000000000001E-2</v>
      </c>
    </row>
    <row r="4026" spans="1:7">
      <c r="A4026" t="s">
        <v>144</v>
      </c>
      <c r="B4026">
        <v>63</v>
      </c>
      <c r="C4026">
        <v>21</v>
      </c>
      <c r="D4026">
        <v>-1</v>
      </c>
      <c r="E4026">
        <v>0.76470199999999999</v>
      </c>
      <c r="F4026">
        <v>-1</v>
      </c>
      <c r="G4026">
        <v>0.76470199999999999</v>
      </c>
    </row>
    <row r="4027" spans="1:7">
      <c r="A4027" t="s">
        <v>144</v>
      </c>
      <c r="B4027">
        <v>63</v>
      </c>
      <c r="C4027">
        <v>22</v>
      </c>
      <c r="D4027">
        <v>-1</v>
      </c>
      <c r="E4027">
        <v>-0.90987899999999999</v>
      </c>
      <c r="F4027">
        <v>-1</v>
      </c>
      <c r="G4027">
        <v>-0.90987899999999999</v>
      </c>
    </row>
    <row r="4028" spans="1:7">
      <c r="A4028" t="s">
        <v>144</v>
      </c>
      <c r="B4028">
        <v>63</v>
      </c>
      <c r="C4028">
        <v>23</v>
      </c>
      <c r="D4028">
        <v>-1</v>
      </c>
      <c r="E4028">
        <v>8.4539999999999997E-3</v>
      </c>
      <c r="F4028">
        <v>-1</v>
      </c>
      <c r="G4028">
        <v>8.4539999999999997E-3</v>
      </c>
    </row>
    <row r="4029" spans="1:7">
      <c r="A4029" t="s">
        <v>144</v>
      </c>
      <c r="B4029">
        <v>63</v>
      </c>
      <c r="C4029">
        <v>24</v>
      </c>
      <c r="D4029">
        <v>-1</v>
      </c>
      <c r="E4029">
        <v>0.18417900000000001</v>
      </c>
      <c r="F4029">
        <v>-1</v>
      </c>
      <c r="G4029">
        <v>0.18417900000000001</v>
      </c>
    </row>
    <row r="4030" spans="1:7">
      <c r="A4030" t="s">
        <v>144</v>
      </c>
      <c r="B4030">
        <v>63</v>
      </c>
      <c r="C4030">
        <v>25</v>
      </c>
      <c r="D4030">
        <v>-1</v>
      </c>
      <c r="E4030">
        <v>0.80187399999999998</v>
      </c>
      <c r="F4030">
        <v>-1</v>
      </c>
      <c r="G4030">
        <v>0.80187399999999998</v>
      </c>
    </row>
    <row r="4031" spans="1:7">
      <c r="A4031" t="s">
        <v>144</v>
      </c>
      <c r="B4031">
        <v>63</v>
      </c>
      <c r="C4031">
        <v>26</v>
      </c>
      <c r="D4031">
        <v>-1</v>
      </c>
      <c r="E4031">
        <v>-0.65941300000000003</v>
      </c>
      <c r="F4031">
        <v>-1</v>
      </c>
      <c r="G4031">
        <v>-0.65941300000000003</v>
      </c>
    </row>
    <row r="4032" spans="1:7">
      <c r="A4032" t="s">
        <v>144</v>
      </c>
      <c r="B4032">
        <v>63</v>
      </c>
      <c r="C4032">
        <v>27</v>
      </c>
      <c r="D4032">
        <v>-1</v>
      </c>
      <c r="E4032">
        <v>-0.81643100000000002</v>
      </c>
      <c r="F4032">
        <v>-1</v>
      </c>
      <c r="G4032">
        <v>-0.81643100000000002</v>
      </c>
    </row>
    <row r="4033" spans="1:7">
      <c r="A4033" t="s">
        <v>144</v>
      </c>
      <c r="B4033">
        <v>63</v>
      </c>
      <c r="C4033">
        <v>28</v>
      </c>
      <c r="D4033">
        <v>-1</v>
      </c>
      <c r="E4033">
        <v>0.96606300000000001</v>
      </c>
      <c r="F4033">
        <v>-1</v>
      </c>
      <c r="G4033">
        <v>0.96606300000000001</v>
      </c>
    </row>
    <row r="4034" spans="1:7">
      <c r="A4034" t="s">
        <v>144</v>
      </c>
      <c r="B4034">
        <v>63</v>
      </c>
      <c r="C4034">
        <v>29</v>
      </c>
      <c r="D4034">
        <v>-1</v>
      </c>
      <c r="E4034">
        <v>8.6370000000000006E-3</v>
      </c>
      <c r="F4034">
        <v>-1</v>
      </c>
      <c r="G4034">
        <v>8.6370000000000006E-3</v>
      </c>
    </row>
    <row r="4035" spans="1:7">
      <c r="A4035" t="s">
        <v>144</v>
      </c>
      <c r="B4035">
        <v>63</v>
      </c>
      <c r="C4035">
        <v>30</v>
      </c>
      <c r="D4035">
        <v>-1</v>
      </c>
      <c r="E4035">
        <v>-0.25305899999999998</v>
      </c>
      <c r="F4035">
        <v>-1</v>
      </c>
      <c r="G4035">
        <v>-0.25305899999999998</v>
      </c>
    </row>
    <row r="4036" spans="1:7">
      <c r="A4036" t="s">
        <v>144</v>
      </c>
      <c r="B4036">
        <v>63</v>
      </c>
      <c r="C4036">
        <v>31</v>
      </c>
      <c r="D4036">
        <v>-1</v>
      </c>
      <c r="E4036">
        <v>-0.57979099999999995</v>
      </c>
      <c r="F4036">
        <v>-1</v>
      </c>
      <c r="G4036">
        <v>-0.57979099999999995</v>
      </c>
    </row>
    <row r="4037" spans="1:7">
      <c r="A4037" t="s">
        <v>144</v>
      </c>
      <c r="B4037">
        <v>63</v>
      </c>
      <c r="C4037">
        <v>32</v>
      </c>
      <c r="D4037">
        <v>-1</v>
      </c>
      <c r="E4037">
        <v>7.4282000000000001E-2</v>
      </c>
      <c r="F4037">
        <v>-1</v>
      </c>
      <c r="G4037">
        <v>7.4282000000000001E-2</v>
      </c>
    </row>
    <row r="4038" spans="1:7">
      <c r="A4038" t="s">
        <v>144</v>
      </c>
      <c r="B4038">
        <v>63</v>
      </c>
      <c r="C4038">
        <v>33</v>
      </c>
      <c r="D4038">
        <v>-1</v>
      </c>
      <c r="E4038">
        <v>0.202765</v>
      </c>
      <c r="F4038">
        <v>-1</v>
      </c>
      <c r="G4038">
        <v>0.202765</v>
      </c>
    </row>
    <row r="4039" spans="1:7">
      <c r="A4039" t="s">
        <v>144</v>
      </c>
      <c r="B4039">
        <v>63</v>
      </c>
      <c r="C4039">
        <v>34</v>
      </c>
      <c r="D4039">
        <v>-1</v>
      </c>
      <c r="E4039">
        <v>0.68297399999999997</v>
      </c>
      <c r="F4039">
        <v>-1</v>
      </c>
      <c r="G4039">
        <v>0.68297399999999997</v>
      </c>
    </row>
    <row r="4040" spans="1:7">
      <c r="A4040" t="s">
        <v>144</v>
      </c>
      <c r="B4040">
        <v>63</v>
      </c>
      <c r="C4040">
        <v>35</v>
      </c>
      <c r="D4040">
        <v>-1</v>
      </c>
      <c r="E4040">
        <v>0.92345999999999995</v>
      </c>
      <c r="F4040">
        <v>-1</v>
      </c>
      <c r="G4040">
        <v>0.92345999999999995</v>
      </c>
    </row>
    <row r="4041" spans="1:7">
      <c r="A4041" t="s">
        <v>144</v>
      </c>
      <c r="B4041">
        <v>63</v>
      </c>
      <c r="C4041">
        <v>36</v>
      </c>
      <c r="D4041">
        <v>-1</v>
      </c>
      <c r="E4041">
        <v>0.39075900000000002</v>
      </c>
      <c r="F4041">
        <v>-1</v>
      </c>
      <c r="G4041">
        <v>0.39075900000000002</v>
      </c>
    </row>
    <row r="4042" spans="1:7">
      <c r="A4042" t="s">
        <v>144</v>
      </c>
      <c r="B4042">
        <v>63</v>
      </c>
      <c r="C4042">
        <v>37</v>
      </c>
      <c r="D4042">
        <v>-1</v>
      </c>
      <c r="E4042">
        <v>0.64146899999999996</v>
      </c>
      <c r="F4042">
        <v>-1</v>
      </c>
      <c r="G4042">
        <v>0.64146899999999996</v>
      </c>
    </row>
    <row r="4043" spans="1:7">
      <c r="A4043" t="s">
        <v>144</v>
      </c>
      <c r="B4043">
        <v>63</v>
      </c>
      <c r="C4043">
        <v>38</v>
      </c>
      <c r="D4043">
        <v>-1</v>
      </c>
      <c r="E4043">
        <v>-0.14749599999999999</v>
      </c>
      <c r="F4043">
        <v>-1</v>
      </c>
      <c r="G4043">
        <v>-0.14749599999999999</v>
      </c>
    </row>
    <row r="4044" spans="1:7">
      <c r="A4044" t="s">
        <v>144</v>
      </c>
      <c r="B4044">
        <v>63</v>
      </c>
      <c r="C4044">
        <v>39</v>
      </c>
      <c r="D4044">
        <v>-1</v>
      </c>
      <c r="E4044">
        <v>-0.57786800000000005</v>
      </c>
      <c r="F4044">
        <v>-1</v>
      </c>
      <c r="G4044">
        <v>-0.57786800000000005</v>
      </c>
    </row>
    <row r="4045" spans="1:7">
      <c r="A4045" t="s">
        <v>144</v>
      </c>
      <c r="B4045">
        <v>63</v>
      </c>
      <c r="C4045">
        <v>40</v>
      </c>
      <c r="D4045">
        <v>-1</v>
      </c>
      <c r="E4045">
        <v>-0.99774200000000002</v>
      </c>
      <c r="F4045">
        <v>-1</v>
      </c>
      <c r="G4045">
        <v>-0.99774200000000002</v>
      </c>
    </row>
    <row r="4046" spans="1:7">
      <c r="A4046" t="s">
        <v>144</v>
      </c>
      <c r="B4046">
        <v>63</v>
      </c>
      <c r="C4046">
        <v>41</v>
      </c>
      <c r="D4046">
        <v>-1</v>
      </c>
      <c r="E4046">
        <v>-0.634907</v>
      </c>
      <c r="F4046">
        <v>-1</v>
      </c>
      <c r="G4046">
        <v>-0.634907</v>
      </c>
    </row>
    <row r="4047" spans="1:7">
      <c r="A4047" t="s">
        <v>144</v>
      </c>
      <c r="B4047">
        <v>63</v>
      </c>
      <c r="C4047">
        <v>42</v>
      </c>
      <c r="D4047">
        <v>-1</v>
      </c>
      <c r="E4047">
        <v>0.57069599999999998</v>
      </c>
      <c r="F4047">
        <v>-1</v>
      </c>
      <c r="G4047">
        <v>0.57069599999999998</v>
      </c>
    </row>
    <row r="4048" spans="1:7">
      <c r="A4048" t="s">
        <v>144</v>
      </c>
      <c r="B4048">
        <v>63</v>
      </c>
      <c r="C4048">
        <v>43</v>
      </c>
      <c r="D4048">
        <v>-1</v>
      </c>
      <c r="E4048">
        <v>5.4933000000000003E-2</v>
      </c>
      <c r="F4048">
        <v>-1</v>
      </c>
      <c r="G4048">
        <v>5.4933000000000003E-2</v>
      </c>
    </row>
    <row r="4049" spans="1:7">
      <c r="A4049" t="s">
        <v>144</v>
      </c>
      <c r="B4049">
        <v>63</v>
      </c>
      <c r="C4049">
        <v>44</v>
      </c>
      <c r="D4049">
        <v>-1</v>
      </c>
      <c r="E4049">
        <v>0.25965100000000002</v>
      </c>
      <c r="F4049">
        <v>-1</v>
      </c>
      <c r="G4049">
        <v>0.25965100000000002</v>
      </c>
    </row>
    <row r="4050" spans="1:7">
      <c r="A4050" t="s">
        <v>144</v>
      </c>
      <c r="B4050">
        <v>63</v>
      </c>
      <c r="C4050">
        <v>45</v>
      </c>
      <c r="D4050">
        <v>-1</v>
      </c>
      <c r="E4050">
        <v>-0.28437099999999998</v>
      </c>
      <c r="F4050">
        <v>-1</v>
      </c>
      <c r="G4050">
        <v>-0.28437099999999998</v>
      </c>
    </row>
    <row r="4051" spans="1:7">
      <c r="A4051" t="s">
        <v>144</v>
      </c>
      <c r="B4051">
        <v>63</v>
      </c>
      <c r="C4051">
        <v>46</v>
      </c>
      <c r="D4051">
        <v>-1</v>
      </c>
      <c r="E4051">
        <v>0.246834</v>
      </c>
      <c r="F4051">
        <v>-1</v>
      </c>
      <c r="G4051">
        <v>0.246834</v>
      </c>
    </row>
    <row r="4052" spans="1:7">
      <c r="A4052" t="s">
        <v>144</v>
      </c>
      <c r="B4052">
        <v>63</v>
      </c>
      <c r="C4052">
        <v>47</v>
      </c>
      <c r="D4052">
        <v>-1</v>
      </c>
      <c r="E4052">
        <v>-0.448683</v>
      </c>
      <c r="F4052">
        <v>-1</v>
      </c>
      <c r="G4052">
        <v>-0.448683</v>
      </c>
    </row>
    <row r="4053" spans="1:7">
      <c r="A4053" t="s">
        <v>144</v>
      </c>
      <c r="B4053">
        <v>63</v>
      </c>
      <c r="C4053">
        <v>48</v>
      </c>
      <c r="D4053">
        <v>-1</v>
      </c>
      <c r="E4053">
        <v>3.0519000000000001E-2</v>
      </c>
      <c r="F4053">
        <v>-1</v>
      </c>
      <c r="G4053">
        <v>3.0519000000000001E-2</v>
      </c>
    </row>
    <row r="4054" spans="1:7">
      <c r="A4054" t="s">
        <v>144</v>
      </c>
      <c r="B4054">
        <v>63</v>
      </c>
      <c r="C4054">
        <v>49</v>
      </c>
      <c r="D4054">
        <v>-1</v>
      </c>
      <c r="E4054">
        <v>-0.34553099999999998</v>
      </c>
      <c r="F4054">
        <v>-1</v>
      </c>
      <c r="G4054">
        <v>-0.34553099999999998</v>
      </c>
    </row>
    <row r="4055" spans="1:7">
      <c r="A4055" t="s">
        <v>144</v>
      </c>
      <c r="B4055" t="s">
        <v>145</v>
      </c>
      <c r="C4055">
        <v>64</v>
      </c>
    </row>
    <row r="4056" spans="1:7">
      <c r="A4056" t="s">
        <v>144</v>
      </c>
      <c r="B4056" t="s">
        <v>146</v>
      </c>
      <c r="C4056">
        <v>19</v>
      </c>
    </row>
    <row r="4057" spans="1:7">
      <c r="A4057" t="s">
        <v>144</v>
      </c>
      <c r="B4057" t="s">
        <v>147</v>
      </c>
      <c r="C4057">
        <v>19</v>
      </c>
    </row>
    <row r="4058" spans="1:7">
      <c r="A4058" t="s">
        <v>144</v>
      </c>
      <c r="B4058" t="s">
        <v>148</v>
      </c>
      <c r="C4058">
        <v>0.26819700000000002</v>
      </c>
    </row>
    <row r="4059" spans="1:7">
      <c r="A4059" t="s">
        <v>144</v>
      </c>
      <c r="B4059" t="s">
        <v>149</v>
      </c>
      <c r="C4059">
        <v>0.26819700000000002</v>
      </c>
    </row>
    <row r="4060" spans="1:7">
      <c r="A4060" t="s">
        <v>144</v>
      </c>
      <c r="B4060" t="s">
        <v>150</v>
      </c>
      <c r="C4060">
        <v>-1</v>
      </c>
    </row>
    <row r="4061" spans="1:7">
      <c r="A4061" t="s">
        <v>144</v>
      </c>
      <c r="B4061" t="s">
        <v>151</v>
      </c>
      <c r="C4061">
        <v>-1</v>
      </c>
    </row>
    <row r="4062" spans="1:7">
      <c r="A4062" t="s">
        <v>144</v>
      </c>
      <c r="B4062" t="s">
        <v>152</v>
      </c>
      <c r="C4062">
        <v>44</v>
      </c>
    </row>
    <row r="4063" spans="1:7">
      <c r="A4063" t="s">
        <v>144</v>
      </c>
      <c r="B4063" t="s">
        <v>153</v>
      </c>
      <c r="C4063">
        <v>44</v>
      </c>
    </row>
    <row r="4064" spans="1:7">
      <c r="A4064" t="s">
        <v>144</v>
      </c>
      <c r="B4064" t="s">
        <v>154</v>
      </c>
      <c r="C4064">
        <v>0</v>
      </c>
    </row>
    <row r="4065" spans="1:7">
      <c r="A4065" t="s">
        <v>144</v>
      </c>
      <c r="B4065" t="s">
        <v>155</v>
      </c>
    </row>
    <row r="4066" spans="1:7">
      <c r="A4066" t="s">
        <v>144</v>
      </c>
      <c r="B4066" t="s">
        <v>150</v>
      </c>
      <c r="C4066">
        <v>0.87377499999999997</v>
      </c>
    </row>
    <row r="4067" spans="1:7">
      <c r="A4067" t="s">
        <v>144</v>
      </c>
      <c r="B4067" t="s">
        <v>151</v>
      </c>
      <c r="C4067">
        <v>0.87377499999999997</v>
      </c>
    </row>
    <row r="4068" spans="1:7">
      <c r="A4068" t="s">
        <v>144</v>
      </c>
      <c r="B4068" t="s">
        <v>156</v>
      </c>
      <c r="C4068" t="s">
        <v>157</v>
      </c>
      <c r="D4068" t="s">
        <v>63</v>
      </c>
      <c r="E4068" t="s">
        <v>158</v>
      </c>
      <c r="F4068" t="s">
        <v>159</v>
      </c>
      <c r="G4068" t="s">
        <v>160</v>
      </c>
    </row>
    <row r="4069" spans="1:7">
      <c r="A4069" t="s">
        <v>144</v>
      </c>
      <c r="B4069">
        <v>64</v>
      </c>
      <c r="C4069">
        <v>0</v>
      </c>
      <c r="D4069">
        <v>0.87377499999999997</v>
      </c>
      <c r="E4069">
        <v>0.28446300000000002</v>
      </c>
      <c r="F4069">
        <v>-1</v>
      </c>
      <c r="G4069">
        <v>0.28446300000000002</v>
      </c>
    </row>
    <row r="4070" spans="1:7">
      <c r="A4070" t="s">
        <v>144</v>
      </c>
      <c r="B4070">
        <v>64</v>
      </c>
      <c r="C4070">
        <v>1</v>
      </c>
      <c r="D4070">
        <v>0.87377499999999997</v>
      </c>
      <c r="E4070">
        <v>-0.50776699999999997</v>
      </c>
      <c r="F4070">
        <v>-1</v>
      </c>
      <c r="G4070">
        <v>-0.50776699999999997</v>
      </c>
    </row>
    <row r="4071" spans="1:7">
      <c r="A4071" t="s">
        <v>144</v>
      </c>
      <c r="B4071">
        <v>64</v>
      </c>
      <c r="C4071">
        <v>2</v>
      </c>
      <c r="D4071">
        <v>0.87377499999999997</v>
      </c>
      <c r="E4071">
        <v>-0.64784699999999995</v>
      </c>
      <c r="F4071">
        <v>-1</v>
      </c>
      <c r="G4071">
        <v>-0.64784699999999995</v>
      </c>
    </row>
    <row r="4072" spans="1:7">
      <c r="A4072" t="s">
        <v>144</v>
      </c>
      <c r="B4072">
        <v>64</v>
      </c>
      <c r="C4072">
        <v>3</v>
      </c>
      <c r="D4072">
        <v>0.87377499999999997</v>
      </c>
      <c r="E4072">
        <v>-8.6916999999999994E-2</v>
      </c>
      <c r="F4072">
        <v>-1</v>
      </c>
      <c r="G4072">
        <v>-8.6916999999999994E-2</v>
      </c>
    </row>
    <row r="4073" spans="1:7">
      <c r="A4073" t="s">
        <v>144</v>
      </c>
      <c r="B4073">
        <v>64</v>
      </c>
      <c r="C4073">
        <v>4</v>
      </c>
      <c r="D4073">
        <v>0.87377499999999997</v>
      </c>
      <c r="E4073">
        <v>-0.67992200000000003</v>
      </c>
      <c r="F4073">
        <v>-1</v>
      </c>
      <c r="G4073">
        <v>-0.67992200000000003</v>
      </c>
    </row>
    <row r="4074" spans="1:7">
      <c r="A4074" t="s">
        <v>144</v>
      </c>
      <c r="B4074">
        <v>64</v>
      </c>
      <c r="C4074">
        <v>5</v>
      </c>
      <c r="D4074">
        <v>0.87377499999999997</v>
      </c>
      <c r="E4074">
        <v>-0.102481</v>
      </c>
      <c r="F4074">
        <v>-1</v>
      </c>
      <c r="G4074">
        <v>-0.102481</v>
      </c>
    </row>
    <row r="4075" spans="1:7">
      <c r="A4075" t="s">
        <v>144</v>
      </c>
      <c r="B4075">
        <v>64</v>
      </c>
      <c r="C4075">
        <v>6</v>
      </c>
      <c r="D4075">
        <v>0.87377499999999997</v>
      </c>
      <c r="E4075">
        <v>0.52439999999999998</v>
      </c>
      <c r="F4075">
        <v>-1</v>
      </c>
      <c r="G4075">
        <v>0.52439999999999998</v>
      </c>
    </row>
    <row r="4076" spans="1:7">
      <c r="A4076" t="s">
        <v>144</v>
      </c>
      <c r="B4076">
        <v>64</v>
      </c>
      <c r="C4076">
        <v>7</v>
      </c>
      <c r="D4076">
        <v>0.87377499999999997</v>
      </c>
      <c r="E4076">
        <v>0.52003500000000003</v>
      </c>
      <c r="F4076">
        <v>-1</v>
      </c>
      <c r="G4076">
        <v>0.52003500000000003</v>
      </c>
    </row>
    <row r="4077" spans="1:7">
      <c r="A4077" t="s">
        <v>144</v>
      </c>
      <c r="B4077">
        <v>64</v>
      </c>
      <c r="C4077">
        <v>8</v>
      </c>
      <c r="D4077">
        <v>0.87377499999999997</v>
      </c>
      <c r="E4077">
        <v>0.92748799999999998</v>
      </c>
      <c r="F4077">
        <v>-1</v>
      </c>
      <c r="G4077">
        <v>0.92748799999999998</v>
      </c>
    </row>
    <row r="4078" spans="1:7">
      <c r="A4078" t="s">
        <v>144</v>
      </c>
      <c r="B4078">
        <v>64</v>
      </c>
      <c r="C4078">
        <v>9</v>
      </c>
      <c r="D4078">
        <v>0.87377499999999997</v>
      </c>
      <c r="E4078">
        <v>-0.55678000000000005</v>
      </c>
      <c r="F4078">
        <v>-1</v>
      </c>
      <c r="G4078">
        <v>-0.55678000000000005</v>
      </c>
    </row>
    <row r="4079" spans="1:7">
      <c r="A4079" t="s">
        <v>144</v>
      </c>
      <c r="B4079">
        <v>64</v>
      </c>
      <c r="C4079">
        <v>10</v>
      </c>
      <c r="D4079">
        <v>0.87377499999999997</v>
      </c>
      <c r="E4079">
        <v>-0.35291600000000001</v>
      </c>
      <c r="F4079">
        <v>-1</v>
      </c>
      <c r="G4079">
        <v>-0.35291600000000001</v>
      </c>
    </row>
    <row r="4080" spans="1:7">
      <c r="A4080" t="s">
        <v>144</v>
      </c>
      <c r="B4080">
        <v>64</v>
      </c>
      <c r="C4080">
        <v>11</v>
      </c>
      <c r="D4080">
        <v>0.87377499999999997</v>
      </c>
      <c r="E4080">
        <v>0.96533100000000005</v>
      </c>
      <c r="F4080">
        <v>-1</v>
      </c>
      <c r="G4080">
        <v>0.96533100000000005</v>
      </c>
    </row>
    <row r="4081" spans="1:7">
      <c r="A4081" t="s">
        <v>144</v>
      </c>
      <c r="B4081">
        <v>64</v>
      </c>
      <c r="C4081">
        <v>12</v>
      </c>
      <c r="D4081">
        <v>0.87377499999999997</v>
      </c>
      <c r="E4081">
        <v>-0.78621799999999997</v>
      </c>
      <c r="F4081">
        <v>-1</v>
      </c>
      <c r="G4081">
        <v>-0.78621799999999997</v>
      </c>
    </row>
    <row r="4082" spans="1:7">
      <c r="A4082" t="s">
        <v>144</v>
      </c>
      <c r="B4082">
        <v>64</v>
      </c>
      <c r="C4082">
        <v>13</v>
      </c>
      <c r="D4082">
        <v>0.87377499999999997</v>
      </c>
      <c r="E4082">
        <v>-0.52262900000000001</v>
      </c>
      <c r="F4082">
        <v>-1</v>
      </c>
      <c r="G4082">
        <v>-0.52262900000000001</v>
      </c>
    </row>
    <row r="4083" spans="1:7">
      <c r="A4083" t="s">
        <v>144</v>
      </c>
      <c r="B4083">
        <v>64</v>
      </c>
      <c r="C4083">
        <v>14</v>
      </c>
      <c r="D4083">
        <v>0.87377499999999997</v>
      </c>
      <c r="E4083">
        <v>0.384716</v>
      </c>
      <c r="F4083">
        <v>-1</v>
      </c>
      <c r="G4083">
        <v>0.384716</v>
      </c>
    </row>
    <row r="4084" spans="1:7">
      <c r="A4084" t="s">
        <v>144</v>
      </c>
      <c r="B4084">
        <v>64</v>
      </c>
      <c r="C4084">
        <v>15</v>
      </c>
      <c r="D4084">
        <v>0.87377499999999997</v>
      </c>
      <c r="E4084">
        <v>0.130131</v>
      </c>
      <c r="F4084">
        <v>-1</v>
      </c>
      <c r="G4084">
        <v>0.130131</v>
      </c>
    </row>
    <row r="4085" spans="1:7">
      <c r="A4085" t="s">
        <v>144</v>
      </c>
      <c r="B4085">
        <v>64</v>
      </c>
      <c r="C4085">
        <v>16</v>
      </c>
      <c r="D4085">
        <v>0.87377499999999997</v>
      </c>
      <c r="E4085">
        <v>-0.62959699999999996</v>
      </c>
      <c r="F4085">
        <v>-1</v>
      </c>
      <c r="G4085">
        <v>-0.62959699999999996</v>
      </c>
    </row>
    <row r="4086" spans="1:7">
      <c r="A4086" t="s">
        <v>144</v>
      </c>
      <c r="B4086">
        <v>64</v>
      </c>
      <c r="C4086">
        <v>17</v>
      </c>
      <c r="D4086">
        <v>0.87377499999999997</v>
      </c>
      <c r="E4086">
        <v>0.431593</v>
      </c>
      <c r="F4086">
        <v>-1</v>
      </c>
      <c r="G4086">
        <v>0.431593</v>
      </c>
    </row>
    <row r="4087" spans="1:7">
      <c r="A4087" t="s">
        <v>144</v>
      </c>
      <c r="B4087">
        <v>64</v>
      </c>
      <c r="C4087">
        <v>18</v>
      </c>
      <c r="D4087">
        <v>0.87377499999999997</v>
      </c>
      <c r="E4087">
        <v>0.13589899999999999</v>
      </c>
      <c r="F4087">
        <v>-1</v>
      </c>
      <c r="G4087">
        <v>0.13589899999999999</v>
      </c>
    </row>
    <row r="4088" spans="1:7">
      <c r="A4088" t="s">
        <v>144</v>
      </c>
      <c r="B4088">
        <v>64</v>
      </c>
      <c r="C4088">
        <v>19</v>
      </c>
      <c r="D4088">
        <v>0.87377499999999997</v>
      </c>
      <c r="E4088">
        <v>0.354686</v>
      </c>
      <c r="F4088">
        <v>-1</v>
      </c>
      <c r="G4088">
        <v>0.354686</v>
      </c>
    </row>
    <row r="4089" spans="1:7">
      <c r="A4089" t="s">
        <v>144</v>
      </c>
      <c r="B4089">
        <v>64</v>
      </c>
      <c r="C4089">
        <v>20</v>
      </c>
      <c r="D4089">
        <v>0.87377499999999997</v>
      </c>
      <c r="E4089">
        <v>0.77749000000000001</v>
      </c>
      <c r="F4089">
        <v>-1</v>
      </c>
      <c r="G4089">
        <v>0.77749000000000001</v>
      </c>
    </row>
    <row r="4090" spans="1:7">
      <c r="A4090" t="s">
        <v>144</v>
      </c>
      <c r="B4090">
        <v>64</v>
      </c>
      <c r="C4090">
        <v>21</v>
      </c>
      <c r="D4090">
        <v>0.87377499999999997</v>
      </c>
      <c r="E4090">
        <v>-0.48280299999999998</v>
      </c>
      <c r="F4090">
        <v>-1</v>
      </c>
      <c r="G4090">
        <v>-0.48280299999999998</v>
      </c>
    </row>
    <row r="4091" spans="1:7">
      <c r="A4091" t="s">
        <v>144</v>
      </c>
      <c r="B4091">
        <v>64</v>
      </c>
      <c r="C4091">
        <v>22</v>
      </c>
      <c r="D4091">
        <v>0.87377499999999997</v>
      </c>
      <c r="E4091">
        <v>0.28189900000000001</v>
      </c>
      <c r="F4091">
        <v>-1</v>
      </c>
      <c r="G4091">
        <v>0.28189900000000001</v>
      </c>
    </row>
    <row r="4092" spans="1:7">
      <c r="A4092" t="s">
        <v>144</v>
      </c>
      <c r="B4092">
        <v>64</v>
      </c>
      <c r="C4092">
        <v>23</v>
      </c>
      <c r="D4092">
        <v>0.87377499999999997</v>
      </c>
      <c r="E4092">
        <v>0.66295400000000004</v>
      </c>
      <c r="F4092">
        <v>-1</v>
      </c>
      <c r="G4092">
        <v>0.66295400000000004</v>
      </c>
    </row>
    <row r="4093" spans="1:7">
      <c r="A4093" t="s">
        <v>144</v>
      </c>
      <c r="B4093">
        <v>64</v>
      </c>
      <c r="C4093">
        <v>24</v>
      </c>
      <c r="D4093">
        <v>0.87377499999999997</v>
      </c>
      <c r="E4093">
        <v>-0.95318499999999995</v>
      </c>
      <c r="F4093">
        <v>-1</v>
      </c>
      <c r="G4093">
        <v>-0.95318499999999995</v>
      </c>
    </row>
    <row r="4094" spans="1:7">
      <c r="A4094" t="s">
        <v>144</v>
      </c>
      <c r="B4094">
        <v>64</v>
      </c>
      <c r="C4094">
        <v>25</v>
      </c>
      <c r="D4094">
        <v>0.87377499999999997</v>
      </c>
      <c r="E4094">
        <v>0.75643199999999999</v>
      </c>
      <c r="F4094">
        <v>-1</v>
      </c>
      <c r="G4094">
        <v>0.75643199999999999</v>
      </c>
    </row>
    <row r="4095" spans="1:7">
      <c r="A4095" t="s">
        <v>144</v>
      </c>
      <c r="B4095">
        <v>64</v>
      </c>
      <c r="C4095">
        <v>26</v>
      </c>
      <c r="D4095">
        <v>0.87377499999999997</v>
      </c>
      <c r="E4095">
        <v>-0.67696199999999995</v>
      </c>
      <c r="F4095">
        <v>-1</v>
      </c>
      <c r="G4095">
        <v>-0.67696199999999995</v>
      </c>
    </row>
    <row r="4096" spans="1:7">
      <c r="A4096" t="s">
        <v>144</v>
      </c>
      <c r="B4096">
        <v>64</v>
      </c>
      <c r="C4096">
        <v>27</v>
      </c>
      <c r="D4096">
        <v>0.87377499999999997</v>
      </c>
      <c r="E4096">
        <v>-0.93832199999999999</v>
      </c>
      <c r="F4096">
        <v>-1</v>
      </c>
      <c r="G4096">
        <v>-0.93832199999999999</v>
      </c>
    </row>
    <row r="4097" spans="1:7">
      <c r="A4097" t="s">
        <v>144</v>
      </c>
      <c r="B4097">
        <v>64</v>
      </c>
      <c r="C4097">
        <v>28</v>
      </c>
      <c r="D4097">
        <v>0.87377499999999997</v>
      </c>
      <c r="E4097">
        <v>0.86553500000000005</v>
      </c>
      <c r="F4097">
        <v>-1</v>
      </c>
      <c r="G4097">
        <v>0.86553500000000005</v>
      </c>
    </row>
    <row r="4098" spans="1:7">
      <c r="A4098" t="s">
        <v>144</v>
      </c>
      <c r="B4098">
        <v>64</v>
      </c>
      <c r="C4098">
        <v>29</v>
      </c>
      <c r="D4098">
        <v>0.87377499999999997</v>
      </c>
      <c r="E4098">
        <v>0.45188800000000001</v>
      </c>
      <c r="F4098">
        <v>-1</v>
      </c>
      <c r="G4098">
        <v>0.45188800000000001</v>
      </c>
    </row>
    <row r="4099" spans="1:7">
      <c r="A4099" t="s">
        <v>144</v>
      </c>
      <c r="B4099">
        <v>64</v>
      </c>
      <c r="C4099">
        <v>30</v>
      </c>
      <c r="D4099">
        <v>0.87377499999999997</v>
      </c>
      <c r="E4099">
        <v>0.49861100000000003</v>
      </c>
      <c r="F4099">
        <v>-1</v>
      </c>
      <c r="G4099">
        <v>0.49861100000000003</v>
      </c>
    </row>
    <row r="4100" spans="1:7">
      <c r="A4100" t="s">
        <v>144</v>
      </c>
      <c r="B4100">
        <v>64</v>
      </c>
      <c r="C4100">
        <v>31</v>
      </c>
      <c r="D4100">
        <v>0.87377499999999997</v>
      </c>
      <c r="E4100">
        <v>0.224525</v>
      </c>
      <c r="F4100">
        <v>-1</v>
      </c>
      <c r="G4100">
        <v>0.224525</v>
      </c>
    </row>
    <row r="4101" spans="1:7">
      <c r="A4101" t="s">
        <v>144</v>
      </c>
      <c r="B4101">
        <v>64</v>
      </c>
      <c r="C4101">
        <v>32</v>
      </c>
      <c r="D4101">
        <v>0.87377499999999997</v>
      </c>
      <c r="E4101">
        <v>0.91579900000000003</v>
      </c>
      <c r="F4101">
        <v>-1</v>
      </c>
      <c r="G4101">
        <v>0.91579900000000003</v>
      </c>
    </row>
    <row r="4102" spans="1:7">
      <c r="A4102" t="s">
        <v>144</v>
      </c>
      <c r="B4102">
        <v>64</v>
      </c>
      <c r="C4102">
        <v>33</v>
      </c>
      <c r="D4102">
        <v>0.87377499999999997</v>
      </c>
      <c r="E4102">
        <v>-0.251106</v>
      </c>
      <c r="F4102">
        <v>-1</v>
      </c>
      <c r="G4102">
        <v>-0.251106</v>
      </c>
    </row>
    <row r="4103" spans="1:7">
      <c r="A4103" t="s">
        <v>144</v>
      </c>
      <c r="B4103">
        <v>64</v>
      </c>
      <c r="C4103">
        <v>34</v>
      </c>
      <c r="D4103">
        <v>0.87377499999999997</v>
      </c>
      <c r="E4103">
        <v>-0.51741099999999995</v>
      </c>
      <c r="F4103">
        <v>-1</v>
      </c>
      <c r="G4103">
        <v>-0.51741099999999995</v>
      </c>
    </row>
    <row r="4104" spans="1:7">
      <c r="A4104" t="s">
        <v>144</v>
      </c>
      <c r="B4104">
        <v>64</v>
      </c>
      <c r="C4104">
        <v>35</v>
      </c>
      <c r="D4104">
        <v>0.87377499999999997</v>
      </c>
      <c r="E4104">
        <v>-0.151341</v>
      </c>
      <c r="F4104">
        <v>-1</v>
      </c>
      <c r="G4104">
        <v>-0.151341</v>
      </c>
    </row>
    <row r="4105" spans="1:7">
      <c r="A4105" t="s">
        <v>144</v>
      </c>
      <c r="B4105">
        <v>64</v>
      </c>
      <c r="C4105">
        <v>36</v>
      </c>
      <c r="D4105">
        <v>0.87377499999999997</v>
      </c>
      <c r="E4105">
        <v>-2.9786E-2</v>
      </c>
      <c r="F4105">
        <v>-1</v>
      </c>
      <c r="G4105">
        <v>-2.9786E-2</v>
      </c>
    </row>
    <row r="4106" spans="1:7">
      <c r="A4106" t="s">
        <v>144</v>
      </c>
      <c r="B4106">
        <v>64</v>
      </c>
      <c r="C4106">
        <v>37</v>
      </c>
      <c r="D4106">
        <v>0.87377499999999997</v>
      </c>
      <c r="E4106">
        <v>-0.80696999999999997</v>
      </c>
      <c r="F4106">
        <v>-1</v>
      </c>
      <c r="G4106">
        <v>-0.80696999999999997</v>
      </c>
    </row>
    <row r="4107" spans="1:7">
      <c r="A4107" t="s">
        <v>144</v>
      </c>
      <c r="B4107">
        <v>64</v>
      </c>
      <c r="C4107">
        <v>38</v>
      </c>
      <c r="D4107">
        <v>0.87377499999999997</v>
      </c>
      <c r="E4107">
        <v>-0.49125600000000003</v>
      </c>
      <c r="F4107">
        <v>-1</v>
      </c>
      <c r="G4107">
        <v>-0.49125600000000003</v>
      </c>
    </row>
    <row r="4108" spans="1:7">
      <c r="A4108" t="s">
        <v>144</v>
      </c>
      <c r="B4108">
        <v>64</v>
      </c>
      <c r="C4108">
        <v>39</v>
      </c>
      <c r="D4108">
        <v>0.87377499999999997</v>
      </c>
      <c r="E4108">
        <v>-0.485458</v>
      </c>
      <c r="F4108">
        <v>-1</v>
      </c>
      <c r="G4108">
        <v>-0.485458</v>
      </c>
    </row>
    <row r="4109" spans="1:7">
      <c r="A4109" t="s">
        <v>144</v>
      </c>
      <c r="B4109">
        <v>64</v>
      </c>
      <c r="C4109">
        <v>40</v>
      </c>
      <c r="D4109">
        <v>0.87377499999999997</v>
      </c>
      <c r="E4109">
        <v>-0.61494800000000005</v>
      </c>
      <c r="F4109">
        <v>-1</v>
      </c>
      <c r="G4109">
        <v>-0.61494800000000005</v>
      </c>
    </row>
    <row r="4110" spans="1:7">
      <c r="A4110" t="s">
        <v>144</v>
      </c>
      <c r="B4110">
        <v>64</v>
      </c>
      <c r="C4110">
        <v>41</v>
      </c>
      <c r="D4110">
        <v>0.87377499999999997</v>
      </c>
      <c r="E4110">
        <v>-0.35630400000000001</v>
      </c>
      <c r="F4110">
        <v>-1</v>
      </c>
      <c r="G4110">
        <v>-0.35630400000000001</v>
      </c>
    </row>
    <row r="4111" spans="1:7">
      <c r="A4111" t="s">
        <v>144</v>
      </c>
      <c r="B4111">
        <v>64</v>
      </c>
      <c r="C4111">
        <v>42</v>
      </c>
      <c r="D4111">
        <v>0.87377499999999997</v>
      </c>
      <c r="E4111">
        <v>0.68504900000000002</v>
      </c>
      <c r="F4111">
        <v>-1</v>
      </c>
      <c r="G4111">
        <v>0.68504900000000002</v>
      </c>
    </row>
    <row r="4112" spans="1:7">
      <c r="A4112" t="s">
        <v>144</v>
      </c>
      <c r="B4112">
        <v>64</v>
      </c>
      <c r="C4112">
        <v>43</v>
      </c>
      <c r="D4112">
        <v>0.87377499999999997</v>
      </c>
      <c r="E4112">
        <v>0.80605499999999997</v>
      </c>
      <c r="F4112">
        <v>-1</v>
      </c>
      <c r="G4112">
        <v>0.80605499999999997</v>
      </c>
    </row>
    <row r="4113" spans="1:7">
      <c r="A4113" t="s">
        <v>144</v>
      </c>
      <c r="B4113">
        <v>64</v>
      </c>
      <c r="C4113">
        <v>44</v>
      </c>
      <c r="D4113">
        <v>0.87377499999999997</v>
      </c>
      <c r="E4113">
        <v>0.64223200000000003</v>
      </c>
      <c r="F4113">
        <v>-0.87911600000000001</v>
      </c>
      <c r="G4113">
        <v>0.45019999999999999</v>
      </c>
    </row>
    <row r="4114" spans="1:7">
      <c r="A4114" t="s">
        <v>144</v>
      </c>
      <c r="B4114">
        <v>64</v>
      </c>
      <c r="C4114">
        <v>45</v>
      </c>
      <c r="D4114">
        <v>0.87377499999999997</v>
      </c>
      <c r="E4114">
        <v>-0.45838800000000002</v>
      </c>
      <c r="F4114">
        <v>2.7619000000000001E-2</v>
      </c>
      <c r="G4114">
        <v>-0.39704200000000001</v>
      </c>
    </row>
    <row r="4115" spans="1:7">
      <c r="A4115" t="s">
        <v>144</v>
      </c>
      <c r="B4115">
        <v>64</v>
      </c>
      <c r="C4115">
        <v>46</v>
      </c>
      <c r="D4115">
        <v>0.87377499999999997</v>
      </c>
      <c r="E4115">
        <v>0.51512199999999997</v>
      </c>
      <c r="F4115">
        <v>-0.511826</v>
      </c>
      <c r="G4115">
        <v>0.38549600000000001</v>
      </c>
    </row>
    <row r="4116" spans="1:7">
      <c r="A4116" t="s">
        <v>144</v>
      </c>
      <c r="B4116">
        <v>64</v>
      </c>
      <c r="C4116">
        <v>47</v>
      </c>
      <c r="D4116">
        <v>0.87377499999999997</v>
      </c>
      <c r="E4116">
        <v>-0.30576500000000001</v>
      </c>
      <c r="F4116">
        <v>-0.57637300000000002</v>
      </c>
      <c r="G4116">
        <v>-0.339922</v>
      </c>
    </row>
    <row r="4117" spans="1:7">
      <c r="A4117" t="s">
        <v>144</v>
      </c>
      <c r="B4117">
        <v>64</v>
      </c>
      <c r="C4117">
        <v>48</v>
      </c>
      <c r="D4117">
        <v>0.87377499999999997</v>
      </c>
      <c r="E4117">
        <v>0.853298</v>
      </c>
      <c r="F4117">
        <v>-0.92754899999999996</v>
      </c>
      <c r="G4117">
        <v>0.62851100000000004</v>
      </c>
    </row>
    <row r="4118" spans="1:7">
      <c r="A4118" t="s">
        <v>144</v>
      </c>
      <c r="B4118">
        <v>64</v>
      </c>
      <c r="C4118">
        <v>49</v>
      </c>
      <c r="D4118">
        <v>0.87377499999999997</v>
      </c>
      <c r="E4118">
        <v>0.85824100000000003</v>
      </c>
      <c r="F4118">
        <v>-0.71282100000000004</v>
      </c>
      <c r="G4118">
        <v>0.65993500000000005</v>
      </c>
    </row>
    <row r="4119" spans="1:7">
      <c r="A4119" t="s">
        <v>144</v>
      </c>
      <c r="B4119" t="s">
        <v>145</v>
      </c>
      <c r="C4119">
        <v>65</v>
      </c>
    </row>
    <row r="4120" spans="1:7">
      <c r="A4120" t="s">
        <v>144</v>
      </c>
      <c r="B4120" t="s">
        <v>146</v>
      </c>
      <c r="C4120">
        <v>46</v>
      </c>
    </row>
    <row r="4121" spans="1:7">
      <c r="A4121" t="s">
        <v>144</v>
      </c>
      <c r="B4121" t="s">
        <v>147</v>
      </c>
      <c r="C4121">
        <v>46</v>
      </c>
    </row>
    <row r="4122" spans="1:7">
      <c r="A4122" t="s">
        <v>144</v>
      </c>
      <c r="B4122" t="s">
        <v>148</v>
      </c>
      <c r="C4122">
        <v>0.26221499999999998</v>
      </c>
    </row>
    <row r="4123" spans="1:7">
      <c r="A4123" t="s">
        <v>144</v>
      </c>
      <c r="B4123" t="s">
        <v>149</v>
      </c>
      <c r="C4123">
        <v>0.26221499999999998</v>
      </c>
    </row>
    <row r="4124" spans="1:7">
      <c r="A4124" t="s">
        <v>144</v>
      </c>
      <c r="B4124" t="s">
        <v>150</v>
      </c>
      <c r="C4124">
        <v>-1</v>
      </c>
    </row>
    <row r="4125" spans="1:7">
      <c r="A4125" t="s">
        <v>144</v>
      </c>
      <c r="B4125" t="s">
        <v>151</v>
      </c>
      <c r="C4125">
        <v>-1</v>
      </c>
    </row>
    <row r="4126" spans="1:7">
      <c r="A4126" t="s">
        <v>144</v>
      </c>
      <c r="B4126" t="s">
        <v>152</v>
      </c>
      <c r="C4126">
        <v>33</v>
      </c>
    </row>
    <row r="4127" spans="1:7">
      <c r="A4127" t="s">
        <v>144</v>
      </c>
      <c r="B4127" t="s">
        <v>153</v>
      </c>
      <c r="C4127">
        <v>33</v>
      </c>
    </row>
    <row r="4128" spans="1:7">
      <c r="A4128" t="s">
        <v>144</v>
      </c>
      <c r="B4128" t="s">
        <v>154</v>
      </c>
      <c r="C4128">
        <v>0</v>
      </c>
    </row>
    <row r="4129" spans="1:7">
      <c r="A4129" t="s">
        <v>144</v>
      </c>
      <c r="B4129" t="s">
        <v>155</v>
      </c>
    </row>
    <row r="4130" spans="1:7">
      <c r="A4130" t="s">
        <v>144</v>
      </c>
      <c r="B4130" t="s">
        <v>150</v>
      </c>
      <c r="C4130">
        <v>0.86285000000000001</v>
      </c>
    </row>
    <row r="4131" spans="1:7">
      <c r="A4131" t="s">
        <v>144</v>
      </c>
      <c r="B4131" t="s">
        <v>151</v>
      </c>
      <c r="C4131">
        <v>0.86285000000000001</v>
      </c>
    </row>
    <row r="4132" spans="1:7">
      <c r="A4132" t="s">
        <v>144</v>
      </c>
      <c r="B4132" t="s">
        <v>156</v>
      </c>
      <c r="C4132" t="s">
        <v>157</v>
      </c>
      <c r="D4132" t="s">
        <v>63</v>
      </c>
      <c r="E4132" t="s">
        <v>158</v>
      </c>
      <c r="F4132" t="s">
        <v>159</v>
      </c>
      <c r="G4132" t="s">
        <v>160</v>
      </c>
    </row>
    <row r="4133" spans="1:7">
      <c r="A4133" t="s">
        <v>144</v>
      </c>
      <c r="B4133">
        <v>65</v>
      </c>
      <c r="C4133">
        <v>0</v>
      </c>
      <c r="D4133">
        <v>0.86285000000000001</v>
      </c>
      <c r="E4133">
        <v>-0.77953399999999995</v>
      </c>
      <c r="F4133">
        <v>-1</v>
      </c>
      <c r="G4133">
        <v>-0.77953399999999995</v>
      </c>
    </row>
    <row r="4134" spans="1:7">
      <c r="A4134" t="s">
        <v>144</v>
      </c>
      <c r="B4134">
        <v>65</v>
      </c>
      <c r="C4134">
        <v>1</v>
      </c>
      <c r="D4134">
        <v>0.86285000000000001</v>
      </c>
      <c r="E4134">
        <v>0.57921100000000003</v>
      </c>
      <c r="F4134">
        <v>-1</v>
      </c>
      <c r="G4134">
        <v>0.57921100000000003</v>
      </c>
    </row>
    <row r="4135" spans="1:7">
      <c r="A4135" t="s">
        <v>144</v>
      </c>
      <c r="B4135">
        <v>65</v>
      </c>
      <c r="C4135">
        <v>2</v>
      </c>
      <c r="D4135">
        <v>0.86285000000000001</v>
      </c>
      <c r="E4135">
        <v>-0.45201000000000002</v>
      </c>
      <c r="F4135">
        <v>-1</v>
      </c>
      <c r="G4135">
        <v>-0.45201000000000002</v>
      </c>
    </row>
    <row r="4136" spans="1:7">
      <c r="A4136" t="s">
        <v>144</v>
      </c>
      <c r="B4136">
        <v>65</v>
      </c>
      <c r="C4136">
        <v>3</v>
      </c>
      <c r="D4136">
        <v>0.86285000000000001</v>
      </c>
      <c r="E4136">
        <v>0.33069900000000002</v>
      </c>
      <c r="F4136">
        <v>-1</v>
      </c>
      <c r="G4136">
        <v>0.33069900000000002</v>
      </c>
    </row>
    <row r="4137" spans="1:7">
      <c r="A4137" t="s">
        <v>144</v>
      </c>
      <c r="B4137">
        <v>65</v>
      </c>
      <c r="C4137">
        <v>4</v>
      </c>
      <c r="D4137">
        <v>0.86285000000000001</v>
      </c>
      <c r="E4137">
        <v>-0.92080399999999996</v>
      </c>
      <c r="F4137">
        <v>-1</v>
      </c>
      <c r="G4137">
        <v>-0.92080399999999996</v>
      </c>
    </row>
    <row r="4138" spans="1:7">
      <c r="A4138" t="s">
        <v>144</v>
      </c>
      <c r="B4138">
        <v>65</v>
      </c>
      <c r="C4138">
        <v>5</v>
      </c>
      <c r="D4138">
        <v>0.86285000000000001</v>
      </c>
      <c r="E4138">
        <v>0.62257799999999996</v>
      </c>
      <c r="F4138">
        <v>-1</v>
      </c>
      <c r="G4138">
        <v>0.62257799999999996</v>
      </c>
    </row>
    <row r="4139" spans="1:7">
      <c r="A4139" t="s">
        <v>144</v>
      </c>
      <c r="B4139">
        <v>65</v>
      </c>
      <c r="C4139">
        <v>6</v>
      </c>
      <c r="D4139">
        <v>0.86285000000000001</v>
      </c>
      <c r="E4139">
        <v>0.74230200000000002</v>
      </c>
      <c r="F4139">
        <v>-1</v>
      </c>
      <c r="G4139">
        <v>0.74230200000000002</v>
      </c>
    </row>
    <row r="4140" spans="1:7">
      <c r="A4140" t="s">
        <v>144</v>
      </c>
      <c r="B4140">
        <v>65</v>
      </c>
      <c r="C4140">
        <v>7</v>
      </c>
      <c r="D4140">
        <v>0.86285000000000001</v>
      </c>
      <c r="E4140">
        <v>0.62001399999999995</v>
      </c>
      <c r="F4140">
        <v>-1</v>
      </c>
      <c r="G4140">
        <v>0.62001399999999995</v>
      </c>
    </row>
    <row r="4141" spans="1:7">
      <c r="A4141" t="s">
        <v>144</v>
      </c>
      <c r="B4141">
        <v>65</v>
      </c>
      <c r="C4141">
        <v>8</v>
      </c>
      <c r="D4141">
        <v>0.86285000000000001</v>
      </c>
      <c r="E4141">
        <v>0.81862800000000002</v>
      </c>
      <c r="F4141">
        <v>-1</v>
      </c>
      <c r="G4141">
        <v>0.81862800000000002</v>
      </c>
    </row>
    <row r="4142" spans="1:7">
      <c r="A4142" t="s">
        <v>144</v>
      </c>
      <c r="B4142">
        <v>65</v>
      </c>
      <c r="C4142">
        <v>9</v>
      </c>
      <c r="D4142">
        <v>0.86285000000000001</v>
      </c>
      <c r="E4142">
        <v>0.17725199999999999</v>
      </c>
      <c r="F4142">
        <v>-1</v>
      </c>
      <c r="G4142">
        <v>0.17725199999999999</v>
      </c>
    </row>
    <row r="4143" spans="1:7">
      <c r="A4143" t="s">
        <v>144</v>
      </c>
      <c r="B4143">
        <v>65</v>
      </c>
      <c r="C4143">
        <v>10</v>
      </c>
      <c r="D4143">
        <v>0.86285000000000001</v>
      </c>
      <c r="E4143">
        <v>0.455733</v>
      </c>
      <c r="F4143">
        <v>-1</v>
      </c>
      <c r="G4143">
        <v>0.455733</v>
      </c>
    </row>
    <row r="4144" spans="1:7">
      <c r="A4144" t="s">
        <v>144</v>
      </c>
      <c r="B4144">
        <v>65</v>
      </c>
      <c r="C4144">
        <v>11</v>
      </c>
      <c r="D4144">
        <v>0.86285000000000001</v>
      </c>
      <c r="E4144">
        <v>0.61146900000000004</v>
      </c>
      <c r="F4144">
        <v>-1</v>
      </c>
      <c r="G4144">
        <v>0.61146900000000004</v>
      </c>
    </row>
    <row r="4145" spans="1:7">
      <c r="A4145" t="s">
        <v>144</v>
      </c>
      <c r="B4145">
        <v>65</v>
      </c>
      <c r="C4145">
        <v>12</v>
      </c>
      <c r="D4145">
        <v>0.86285000000000001</v>
      </c>
      <c r="E4145">
        <v>-0.57991300000000001</v>
      </c>
      <c r="F4145">
        <v>-1</v>
      </c>
      <c r="G4145">
        <v>-0.57991300000000001</v>
      </c>
    </row>
    <row r="4146" spans="1:7">
      <c r="A4146" t="s">
        <v>144</v>
      </c>
      <c r="B4146">
        <v>65</v>
      </c>
      <c r="C4146">
        <v>13</v>
      </c>
      <c r="D4146">
        <v>0.86285000000000001</v>
      </c>
      <c r="E4146">
        <v>0.90084500000000001</v>
      </c>
      <c r="F4146">
        <v>-1</v>
      </c>
      <c r="G4146">
        <v>0.90084500000000001</v>
      </c>
    </row>
    <row r="4147" spans="1:7">
      <c r="A4147" t="s">
        <v>144</v>
      </c>
      <c r="B4147">
        <v>65</v>
      </c>
      <c r="C4147">
        <v>14</v>
      </c>
      <c r="D4147">
        <v>0.86285000000000001</v>
      </c>
      <c r="E4147">
        <v>-0.76863899999999996</v>
      </c>
      <c r="F4147">
        <v>-1</v>
      </c>
      <c r="G4147">
        <v>-0.76863899999999996</v>
      </c>
    </row>
    <row r="4148" spans="1:7">
      <c r="A4148" t="s">
        <v>144</v>
      </c>
      <c r="B4148">
        <v>65</v>
      </c>
      <c r="C4148">
        <v>15</v>
      </c>
      <c r="D4148">
        <v>0.86285000000000001</v>
      </c>
      <c r="E4148">
        <v>-0.212256</v>
      </c>
      <c r="F4148">
        <v>-1</v>
      </c>
      <c r="G4148">
        <v>-0.212256</v>
      </c>
    </row>
    <row r="4149" spans="1:7">
      <c r="A4149" t="s">
        <v>144</v>
      </c>
      <c r="B4149">
        <v>65</v>
      </c>
      <c r="C4149">
        <v>16</v>
      </c>
      <c r="D4149">
        <v>0.86285000000000001</v>
      </c>
      <c r="E4149">
        <v>0.25214399999999998</v>
      </c>
      <c r="F4149">
        <v>-1</v>
      </c>
      <c r="G4149">
        <v>0.25214399999999998</v>
      </c>
    </row>
    <row r="4150" spans="1:7">
      <c r="A4150" t="s">
        <v>144</v>
      </c>
      <c r="B4150">
        <v>65</v>
      </c>
      <c r="C4150">
        <v>17</v>
      </c>
      <c r="D4150">
        <v>0.86285000000000001</v>
      </c>
      <c r="E4150">
        <v>-0.16586799999999999</v>
      </c>
      <c r="F4150">
        <v>-1</v>
      </c>
      <c r="G4150">
        <v>-0.16586799999999999</v>
      </c>
    </row>
    <row r="4151" spans="1:7">
      <c r="A4151" t="s">
        <v>144</v>
      </c>
      <c r="B4151">
        <v>65</v>
      </c>
      <c r="C4151">
        <v>18</v>
      </c>
      <c r="D4151">
        <v>0.86285000000000001</v>
      </c>
      <c r="E4151">
        <v>-0.54200899999999996</v>
      </c>
      <c r="F4151">
        <v>-1</v>
      </c>
      <c r="G4151">
        <v>-0.54200899999999996</v>
      </c>
    </row>
    <row r="4152" spans="1:7">
      <c r="A4152" t="s">
        <v>144</v>
      </c>
      <c r="B4152">
        <v>65</v>
      </c>
      <c r="C4152">
        <v>19</v>
      </c>
      <c r="D4152">
        <v>0.86285000000000001</v>
      </c>
      <c r="E4152">
        <v>0.74178299999999997</v>
      </c>
      <c r="F4152">
        <v>-1</v>
      </c>
      <c r="G4152">
        <v>0.74178299999999997</v>
      </c>
    </row>
    <row r="4153" spans="1:7">
      <c r="A4153" t="s">
        <v>144</v>
      </c>
      <c r="B4153">
        <v>65</v>
      </c>
      <c r="C4153">
        <v>20</v>
      </c>
      <c r="D4153">
        <v>0.86285000000000001</v>
      </c>
      <c r="E4153">
        <v>0.84289099999999995</v>
      </c>
      <c r="F4153">
        <v>-1</v>
      </c>
      <c r="G4153">
        <v>0.84289099999999995</v>
      </c>
    </row>
    <row r="4154" spans="1:7">
      <c r="A4154" t="s">
        <v>144</v>
      </c>
      <c r="B4154">
        <v>65</v>
      </c>
      <c r="C4154">
        <v>21</v>
      </c>
      <c r="D4154">
        <v>0.86285000000000001</v>
      </c>
      <c r="E4154">
        <v>0.23572499999999999</v>
      </c>
      <c r="F4154">
        <v>-1</v>
      </c>
      <c r="G4154">
        <v>0.23572499999999999</v>
      </c>
    </row>
    <row r="4155" spans="1:7">
      <c r="A4155" t="s">
        <v>144</v>
      </c>
      <c r="B4155">
        <v>65</v>
      </c>
      <c r="C4155">
        <v>22</v>
      </c>
      <c r="D4155">
        <v>0.86285000000000001</v>
      </c>
      <c r="E4155">
        <v>-0.90362299999999995</v>
      </c>
      <c r="F4155">
        <v>-1</v>
      </c>
      <c r="G4155">
        <v>-0.90362299999999995</v>
      </c>
    </row>
    <row r="4156" spans="1:7">
      <c r="A4156" t="s">
        <v>144</v>
      </c>
      <c r="B4156">
        <v>65</v>
      </c>
      <c r="C4156">
        <v>23</v>
      </c>
      <c r="D4156">
        <v>0.86285000000000001</v>
      </c>
      <c r="E4156">
        <v>-0.169958</v>
      </c>
      <c r="F4156">
        <v>-1</v>
      </c>
      <c r="G4156">
        <v>-0.169958</v>
      </c>
    </row>
    <row r="4157" spans="1:7">
      <c r="A4157" t="s">
        <v>144</v>
      </c>
      <c r="B4157">
        <v>65</v>
      </c>
      <c r="C4157">
        <v>24</v>
      </c>
      <c r="D4157">
        <v>0.86285000000000001</v>
      </c>
      <c r="E4157">
        <v>0.46427800000000002</v>
      </c>
      <c r="F4157">
        <v>-1</v>
      </c>
      <c r="G4157">
        <v>0.46427800000000002</v>
      </c>
    </row>
    <row r="4158" spans="1:7">
      <c r="A4158" t="s">
        <v>144</v>
      </c>
      <c r="B4158">
        <v>65</v>
      </c>
      <c r="C4158">
        <v>25</v>
      </c>
      <c r="D4158">
        <v>0.86285000000000001</v>
      </c>
      <c r="E4158">
        <v>0.56526399999999999</v>
      </c>
      <c r="F4158">
        <v>-1</v>
      </c>
      <c r="G4158">
        <v>0.56526399999999999</v>
      </c>
    </row>
    <row r="4159" spans="1:7">
      <c r="A4159" t="s">
        <v>144</v>
      </c>
      <c r="B4159">
        <v>65</v>
      </c>
      <c r="C4159">
        <v>26</v>
      </c>
      <c r="D4159">
        <v>0.86285000000000001</v>
      </c>
      <c r="E4159">
        <v>-0.954924</v>
      </c>
      <c r="F4159">
        <v>-1</v>
      </c>
      <c r="G4159">
        <v>-0.954924</v>
      </c>
    </row>
    <row r="4160" spans="1:7">
      <c r="A4160" t="s">
        <v>144</v>
      </c>
      <c r="B4160">
        <v>65</v>
      </c>
      <c r="C4160">
        <v>27</v>
      </c>
      <c r="D4160">
        <v>0.86285000000000001</v>
      </c>
      <c r="E4160">
        <v>-0.48057499999999997</v>
      </c>
      <c r="F4160">
        <v>-1</v>
      </c>
      <c r="G4160">
        <v>-0.48057499999999997</v>
      </c>
    </row>
    <row r="4161" spans="1:7">
      <c r="A4161" t="s">
        <v>144</v>
      </c>
      <c r="B4161">
        <v>65</v>
      </c>
      <c r="C4161">
        <v>28</v>
      </c>
      <c r="D4161">
        <v>0.86285000000000001</v>
      </c>
      <c r="E4161">
        <v>0.60264899999999999</v>
      </c>
      <c r="F4161">
        <v>-1</v>
      </c>
      <c r="G4161">
        <v>0.60264899999999999</v>
      </c>
    </row>
    <row r="4162" spans="1:7">
      <c r="A4162" t="s">
        <v>144</v>
      </c>
      <c r="B4162">
        <v>65</v>
      </c>
      <c r="C4162">
        <v>29</v>
      </c>
      <c r="D4162">
        <v>0.86285000000000001</v>
      </c>
      <c r="E4162">
        <v>-0.2266</v>
      </c>
      <c r="F4162">
        <v>-1</v>
      </c>
      <c r="G4162">
        <v>-0.2266</v>
      </c>
    </row>
    <row r="4163" spans="1:7">
      <c r="A4163" t="s">
        <v>144</v>
      </c>
      <c r="B4163">
        <v>65</v>
      </c>
      <c r="C4163">
        <v>30</v>
      </c>
      <c r="D4163">
        <v>0.86285000000000001</v>
      </c>
      <c r="E4163">
        <v>-0.60319800000000001</v>
      </c>
      <c r="F4163">
        <v>-1</v>
      </c>
      <c r="G4163">
        <v>-0.60319800000000001</v>
      </c>
    </row>
    <row r="4164" spans="1:7">
      <c r="A4164" t="s">
        <v>144</v>
      </c>
      <c r="B4164">
        <v>65</v>
      </c>
      <c r="C4164">
        <v>31</v>
      </c>
      <c r="D4164">
        <v>0.86285000000000001</v>
      </c>
      <c r="E4164">
        <v>0.15933700000000001</v>
      </c>
      <c r="F4164">
        <v>-1</v>
      </c>
      <c r="G4164">
        <v>0.15933700000000001</v>
      </c>
    </row>
    <row r="4165" spans="1:7">
      <c r="A4165" t="s">
        <v>144</v>
      </c>
      <c r="B4165">
        <v>65</v>
      </c>
      <c r="C4165">
        <v>32</v>
      </c>
      <c r="D4165">
        <v>0.86285000000000001</v>
      </c>
      <c r="E4165">
        <v>0.51301600000000003</v>
      </c>
      <c r="F4165">
        <v>-1</v>
      </c>
      <c r="G4165">
        <v>0.51301600000000003</v>
      </c>
    </row>
    <row r="4166" spans="1:7">
      <c r="A4166" t="s">
        <v>144</v>
      </c>
      <c r="B4166">
        <v>65</v>
      </c>
      <c r="C4166">
        <v>33</v>
      </c>
      <c r="D4166">
        <v>0.86285000000000001</v>
      </c>
      <c r="E4166">
        <v>-0.460005</v>
      </c>
      <c r="F4166">
        <v>0.97235000000000005</v>
      </c>
      <c r="G4166">
        <v>-0.26355800000000001</v>
      </c>
    </row>
    <row r="4167" spans="1:7">
      <c r="A4167" t="s">
        <v>144</v>
      </c>
      <c r="B4167">
        <v>65</v>
      </c>
      <c r="C4167">
        <v>34</v>
      </c>
      <c r="D4167">
        <v>0.86285000000000001</v>
      </c>
      <c r="E4167">
        <v>0.51854</v>
      </c>
      <c r="F4167">
        <v>-0.69472299999999998</v>
      </c>
      <c r="G4167">
        <v>0.35214099999999998</v>
      </c>
    </row>
    <row r="4168" spans="1:7">
      <c r="A4168" t="s">
        <v>144</v>
      </c>
      <c r="B4168">
        <v>65</v>
      </c>
      <c r="C4168">
        <v>35</v>
      </c>
      <c r="D4168">
        <v>0.86285000000000001</v>
      </c>
      <c r="E4168">
        <v>0.80748900000000001</v>
      </c>
      <c r="F4168">
        <v>-0.69075600000000004</v>
      </c>
      <c r="G4168">
        <v>0.60200500000000001</v>
      </c>
    </row>
    <row r="4169" spans="1:7">
      <c r="A4169" t="s">
        <v>144</v>
      </c>
      <c r="B4169">
        <v>65</v>
      </c>
      <c r="C4169">
        <v>36</v>
      </c>
      <c r="D4169">
        <v>0.86285000000000001</v>
      </c>
      <c r="E4169">
        <v>-0.73857799999999996</v>
      </c>
      <c r="F4169">
        <v>0.26718999999999998</v>
      </c>
      <c r="G4169">
        <v>-0.60063699999999998</v>
      </c>
    </row>
    <row r="4170" spans="1:7">
      <c r="A4170" t="s">
        <v>144</v>
      </c>
      <c r="B4170">
        <v>65</v>
      </c>
      <c r="C4170">
        <v>37</v>
      </c>
      <c r="D4170">
        <v>0.86285000000000001</v>
      </c>
      <c r="E4170">
        <v>0.34961999999999999</v>
      </c>
      <c r="F4170">
        <v>-0.404889</v>
      </c>
      <c r="G4170">
        <v>0.246139</v>
      </c>
    </row>
    <row r="4171" spans="1:7">
      <c r="A4171" t="s">
        <v>144</v>
      </c>
      <c r="B4171">
        <v>65</v>
      </c>
      <c r="C4171">
        <v>38</v>
      </c>
      <c r="D4171">
        <v>0.86285000000000001</v>
      </c>
      <c r="E4171">
        <v>-0.215918</v>
      </c>
      <c r="F4171">
        <v>-0.16455600000000001</v>
      </c>
      <c r="G4171">
        <v>-0.208874</v>
      </c>
    </row>
    <row r="4172" spans="1:7">
      <c r="A4172" t="s">
        <v>144</v>
      </c>
      <c r="B4172">
        <v>65</v>
      </c>
      <c r="C4172">
        <v>39</v>
      </c>
      <c r="D4172">
        <v>0.86285000000000001</v>
      </c>
      <c r="E4172">
        <v>0.87975700000000001</v>
      </c>
      <c r="F4172">
        <v>0.440382</v>
      </c>
      <c r="G4172">
        <v>0.81949700000000003</v>
      </c>
    </row>
    <row r="4173" spans="1:7">
      <c r="A4173" t="s">
        <v>144</v>
      </c>
      <c r="B4173">
        <v>65</v>
      </c>
      <c r="C4173">
        <v>40</v>
      </c>
      <c r="D4173">
        <v>0.86285000000000001</v>
      </c>
      <c r="E4173">
        <v>0.75524199999999997</v>
      </c>
      <c r="F4173">
        <v>0.65492700000000004</v>
      </c>
      <c r="G4173">
        <v>0.741483</v>
      </c>
    </row>
    <row r="4174" spans="1:7">
      <c r="A4174" t="s">
        <v>144</v>
      </c>
      <c r="B4174">
        <v>65</v>
      </c>
      <c r="C4174">
        <v>41</v>
      </c>
      <c r="D4174">
        <v>0.86285000000000001</v>
      </c>
      <c r="E4174">
        <v>-0.62422599999999995</v>
      </c>
      <c r="F4174">
        <v>0.241981</v>
      </c>
      <c r="G4174">
        <v>-0.50542500000000001</v>
      </c>
    </row>
    <row r="4175" spans="1:7">
      <c r="A4175" t="s">
        <v>144</v>
      </c>
      <c r="B4175">
        <v>65</v>
      </c>
      <c r="C4175">
        <v>42</v>
      </c>
      <c r="D4175">
        <v>0.86285000000000001</v>
      </c>
      <c r="E4175">
        <v>-0.26212299999999999</v>
      </c>
      <c r="F4175">
        <v>-3.0609999999999998E-2</v>
      </c>
      <c r="G4175">
        <v>-0.23037099999999999</v>
      </c>
    </row>
    <row r="4176" spans="1:7">
      <c r="A4176" t="s">
        <v>144</v>
      </c>
      <c r="B4176">
        <v>65</v>
      </c>
      <c r="C4176">
        <v>43</v>
      </c>
      <c r="D4176">
        <v>0.86285000000000001</v>
      </c>
      <c r="E4176">
        <v>0.54783800000000005</v>
      </c>
      <c r="F4176">
        <v>-5.1728999999999997E-2</v>
      </c>
      <c r="G4176">
        <v>0.46560699999999999</v>
      </c>
    </row>
    <row r="4177" spans="1:7">
      <c r="A4177" t="s">
        <v>144</v>
      </c>
      <c r="B4177">
        <v>65</v>
      </c>
      <c r="C4177">
        <v>44</v>
      </c>
      <c r="D4177">
        <v>0.86285000000000001</v>
      </c>
      <c r="E4177">
        <v>0.74123399999999995</v>
      </c>
      <c r="F4177">
        <v>0.963561</v>
      </c>
      <c r="G4177">
        <v>0.77172600000000002</v>
      </c>
    </row>
    <row r="4178" spans="1:7">
      <c r="A4178" t="s">
        <v>144</v>
      </c>
      <c r="B4178">
        <v>65</v>
      </c>
      <c r="C4178">
        <v>45</v>
      </c>
      <c r="D4178">
        <v>0.86285000000000001</v>
      </c>
      <c r="E4178">
        <v>0.58299500000000004</v>
      </c>
      <c r="F4178">
        <v>-0.35505199999999998</v>
      </c>
      <c r="G4178">
        <v>0.45434200000000002</v>
      </c>
    </row>
    <row r="4179" spans="1:7">
      <c r="A4179" t="s">
        <v>144</v>
      </c>
      <c r="B4179">
        <v>65</v>
      </c>
      <c r="C4179">
        <v>46</v>
      </c>
      <c r="D4179">
        <v>0.86285000000000001</v>
      </c>
      <c r="E4179">
        <v>0.60792900000000005</v>
      </c>
      <c r="F4179">
        <v>0.76842600000000005</v>
      </c>
      <c r="G4179">
        <v>0.62994099999999997</v>
      </c>
    </row>
    <row r="4180" spans="1:7">
      <c r="A4180" t="s">
        <v>144</v>
      </c>
      <c r="B4180">
        <v>65</v>
      </c>
      <c r="C4180">
        <v>47</v>
      </c>
      <c r="D4180">
        <v>0.86285000000000001</v>
      </c>
      <c r="E4180">
        <v>-0.68874199999999997</v>
      </c>
      <c r="F4180">
        <v>0.50035099999999999</v>
      </c>
      <c r="G4180">
        <v>-0.52565700000000004</v>
      </c>
    </row>
    <row r="4181" spans="1:7">
      <c r="A4181" t="s">
        <v>144</v>
      </c>
      <c r="B4181">
        <v>65</v>
      </c>
      <c r="C4181">
        <v>48</v>
      </c>
      <c r="D4181">
        <v>0.86285000000000001</v>
      </c>
      <c r="E4181">
        <v>0.47154099999999999</v>
      </c>
      <c r="F4181">
        <v>0.230293</v>
      </c>
      <c r="G4181">
        <v>0.43845400000000001</v>
      </c>
    </row>
    <row r="4182" spans="1:7">
      <c r="A4182" t="s">
        <v>144</v>
      </c>
      <c r="B4182">
        <v>65</v>
      </c>
      <c r="C4182">
        <v>49</v>
      </c>
      <c r="D4182">
        <v>0.86285000000000001</v>
      </c>
      <c r="E4182">
        <v>-0.146397</v>
      </c>
      <c r="F4182">
        <v>0.39887699999999998</v>
      </c>
      <c r="G4182">
        <v>-7.1612999999999996E-2</v>
      </c>
    </row>
    <row r="4183" spans="1:7">
      <c r="A4183" t="s">
        <v>144</v>
      </c>
      <c r="B4183" t="s">
        <v>145</v>
      </c>
      <c r="C4183">
        <v>66</v>
      </c>
    </row>
    <row r="4184" spans="1:7">
      <c r="A4184" t="s">
        <v>144</v>
      </c>
      <c r="B4184" t="s">
        <v>146</v>
      </c>
      <c r="C4184">
        <v>85</v>
      </c>
    </row>
    <row r="4185" spans="1:7">
      <c r="A4185" t="s">
        <v>144</v>
      </c>
      <c r="B4185" t="s">
        <v>147</v>
      </c>
      <c r="C4185">
        <v>85</v>
      </c>
    </row>
    <row r="4186" spans="1:7">
      <c r="A4186" t="s">
        <v>144</v>
      </c>
      <c r="B4186" t="s">
        <v>148</v>
      </c>
      <c r="C4186">
        <v>0.14984600000000001</v>
      </c>
    </row>
    <row r="4187" spans="1:7">
      <c r="A4187" t="s">
        <v>144</v>
      </c>
      <c r="B4187" t="s">
        <v>149</v>
      </c>
      <c r="C4187">
        <v>0.14984600000000001</v>
      </c>
    </row>
    <row r="4188" spans="1:7">
      <c r="A4188" t="s">
        <v>144</v>
      </c>
      <c r="B4188" t="s">
        <v>150</v>
      </c>
      <c r="C4188">
        <v>-1</v>
      </c>
    </row>
    <row r="4189" spans="1:7">
      <c r="A4189" t="s">
        <v>144</v>
      </c>
      <c r="B4189" t="s">
        <v>151</v>
      </c>
      <c r="C4189">
        <v>-1</v>
      </c>
    </row>
    <row r="4190" spans="1:7">
      <c r="A4190" t="s">
        <v>144</v>
      </c>
      <c r="B4190" t="s">
        <v>152</v>
      </c>
      <c r="C4190">
        <v>18</v>
      </c>
    </row>
    <row r="4191" spans="1:7">
      <c r="A4191" t="s">
        <v>144</v>
      </c>
      <c r="B4191" t="s">
        <v>153</v>
      </c>
      <c r="C4191">
        <v>18</v>
      </c>
    </row>
    <row r="4192" spans="1:7">
      <c r="A4192" t="s">
        <v>144</v>
      </c>
      <c r="B4192" t="s">
        <v>154</v>
      </c>
      <c r="C4192">
        <v>0</v>
      </c>
    </row>
    <row r="4193" spans="1:7">
      <c r="A4193" t="s">
        <v>144</v>
      </c>
      <c r="B4193" t="s">
        <v>155</v>
      </c>
    </row>
    <row r="4194" spans="1:7">
      <c r="A4194" t="s">
        <v>144</v>
      </c>
      <c r="B4194" t="s">
        <v>150</v>
      </c>
      <c r="C4194">
        <v>0.14075099999999999</v>
      </c>
    </row>
    <row r="4195" spans="1:7">
      <c r="A4195" t="s">
        <v>144</v>
      </c>
      <c r="B4195" t="s">
        <v>151</v>
      </c>
      <c r="C4195">
        <v>0.14075099999999999</v>
      </c>
    </row>
    <row r="4196" spans="1:7">
      <c r="A4196" t="s">
        <v>144</v>
      </c>
      <c r="B4196" t="s">
        <v>156</v>
      </c>
      <c r="C4196" t="s">
        <v>157</v>
      </c>
      <c r="D4196" t="s">
        <v>63</v>
      </c>
      <c r="E4196" t="s">
        <v>158</v>
      </c>
      <c r="F4196" t="s">
        <v>159</v>
      </c>
      <c r="G4196" t="s">
        <v>160</v>
      </c>
    </row>
    <row r="4197" spans="1:7">
      <c r="A4197" t="s">
        <v>144</v>
      </c>
      <c r="B4197">
        <v>66</v>
      </c>
      <c r="C4197">
        <v>0</v>
      </c>
      <c r="D4197">
        <v>0.14075099999999999</v>
      </c>
      <c r="E4197">
        <v>-0.307199</v>
      </c>
      <c r="F4197">
        <v>-1</v>
      </c>
      <c r="G4197">
        <v>-0.307199</v>
      </c>
    </row>
    <row r="4198" spans="1:7">
      <c r="A4198" t="s">
        <v>144</v>
      </c>
      <c r="B4198">
        <v>66</v>
      </c>
      <c r="C4198">
        <v>1</v>
      </c>
      <c r="D4198">
        <v>0.14075099999999999</v>
      </c>
      <c r="E4198">
        <v>0.20847199999999999</v>
      </c>
      <c r="F4198">
        <v>-1</v>
      </c>
      <c r="G4198">
        <v>0.20847199999999999</v>
      </c>
    </row>
    <row r="4199" spans="1:7">
      <c r="A4199" t="s">
        <v>144</v>
      </c>
      <c r="B4199">
        <v>66</v>
      </c>
      <c r="C4199">
        <v>2</v>
      </c>
      <c r="D4199">
        <v>0.14075099999999999</v>
      </c>
      <c r="E4199">
        <v>-0.63820299999999996</v>
      </c>
      <c r="F4199">
        <v>-1</v>
      </c>
      <c r="G4199">
        <v>-0.63820299999999996</v>
      </c>
    </row>
    <row r="4200" spans="1:7">
      <c r="A4200" t="s">
        <v>144</v>
      </c>
      <c r="B4200">
        <v>66</v>
      </c>
      <c r="C4200">
        <v>3</v>
      </c>
      <c r="D4200">
        <v>0.14075099999999999</v>
      </c>
      <c r="E4200">
        <v>-0.124912</v>
      </c>
      <c r="F4200">
        <v>-1</v>
      </c>
      <c r="G4200">
        <v>-0.124912</v>
      </c>
    </row>
    <row r="4201" spans="1:7">
      <c r="A4201" t="s">
        <v>144</v>
      </c>
      <c r="B4201">
        <v>66</v>
      </c>
      <c r="C4201">
        <v>4</v>
      </c>
      <c r="D4201">
        <v>0.14075099999999999</v>
      </c>
      <c r="E4201">
        <v>0.86361299999999996</v>
      </c>
      <c r="F4201">
        <v>-1</v>
      </c>
      <c r="G4201">
        <v>0.86361299999999996</v>
      </c>
    </row>
    <row r="4202" spans="1:7">
      <c r="A4202" t="s">
        <v>144</v>
      </c>
      <c r="B4202">
        <v>66</v>
      </c>
      <c r="C4202">
        <v>5</v>
      </c>
      <c r="D4202">
        <v>0.14075099999999999</v>
      </c>
      <c r="E4202">
        <v>0.80190399999999995</v>
      </c>
      <c r="F4202">
        <v>-1</v>
      </c>
      <c r="G4202">
        <v>0.80190399999999995</v>
      </c>
    </row>
    <row r="4203" spans="1:7">
      <c r="A4203" t="s">
        <v>144</v>
      </c>
      <c r="B4203">
        <v>66</v>
      </c>
      <c r="C4203">
        <v>6</v>
      </c>
      <c r="D4203">
        <v>0.14075099999999999</v>
      </c>
      <c r="E4203">
        <v>0.45576299999999997</v>
      </c>
      <c r="F4203">
        <v>-1</v>
      </c>
      <c r="G4203">
        <v>0.45576299999999997</v>
      </c>
    </row>
    <row r="4204" spans="1:7">
      <c r="A4204" t="s">
        <v>144</v>
      </c>
      <c r="B4204">
        <v>66</v>
      </c>
      <c r="C4204">
        <v>7</v>
      </c>
      <c r="D4204">
        <v>0.14075099999999999</v>
      </c>
      <c r="E4204">
        <v>0.60090900000000003</v>
      </c>
      <c r="F4204">
        <v>-1</v>
      </c>
      <c r="G4204">
        <v>0.60090900000000003</v>
      </c>
    </row>
    <row r="4205" spans="1:7">
      <c r="A4205" t="s">
        <v>144</v>
      </c>
      <c r="B4205">
        <v>66</v>
      </c>
      <c r="C4205">
        <v>8</v>
      </c>
      <c r="D4205">
        <v>0.14075099999999999</v>
      </c>
      <c r="E4205">
        <v>0.66106100000000001</v>
      </c>
      <c r="F4205">
        <v>-1</v>
      </c>
      <c r="G4205">
        <v>0.66106100000000001</v>
      </c>
    </row>
    <row r="4206" spans="1:7">
      <c r="A4206" t="s">
        <v>144</v>
      </c>
      <c r="B4206">
        <v>66</v>
      </c>
      <c r="C4206">
        <v>9</v>
      </c>
      <c r="D4206">
        <v>0.14075099999999999</v>
      </c>
      <c r="E4206">
        <v>-0.67747999999999997</v>
      </c>
      <c r="F4206">
        <v>-1</v>
      </c>
      <c r="G4206">
        <v>-0.67747999999999997</v>
      </c>
    </row>
    <row r="4207" spans="1:7">
      <c r="A4207" t="s">
        <v>144</v>
      </c>
      <c r="B4207">
        <v>66</v>
      </c>
      <c r="C4207">
        <v>10</v>
      </c>
      <c r="D4207">
        <v>0.14075099999999999</v>
      </c>
      <c r="E4207">
        <v>0.325571</v>
      </c>
      <c r="F4207">
        <v>-1</v>
      </c>
      <c r="G4207">
        <v>0.325571</v>
      </c>
    </row>
    <row r="4208" spans="1:7">
      <c r="A4208" t="s">
        <v>144</v>
      </c>
      <c r="B4208">
        <v>66</v>
      </c>
      <c r="C4208">
        <v>11</v>
      </c>
      <c r="D4208">
        <v>0.14075099999999999</v>
      </c>
      <c r="E4208">
        <v>-0.66347199999999995</v>
      </c>
      <c r="F4208">
        <v>-1</v>
      </c>
      <c r="G4208">
        <v>-0.66347199999999995</v>
      </c>
    </row>
    <row r="4209" spans="1:7">
      <c r="A4209" t="s">
        <v>144</v>
      </c>
      <c r="B4209">
        <v>66</v>
      </c>
      <c r="C4209">
        <v>12</v>
      </c>
      <c r="D4209">
        <v>0.14075099999999999</v>
      </c>
      <c r="E4209">
        <v>0.28556199999999998</v>
      </c>
      <c r="F4209">
        <v>-1</v>
      </c>
      <c r="G4209">
        <v>0.28556199999999998</v>
      </c>
    </row>
    <row r="4210" spans="1:7">
      <c r="A4210" t="s">
        <v>144</v>
      </c>
      <c r="B4210">
        <v>66</v>
      </c>
      <c r="C4210">
        <v>13</v>
      </c>
      <c r="D4210">
        <v>0.14075099999999999</v>
      </c>
      <c r="E4210">
        <v>-0.42939500000000003</v>
      </c>
      <c r="F4210">
        <v>-1</v>
      </c>
      <c r="G4210">
        <v>-0.42939500000000003</v>
      </c>
    </row>
    <row r="4211" spans="1:7">
      <c r="A4211" t="s">
        <v>144</v>
      </c>
      <c r="B4211">
        <v>66</v>
      </c>
      <c r="C4211">
        <v>14</v>
      </c>
      <c r="D4211">
        <v>0.14075099999999999</v>
      </c>
      <c r="E4211">
        <v>0.47819499999999998</v>
      </c>
      <c r="F4211">
        <v>-1</v>
      </c>
      <c r="G4211">
        <v>0.47819499999999998</v>
      </c>
    </row>
    <row r="4212" spans="1:7">
      <c r="A4212" t="s">
        <v>144</v>
      </c>
      <c r="B4212">
        <v>66</v>
      </c>
      <c r="C4212">
        <v>15</v>
      </c>
      <c r="D4212">
        <v>0.14075099999999999</v>
      </c>
      <c r="E4212">
        <v>0.33311000000000002</v>
      </c>
      <c r="F4212">
        <v>-1</v>
      </c>
      <c r="G4212">
        <v>0.33311000000000002</v>
      </c>
    </row>
    <row r="4213" spans="1:7">
      <c r="A4213" t="s">
        <v>144</v>
      </c>
      <c r="B4213">
        <v>66</v>
      </c>
      <c r="C4213">
        <v>16</v>
      </c>
      <c r="D4213">
        <v>0.14075099999999999</v>
      </c>
      <c r="E4213">
        <v>0.42967</v>
      </c>
      <c r="F4213">
        <v>-1</v>
      </c>
      <c r="G4213">
        <v>0.42967</v>
      </c>
    </row>
    <row r="4214" spans="1:7">
      <c r="A4214" t="s">
        <v>144</v>
      </c>
      <c r="B4214">
        <v>66</v>
      </c>
      <c r="C4214">
        <v>17</v>
      </c>
      <c r="D4214">
        <v>0.14075099999999999</v>
      </c>
      <c r="E4214">
        <v>0.86098799999999998</v>
      </c>
      <c r="F4214">
        <v>-1</v>
      </c>
      <c r="G4214">
        <v>0.86098799999999998</v>
      </c>
    </row>
    <row r="4215" spans="1:7">
      <c r="A4215" t="s">
        <v>144</v>
      </c>
      <c r="B4215">
        <v>66</v>
      </c>
      <c r="C4215">
        <v>18</v>
      </c>
      <c r="D4215">
        <v>0.14075099999999999</v>
      </c>
      <c r="E4215">
        <v>-0.27616200000000002</v>
      </c>
      <c r="F4215">
        <v>-0.45692300000000002</v>
      </c>
      <c r="G4215">
        <v>-0.431481</v>
      </c>
    </row>
    <row r="4216" spans="1:7">
      <c r="A4216" t="s">
        <v>144</v>
      </c>
      <c r="B4216">
        <v>66</v>
      </c>
      <c r="C4216">
        <v>19</v>
      </c>
      <c r="D4216">
        <v>0.14075099999999999</v>
      </c>
      <c r="E4216">
        <v>-6.7964999999999998E-2</v>
      </c>
      <c r="F4216">
        <v>9.8514000000000004E-2</v>
      </c>
      <c r="G4216">
        <v>7.5081999999999996E-2</v>
      </c>
    </row>
    <row r="4217" spans="1:7">
      <c r="A4217" t="s">
        <v>144</v>
      </c>
      <c r="B4217">
        <v>66</v>
      </c>
      <c r="C4217">
        <v>20</v>
      </c>
      <c r="D4217">
        <v>0.14075099999999999</v>
      </c>
      <c r="E4217">
        <v>-0.97454799999999997</v>
      </c>
      <c r="F4217">
        <v>-0.42375000000000002</v>
      </c>
      <c r="G4217">
        <v>-0.50127500000000003</v>
      </c>
    </row>
    <row r="4218" spans="1:7">
      <c r="A4218" t="s">
        <v>144</v>
      </c>
      <c r="B4218">
        <v>66</v>
      </c>
      <c r="C4218">
        <v>21</v>
      </c>
      <c r="D4218">
        <v>0.14075099999999999</v>
      </c>
      <c r="E4218">
        <v>-0.72289199999999998</v>
      </c>
      <c r="F4218">
        <v>0.184973</v>
      </c>
      <c r="G4218">
        <v>5.7189999999999998E-2</v>
      </c>
    </row>
    <row r="4219" spans="1:7">
      <c r="A4219" t="s">
        <v>144</v>
      </c>
      <c r="B4219">
        <v>66</v>
      </c>
      <c r="C4219">
        <v>22</v>
      </c>
      <c r="D4219">
        <v>0.14075099999999999</v>
      </c>
      <c r="E4219">
        <v>0.85854699999999995</v>
      </c>
      <c r="F4219">
        <v>-0.45567200000000002</v>
      </c>
      <c r="G4219">
        <v>-0.27069399999999999</v>
      </c>
    </row>
    <row r="4220" spans="1:7">
      <c r="A4220" t="s">
        <v>144</v>
      </c>
      <c r="B4220">
        <v>66</v>
      </c>
      <c r="C4220">
        <v>23</v>
      </c>
      <c r="D4220">
        <v>0.14075099999999999</v>
      </c>
      <c r="E4220">
        <v>0.56462299999999999</v>
      </c>
      <c r="F4220">
        <v>0.85924900000000004</v>
      </c>
      <c r="G4220">
        <v>0.81777999999999995</v>
      </c>
    </row>
    <row r="4221" spans="1:7">
      <c r="A4221" t="s">
        <v>144</v>
      </c>
      <c r="B4221">
        <v>66</v>
      </c>
      <c r="C4221">
        <v>24</v>
      </c>
      <c r="D4221">
        <v>0.14075099999999999</v>
      </c>
      <c r="E4221">
        <v>-0.196966</v>
      </c>
      <c r="F4221">
        <v>-0.91885099999999997</v>
      </c>
      <c r="G4221">
        <v>-0.817245</v>
      </c>
    </row>
    <row r="4222" spans="1:7">
      <c r="A4222" t="s">
        <v>144</v>
      </c>
      <c r="B4222">
        <v>66</v>
      </c>
      <c r="C4222">
        <v>25</v>
      </c>
      <c r="D4222">
        <v>0.14075099999999999</v>
      </c>
      <c r="E4222">
        <v>0.57646399999999998</v>
      </c>
      <c r="F4222">
        <v>0.80779400000000001</v>
      </c>
      <c r="G4222">
        <v>0.77523399999999998</v>
      </c>
    </row>
    <row r="4223" spans="1:7">
      <c r="A4223" t="s">
        <v>144</v>
      </c>
      <c r="B4223">
        <v>66</v>
      </c>
      <c r="C4223">
        <v>26</v>
      </c>
      <c r="D4223">
        <v>0.14075099999999999</v>
      </c>
      <c r="E4223">
        <v>-0.91030599999999995</v>
      </c>
      <c r="F4223">
        <v>-0.51606799999999997</v>
      </c>
      <c r="G4223">
        <v>-0.57155800000000001</v>
      </c>
    </row>
    <row r="4224" spans="1:7">
      <c r="A4224" t="s">
        <v>144</v>
      </c>
      <c r="B4224">
        <v>66</v>
      </c>
      <c r="C4224">
        <v>27</v>
      </c>
      <c r="D4224">
        <v>0.14075099999999999</v>
      </c>
      <c r="E4224">
        <v>0.68379800000000002</v>
      </c>
      <c r="F4224">
        <v>7.5899999999999995E-2</v>
      </c>
      <c r="G4224">
        <v>0.16146199999999999</v>
      </c>
    </row>
    <row r="4225" spans="1:7">
      <c r="A4225" t="s">
        <v>144</v>
      </c>
      <c r="B4225">
        <v>66</v>
      </c>
      <c r="C4225">
        <v>28</v>
      </c>
      <c r="D4225">
        <v>0.14075099999999999</v>
      </c>
      <c r="E4225">
        <v>0.101352</v>
      </c>
      <c r="F4225">
        <v>0.13223699999999999</v>
      </c>
      <c r="G4225">
        <v>0.12789</v>
      </c>
    </row>
    <row r="4226" spans="1:7">
      <c r="A4226" t="s">
        <v>144</v>
      </c>
      <c r="B4226">
        <v>66</v>
      </c>
      <c r="C4226">
        <v>29</v>
      </c>
      <c r="D4226">
        <v>0.14075099999999999</v>
      </c>
      <c r="E4226">
        <v>0.78206699999999996</v>
      </c>
      <c r="F4226">
        <v>-0.92568700000000004</v>
      </c>
      <c r="G4226">
        <v>-0.68531900000000001</v>
      </c>
    </row>
    <row r="4227" spans="1:7">
      <c r="A4227" t="s">
        <v>144</v>
      </c>
      <c r="B4227">
        <v>66</v>
      </c>
      <c r="C4227">
        <v>30</v>
      </c>
      <c r="D4227">
        <v>0.14075099999999999</v>
      </c>
      <c r="E4227">
        <v>-0.55708500000000005</v>
      </c>
      <c r="F4227">
        <v>0.80666499999999997</v>
      </c>
      <c r="G4227">
        <v>0.61471600000000004</v>
      </c>
    </row>
    <row r="4228" spans="1:7">
      <c r="A4228" t="s">
        <v>144</v>
      </c>
      <c r="B4228">
        <v>66</v>
      </c>
      <c r="C4228">
        <v>31</v>
      </c>
      <c r="D4228">
        <v>0.14075099999999999</v>
      </c>
      <c r="E4228">
        <v>-0.50114400000000003</v>
      </c>
      <c r="F4228">
        <v>0.83657300000000001</v>
      </c>
      <c r="G4228">
        <v>0.64828799999999998</v>
      </c>
    </row>
    <row r="4229" spans="1:7">
      <c r="A4229" t="s">
        <v>144</v>
      </c>
      <c r="B4229">
        <v>66</v>
      </c>
      <c r="C4229">
        <v>32</v>
      </c>
      <c r="D4229">
        <v>0.14075099999999999</v>
      </c>
      <c r="E4229">
        <v>-0.876919</v>
      </c>
      <c r="F4229">
        <v>-0.98846400000000001</v>
      </c>
      <c r="G4229">
        <v>-0.97276399999999996</v>
      </c>
    </row>
    <row r="4230" spans="1:7">
      <c r="A4230" t="s">
        <v>144</v>
      </c>
      <c r="B4230">
        <v>66</v>
      </c>
      <c r="C4230">
        <v>33</v>
      </c>
      <c r="D4230">
        <v>0.14075099999999999</v>
      </c>
      <c r="E4230">
        <v>0.612201</v>
      </c>
      <c r="F4230">
        <v>-5.4871999999999997E-2</v>
      </c>
      <c r="G4230">
        <v>3.9018999999999998E-2</v>
      </c>
    </row>
    <row r="4231" spans="1:7">
      <c r="A4231" t="s">
        <v>144</v>
      </c>
      <c r="B4231">
        <v>66</v>
      </c>
      <c r="C4231">
        <v>34</v>
      </c>
      <c r="D4231">
        <v>0.14075099999999999</v>
      </c>
      <c r="E4231">
        <v>-0.38459399999999999</v>
      </c>
      <c r="F4231">
        <v>0.73158999999999996</v>
      </c>
      <c r="G4231">
        <v>0.57448500000000002</v>
      </c>
    </row>
    <row r="4232" spans="1:7">
      <c r="A4232" t="s">
        <v>144</v>
      </c>
      <c r="B4232">
        <v>66</v>
      </c>
      <c r="C4232">
        <v>35</v>
      </c>
      <c r="D4232">
        <v>0.14075099999999999</v>
      </c>
      <c r="E4232">
        <v>0.48320000000000002</v>
      </c>
      <c r="F4232">
        <v>-0.59837600000000002</v>
      </c>
      <c r="G4232">
        <v>-0.44614300000000001</v>
      </c>
    </row>
    <row r="4233" spans="1:7">
      <c r="A4233" t="s">
        <v>144</v>
      </c>
      <c r="B4233">
        <v>66</v>
      </c>
      <c r="C4233">
        <v>36</v>
      </c>
      <c r="D4233">
        <v>0.14075099999999999</v>
      </c>
      <c r="E4233">
        <v>0.47941499999999998</v>
      </c>
      <c r="F4233">
        <v>-0.98544299999999996</v>
      </c>
      <c r="G4233">
        <v>-0.77926200000000001</v>
      </c>
    </row>
    <row r="4234" spans="1:7">
      <c r="A4234" t="s">
        <v>144</v>
      </c>
      <c r="B4234">
        <v>66</v>
      </c>
      <c r="C4234">
        <v>37</v>
      </c>
      <c r="D4234">
        <v>0.14075099999999999</v>
      </c>
      <c r="E4234">
        <v>-0.48991400000000002</v>
      </c>
      <c r="F4234">
        <v>0.121921</v>
      </c>
      <c r="G4234">
        <v>3.5804999999999997E-2</v>
      </c>
    </row>
    <row r="4235" spans="1:7">
      <c r="A4235" t="s">
        <v>144</v>
      </c>
      <c r="B4235">
        <v>66</v>
      </c>
      <c r="C4235">
        <v>38</v>
      </c>
      <c r="D4235">
        <v>0.14075099999999999</v>
      </c>
      <c r="E4235">
        <v>0.58308700000000002</v>
      </c>
      <c r="F4235">
        <v>-0.63744000000000001</v>
      </c>
      <c r="G4235">
        <v>-0.46564899999999998</v>
      </c>
    </row>
    <row r="4236" spans="1:7">
      <c r="A4236" t="s">
        <v>144</v>
      </c>
      <c r="B4236">
        <v>66</v>
      </c>
      <c r="C4236">
        <v>39</v>
      </c>
      <c r="D4236">
        <v>0.14075099999999999</v>
      </c>
      <c r="E4236">
        <v>-0.78789600000000004</v>
      </c>
      <c r="F4236">
        <v>-0.55113400000000001</v>
      </c>
      <c r="G4236">
        <v>-0.58445800000000003</v>
      </c>
    </row>
    <row r="4237" spans="1:7">
      <c r="A4237" t="s">
        <v>144</v>
      </c>
      <c r="B4237">
        <v>66</v>
      </c>
      <c r="C4237">
        <v>40</v>
      </c>
      <c r="D4237">
        <v>0.14075099999999999</v>
      </c>
      <c r="E4237">
        <v>0.33854200000000001</v>
      </c>
      <c r="F4237">
        <v>-0.46394200000000002</v>
      </c>
      <c r="G4237">
        <v>-0.35099200000000003</v>
      </c>
    </row>
    <row r="4238" spans="1:7">
      <c r="A4238" t="s">
        <v>144</v>
      </c>
      <c r="B4238">
        <v>66</v>
      </c>
      <c r="C4238">
        <v>41</v>
      </c>
      <c r="D4238">
        <v>0.14075099999999999</v>
      </c>
      <c r="E4238">
        <v>-0.35209200000000002</v>
      </c>
      <c r="F4238">
        <v>0.88943099999999997</v>
      </c>
      <c r="G4238">
        <v>0.71468500000000001</v>
      </c>
    </row>
    <row r="4239" spans="1:7">
      <c r="A4239" t="s">
        <v>144</v>
      </c>
      <c r="B4239">
        <v>66</v>
      </c>
      <c r="C4239">
        <v>42</v>
      </c>
      <c r="D4239">
        <v>0.14075099999999999</v>
      </c>
      <c r="E4239">
        <v>0.21701699999999999</v>
      </c>
      <c r="F4239">
        <v>-0.64537500000000003</v>
      </c>
      <c r="G4239">
        <v>-0.52399200000000001</v>
      </c>
    </row>
    <row r="4240" spans="1:7">
      <c r="A4240" t="s">
        <v>144</v>
      </c>
      <c r="B4240">
        <v>66</v>
      </c>
      <c r="C4240">
        <v>43</v>
      </c>
      <c r="D4240">
        <v>0.14075099999999999</v>
      </c>
      <c r="E4240">
        <v>0.69054199999999999</v>
      </c>
      <c r="F4240">
        <v>-0.10544100000000001</v>
      </c>
      <c r="G4240">
        <v>6.594E-3</v>
      </c>
    </row>
    <row r="4241" spans="1:7">
      <c r="A4241" t="s">
        <v>144</v>
      </c>
      <c r="B4241">
        <v>66</v>
      </c>
      <c r="C4241">
        <v>44</v>
      </c>
      <c r="D4241">
        <v>0.14075099999999999</v>
      </c>
      <c r="E4241">
        <v>-0.18964200000000001</v>
      </c>
      <c r="F4241">
        <v>2.2279999999999999E-3</v>
      </c>
      <c r="G4241">
        <v>-2.4778000000000001E-2</v>
      </c>
    </row>
    <row r="4242" spans="1:7">
      <c r="A4242" t="s">
        <v>144</v>
      </c>
      <c r="B4242">
        <v>66</v>
      </c>
      <c r="C4242">
        <v>45</v>
      </c>
      <c r="D4242">
        <v>0.14075099999999999</v>
      </c>
      <c r="E4242">
        <v>-0.13763800000000001</v>
      </c>
      <c r="F4242">
        <v>0.50678999999999996</v>
      </c>
      <c r="G4242">
        <v>0.41608600000000001</v>
      </c>
    </row>
    <row r="4243" spans="1:7">
      <c r="A4243" t="s">
        <v>144</v>
      </c>
      <c r="B4243">
        <v>66</v>
      </c>
      <c r="C4243">
        <v>46</v>
      </c>
      <c r="D4243">
        <v>0.14075099999999999</v>
      </c>
      <c r="E4243">
        <v>0.61952600000000002</v>
      </c>
      <c r="F4243">
        <v>-0.60808099999999998</v>
      </c>
      <c r="G4243">
        <v>-0.43529400000000001</v>
      </c>
    </row>
    <row r="4244" spans="1:7">
      <c r="A4244" t="s">
        <v>144</v>
      </c>
      <c r="B4244">
        <v>66</v>
      </c>
      <c r="C4244">
        <v>47</v>
      </c>
      <c r="D4244">
        <v>0.14075099999999999</v>
      </c>
      <c r="E4244">
        <v>0.134434</v>
      </c>
      <c r="F4244">
        <v>-0.506027</v>
      </c>
      <c r="G4244">
        <v>-0.41588199999999997</v>
      </c>
    </row>
    <row r="4245" spans="1:7">
      <c r="A4245" t="s">
        <v>144</v>
      </c>
      <c r="B4245">
        <v>66</v>
      </c>
      <c r="C4245">
        <v>48</v>
      </c>
      <c r="D4245">
        <v>0.14075099999999999</v>
      </c>
      <c r="E4245">
        <v>3.0976E-2</v>
      </c>
      <c r="F4245">
        <v>-0.93554499999999996</v>
      </c>
      <c r="G4245">
        <v>-0.79950600000000005</v>
      </c>
    </row>
    <row r="4246" spans="1:7">
      <c r="A4246" t="s">
        <v>144</v>
      </c>
      <c r="B4246">
        <v>66</v>
      </c>
      <c r="C4246">
        <v>49</v>
      </c>
      <c r="D4246">
        <v>0.14075099999999999</v>
      </c>
      <c r="E4246">
        <v>0.40083000000000002</v>
      </c>
      <c r="F4246">
        <v>-0.18607099999999999</v>
      </c>
      <c r="G4246">
        <v>-0.103464</v>
      </c>
    </row>
    <row r="4247" spans="1:7">
      <c r="A4247" t="s">
        <v>144</v>
      </c>
      <c r="B4247" t="s">
        <v>145</v>
      </c>
      <c r="C4247">
        <v>67</v>
      </c>
    </row>
    <row r="4248" spans="1:7">
      <c r="A4248" t="s">
        <v>144</v>
      </c>
      <c r="B4248" t="s">
        <v>146</v>
      </c>
      <c r="C4248">
        <v>0</v>
      </c>
    </row>
    <row r="4249" spans="1:7">
      <c r="A4249" t="s">
        <v>144</v>
      </c>
      <c r="B4249" t="s">
        <v>147</v>
      </c>
      <c r="C4249">
        <v>0</v>
      </c>
    </row>
    <row r="4250" spans="1:7">
      <c r="A4250" t="s">
        <v>144</v>
      </c>
      <c r="B4250" t="s">
        <v>148</v>
      </c>
      <c r="C4250">
        <v>0.98004100000000005</v>
      </c>
    </row>
    <row r="4251" spans="1:7">
      <c r="A4251" t="s">
        <v>144</v>
      </c>
      <c r="B4251" t="s">
        <v>149</v>
      </c>
      <c r="C4251">
        <v>0.98004100000000005</v>
      </c>
    </row>
    <row r="4252" spans="1:7">
      <c r="A4252" t="s">
        <v>144</v>
      </c>
      <c r="B4252" t="s">
        <v>150</v>
      </c>
      <c r="C4252">
        <v>-1</v>
      </c>
    </row>
    <row r="4253" spans="1:7">
      <c r="A4253" t="s">
        <v>144</v>
      </c>
      <c r="B4253" t="s">
        <v>151</v>
      </c>
      <c r="C4253">
        <v>-1</v>
      </c>
    </row>
    <row r="4254" spans="1:7">
      <c r="A4254" t="s">
        <v>144</v>
      </c>
      <c r="B4254" t="s">
        <v>152</v>
      </c>
      <c r="C4254">
        <v>27</v>
      </c>
    </row>
    <row r="4255" spans="1:7">
      <c r="A4255" t="s">
        <v>144</v>
      </c>
      <c r="B4255" t="s">
        <v>153</v>
      </c>
      <c r="C4255">
        <v>27</v>
      </c>
    </row>
    <row r="4256" spans="1:7">
      <c r="A4256" t="s">
        <v>144</v>
      </c>
      <c r="B4256" t="s">
        <v>154</v>
      </c>
      <c r="C4256">
        <v>0</v>
      </c>
    </row>
    <row r="4257" spans="1:7">
      <c r="A4257" t="s">
        <v>144</v>
      </c>
      <c r="B4257" t="s">
        <v>161</v>
      </c>
    </row>
    <row r="4258" spans="1:7">
      <c r="A4258" t="s">
        <v>144</v>
      </c>
      <c r="B4258">
        <v>67</v>
      </c>
      <c r="C4258">
        <v>0</v>
      </c>
      <c r="D4258">
        <v>-1</v>
      </c>
      <c r="E4258">
        <v>-0.35663899999999998</v>
      </c>
      <c r="F4258">
        <v>-1</v>
      </c>
      <c r="G4258">
        <v>-0.35663899999999998</v>
      </c>
    </row>
    <row r="4259" spans="1:7">
      <c r="A4259" t="s">
        <v>144</v>
      </c>
      <c r="B4259">
        <v>67</v>
      </c>
      <c r="C4259">
        <v>1</v>
      </c>
      <c r="D4259">
        <v>-1</v>
      </c>
      <c r="E4259">
        <v>0.269173</v>
      </c>
      <c r="F4259">
        <v>-1</v>
      </c>
      <c r="G4259">
        <v>0.269173</v>
      </c>
    </row>
    <row r="4260" spans="1:7">
      <c r="A4260" t="s">
        <v>144</v>
      </c>
      <c r="B4260">
        <v>67</v>
      </c>
      <c r="C4260">
        <v>2</v>
      </c>
      <c r="D4260">
        <v>-1</v>
      </c>
      <c r="E4260">
        <v>0.90765099999999999</v>
      </c>
      <c r="F4260">
        <v>-1</v>
      </c>
      <c r="G4260">
        <v>0.90765099999999999</v>
      </c>
    </row>
    <row r="4261" spans="1:7">
      <c r="A4261" t="s">
        <v>144</v>
      </c>
      <c r="B4261">
        <v>67</v>
      </c>
      <c r="C4261">
        <v>3</v>
      </c>
      <c r="D4261">
        <v>-1</v>
      </c>
      <c r="E4261">
        <v>0.67363499999999998</v>
      </c>
      <c r="F4261">
        <v>-1</v>
      </c>
      <c r="G4261">
        <v>0.67363499999999998</v>
      </c>
    </row>
    <row r="4262" spans="1:7">
      <c r="A4262" t="s">
        <v>144</v>
      </c>
      <c r="B4262">
        <v>67</v>
      </c>
      <c r="C4262">
        <v>4</v>
      </c>
      <c r="D4262">
        <v>-1</v>
      </c>
      <c r="E4262">
        <v>-0.46964899999999998</v>
      </c>
      <c r="F4262">
        <v>-1</v>
      </c>
      <c r="G4262">
        <v>-0.46964899999999998</v>
      </c>
    </row>
    <row r="4263" spans="1:7">
      <c r="A4263" t="s">
        <v>144</v>
      </c>
      <c r="B4263">
        <v>67</v>
      </c>
      <c r="C4263">
        <v>5</v>
      </c>
      <c r="D4263">
        <v>-1</v>
      </c>
      <c r="E4263">
        <v>0.25806499999999999</v>
      </c>
      <c r="F4263">
        <v>-1</v>
      </c>
      <c r="G4263">
        <v>0.25806499999999999</v>
      </c>
    </row>
    <row r="4264" spans="1:7">
      <c r="A4264" t="s">
        <v>144</v>
      </c>
      <c r="B4264">
        <v>67</v>
      </c>
      <c r="C4264">
        <v>6</v>
      </c>
      <c r="D4264">
        <v>-1</v>
      </c>
      <c r="E4264">
        <v>-0.50483699999999998</v>
      </c>
      <c r="F4264">
        <v>-1</v>
      </c>
      <c r="G4264">
        <v>-0.50483699999999998</v>
      </c>
    </row>
    <row r="4265" spans="1:7">
      <c r="A4265" t="s">
        <v>144</v>
      </c>
      <c r="B4265">
        <v>67</v>
      </c>
      <c r="C4265">
        <v>7</v>
      </c>
      <c r="D4265">
        <v>-1</v>
      </c>
      <c r="E4265">
        <v>-0.90133399999999997</v>
      </c>
      <c r="F4265">
        <v>-1</v>
      </c>
      <c r="G4265">
        <v>-0.90133399999999997</v>
      </c>
    </row>
    <row r="4266" spans="1:7">
      <c r="A4266" t="s">
        <v>144</v>
      </c>
      <c r="B4266">
        <v>67</v>
      </c>
      <c r="C4266">
        <v>8</v>
      </c>
      <c r="D4266">
        <v>-1</v>
      </c>
      <c r="E4266">
        <v>-0.39948699999999998</v>
      </c>
      <c r="F4266">
        <v>-1</v>
      </c>
      <c r="G4266">
        <v>-0.39948699999999998</v>
      </c>
    </row>
    <row r="4267" spans="1:7">
      <c r="A4267" t="s">
        <v>144</v>
      </c>
      <c r="B4267">
        <v>67</v>
      </c>
      <c r="C4267">
        <v>9</v>
      </c>
      <c r="D4267">
        <v>-1</v>
      </c>
      <c r="E4267">
        <v>-0.37861299999999998</v>
      </c>
      <c r="F4267">
        <v>-1</v>
      </c>
      <c r="G4267">
        <v>-0.37861299999999998</v>
      </c>
    </row>
    <row r="4268" spans="1:7">
      <c r="A4268" t="s">
        <v>144</v>
      </c>
      <c r="B4268">
        <v>67</v>
      </c>
      <c r="C4268">
        <v>10</v>
      </c>
      <c r="D4268">
        <v>-1</v>
      </c>
      <c r="E4268">
        <v>-0.81160900000000002</v>
      </c>
      <c r="F4268">
        <v>-1</v>
      </c>
      <c r="G4268">
        <v>-0.81160900000000002</v>
      </c>
    </row>
    <row r="4269" spans="1:7">
      <c r="A4269" t="s">
        <v>144</v>
      </c>
      <c r="B4269">
        <v>67</v>
      </c>
      <c r="C4269">
        <v>11</v>
      </c>
      <c r="D4269">
        <v>-1</v>
      </c>
      <c r="E4269">
        <v>-0.73732699999999995</v>
      </c>
      <c r="F4269">
        <v>-1</v>
      </c>
      <c r="G4269">
        <v>-0.73732699999999995</v>
      </c>
    </row>
    <row r="4270" spans="1:7">
      <c r="A4270" t="s">
        <v>144</v>
      </c>
      <c r="B4270">
        <v>67</v>
      </c>
      <c r="C4270">
        <v>12</v>
      </c>
      <c r="D4270">
        <v>-1</v>
      </c>
      <c r="E4270">
        <v>-0.301126</v>
      </c>
      <c r="F4270">
        <v>-1</v>
      </c>
      <c r="G4270">
        <v>-0.301126</v>
      </c>
    </row>
    <row r="4271" spans="1:7">
      <c r="A4271" t="s">
        <v>144</v>
      </c>
      <c r="B4271">
        <v>67</v>
      </c>
      <c r="C4271">
        <v>13</v>
      </c>
      <c r="D4271">
        <v>-1</v>
      </c>
      <c r="E4271">
        <v>-0.22128999999999999</v>
      </c>
      <c r="F4271">
        <v>-1</v>
      </c>
      <c r="G4271">
        <v>-0.22128999999999999</v>
      </c>
    </row>
    <row r="4272" spans="1:7">
      <c r="A4272" t="s">
        <v>144</v>
      </c>
      <c r="B4272">
        <v>67</v>
      </c>
      <c r="C4272">
        <v>14</v>
      </c>
      <c r="D4272">
        <v>-1</v>
      </c>
      <c r="E4272">
        <v>0.90005199999999996</v>
      </c>
      <c r="F4272">
        <v>-1</v>
      </c>
      <c r="G4272">
        <v>0.90005199999999996</v>
      </c>
    </row>
    <row r="4273" spans="1:7">
      <c r="A4273" t="s">
        <v>144</v>
      </c>
      <c r="B4273">
        <v>67</v>
      </c>
      <c r="C4273">
        <v>15</v>
      </c>
      <c r="D4273">
        <v>-1</v>
      </c>
      <c r="E4273">
        <v>-0.65053300000000003</v>
      </c>
      <c r="F4273">
        <v>-1</v>
      </c>
      <c r="G4273">
        <v>-0.65053300000000003</v>
      </c>
    </row>
    <row r="4274" spans="1:7">
      <c r="A4274" t="s">
        <v>144</v>
      </c>
      <c r="B4274">
        <v>67</v>
      </c>
      <c r="C4274">
        <v>16</v>
      </c>
      <c r="D4274">
        <v>-1</v>
      </c>
      <c r="E4274">
        <v>0.77797799999999995</v>
      </c>
      <c r="F4274">
        <v>-1</v>
      </c>
      <c r="G4274">
        <v>0.77797799999999995</v>
      </c>
    </row>
    <row r="4275" spans="1:7">
      <c r="A4275" t="s">
        <v>144</v>
      </c>
      <c r="B4275">
        <v>67</v>
      </c>
      <c r="C4275">
        <v>17</v>
      </c>
      <c r="D4275">
        <v>-1</v>
      </c>
      <c r="E4275">
        <v>0.66185499999999997</v>
      </c>
      <c r="F4275">
        <v>-1</v>
      </c>
      <c r="G4275">
        <v>0.66185499999999997</v>
      </c>
    </row>
    <row r="4276" spans="1:7">
      <c r="A4276" t="s">
        <v>144</v>
      </c>
      <c r="B4276">
        <v>67</v>
      </c>
      <c r="C4276">
        <v>18</v>
      </c>
      <c r="D4276">
        <v>-1</v>
      </c>
      <c r="E4276">
        <v>0.65974900000000003</v>
      </c>
      <c r="F4276">
        <v>-1</v>
      </c>
      <c r="G4276">
        <v>0.65974900000000003</v>
      </c>
    </row>
    <row r="4277" spans="1:7">
      <c r="A4277" t="s">
        <v>144</v>
      </c>
      <c r="B4277">
        <v>67</v>
      </c>
      <c r="C4277">
        <v>19</v>
      </c>
      <c r="D4277">
        <v>-1</v>
      </c>
      <c r="E4277">
        <v>-0.71748999999999996</v>
      </c>
      <c r="F4277">
        <v>-1</v>
      </c>
      <c r="G4277">
        <v>-0.71748999999999996</v>
      </c>
    </row>
    <row r="4278" spans="1:7">
      <c r="A4278" t="s">
        <v>144</v>
      </c>
      <c r="B4278">
        <v>67</v>
      </c>
      <c r="C4278">
        <v>20</v>
      </c>
      <c r="D4278">
        <v>-1</v>
      </c>
      <c r="E4278">
        <v>-0.15125</v>
      </c>
      <c r="F4278">
        <v>-1</v>
      </c>
      <c r="G4278">
        <v>-0.15125</v>
      </c>
    </row>
    <row r="4279" spans="1:7">
      <c r="A4279" t="s">
        <v>144</v>
      </c>
      <c r="B4279">
        <v>67</v>
      </c>
      <c r="C4279">
        <v>21</v>
      </c>
      <c r="D4279">
        <v>-1</v>
      </c>
      <c r="E4279">
        <v>0.28711799999999998</v>
      </c>
      <c r="F4279">
        <v>-1</v>
      </c>
      <c r="G4279">
        <v>0.28711799999999998</v>
      </c>
    </row>
    <row r="4280" spans="1:7">
      <c r="A4280" t="s">
        <v>144</v>
      </c>
      <c r="B4280">
        <v>67</v>
      </c>
      <c r="C4280">
        <v>22</v>
      </c>
      <c r="D4280">
        <v>-1</v>
      </c>
      <c r="E4280">
        <v>-0.62978000000000001</v>
      </c>
      <c r="F4280">
        <v>-1</v>
      </c>
      <c r="G4280">
        <v>-0.62978000000000001</v>
      </c>
    </row>
    <row r="4281" spans="1:7">
      <c r="A4281" t="s">
        <v>144</v>
      </c>
      <c r="B4281">
        <v>67</v>
      </c>
      <c r="C4281">
        <v>23</v>
      </c>
      <c r="D4281">
        <v>-1</v>
      </c>
      <c r="E4281">
        <v>-0.110446</v>
      </c>
      <c r="F4281">
        <v>-1</v>
      </c>
      <c r="G4281">
        <v>-0.110446</v>
      </c>
    </row>
    <row r="4282" spans="1:7">
      <c r="A4282" t="s">
        <v>144</v>
      </c>
      <c r="B4282">
        <v>67</v>
      </c>
      <c r="C4282">
        <v>24</v>
      </c>
      <c r="D4282">
        <v>-1</v>
      </c>
      <c r="E4282">
        <v>-0.85476200000000002</v>
      </c>
      <c r="F4282">
        <v>-1</v>
      </c>
      <c r="G4282">
        <v>-0.85476200000000002</v>
      </c>
    </row>
    <row r="4283" spans="1:7">
      <c r="A4283" t="s">
        <v>144</v>
      </c>
      <c r="B4283">
        <v>67</v>
      </c>
      <c r="C4283">
        <v>25</v>
      </c>
      <c r="D4283">
        <v>-1</v>
      </c>
      <c r="E4283">
        <v>-0.94573799999999997</v>
      </c>
      <c r="F4283">
        <v>-1</v>
      </c>
      <c r="G4283">
        <v>-0.94573799999999997</v>
      </c>
    </row>
    <row r="4284" spans="1:7">
      <c r="A4284" t="s">
        <v>144</v>
      </c>
      <c r="B4284">
        <v>67</v>
      </c>
      <c r="C4284">
        <v>26</v>
      </c>
      <c r="D4284">
        <v>-1</v>
      </c>
      <c r="E4284">
        <v>-0.95587</v>
      </c>
      <c r="F4284">
        <v>-1</v>
      </c>
      <c r="G4284">
        <v>-0.95587</v>
      </c>
    </row>
    <row r="4285" spans="1:7">
      <c r="A4285" t="s">
        <v>144</v>
      </c>
      <c r="B4285">
        <v>67</v>
      </c>
      <c r="C4285">
        <v>27</v>
      </c>
      <c r="D4285">
        <v>-1</v>
      </c>
      <c r="E4285">
        <v>0.71092900000000003</v>
      </c>
      <c r="F4285">
        <v>-1</v>
      </c>
      <c r="G4285">
        <v>0.71092900000000003</v>
      </c>
    </row>
    <row r="4286" spans="1:7">
      <c r="A4286" t="s">
        <v>144</v>
      </c>
      <c r="B4286">
        <v>67</v>
      </c>
      <c r="C4286">
        <v>28</v>
      </c>
      <c r="D4286">
        <v>-1</v>
      </c>
      <c r="E4286">
        <v>-0.95409999999999995</v>
      </c>
      <c r="F4286">
        <v>-1</v>
      </c>
      <c r="G4286">
        <v>-0.95409999999999995</v>
      </c>
    </row>
    <row r="4287" spans="1:7">
      <c r="A4287" t="s">
        <v>144</v>
      </c>
      <c r="B4287">
        <v>67</v>
      </c>
      <c r="C4287">
        <v>29</v>
      </c>
      <c r="D4287">
        <v>-1</v>
      </c>
      <c r="E4287">
        <v>0.42396299999999998</v>
      </c>
      <c r="F4287">
        <v>-1</v>
      </c>
      <c r="G4287">
        <v>0.42396299999999998</v>
      </c>
    </row>
    <row r="4288" spans="1:7">
      <c r="A4288" t="s">
        <v>144</v>
      </c>
      <c r="B4288">
        <v>67</v>
      </c>
      <c r="C4288">
        <v>30</v>
      </c>
      <c r="D4288">
        <v>-1</v>
      </c>
      <c r="E4288">
        <v>0.47224300000000002</v>
      </c>
      <c r="F4288">
        <v>-1</v>
      </c>
      <c r="G4288">
        <v>0.47224300000000002</v>
      </c>
    </row>
    <row r="4289" spans="1:7">
      <c r="A4289" t="s">
        <v>144</v>
      </c>
      <c r="B4289">
        <v>67</v>
      </c>
      <c r="C4289">
        <v>31</v>
      </c>
      <c r="D4289">
        <v>-1</v>
      </c>
      <c r="E4289">
        <v>-0.84768200000000005</v>
      </c>
      <c r="F4289">
        <v>-1</v>
      </c>
      <c r="G4289">
        <v>-0.84768200000000005</v>
      </c>
    </row>
    <row r="4290" spans="1:7">
      <c r="A4290" t="s">
        <v>144</v>
      </c>
      <c r="B4290">
        <v>67</v>
      </c>
      <c r="C4290">
        <v>32</v>
      </c>
      <c r="D4290">
        <v>-1</v>
      </c>
      <c r="E4290">
        <v>0.79137500000000005</v>
      </c>
      <c r="F4290">
        <v>-1</v>
      </c>
      <c r="G4290">
        <v>0.79137500000000005</v>
      </c>
    </row>
    <row r="4291" spans="1:7">
      <c r="A4291" t="s">
        <v>144</v>
      </c>
      <c r="B4291">
        <v>67</v>
      </c>
      <c r="C4291">
        <v>33</v>
      </c>
      <c r="D4291">
        <v>-1</v>
      </c>
      <c r="E4291">
        <v>-0.24646699999999999</v>
      </c>
      <c r="F4291">
        <v>-1</v>
      </c>
      <c r="G4291">
        <v>-0.24646699999999999</v>
      </c>
    </row>
    <row r="4292" spans="1:7">
      <c r="A4292" t="s">
        <v>144</v>
      </c>
      <c r="B4292">
        <v>67</v>
      </c>
      <c r="C4292">
        <v>34</v>
      </c>
      <c r="D4292">
        <v>-1</v>
      </c>
      <c r="E4292">
        <v>0.90887200000000001</v>
      </c>
      <c r="F4292">
        <v>-1</v>
      </c>
      <c r="G4292">
        <v>0.90887200000000001</v>
      </c>
    </row>
    <row r="4293" spans="1:7">
      <c r="A4293" t="s">
        <v>144</v>
      </c>
      <c r="B4293">
        <v>67</v>
      </c>
      <c r="C4293">
        <v>35</v>
      </c>
      <c r="D4293">
        <v>-1</v>
      </c>
      <c r="E4293">
        <v>-0.160192</v>
      </c>
      <c r="F4293">
        <v>-1</v>
      </c>
      <c r="G4293">
        <v>-0.160192</v>
      </c>
    </row>
    <row r="4294" spans="1:7">
      <c r="A4294" t="s">
        <v>144</v>
      </c>
      <c r="B4294">
        <v>67</v>
      </c>
      <c r="C4294">
        <v>36</v>
      </c>
      <c r="D4294">
        <v>-1</v>
      </c>
      <c r="E4294">
        <v>-0.75484499999999999</v>
      </c>
      <c r="F4294">
        <v>-1</v>
      </c>
      <c r="G4294">
        <v>-0.75484499999999999</v>
      </c>
    </row>
    <row r="4295" spans="1:7">
      <c r="A4295" t="s">
        <v>144</v>
      </c>
      <c r="B4295">
        <v>67</v>
      </c>
      <c r="C4295">
        <v>37</v>
      </c>
      <c r="D4295">
        <v>-1</v>
      </c>
      <c r="E4295">
        <v>-0.60216099999999995</v>
      </c>
      <c r="F4295">
        <v>-1</v>
      </c>
      <c r="G4295">
        <v>-0.60216099999999995</v>
      </c>
    </row>
    <row r="4296" spans="1:7">
      <c r="A4296" t="s">
        <v>144</v>
      </c>
      <c r="B4296">
        <v>67</v>
      </c>
      <c r="C4296">
        <v>38</v>
      </c>
      <c r="D4296">
        <v>-1</v>
      </c>
      <c r="E4296">
        <v>-0.223243</v>
      </c>
      <c r="F4296">
        <v>-1</v>
      </c>
      <c r="G4296">
        <v>-0.223243</v>
      </c>
    </row>
    <row r="4297" spans="1:7">
      <c r="A4297" t="s">
        <v>144</v>
      </c>
      <c r="B4297">
        <v>67</v>
      </c>
      <c r="C4297">
        <v>39</v>
      </c>
      <c r="D4297">
        <v>-1</v>
      </c>
      <c r="E4297">
        <v>0.58696300000000001</v>
      </c>
      <c r="F4297">
        <v>-1</v>
      </c>
      <c r="G4297">
        <v>0.58696300000000001</v>
      </c>
    </row>
    <row r="4298" spans="1:7">
      <c r="A4298" t="s">
        <v>144</v>
      </c>
      <c r="B4298">
        <v>67</v>
      </c>
      <c r="C4298">
        <v>40</v>
      </c>
      <c r="D4298">
        <v>-1</v>
      </c>
      <c r="E4298">
        <v>0.17319300000000001</v>
      </c>
      <c r="F4298">
        <v>-1</v>
      </c>
      <c r="G4298">
        <v>0.17319300000000001</v>
      </c>
    </row>
    <row r="4299" spans="1:7">
      <c r="A4299" t="s">
        <v>144</v>
      </c>
      <c r="B4299">
        <v>67</v>
      </c>
      <c r="C4299">
        <v>41</v>
      </c>
      <c r="D4299">
        <v>-1</v>
      </c>
      <c r="E4299">
        <v>0.394818</v>
      </c>
      <c r="F4299">
        <v>-1</v>
      </c>
      <c r="G4299">
        <v>0.394818</v>
      </c>
    </row>
    <row r="4300" spans="1:7">
      <c r="A4300" t="s">
        <v>144</v>
      </c>
      <c r="B4300">
        <v>67</v>
      </c>
      <c r="C4300">
        <v>42</v>
      </c>
      <c r="D4300">
        <v>-1</v>
      </c>
      <c r="E4300">
        <v>5.7680000000000002E-2</v>
      </c>
      <c r="F4300">
        <v>-1</v>
      </c>
      <c r="G4300">
        <v>5.7680000000000002E-2</v>
      </c>
    </row>
    <row r="4301" spans="1:7">
      <c r="A4301" t="s">
        <v>144</v>
      </c>
      <c r="B4301">
        <v>67</v>
      </c>
      <c r="C4301">
        <v>43</v>
      </c>
      <c r="D4301">
        <v>-1</v>
      </c>
      <c r="E4301">
        <v>-0.47856100000000001</v>
      </c>
      <c r="F4301">
        <v>-1</v>
      </c>
      <c r="G4301">
        <v>-0.47856100000000001</v>
      </c>
    </row>
    <row r="4302" spans="1:7">
      <c r="A4302" t="s">
        <v>144</v>
      </c>
      <c r="B4302">
        <v>67</v>
      </c>
      <c r="C4302">
        <v>44</v>
      </c>
      <c r="D4302">
        <v>-1</v>
      </c>
      <c r="E4302">
        <v>0.33524599999999999</v>
      </c>
      <c r="F4302">
        <v>-1</v>
      </c>
      <c r="G4302">
        <v>0.33524599999999999</v>
      </c>
    </row>
    <row r="4303" spans="1:7">
      <c r="A4303" t="s">
        <v>144</v>
      </c>
      <c r="B4303">
        <v>67</v>
      </c>
      <c r="C4303">
        <v>45</v>
      </c>
      <c r="D4303">
        <v>-1</v>
      </c>
      <c r="E4303">
        <v>-0.41908000000000001</v>
      </c>
      <c r="F4303">
        <v>-1</v>
      </c>
      <c r="G4303">
        <v>-0.41908000000000001</v>
      </c>
    </row>
    <row r="4304" spans="1:7">
      <c r="A4304" t="s">
        <v>144</v>
      </c>
      <c r="B4304">
        <v>67</v>
      </c>
      <c r="C4304">
        <v>46</v>
      </c>
      <c r="D4304">
        <v>-1</v>
      </c>
      <c r="E4304">
        <v>-0.32117699999999999</v>
      </c>
      <c r="F4304">
        <v>-1</v>
      </c>
      <c r="G4304">
        <v>-0.32117699999999999</v>
      </c>
    </row>
    <row r="4305" spans="1:7">
      <c r="A4305" t="s">
        <v>144</v>
      </c>
      <c r="B4305">
        <v>67</v>
      </c>
      <c r="C4305">
        <v>47</v>
      </c>
      <c r="D4305">
        <v>-1</v>
      </c>
      <c r="E4305">
        <v>0.83623800000000004</v>
      </c>
      <c r="F4305">
        <v>-1</v>
      </c>
      <c r="G4305">
        <v>0.83623800000000004</v>
      </c>
    </row>
    <row r="4306" spans="1:7">
      <c r="A4306" t="s">
        <v>144</v>
      </c>
      <c r="B4306">
        <v>67</v>
      </c>
      <c r="C4306">
        <v>48</v>
      </c>
      <c r="D4306">
        <v>-1</v>
      </c>
      <c r="E4306">
        <v>0.63441899999999996</v>
      </c>
      <c r="F4306">
        <v>-1</v>
      </c>
      <c r="G4306">
        <v>0.63441899999999996</v>
      </c>
    </row>
    <row r="4307" spans="1:7">
      <c r="A4307" t="s">
        <v>144</v>
      </c>
      <c r="B4307">
        <v>67</v>
      </c>
      <c r="C4307">
        <v>49</v>
      </c>
      <c r="D4307">
        <v>-1</v>
      </c>
      <c r="E4307">
        <v>0.66096999999999995</v>
      </c>
      <c r="F4307">
        <v>-1</v>
      </c>
      <c r="G4307">
        <v>0.66096999999999995</v>
      </c>
    </row>
    <row r="4308" spans="1:7">
      <c r="A4308" t="s">
        <v>144</v>
      </c>
      <c r="B4308" t="s">
        <v>145</v>
      </c>
      <c r="C4308">
        <v>68</v>
      </c>
    </row>
    <row r="4309" spans="1:7">
      <c r="A4309" t="s">
        <v>144</v>
      </c>
      <c r="B4309" t="s">
        <v>146</v>
      </c>
      <c r="C4309">
        <v>10</v>
      </c>
    </row>
    <row r="4310" spans="1:7">
      <c r="A4310" t="s">
        <v>144</v>
      </c>
      <c r="B4310" t="s">
        <v>147</v>
      </c>
      <c r="C4310">
        <v>10</v>
      </c>
    </row>
    <row r="4311" spans="1:7">
      <c r="A4311" t="s">
        <v>144</v>
      </c>
      <c r="B4311" t="s">
        <v>148</v>
      </c>
      <c r="C4311">
        <v>0.49534600000000001</v>
      </c>
    </row>
    <row r="4312" spans="1:7">
      <c r="A4312" t="s">
        <v>144</v>
      </c>
      <c r="B4312" t="s">
        <v>149</v>
      </c>
      <c r="C4312">
        <v>0.49534600000000001</v>
      </c>
    </row>
    <row r="4313" spans="1:7">
      <c r="A4313" t="s">
        <v>144</v>
      </c>
      <c r="B4313" t="s">
        <v>150</v>
      </c>
      <c r="C4313">
        <v>-1</v>
      </c>
    </row>
    <row r="4314" spans="1:7">
      <c r="A4314" t="s">
        <v>144</v>
      </c>
      <c r="B4314" t="s">
        <v>151</v>
      </c>
      <c r="C4314">
        <v>-1</v>
      </c>
    </row>
    <row r="4315" spans="1:7">
      <c r="A4315" t="s">
        <v>144</v>
      </c>
      <c r="B4315" t="s">
        <v>152</v>
      </c>
      <c r="C4315">
        <v>1</v>
      </c>
    </row>
    <row r="4316" spans="1:7">
      <c r="A4316" t="s">
        <v>144</v>
      </c>
      <c r="B4316" t="s">
        <v>153</v>
      </c>
      <c r="C4316">
        <v>1</v>
      </c>
    </row>
    <row r="4317" spans="1:7">
      <c r="A4317" t="s">
        <v>144</v>
      </c>
      <c r="B4317" t="s">
        <v>154</v>
      </c>
      <c r="C4317">
        <v>0</v>
      </c>
    </row>
    <row r="4318" spans="1:7">
      <c r="A4318" t="s">
        <v>144</v>
      </c>
      <c r="B4318" t="s">
        <v>155</v>
      </c>
    </row>
    <row r="4319" spans="1:7">
      <c r="A4319" t="s">
        <v>144</v>
      </c>
      <c r="B4319" t="s">
        <v>150</v>
      </c>
      <c r="C4319">
        <v>0.72707299999999997</v>
      </c>
    </row>
    <row r="4320" spans="1:7">
      <c r="A4320" t="s">
        <v>144</v>
      </c>
      <c r="B4320" t="s">
        <v>151</v>
      </c>
      <c r="C4320">
        <v>0.72707299999999997</v>
      </c>
    </row>
    <row r="4321" spans="1:7">
      <c r="A4321" t="s">
        <v>144</v>
      </c>
      <c r="B4321" t="s">
        <v>156</v>
      </c>
      <c r="C4321" t="s">
        <v>157</v>
      </c>
      <c r="D4321" t="s">
        <v>63</v>
      </c>
      <c r="E4321" t="s">
        <v>158</v>
      </c>
      <c r="F4321" t="s">
        <v>159</v>
      </c>
      <c r="G4321" t="s">
        <v>160</v>
      </c>
    </row>
    <row r="4322" spans="1:7">
      <c r="A4322" t="s">
        <v>144</v>
      </c>
      <c r="B4322">
        <v>68</v>
      </c>
      <c r="C4322">
        <v>0</v>
      </c>
      <c r="D4322">
        <v>0.72707299999999997</v>
      </c>
      <c r="E4322">
        <v>0.896451</v>
      </c>
      <c r="F4322">
        <v>-1</v>
      </c>
      <c r="G4322">
        <v>0.896451</v>
      </c>
    </row>
    <row r="4323" spans="1:7">
      <c r="A4323" t="s">
        <v>144</v>
      </c>
      <c r="B4323">
        <v>68</v>
      </c>
      <c r="C4323">
        <v>1</v>
      </c>
      <c r="D4323">
        <v>0.72707299999999997</v>
      </c>
      <c r="E4323">
        <v>-0.67494699999999996</v>
      </c>
      <c r="F4323">
        <v>0.99331599999999998</v>
      </c>
      <c r="G4323">
        <v>-0.21963299999999999</v>
      </c>
    </row>
    <row r="4324" spans="1:7">
      <c r="A4324" t="s">
        <v>144</v>
      </c>
      <c r="B4324">
        <v>68</v>
      </c>
      <c r="C4324">
        <v>2</v>
      </c>
      <c r="D4324">
        <v>0.72707299999999997</v>
      </c>
      <c r="E4324">
        <v>-0.83828199999999997</v>
      </c>
      <c r="F4324">
        <v>0.52104300000000003</v>
      </c>
      <c r="G4324">
        <v>-0.46728599999999998</v>
      </c>
    </row>
    <row r="4325" spans="1:7">
      <c r="A4325" t="s">
        <v>144</v>
      </c>
      <c r="B4325">
        <v>68</v>
      </c>
      <c r="C4325">
        <v>3</v>
      </c>
      <c r="D4325">
        <v>0.72707299999999997</v>
      </c>
      <c r="E4325">
        <v>0.72396000000000005</v>
      </c>
      <c r="F4325">
        <v>0.81914699999999996</v>
      </c>
      <c r="G4325">
        <v>0.74993900000000002</v>
      </c>
    </row>
    <row r="4326" spans="1:7">
      <c r="A4326" t="s">
        <v>144</v>
      </c>
      <c r="B4326">
        <v>68</v>
      </c>
      <c r="C4326">
        <v>4</v>
      </c>
      <c r="D4326">
        <v>0.72707299999999997</v>
      </c>
      <c r="E4326">
        <v>-0.471999</v>
      </c>
      <c r="F4326">
        <v>-0.22281599999999999</v>
      </c>
      <c r="G4326">
        <v>-0.40399000000000002</v>
      </c>
    </row>
    <row r="4327" spans="1:7">
      <c r="A4327" t="s">
        <v>144</v>
      </c>
      <c r="B4327">
        <v>68</v>
      </c>
      <c r="C4327">
        <v>5</v>
      </c>
      <c r="D4327">
        <v>0.72707299999999997</v>
      </c>
      <c r="E4327">
        <v>-0.51170400000000005</v>
      </c>
      <c r="F4327">
        <v>0.41126699999999999</v>
      </c>
      <c r="G4327">
        <v>-0.25979999999999998</v>
      </c>
    </row>
    <row r="4328" spans="1:7">
      <c r="A4328" t="s">
        <v>144</v>
      </c>
      <c r="B4328">
        <v>68</v>
      </c>
      <c r="C4328">
        <v>6</v>
      </c>
      <c r="D4328">
        <v>0.72707299999999997</v>
      </c>
      <c r="E4328">
        <v>0.483016</v>
      </c>
      <c r="F4328">
        <v>0.70256700000000005</v>
      </c>
      <c r="G4328">
        <v>0.54293800000000003</v>
      </c>
    </row>
    <row r="4329" spans="1:7">
      <c r="A4329" t="s">
        <v>144</v>
      </c>
      <c r="B4329">
        <v>68</v>
      </c>
      <c r="C4329">
        <v>7</v>
      </c>
      <c r="D4329">
        <v>0.72707299999999997</v>
      </c>
      <c r="E4329">
        <v>-0.37952799999999998</v>
      </c>
      <c r="F4329">
        <v>6.0700999999999998E-2</v>
      </c>
      <c r="G4329">
        <v>-0.259378</v>
      </c>
    </row>
    <row r="4330" spans="1:7">
      <c r="A4330" t="s">
        <v>144</v>
      </c>
      <c r="B4330">
        <v>68</v>
      </c>
      <c r="C4330">
        <v>8</v>
      </c>
      <c r="D4330">
        <v>0.72707299999999997</v>
      </c>
      <c r="E4330">
        <v>-0.499191</v>
      </c>
      <c r="F4330">
        <v>-0.32270300000000002</v>
      </c>
      <c r="G4330">
        <v>-0.45102300000000001</v>
      </c>
    </row>
    <row r="4331" spans="1:7">
      <c r="A4331" t="s">
        <v>144</v>
      </c>
      <c r="B4331">
        <v>68</v>
      </c>
      <c r="C4331">
        <v>9</v>
      </c>
      <c r="D4331">
        <v>0.72707299999999997</v>
      </c>
      <c r="E4331">
        <v>0.97897299999999998</v>
      </c>
      <c r="F4331">
        <v>0.71788700000000005</v>
      </c>
      <c r="G4331">
        <v>0.90771500000000005</v>
      </c>
    </row>
    <row r="4332" spans="1:7">
      <c r="A4332" t="s">
        <v>144</v>
      </c>
      <c r="B4332">
        <v>68</v>
      </c>
      <c r="C4332">
        <v>10</v>
      </c>
      <c r="D4332">
        <v>0.72707299999999997</v>
      </c>
      <c r="E4332">
        <v>-0.39317000000000002</v>
      </c>
      <c r="F4332">
        <v>0.83263600000000004</v>
      </c>
      <c r="G4332">
        <v>-5.8613999999999999E-2</v>
      </c>
    </row>
    <row r="4333" spans="1:7">
      <c r="A4333" t="s">
        <v>144</v>
      </c>
      <c r="B4333">
        <v>68</v>
      </c>
      <c r="C4333">
        <v>11</v>
      </c>
      <c r="D4333">
        <v>0.72707299999999997</v>
      </c>
      <c r="E4333">
        <v>-0.24301900000000001</v>
      </c>
      <c r="F4333">
        <v>0.89336800000000005</v>
      </c>
      <c r="G4333">
        <v>6.7131999999999997E-2</v>
      </c>
    </row>
    <row r="4334" spans="1:7">
      <c r="A4334" t="s">
        <v>144</v>
      </c>
      <c r="B4334">
        <v>68</v>
      </c>
      <c r="C4334">
        <v>12</v>
      </c>
      <c r="D4334">
        <v>0.72707299999999997</v>
      </c>
      <c r="E4334">
        <v>-0.27423900000000001</v>
      </c>
      <c r="F4334">
        <v>0.72756100000000001</v>
      </c>
      <c r="G4334">
        <v>-8.2100000000000001E-4</v>
      </c>
    </row>
    <row r="4335" spans="1:7">
      <c r="A4335" t="s">
        <v>144</v>
      </c>
      <c r="B4335">
        <v>68</v>
      </c>
      <c r="C4335">
        <v>13</v>
      </c>
      <c r="D4335">
        <v>0.72707299999999997</v>
      </c>
      <c r="E4335">
        <v>0.56273099999999998</v>
      </c>
      <c r="F4335">
        <v>-0.13922499999999999</v>
      </c>
      <c r="G4335">
        <v>0.37114799999999998</v>
      </c>
    </row>
    <row r="4336" spans="1:7">
      <c r="A4336" t="s">
        <v>144</v>
      </c>
      <c r="B4336">
        <v>68</v>
      </c>
      <c r="C4336">
        <v>14</v>
      </c>
      <c r="D4336">
        <v>0.72707299999999997</v>
      </c>
      <c r="E4336">
        <v>-0.32587699999999997</v>
      </c>
      <c r="F4336">
        <v>0.82836399999999999</v>
      </c>
      <c r="G4336">
        <v>-1.0853E-2</v>
      </c>
    </row>
    <row r="4337" spans="1:7">
      <c r="A4337" t="s">
        <v>144</v>
      </c>
      <c r="B4337">
        <v>68</v>
      </c>
      <c r="C4337">
        <v>15</v>
      </c>
      <c r="D4337">
        <v>0.72707299999999997</v>
      </c>
      <c r="E4337">
        <v>0.57454099999999997</v>
      </c>
      <c r="F4337">
        <v>0.51628200000000002</v>
      </c>
      <c r="G4337">
        <v>0.55864100000000005</v>
      </c>
    </row>
    <row r="4338" spans="1:7">
      <c r="A4338" t="s">
        <v>144</v>
      </c>
      <c r="B4338">
        <v>68</v>
      </c>
      <c r="C4338">
        <v>16</v>
      </c>
      <c r="D4338">
        <v>0.72707299999999997</v>
      </c>
      <c r="E4338">
        <v>0.145177</v>
      </c>
      <c r="F4338">
        <v>0.73827299999999996</v>
      </c>
      <c r="G4338">
        <v>0.30704900000000002</v>
      </c>
    </row>
    <row r="4339" spans="1:7">
      <c r="A4339" t="s">
        <v>144</v>
      </c>
      <c r="B4339">
        <v>68</v>
      </c>
      <c r="C4339">
        <v>17</v>
      </c>
      <c r="D4339">
        <v>0.72707299999999997</v>
      </c>
      <c r="E4339">
        <v>-0.46595700000000001</v>
      </c>
      <c r="F4339">
        <v>-0.95419200000000004</v>
      </c>
      <c r="G4339">
        <v>-0.59920899999999999</v>
      </c>
    </row>
    <row r="4340" spans="1:7">
      <c r="A4340" t="s">
        <v>144</v>
      </c>
      <c r="B4340">
        <v>68</v>
      </c>
      <c r="C4340">
        <v>18</v>
      </c>
      <c r="D4340">
        <v>0.72707299999999997</v>
      </c>
      <c r="E4340">
        <v>-0.74062300000000003</v>
      </c>
      <c r="F4340">
        <v>0.33259100000000003</v>
      </c>
      <c r="G4340">
        <v>-0.447714</v>
      </c>
    </row>
    <row r="4341" spans="1:7">
      <c r="A4341" t="s">
        <v>144</v>
      </c>
      <c r="B4341">
        <v>68</v>
      </c>
      <c r="C4341">
        <v>19</v>
      </c>
      <c r="D4341">
        <v>0.72707299999999997</v>
      </c>
      <c r="E4341">
        <v>-0.20447399999999999</v>
      </c>
      <c r="F4341">
        <v>0.91009200000000001</v>
      </c>
      <c r="G4341">
        <v>9.9721000000000004E-2</v>
      </c>
    </row>
    <row r="4342" spans="1:7">
      <c r="A4342" t="s">
        <v>144</v>
      </c>
      <c r="B4342">
        <v>68</v>
      </c>
      <c r="C4342">
        <v>20</v>
      </c>
      <c r="D4342">
        <v>0.72707299999999997</v>
      </c>
      <c r="E4342">
        <v>0.84404999999999997</v>
      </c>
      <c r="F4342">
        <v>0.93816900000000003</v>
      </c>
      <c r="G4342">
        <v>0.86973800000000001</v>
      </c>
    </row>
    <row r="4343" spans="1:7">
      <c r="A4343" t="s">
        <v>144</v>
      </c>
      <c r="B4343">
        <v>68</v>
      </c>
      <c r="C4343">
        <v>21</v>
      </c>
      <c r="D4343">
        <v>0.72707299999999997</v>
      </c>
      <c r="E4343">
        <v>-0.59688099999999999</v>
      </c>
      <c r="F4343">
        <v>0.232734</v>
      </c>
      <c r="G4343">
        <v>-0.37045699999999998</v>
      </c>
    </row>
    <row r="4344" spans="1:7">
      <c r="A4344" t="s">
        <v>144</v>
      </c>
      <c r="B4344">
        <v>68</v>
      </c>
      <c r="C4344">
        <v>22</v>
      </c>
      <c r="D4344">
        <v>0.72707299999999997</v>
      </c>
      <c r="E4344">
        <v>-0.69362500000000005</v>
      </c>
      <c r="F4344">
        <v>-0.35831800000000003</v>
      </c>
      <c r="G4344">
        <v>-0.60211000000000003</v>
      </c>
    </row>
    <row r="4345" spans="1:7">
      <c r="A4345" t="s">
        <v>144</v>
      </c>
      <c r="B4345">
        <v>68</v>
      </c>
      <c r="C4345">
        <v>23</v>
      </c>
      <c r="D4345">
        <v>0.72707299999999997</v>
      </c>
      <c r="E4345">
        <v>0.58458200000000005</v>
      </c>
      <c r="F4345">
        <v>0.63753199999999999</v>
      </c>
      <c r="G4345">
        <v>0.59903300000000004</v>
      </c>
    </row>
    <row r="4346" spans="1:7">
      <c r="A4346" t="s">
        <v>144</v>
      </c>
      <c r="B4346">
        <v>68</v>
      </c>
      <c r="C4346">
        <v>24</v>
      </c>
      <c r="D4346">
        <v>0.72707299999999997</v>
      </c>
      <c r="E4346">
        <v>0.943693</v>
      </c>
      <c r="F4346">
        <v>0.39991500000000002</v>
      </c>
      <c r="G4346">
        <v>0.79528100000000002</v>
      </c>
    </row>
    <row r="4347" spans="1:7">
      <c r="A4347" t="s">
        <v>144</v>
      </c>
      <c r="B4347">
        <v>68</v>
      </c>
      <c r="C4347">
        <v>25</v>
      </c>
      <c r="D4347">
        <v>0.72707299999999997</v>
      </c>
      <c r="E4347">
        <v>0.68205800000000005</v>
      </c>
      <c r="F4347">
        <v>0.69939300000000004</v>
      </c>
      <c r="G4347">
        <v>0.68678899999999998</v>
      </c>
    </row>
    <row r="4348" spans="1:7">
      <c r="A4348" t="s">
        <v>144</v>
      </c>
      <c r="B4348">
        <v>68</v>
      </c>
      <c r="C4348">
        <v>26</v>
      </c>
      <c r="D4348">
        <v>0.72707299999999997</v>
      </c>
      <c r="E4348">
        <v>0.85753999999999997</v>
      </c>
      <c r="F4348">
        <v>5.8411999999999999E-2</v>
      </c>
      <c r="G4348">
        <v>0.639436</v>
      </c>
    </row>
    <row r="4349" spans="1:7">
      <c r="A4349" t="s">
        <v>144</v>
      </c>
      <c r="B4349">
        <v>68</v>
      </c>
      <c r="C4349">
        <v>27</v>
      </c>
      <c r="D4349">
        <v>0.72707299999999997</v>
      </c>
      <c r="E4349">
        <v>0.96350000000000002</v>
      </c>
      <c r="F4349">
        <v>-0.76934100000000005</v>
      </c>
      <c r="G4349">
        <v>0.49056100000000002</v>
      </c>
    </row>
    <row r="4350" spans="1:7">
      <c r="A4350" t="s">
        <v>144</v>
      </c>
      <c r="B4350">
        <v>68</v>
      </c>
      <c r="C4350">
        <v>28</v>
      </c>
      <c r="D4350">
        <v>0.72707299999999997</v>
      </c>
      <c r="E4350">
        <v>0.440077</v>
      </c>
      <c r="F4350">
        <v>1.7609E-2</v>
      </c>
      <c r="G4350">
        <v>0.32477400000000001</v>
      </c>
    </row>
    <row r="4351" spans="1:7">
      <c r="A4351" t="s">
        <v>144</v>
      </c>
      <c r="B4351">
        <v>68</v>
      </c>
      <c r="C4351">
        <v>29</v>
      </c>
      <c r="D4351">
        <v>0.72707299999999997</v>
      </c>
      <c r="E4351">
        <v>-0.50492899999999996</v>
      </c>
      <c r="F4351">
        <v>-0.721244</v>
      </c>
      <c r="G4351">
        <v>-0.563967</v>
      </c>
    </row>
    <row r="4352" spans="1:7">
      <c r="A4352" t="s">
        <v>144</v>
      </c>
      <c r="B4352">
        <v>68</v>
      </c>
      <c r="C4352">
        <v>30</v>
      </c>
      <c r="D4352">
        <v>0.72707299999999997</v>
      </c>
      <c r="E4352">
        <v>-0.66579200000000005</v>
      </c>
      <c r="F4352">
        <v>0.61998299999999995</v>
      </c>
      <c r="G4352">
        <v>-0.31486900000000001</v>
      </c>
    </row>
    <row r="4353" spans="1:7">
      <c r="A4353" t="s">
        <v>144</v>
      </c>
      <c r="B4353">
        <v>68</v>
      </c>
      <c r="C4353">
        <v>31</v>
      </c>
      <c r="D4353">
        <v>0.72707299999999997</v>
      </c>
      <c r="E4353">
        <v>-0.68761300000000003</v>
      </c>
      <c r="F4353">
        <v>-0.93487399999999998</v>
      </c>
      <c r="G4353">
        <v>-0.75509700000000002</v>
      </c>
    </row>
    <row r="4354" spans="1:7">
      <c r="A4354" t="s">
        <v>144</v>
      </c>
      <c r="B4354">
        <v>68</v>
      </c>
      <c r="C4354">
        <v>32</v>
      </c>
      <c r="D4354">
        <v>0.72707299999999997</v>
      </c>
      <c r="E4354">
        <v>-0.45905899999999999</v>
      </c>
      <c r="F4354">
        <v>-0.963866</v>
      </c>
      <c r="G4354">
        <v>-0.596835</v>
      </c>
    </row>
    <row r="4355" spans="1:7">
      <c r="A4355" t="s">
        <v>144</v>
      </c>
      <c r="B4355">
        <v>68</v>
      </c>
      <c r="C4355">
        <v>33</v>
      </c>
      <c r="D4355">
        <v>0.72707299999999997</v>
      </c>
      <c r="E4355">
        <v>-0.26892899999999997</v>
      </c>
      <c r="F4355">
        <v>0.42143000000000003</v>
      </c>
      <c r="G4355">
        <v>-8.0510999999999999E-2</v>
      </c>
    </row>
    <row r="4356" spans="1:7">
      <c r="A4356" t="s">
        <v>144</v>
      </c>
      <c r="B4356">
        <v>68</v>
      </c>
      <c r="C4356">
        <v>34</v>
      </c>
      <c r="D4356">
        <v>0.72707299999999997</v>
      </c>
      <c r="E4356">
        <v>0.58226299999999998</v>
      </c>
      <c r="F4356">
        <v>0.28397499999999998</v>
      </c>
      <c r="G4356">
        <v>0.50085199999999996</v>
      </c>
    </row>
    <row r="4357" spans="1:7">
      <c r="A4357" t="s">
        <v>144</v>
      </c>
      <c r="B4357">
        <v>68</v>
      </c>
      <c r="C4357">
        <v>35</v>
      </c>
      <c r="D4357">
        <v>0.72707299999999997</v>
      </c>
      <c r="E4357">
        <v>-0.62703299999999995</v>
      </c>
      <c r="F4357">
        <v>0.49809300000000001</v>
      </c>
      <c r="G4357">
        <v>-0.31995600000000002</v>
      </c>
    </row>
    <row r="4358" spans="1:7">
      <c r="A4358" t="s">
        <v>144</v>
      </c>
      <c r="B4358">
        <v>68</v>
      </c>
      <c r="C4358">
        <v>36</v>
      </c>
      <c r="D4358">
        <v>0.72707299999999997</v>
      </c>
      <c r="E4358">
        <v>8.8625999999999996E-2</v>
      </c>
      <c r="F4358">
        <v>0.27155400000000002</v>
      </c>
      <c r="G4358">
        <v>0.13855200000000001</v>
      </c>
    </row>
    <row r="4359" spans="1:7">
      <c r="A4359" t="s">
        <v>144</v>
      </c>
      <c r="B4359">
        <v>68</v>
      </c>
      <c r="C4359">
        <v>37</v>
      </c>
      <c r="D4359">
        <v>0.72707299999999997</v>
      </c>
      <c r="E4359">
        <v>-8.5848999999999995E-2</v>
      </c>
      <c r="F4359">
        <v>-0.91738600000000003</v>
      </c>
      <c r="G4359">
        <v>-0.31279800000000002</v>
      </c>
    </row>
    <row r="4360" spans="1:7">
      <c r="A4360" t="s">
        <v>144</v>
      </c>
      <c r="B4360">
        <v>68</v>
      </c>
      <c r="C4360">
        <v>38</v>
      </c>
      <c r="D4360">
        <v>0.72707299999999997</v>
      </c>
      <c r="E4360">
        <v>0.49571199999999999</v>
      </c>
      <c r="F4360">
        <v>-0.48973100000000003</v>
      </c>
      <c r="G4360">
        <v>0.22675799999999999</v>
      </c>
    </row>
    <row r="4361" spans="1:7">
      <c r="A4361" t="s">
        <v>144</v>
      </c>
      <c r="B4361">
        <v>68</v>
      </c>
      <c r="C4361">
        <v>39</v>
      </c>
      <c r="D4361">
        <v>0.72707299999999997</v>
      </c>
      <c r="E4361">
        <v>-0.72609599999999996</v>
      </c>
      <c r="F4361">
        <v>-0.85818000000000005</v>
      </c>
      <c r="G4361">
        <v>-0.76214599999999999</v>
      </c>
    </row>
    <row r="4362" spans="1:7">
      <c r="A4362" t="s">
        <v>144</v>
      </c>
      <c r="B4362">
        <v>68</v>
      </c>
      <c r="C4362">
        <v>40</v>
      </c>
      <c r="D4362">
        <v>0.72707299999999997</v>
      </c>
      <c r="E4362">
        <v>-0.33573399999999998</v>
      </c>
      <c r="F4362">
        <v>0.54127599999999998</v>
      </c>
      <c r="G4362">
        <v>-9.6374000000000001E-2</v>
      </c>
    </row>
    <row r="4363" spans="1:7">
      <c r="A4363" t="s">
        <v>144</v>
      </c>
      <c r="B4363">
        <v>68</v>
      </c>
      <c r="C4363">
        <v>41</v>
      </c>
      <c r="D4363">
        <v>0.72707299999999997</v>
      </c>
      <c r="E4363">
        <v>0.58906800000000004</v>
      </c>
      <c r="F4363">
        <v>-0.68401100000000004</v>
      </c>
      <c r="G4363">
        <v>0.24160999999999999</v>
      </c>
    </row>
    <row r="4364" spans="1:7">
      <c r="A4364" t="s">
        <v>144</v>
      </c>
      <c r="B4364">
        <v>68</v>
      </c>
      <c r="C4364">
        <v>42</v>
      </c>
      <c r="D4364">
        <v>0.72707299999999997</v>
      </c>
      <c r="E4364">
        <v>0.23935699999999999</v>
      </c>
      <c r="F4364">
        <v>0.14441399999999999</v>
      </c>
      <c r="G4364">
        <v>0.21344399999999999</v>
      </c>
    </row>
    <row r="4365" spans="1:7">
      <c r="A4365" t="s">
        <v>144</v>
      </c>
      <c r="B4365">
        <v>68</v>
      </c>
      <c r="C4365">
        <v>43</v>
      </c>
      <c r="D4365">
        <v>0.72707299999999997</v>
      </c>
      <c r="E4365">
        <v>0.67925000000000002</v>
      </c>
      <c r="F4365">
        <v>0.87536199999999997</v>
      </c>
      <c r="G4365">
        <v>0.73277499999999995</v>
      </c>
    </row>
    <row r="4366" spans="1:7">
      <c r="A4366" t="s">
        <v>144</v>
      </c>
      <c r="B4366">
        <v>68</v>
      </c>
      <c r="C4366">
        <v>44</v>
      </c>
      <c r="D4366">
        <v>0.72707299999999997</v>
      </c>
      <c r="E4366">
        <v>0.208533</v>
      </c>
      <c r="F4366">
        <v>0.77306399999999997</v>
      </c>
      <c r="G4366">
        <v>0.36260900000000001</v>
      </c>
    </row>
    <row r="4367" spans="1:7">
      <c r="A4367" t="s">
        <v>144</v>
      </c>
      <c r="B4367">
        <v>68</v>
      </c>
      <c r="C4367">
        <v>45</v>
      </c>
      <c r="D4367">
        <v>0.72707299999999997</v>
      </c>
      <c r="E4367">
        <v>-0.67186500000000005</v>
      </c>
      <c r="F4367">
        <v>-4.2023999999999999E-2</v>
      </c>
      <c r="G4367">
        <v>-0.49996400000000002</v>
      </c>
    </row>
    <row r="4368" spans="1:7">
      <c r="A4368" t="s">
        <v>144</v>
      </c>
      <c r="B4368">
        <v>68</v>
      </c>
      <c r="C4368">
        <v>46</v>
      </c>
      <c r="D4368">
        <v>0.72707299999999997</v>
      </c>
      <c r="E4368">
        <v>-0.235481</v>
      </c>
      <c r="F4368">
        <v>-1.7701000000000001E-2</v>
      </c>
      <c r="G4368">
        <v>-0.17604300000000001</v>
      </c>
    </row>
    <row r="4369" spans="1:7">
      <c r="A4369" t="s">
        <v>144</v>
      </c>
      <c r="B4369">
        <v>68</v>
      </c>
      <c r="C4369">
        <v>47</v>
      </c>
      <c r="D4369">
        <v>0.72707299999999997</v>
      </c>
      <c r="E4369">
        <v>-0.73189499999999996</v>
      </c>
      <c r="F4369">
        <v>0.42173500000000003</v>
      </c>
      <c r="G4369">
        <v>-0.41703800000000002</v>
      </c>
    </row>
    <row r="4370" spans="1:7">
      <c r="A4370" t="s">
        <v>144</v>
      </c>
      <c r="B4370">
        <v>68</v>
      </c>
      <c r="C4370">
        <v>48</v>
      </c>
      <c r="D4370">
        <v>0.72707299999999997</v>
      </c>
      <c r="E4370">
        <v>-0.92327599999999999</v>
      </c>
      <c r="F4370">
        <v>-0.32352700000000001</v>
      </c>
      <c r="G4370">
        <v>-0.75958899999999996</v>
      </c>
    </row>
    <row r="4371" spans="1:7">
      <c r="A4371" t="s">
        <v>144</v>
      </c>
      <c r="B4371">
        <v>68</v>
      </c>
      <c r="C4371">
        <v>49</v>
      </c>
      <c r="D4371">
        <v>0.72707299999999997</v>
      </c>
      <c r="E4371">
        <v>0.35065800000000003</v>
      </c>
      <c r="F4371">
        <v>0.77138600000000002</v>
      </c>
      <c r="G4371">
        <v>0.46548600000000001</v>
      </c>
    </row>
    <row r="4372" spans="1:7">
      <c r="A4372" t="s">
        <v>144</v>
      </c>
      <c r="B4372" t="s">
        <v>145</v>
      </c>
      <c r="C4372">
        <v>69</v>
      </c>
    </row>
    <row r="4373" spans="1:7">
      <c r="A4373" t="s">
        <v>144</v>
      </c>
      <c r="B4373" t="s">
        <v>146</v>
      </c>
      <c r="C4373">
        <v>15</v>
      </c>
    </row>
    <row r="4374" spans="1:7">
      <c r="A4374" t="s">
        <v>144</v>
      </c>
      <c r="B4374" t="s">
        <v>147</v>
      </c>
      <c r="C4374">
        <v>15</v>
      </c>
    </row>
    <row r="4375" spans="1:7">
      <c r="A4375" t="s">
        <v>144</v>
      </c>
      <c r="B4375" t="s">
        <v>148</v>
      </c>
      <c r="C4375">
        <v>0.560747</v>
      </c>
    </row>
    <row r="4376" spans="1:7">
      <c r="A4376" t="s">
        <v>144</v>
      </c>
      <c r="B4376" t="s">
        <v>149</v>
      </c>
      <c r="C4376">
        <v>0.560747</v>
      </c>
    </row>
    <row r="4377" spans="1:7">
      <c r="A4377" t="s">
        <v>144</v>
      </c>
      <c r="B4377" t="s">
        <v>150</v>
      </c>
      <c r="C4377">
        <v>-1</v>
      </c>
    </row>
    <row r="4378" spans="1:7">
      <c r="A4378" t="s">
        <v>144</v>
      </c>
      <c r="B4378" t="s">
        <v>151</v>
      </c>
      <c r="C4378">
        <v>-1</v>
      </c>
    </row>
    <row r="4379" spans="1:7">
      <c r="A4379" t="s">
        <v>144</v>
      </c>
      <c r="B4379" t="s">
        <v>152</v>
      </c>
      <c r="C4379">
        <v>48</v>
      </c>
    </row>
    <row r="4380" spans="1:7">
      <c r="A4380" t="s">
        <v>144</v>
      </c>
      <c r="B4380" t="s">
        <v>153</v>
      </c>
      <c r="C4380">
        <v>48</v>
      </c>
    </row>
    <row r="4381" spans="1:7">
      <c r="A4381" t="s">
        <v>144</v>
      </c>
      <c r="B4381" t="s">
        <v>154</v>
      </c>
      <c r="C4381">
        <v>0</v>
      </c>
    </row>
    <row r="4382" spans="1:7">
      <c r="A4382" t="s">
        <v>144</v>
      </c>
      <c r="B4382" t="s">
        <v>155</v>
      </c>
    </row>
    <row r="4383" spans="1:7">
      <c r="A4383" t="s">
        <v>144</v>
      </c>
      <c r="B4383" t="s">
        <v>150</v>
      </c>
      <c r="C4383">
        <v>0.159917</v>
      </c>
    </row>
    <row r="4384" spans="1:7">
      <c r="A4384" t="s">
        <v>144</v>
      </c>
      <c r="B4384" t="s">
        <v>151</v>
      </c>
      <c r="C4384">
        <v>0.159917</v>
      </c>
    </row>
    <row r="4385" spans="1:7">
      <c r="A4385" t="s">
        <v>144</v>
      </c>
      <c r="B4385" t="s">
        <v>156</v>
      </c>
      <c r="C4385" t="s">
        <v>157</v>
      </c>
      <c r="D4385" t="s">
        <v>63</v>
      </c>
      <c r="E4385" t="s">
        <v>158</v>
      </c>
      <c r="F4385" t="s">
        <v>159</v>
      </c>
      <c r="G4385" t="s">
        <v>160</v>
      </c>
    </row>
    <row r="4386" spans="1:7">
      <c r="A4386" t="s">
        <v>144</v>
      </c>
      <c r="B4386">
        <v>69</v>
      </c>
      <c r="C4386">
        <v>0</v>
      </c>
      <c r="D4386">
        <v>0.159917</v>
      </c>
      <c r="E4386">
        <v>-0.61659600000000003</v>
      </c>
      <c r="F4386">
        <v>-1</v>
      </c>
      <c r="G4386">
        <v>-0.61659600000000003</v>
      </c>
    </row>
    <row r="4387" spans="1:7">
      <c r="A4387" t="s">
        <v>144</v>
      </c>
      <c r="B4387">
        <v>69</v>
      </c>
      <c r="C4387">
        <v>1</v>
      </c>
      <c r="D4387">
        <v>0.159917</v>
      </c>
      <c r="E4387">
        <v>-0.97979700000000003</v>
      </c>
      <c r="F4387">
        <v>-1</v>
      </c>
      <c r="G4387">
        <v>-0.97979700000000003</v>
      </c>
    </row>
    <row r="4388" spans="1:7">
      <c r="A4388" t="s">
        <v>144</v>
      </c>
      <c r="B4388">
        <v>69</v>
      </c>
      <c r="C4388">
        <v>2</v>
      </c>
      <c r="D4388">
        <v>0.159917</v>
      </c>
      <c r="E4388">
        <v>0.899594</v>
      </c>
      <c r="F4388">
        <v>-1</v>
      </c>
      <c r="G4388">
        <v>0.899594</v>
      </c>
    </row>
    <row r="4389" spans="1:7">
      <c r="A4389" t="s">
        <v>144</v>
      </c>
      <c r="B4389">
        <v>69</v>
      </c>
      <c r="C4389">
        <v>3</v>
      </c>
      <c r="D4389">
        <v>0.159917</v>
      </c>
      <c r="E4389">
        <v>-0.29200100000000001</v>
      </c>
      <c r="F4389">
        <v>-1</v>
      </c>
      <c r="G4389">
        <v>-0.29200100000000001</v>
      </c>
    </row>
    <row r="4390" spans="1:7">
      <c r="A4390" t="s">
        <v>144</v>
      </c>
      <c r="B4390">
        <v>69</v>
      </c>
      <c r="C4390">
        <v>4</v>
      </c>
      <c r="D4390">
        <v>0.159917</v>
      </c>
      <c r="E4390">
        <v>0.13586799999999999</v>
      </c>
      <c r="F4390">
        <v>-1</v>
      </c>
      <c r="G4390">
        <v>0.13586799999999999</v>
      </c>
    </row>
    <row r="4391" spans="1:7">
      <c r="A4391" t="s">
        <v>144</v>
      </c>
      <c r="B4391">
        <v>69</v>
      </c>
      <c r="C4391">
        <v>5</v>
      </c>
      <c r="D4391">
        <v>0.159917</v>
      </c>
      <c r="E4391">
        <v>0.105502</v>
      </c>
      <c r="F4391">
        <v>-1</v>
      </c>
      <c r="G4391">
        <v>0.105502</v>
      </c>
    </row>
    <row r="4392" spans="1:7">
      <c r="A4392" t="s">
        <v>144</v>
      </c>
      <c r="B4392">
        <v>69</v>
      </c>
      <c r="C4392">
        <v>6</v>
      </c>
      <c r="D4392">
        <v>0.159917</v>
      </c>
      <c r="E4392">
        <v>-0.30381200000000003</v>
      </c>
      <c r="F4392">
        <v>-1</v>
      </c>
      <c r="G4392">
        <v>-0.30381200000000003</v>
      </c>
    </row>
    <row r="4393" spans="1:7">
      <c r="A4393" t="s">
        <v>144</v>
      </c>
      <c r="B4393">
        <v>69</v>
      </c>
      <c r="C4393">
        <v>7</v>
      </c>
      <c r="D4393">
        <v>0.159917</v>
      </c>
      <c r="E4393">
        <v>0.21112700000000001</v>
      </c>
      <c r="F4393">
        <v>-1</v>
      </c>
      <c r="G4393">
        <v>0.21112700000000001</v>
      </c>
    </row>
    <row r="4394" spans="1:7">
      <c r="A4394" t="s">
        <v>144</v>
      </c>
      <c r="B4394">
        <v>69</v>
      </c>
      <c r="C4394">
        <v>8</v>
      </c>
      <c r="D4394">
        <v>0.159917</v>
      </c>
      <c r="E4394">
        <v>-0.389233</v>
      </c>
      <c r="F4394">
        <v>-1</v>
      </c>
      <c r="G4394">
        <v>-0.389233</v>
      </c>
    </row>
    <row r="4395" spans="1:7">
      <c r="A4395" t="s">
        <v>144</v>
      </c>
      <c r="B4395">
        <v>69</v>
      </c>
      <c r="C4395">
        <v>9</v>
      </c>
      <c r="D4395">
        <v>0.159917</v>
      </c>
      <c r="E4395">
        <v>-0.29438199999999998</v>
      </c>
      <c r="F4395">
        <v>-1</v>
      </c>
      <c r="G4395">
        <v>-0.29438199999999998</v>
      </c>
    </row>
    <row r="4396" spans="1:7">
      <c r="A4396" t="s">
        <v>144</v>
      </c>
      <c r="B4396">
        <v>69</v>
      </c>
      <c r="C4396">
        <v>10</v>
      </c>
      <c r="D4396">
        <v>0.159917</v>
      </c>
      <c r="E4396">
        <v>-0.882992</v>
      </c>
      <c r="F4396">
        <v>-1</v>
      </c>
      <c r="G4396">
        <v>-0.882992</v>
      </c>
    </row>
    <row r="4397" spans="1:7">
      <c r="A4397" t="s">
        <v>144</v>
      </c>
      <c r="B4397">
        <v>69</v>
      </c>
      <c r="C4397">
        <v>11</v>
      </c>
      <c r="D4397">
        <v>0.159917</v>
      </c>
      <c r="E4397">
        <v>0.66457100000000002</v>
      </c>
      <c r="F4397">
        <v>-1</v>
      </c>
      <c r="G4397">
        <v>0.66457100000000002</v>
      </c>
    </row>
    <row r="4398" spans="1:7">
      <c r="A4398" t="s">
        <v>144</v>
      </c>
      <c r="B4398">
        <v>69</v>
      </c>
      <c r="C4398">
        <v>12</v>
      </c>
      <c r="D4398">
        <v>0.159917</v>
      </c>
      <c r="E4398">
        <v>-0.59309699999999999</v>
      </c>
      <c r="F4398">
        <v>-1</v>
      </c>
      <c r="G4398">
        <v>-0.59309699999999999</v>
      </c>
    </row>
    <row r="4399" spans="1:7">
      <c r="A4399" t="s">
        <v>144</v>
      </c>
      <c r="B4399">
        <v>69</v>
      </c>
      <c r="C4399">
        <v>13</v>
      </c>
      <c r="D4399">
        <v>0.159917</v>
      </c>
      <c r="E4399">
        <v>0.81395899999999999</v>
      </c>
      <c r="F4399">
        <v>-1</v>
      </c>
      <c r="G4399">
        <v>0.81395899999999999</v>
      </c>
    </row>
    <row r="4400" spans="1:7">
      <c r="A4400" t="s">
        <v>144</v>
      </c>
      <c r="B4400">
        <v>69</v>
      </c>
      <c r="C4400">
        <v>14</v>
      </c>
      <c r="D4400">
        <v>0.159917</v>
      </c>
      <c r="E4400">
        <v>-0.92767100000000002</v>
      </c>
      <c r="F4400">
        <v>-1</v>
      </c>
      <c r="G4400">
        <v>-0.92767100000000002</v>
      </c>
    </row>
    <row r="4401" spans="1:7">
      <c r="A4401" t="s">
        <v>144</v>
      </c>
      <c r="B4401">
        <v>69</v>
      </c>
      <c r="C4401">
        <v>15</v>
      </c>
      <c r="D4401">
        <v>0.159917</v>
      </c>
      <c r="E4401">
        <v>0.21332400000000001</v>
      </c>
      <c r="F4401">
        <v>-1</v>
      </c>
      <c r="G4401">
        <v>0.21332400000000001</v>
      </c>
    </row>
    <row r="4402" spans="1:7">
      <c r="A4402" t="s">
        <v>144</v>
      </c>
      <c r="B4402">
        <v>69</v>
      </c>
      <c r="C4402">
        <v>16</v>
      </c>
      <c r="D4402">
        <v>0.159917</v>
      </c>
      <c r="E4402">
        <v>-0.30466599999999999</v>
      </c>
      <c r="F4402">
        <v>-1</v>
      </c>
      <c r="G4402">
        <v>-0.30466599999999999</v>
      </c>
    </row>
    <row r="4403" spans="1:7">
      <c r="A4403" t="s">
        <v>144</v>
      </c>
      <c r="B4403">
        <v>69</v>
      </c>
      <c r="C4403">
        <v>17</v>
      </c>
      <c r="D4403">
        <v>0.159917</v>
      </c>
      <c r="E4403">
        <v>-0.250191</v>
      </c>
      <c r="F4403">
        <v>-1</v>
      </c>
      <c r="G4403">
        <v>-0.250191</v>
      </c>
    </row>
    <row r="4404" spans="1:7">
      <c r="A4404" t="s">
        <v>144</v>
      </c>
      <c r="B4404">
        <v>69</v>
      </c>
      <c r="C4404">
        <v>18</v>
      </c>
      <c r="D4404">
        <v>0.159917</v>
      </c>
      <c r="E4404">
        <v>-0.84487400000000001</v>
      </c>
      <c r="F4404">
        <v>-1</v>
      </c>
      <c r="G4404">
        <v>-0.84487400000000001</v>
      </c>
    </row>
    <row r="4405" spans="1:7">
      <c r="A4405" t="s">
        <v>144</v>
      </c>
      <c r="B4405">
        <v>69</v>
      </c>
      <c r="C4405">
        <v>19</v>
      </c>
      <c r="D4405">
        <v>0.159917</v>
      </c>
      <c r="E4405">
        <v>0.71550599999999998</v>
      </c>
      <c r="F4405">
        <v>-1</v>
      </c>
      <c r="G4405">
        <v>0.71550599999999998</v>
      </c>
    </row>
    <row r="4406" spans="1:7">
      <c r="A4406" t="s">
        <v>144</v>
      </c>
      <c r="B4406">
        <v>69</v>
      </c>
      <c r="C4406">
        <v>20</v>
      </c>
      <c r="D4406">
        <v>0.159917</v>
      </c>
      <c r="E4406">
        <v>-4.2729999999999999E-3</v>
      </c>
      <c r="F4406">
        <v>-1</v>
      </c>
      <c r="G4406">
        <v>-4.2729999999999999E-3</v>
      </c>
    </row>
    <row r="4407" spans="1:7">
      <c r="A4407" t="s">
        <v>144</v>
      </c>
      <c r="B4407">
        <v>69</v>
      </c>
      <c r="C4407">
        <v>21</v>
      </c>
      <c r="D4407">
        <v>0.159917</v>
      </c>
      <c r="E4407">
        <v>-0.74590299999999998</v>
      </c>
      <c r="F4407">
        <v>-1</v>
      </c>
      <c r="G4407">
        <v>-0.74590299999999998</v>
      </c>
    </row>
    <row r="4408" spans="1:7">
      <c r="A4408" t="s">
        <v>144</v>
      </c>
      <c r="B4408">
        <v>69</v>
      </c>
      <c r="C4408">
        <v>22</v>
      </c>
      <c r="D4408">
        <v>0.159917</v>
      </c>
      <c r="E4408">
        <v>0.30237700000000001</v>
      </c>
      <c r="F4408">
        <v>-1</v>
      </c>
      <c r="G4408">
        <v>0.30237700000000001</v>
      </c>
    </row>
    <row r="4409" spans="1:7">
      <c r="A4409" t="s">
        <v>144</v>
      </c>
      <c r="B4409">
        <v>69</v>
      </c>
      <c r="C4409">
        <v>23</v>
      </c>
      <c r="D4409">
        <v>0.159917</v>
      </c>
      <c r="E4409">
        <v>0.626911</v>
      </c>
      <c r="F4409">
        <v>-1</v>
      </c>
      <c r="G4409">
        <v>0.626911</v>
      </c>
    </row>
    <row r="4410" spans="1:7">
      <c r="A4410" t="s">
        <v>144</v>
      </c>
      <c r="B4410">
        <v>69</v>
      </c>
      <c r="C4410">
        <v>24</v>
      </c>
      <c r="D4410">
        <v>0.159917</v>
      </c>
      <c r="E4410">
        <v>-0.80220999999999998</v>
      </c>
      <c r="F4410">
        <v>-1</v>
      </c>
      <c r="G4410">
        <v>-0.80220999999999998</v>
      </c>
    </row>
    <row r="4411" spans="1:7">
      <c r="A4411" t="s">
        <v>144</v>
      </c>
      <c r="B4411">
        <v>69</v>
      </c>
      <c r="C4411">
        <v>25</v>
      </c>
      <c r="D4411">
        <v>0.159917</v>
      </c>
      <c r="E4411">
        <v>-0.36390299999999998</v>
      </c>
      <c r="F4411">
        <v>-1</v>
      </c>
      <c r="G4411">
        <v>-0.36390299999999998</v>
      </c>
    </row>
    <row r="4412" spans="1:7">
      <c r="A4412" t="s">
        <v>144</v>
      </c>
      <c r="B4412">
        <v>69</v>
      </c>
      <c r="C4412">
        <v>26</v>
      </c>
      <c r="D4412">
        <v>0.159917</v>
      </c>
      <c r="E4412">
        <v>-0.49848900000000002</v>
      </c>
      <c r="F4412">
        <v>-1</v>
      </c>
      <c r="G4412">
        <v>-0.49848900000000002</v>
      </c>
    </row>
    <row r="4413" spans="1:7">
      <c r="A4413" t="s">
        <v>144</v>
      </c>
      <c r="B4413">
        <v>69</v>
      </c>
      <c r="C4413">
        <v>27</v>
      </c>
      <c r="D4413">
        <v>0.159917</v>
      </c>
      <c r="E4413">
        <v>-0.42689300000000002</v>
      </c>
      <c r="F4413">
        <v>-1</v>
      </c>
      <c r="G4413">
        <v>-0.42689300000000002</v>
      </c>
    </row>
    <row r="4414" spans="1:7">
      <c r="A4414" t="s">
        <v>144</v>
      </c>
      <c r="B4414">
        <v>69</v>
      </c>
      <c r="C4414">
        <v>28</v>
      </c>
      <c r="D4414">
        <v>0.159917</v>
      </c>
      <c r="E4414">
        <v>0.27073000000000003</v>
      </c>
      <c r="F4414">
        <v>-1</v>
      </c>
      <c r="G4414">
        <v>0.27073000000000003</v>
      </c>
    </row>
    <row r="4415" spans="1:7">
      <c r="A4415" t="s">
        <v>144</v>
      </c>
      <c r="B4415">
        <v>69</v>
      </c>
      <c r="C4415">
        <v>29</v>
      </c>
      <c r="D4415">
        <v>0.159917</v>
      </c>
      <c r="E4415">
        <v>0.57533500000000004</v>
      </c>
      <c r="F4415">
        <v>-1</v>
      </c>
      <c r="G4415">
        <v>0.57533500000000004</v>
      </c>
    </row>
    <row r="4416" spans="1:7">
      <c r="A4416" t="s">
        <v>144</v>
      </c>
      <c r="B4416">
        <v>69</v>
      </c>
      <c r="C4416">
        <v>30</v>
      </c>
      <c r="D4416">
        <v>0.159917</v>
      </c>
      <c r="E4416">
        <v>0.55632199999999998</v>
      </c>
      <c r="F4416">
        <v>-1</v>
      </c>
      <c r="G4416">
        <v>0.55632199999999998</v>
      </c>
    </row>
    <row r="4417" spans="1:7">
      <c r="A4417" t="s">
        <v>144</v>
      </c>
      <c r="B4417">
        <v>69</v>
      </c>
      <c r="C4417">
        <v>31</v>
      </c>
      <c r="D4417">
        <v>0.159917</v>
      </c>
      <c r="E4417">
        <v>-0.16922499999999999</v>
      </c>
      <c r="F4417">
        <v>-1</v>
      </c>
      <c r="G4417">
        <v>-0.16922499999999999</v>
      </c>
    </row>
    <row r="4418" spans="1:7">
      <c r="A4418" t="s">
        <v>144</v>
      </c>
      <c r="B4418">
        <v>69</v>
      </c>
      <c r="C4418">
        <v>32</v>
      </c>
      <c r="D4418">
        <v>0.159917</v>
      </c>
      <c r="E4418">
        <v>0.40125699999999997</v>
      </c>
      <c r="F4418">
        <v>-1</v>
      </c>
      <c r="G4418">
        <v>0.40125699999999997</v>
      </c>
    </row>
    <row r="4419" spans="1:7">
      <c r="A4419" t="s">
        <v>144</v>
      </c>
      <c r="B4419">
        <v>69</v>
      </c>
      <c r="C4419">
        <v>33</v>
      </c>
      <c r="D4419">
        <v>0.159917</v>
      </c>
      <c r="E4419">
        <v>-0.87298200000000004</v>
      </c>
      <c r="F4419">
        <v>-1</v>
      </c>
      <c r="G4419">
        <v>-0.87298200000000004</v>
      </c>
    </row>
    <row r="4420" spans="1:7">
      <c r="A4420" t="s">
        <v>144</v>
      </c>
      <c r="B4420">
        <v>69</v>
      </c>
      <c r="C4420">
        <v>34</v>
      </c>
      <c r="D4420">
        <v>0.159917</v>
      </c>
      <c r="E4420">
        <v>4.3489E-2</v>
      </c>
      <c r="F4420">
        <v>-1</v>
      </c>
      <c r="G4420">
        <v>4.3489E-2</v>
      </c>
    </row>
    <row r="4421" spans="1:7">
      <c r="A4421" t="s">
        <v>144</v>
      </c>
      <c r="B4421">
        <v>69</v>
      </c>
      <c r="C4421">
        <v>35</v>
      </c>
      <c r="D4421">
        <v>0.159917</v>
      </c>
      <c r="E4421">
        <v>0.157781</v>
      </c>
      <c r="F4421">
        <v>-1</v>
      </c>
      <c r="G4421">
        <v>0.157781</v>
      </c>
    </row>
    <row r="4422" spans="1:7">
      <c r="A4422" t="s">
        <v>144</v>
      </c>
      <c r="B4422">
        <v>69</v>
      </c>
      <c r="C4422">
        <v>36</v>
      </c>
      <c r="D4422">
        <v>0.159917</v>
      </c>
      <c r="E4422">
        <v>0.68630000000000002</v>
      </c>
      <c r="F4422">
        <v>-1</v>
      </c>
      <c r="G4422">
        <v>0.68630000000000002</v>
      </c>
    </row>
    <row r="4423" spans="1:7">
      <c r="A4423" t="s">
        <v>144</v>
      </c>
      <c r="B4423">
        <v>69</v>
      </c>
      <c r="C4423">
        <v>37</v>
      </c>
      <c r="D4423">
        <v>0.159917</v>
      </c>
      <c r="E4423">
        <v>-0.50947600000000004</v>
      </c>
      <c r="F4423">
        <v>-1</v>
      </c>
      <c r="G4423">
        <v>-0.50947600000000004</v>
      </c>
    </row>
    <row r="4424" spans="1:7">
      <c r="A4424" t="s">
        <v>144</v>
      </c>
      <c r="B4424">
        <v>69</v>
      </c>
      <c r="C4424">
        <v>38</v>
      </c>
      <c r="D4424">
        <v>0.159917</v>
      </c>
      <c r="E4424">
        <v>-0.61665700000000001</v>
      </c>
      <c r="F4424">
        <v>-1</v>
      </c>
      <c r="G4424">
        <v>-0.61665700000000001</v>
      </c>
    </row>
    <row r="4425" spans="1:7">
      <c r="A4425" t="s">
        <v>144</v>
      </c>
      <c r="B4425">
        <v>69</v>
      </c>
      <c r="C4425">
        <v>39</v>
      </c>
      <c r="D4425">
        <v>0.159917</v>
      </c>
      <c r="E4425">
        <v>-0.74730700000000005</v>
      </c>
      <c r="F4425">
        <v>-1</v>
      </c>
      <c r="G4425">
        <v>-0.74730700000000005</v>
      </c>
    </row>
    <row r="4426" spans="1:7">
      <c r="A4426" t="s">
        <v>144</v>
      </c>
      <c r="B4426">
        <v>69</v>
      </c>
      <c r="C4426">
        <v>40</v>
      </c>
      <c r="D4426">
        <v>0.159917</v>
      </c>
      <c r="E4426">
        <v>-0.32639499999999999</v>
      </c>
      <c r="F4426">
        <v>-1</v>
      </c>
      <c r="G4426">
        <v>-0.32639499999999999</v>
      </c>
    </row>
    <row r="4427" spans="1:7">
      <c r="A4427" t="s">
        <v>144</v>
      </c>
      <c r="B4427">
        <v>69</v>
      </c>
      <c r="C4427">
        <v>41</v>
      </c>
      <c r="D4427">
        <v>0.159917</v>
      </c>
      <c r="E4427">
        <v>0.36060700000000001</v>
      </c>
      <c r="F4427">
        <v>-1</v>
      </c>
      <c r="G4427">
        <v>0.36060700000000001</v>
      </c>
    </row>
    <row r="4428" spans="1:7">
      <c r="A4428" t="s">
        <v>144</v>
      </c>
      <c r="B4428">
        <v>69</v>
      </c>
      <c r="C4428">
        <v>42</v>
      </c>
      <c r="D4428">
        <v>0.159917</v>
      </c>
      <c r="E4428">
        <v>-0.79088700000000001</v>
      </c>
      <c r="F4428">
        <v>-1</v>
      </c>
      <c r="G4428">
        <v>-0.79088700000000001</v>
      </c>
    </row>
    <row r="4429" spans="1:7">
      <c r="A4429" t="s">
        <v>144</v>
      </c>
      <c r="B4429">
        <v>69</v>
      </c>
      <c r="C4429">
        <v>43</v>
      </c>
      <c r="D4429">
        <v>0.159917</v>
      </c>
      <c r="E4429">
        <v>0.269173</v>
      </c>
      <c r="F4429">
        <v>-1</v>
      </c>
      <c r="G4429">
        <v>0.269173</v>
      </c>
    </row>
    <row r="4430" spans="1:7">
      <c r="A4430" t="s">
        <v>144</v>
      </c>
      <c r="B4430">
        <v>69</v>
      </c>
      <c r="C4430">
        <v>44</v>
      </c>
      <c r="D4430">
        <v>0.159917</v>
      </c>
      <c r="E4430">
        <v>0.56239499999999998</v>
      </c>
      <c r="F4430">
        <v>-1</v>
      </c>
      <c r="G4430">
        <v>0.56239499999999998</v>
      </c>
    </row>
    <row r="4431" spans="1:7">
      <c r="A4431" t="s">
        <v>144</v>
      </c>
      <c r="B4431">
        <v>69</v>
      </c>
      <c r="C4431">
        <v>45</v>
      </c>
      <c r="D4431">
        <v>0.159917</v>
      </c>
      <c r="E4431">
        <v>0.913663</v>
      </c>
      <c r="F4431">
        <v>-1</v>
      </c>
      <c r="G4431">
        <v>0.913663</v>
      </c>
    </row>
    <row r="4432" spans="1:7">
      <c r="A4432" t="s">
        <v>144</v>
      </c>
      <c r="B4432">
        <v>69</v>
      </c>
      <c r="C4432">
        <v>46</v>
      </c>
      <c r="D4432">
        <v>0.159917</v>
      </c>
      <c r="E4432">
        <v>0.83434600000000003</v>
      </c>
      <c r="F4432">
        <v>-1</v>
      </c>
      <c r="G4432">
        <v>0.83434600000000003</v>
      </c>
    </row>
    <row r="4433" spans="1:7">
      <c r="A4433" t="s">
        <v>144</v>
      </c>
      <c r="B4433">
        <v>69</v>
      </c>
      <c r="C4433">
        <v>47</v>
      </c>
      <c r="D4433">
        <v>0.159917</v>
      </c>
      <c r="E4433">
        <v>8.2338999999999996E-2</v>
      </c>
      <c r="F4433">
        <v>-1</v>
      </c>
      <c r="G4433">
        <v>8.2338999999999996E-2</v>
      </c>
    </row>
    <row r="4434" spans="1:7">
      <c r="A4434" t="s">
        <v>144</v>
      </c>
      <c r="B4434">
        <v>69</v>
      </c>
      <c r="C4434">
        <v>48</v>
      </c>
      <c r="D4434">
        <v>0.159917</v>
      </c>
      <c r="E4434">
        <v>-0.13217599999999999</v>
      </c>
      <c r="F4434">
        <v>-0.100314</v>
      </c>
      <c r="G4434">
        <v>-0.10541</v>
      </c>
    </row>
    <row r="4435" spans="1:7">
      <c r="A4435" t="s">
        <v>144</v>
      </c>
      <c r="B4435">
        <v>69</v>
      </c>
      <c r="C4435">
        <v>49</v>
      </c>
      <c r="D4435">
        <v>0.159917</v>
      </c>
      <c r="E4435">
        <v>0.38062699999999999</v>
      </c>
      <c r="F4435">
        <v>-0.29395399999999999</v>
      </c>
      <c r="G4435">
        <v>-0.18607699999999999</v>
      </c>
    </row>
    <row r="4436" spans="1:7">
      <c r="A4436" t="s">
        <v>144</v>
      </c>
      <c r="B4436" t="s">
        <v>145</v>
      </c>
      <c r="C4436">
        <v>70</v>
      </c>
    </row>
    <row r="4437" spans="1:7">
      <c r="A4437" t="s">
        <v>144</v>
      </c>
      <c r="B4437" t="s">
        <v>146</v>
      </c>
      <c r="C4437">
        <v>62</v>
      </c>
    </row>
    <row r="4438" spans="1:7">
      <c r="A4438" t="s">
        <v>144</v>
      </c>
      <c r="B4438" t="s">
        <v>147</v>
      </c>
      <c r="C4438">
        <v>62</v>
      </c>
    </row>
    <row r="4439" spans="1:7">
      <c r="A4439" t="s">
        <v>144</v>
      </c>
      <c r="B4439" t="s">
        <v>148</v>
      </c>
      <c r="C4439">
        <v>0.68602600000000002</v>
      </c>
    </row>
    <row r="4440" spans="1:7">
      <c r="A4440" t="s">
        <v>144</v>
      </c>
      <c r="B4440" t="s">
        <v>149</v>
      </c>
      <c r="C4440">
        <v>0.68602600000000002</v>
      </c>
    </row>
    <row r="4441" spans="1:7">
      <c r="A4441" t="s">
        <v>144</v>
      </c>
      <c r="B4441" t="s">
        <v>150</v>
      </c>
      <c r="C4441">
        <v>-1</v>
      </c>
    </row>
    <row r="4442" spans="1:7">
      <c r="A4442" t="s">
        <v>144</v>
      </c>
      <c r="B4442" t="s">
        <v>151</v>
      </c>
      <c r="C4442">
        <v>-1</v>
      </c>
    </row>
    <row r="4443" spans="1:7">
      <c r="A4443" t="s">
        <v>144</v>
      </c>
      <c r="B4443" t="s">
        <v>152</v>
      </c>
      <c r="C4443">
        <v>8</v>
      </c>
    </row>
    <row r="4444" spans="1:7">
      <c r="A4444" t="s">
        <v>144</v>
      </c>
      <c r="B4444" t="s">
        <v>153</v>
      </c>
      <c r="C4444">
        <v>8</v>
      </c>
    </row>
    <row r="4445" spans="1:7">
      <c r="A4445" t="s">
        <v>144</v>
      </c>
      <c r="B4445" t="s">
        <v>154</v>
      </c>
      <c r="C4445">
        <v>0</v>
      </c>
    </row>
    <row r="4446" spans="1:7">
      <c r="A4446" t="s">
        <v>144</v>
      </c>
      <c r="B4446" t="s">
        <v>155</v>
      </c>
    </row>
    <row r="4447" spans="1:7">
      <c r="A4447" t="s">
        <v>144</v>
      </c>
      <c r="B4447" t="s">
        <v>150</v>
      </c>
      <c r="C4447">
        <v>4.7853E-2</v>
      </c>
    </row>
    <row r="4448" spans="1:7">
      <c r="A4448" t="s">
        <v>144</v>
      </c>
      <c r="B4448" t="s">
        <v>151</v>
      </c>
      <c r="C4448">
        <v>4.7853E-2</v>
      </c>
    </row>
    <row r="4449" spans="1:7">
      <c r="A4449" t="s">
        <v>144</v>
      </c>
      <c r="B4449" t="s">
        <v>156</v>
      </c>
      <c r="C4449" t="s">
        <v>157</v>
      </c>
      <c r="D4449" t="s">
        <v>63</v>
      </c>
      <c r="E4449" t="s">
        <v>158</v>
      </c>
      <c r="F4449" t="s">
        <v>159</v>
      </c>
      <c r="G4449" t="s">
        <v>160</v>
      </c>
    </row>
    <row r="4450" spans="1:7">
      <c r="A4450" t="s">
        <v>144</v>
      </c>
      <c r="B4450">
        <v>70</v>
      </c>
      <c r="C4450">
        <v>0</v>
      </c>
      <c r="D4450">
        <v>4.7853E-2</v>
      </c>
      <c r="E4450">
        <v>-0.67943399999999998</v>
      </c>
      <c r="F4450">
        <v>-1</v>
      </c>
      <c r="G4450">
        <v>-0.67943399999999998</v>
      </c>
    </row>
    <row r="4451" spans="1:7">
      <c r="A4451" t="s">
        <v>144</v>
      </c>
      <c r="B4451">
        <v>70</v>
      </c>
      <c r="C4451">
        <v>1</v>
      </c>
      <c r="D4451">
        <v>4.7853E-2</v>
      </c>
      <c r="E4451">
        <v>-0.46146999999999999</v>
      </c>
      <c r="F4451">
        <v>-1</v>
      </c>
      <c r="G4451">
        <v>-0.46146999999999999</v>
      </c>
    </row>
    <row r="4452" spans="1:7">
      <c r="A4452" t="s">
        <v>144</v>
      </c>
      <c r="B4452">
        <v>70</v>
      </c>
      <c r="C4452">
        <v>2</v>
      </c>
      <c r="D4452">
        <v>4.7853E-2</v>
      </c>
      <c r="E4452">
        <v>0.40946700000000003</v>
      </c>
      <c r="F4452">
        <v>-1</v>
      </c>
      <c r="G4452">
        <v>0.40946700000000003</v>
      </c>
    </row>
    <row r="4453" spans="1:7">
      <c r="A4453" t="s">
        <v>144</v>
      </c>
      <c r="B4453">
        <v>70</v>
      </c>
      <c r="C4453">
        <v>3</v>
      </c>
      <c r="D4453">
        <v>4.7853E-2</v>
      </c>
      <c r="E4453">
        <v>-0.81859800000000005</v>
      </c>
      <c r="F4453">
        <v>-1</v>
      </c>
      <c r="G4453">
        <v>-0.81859800000000005</v>
      </c>
    </row>
    <row r="4454" spans="1:7">
      <c r="A4454" t="s">
        <v>144</v>
      </c>
      <c r="B4454">
        <v>70</v>
      </c>
      <c r="C4454">
        <v>4</v>
      </c>
      <c r="D4454">
        <v>4.7853E-2</v>
      </c>
      <c r="E4454">
        <v>-0.61735899999999999</v>
      </c>
      <c r="F4454">
        <v>-1</v>
      </c>
      <c r="G4454">
        <v>-0.61735899999999999</v>
      </c>
    </row>
    <row r="4455" spans="1:7">
      <c r="A4455" t="s">
        <v>144</v>
      </c>
      <c r="B4455">
        <v>70</v>
      </c>
      <c r="C4455">
        <v>5</v>
      </c>
      <c r="D4455">
        <v>4.7853E-2</v>
      </c>
      <c r="E4455">
        <v>0.86168999999999996</v>
      </c>
      <c r="F4455">
        <v>-1</v>
      </c>
      <c r="G4455">
        <v>0.86168999999999996</v>
      </c>
    </row>
    <row r="4456" spans="1:7">
      <c r="A4456" t="s">
        <v>144</v>
      </c>
      <c r="B4456">
        <v>70</v>
      </c>
      <c r="C4456">
        <v>6</v>
      </c>
      <c r="D4456">
        <v>4.7853E-2</v>
      </c>
      <c r="E4456">
        <v>-0.59422600000000003</v>
      </c>
      <c r="F4456">
        <v>-1</v>
      </c>
      <c r="G4456">
        <v>-0.59422600000000003</v>
      </c>
    </row>
    <row r="4457" spans="1:7">
      <c r="A4457" t="s">
        <v>144</v>
      </c>
      <c r="B4457">
        <v>70</v>
      </c>
      <c r="C4457">
        <v>7</v>
      </c>
      <c r="D4457">
        <v>4.7853E-2</v>
      </c>
      <c r="E4457">
        <v>0.30588700000000002</v>
      </c>
      <c r="F4457">
        <v>-1</v>
      </c>
      <c r="G4457">
        <v>0.30588700000000002</v>
      </c>
    </row>
    <row r="4458" spans="1:7">
      <c r="A4458" t="s">
        <v>144</v>
      </c>
      <c r="B4458">
        <v>70</v>
      </c>
      <c r="C4458">
        <v>8</v>
      </c>
      <c r="D4458">
        <v>4.7853E-2</v>
      </c>
      <c r="E4458">
        <v>-0.62871200000000005</v>
      </c>
      <c r="F4458">
        <v>0.95077400000000001</v>
      </c>
      <c r="G4458">
        <v>0.87519000000000002</v>
      </c>
    </row>
    <row r="4459" spans="1:7">
      <c r="A4459" t="s">
        <v>144</v>
      </c>
      <c r="B4459">
        <v>70</v>
      </c>
      <c r="C4459">
        <v>9</v>
      </c>
      <c r="D4459">
        <v>4.7853E-2</v>
      </c>
      <c r="E4459">
        <v>-0.42201</v>
      </c>
      <c r="F4459">
        <v>0.36155300000000001</v>
      </c>
      <c r="G4459">
        <v>0.32405699999999998</v>
      </c>
    </row>
    <row r="4460" spans="1:7">
      <c r="A4460" t="s">
        <v>144</v>
      </c>
      <c r="B4460">
        <v>70</v>
      </c>
      <c r="C4460">
        <v>10</v>
      </c>
      <c r="D4460">
        <v>4.7853E-2</v>
      </c>
      <c r="E4460">
        <v>-0.21365999999999999</v>
      </c>
      <c r="F4460">
        <v>0.78170099999999998</v>
      </c>
      <c r="G4460">
        <v>0.73407</v>
      </c>
    </row>
    <row r="4461" spans="1:7">
      <c r="A4461" t="s">
        <v>144</v>
      </c>
      <c r="B4461">
        <v>70</v>
      </c>
      <c r="C4461">
        <v>11</v>
      </c>
      <c r="D4461">
        <v>4.7853E-2</v>
      </c>
      <c r="E4461">
        <v>0.14651900000000001</v>
      </c>
      <c r="F4461">
        <v>-0.94857599999999997</v>
      </c>
      <c r="G4461">
        <v>-0.896173</v>
      </c>
    </row>
    <row r="4462" spans="1:7">
      <c r="A4462" t="s">
        <v>144</v>
      </c>
      <c r="B4462">
        <v>70</v>
      </c>
      <c r="C4462">
        <v>12</v>
      </c>
      <c r="D4462">
        <v>4.7853E-2</v>
      </c>
      <c r="E4462">
        <v>0.28598899999999999</v>
      </c>
      <c r="F4462">
        <v>0.83129399999999998</v>
      </c>
      <c r="G4462">
        <v>0.805199</v>
      </c>
    </row>
    <row r="4463" spans="1:7">
      <c r="A4463" t="s">
        <v>144</v>
      </c>
      <c r="B4463">
        <v>70</v>
      </c>
      <c r="C4463">
        <v>13</v>
      </c>
      <c r="D4463">
        <v>4.7853E-2</v>
      </c>
      <c r="E4463">
        <v>0.49031000000000002</v>
      </c>
      <c r="F4463">
        <v>0.39585599999999999</v>
      </c>
      <c r="G4463">
        <v>0.40037600000000001</v>
      </c>
    </row>
    <row r="4464" spans="1:7">
      <c r="A4464" t="s">
        <v>144</v>
      </c>
      <c r="B4464">
        <v>70</v>
      </c>
      <c r="C4464">
        <v>14</v>
      </c>
      <c r="D4464">
        <v>4.7853E-2</v>
      </c>
      <c r="E4464">
        <v>0.155858</v>
      </c>
      <c r="F4464">
        <v>-0.78020599999999996</v>
      </c>
      <c r="G4464">
        <v>-0.73541199999999995</v>
      </c>
    </row>
    <row r="4465" spans="1:7">
      <c r="A4465" t="s">
        <v>144</v>
      </c>
      <c r="B4465">
        <v>70</v>
      </c>
      <c r="C4465">
        <v>15</v>
      </c>
      <c r="D4465">
        <v>4.7853E-2</v>
      </c>
      <c r="E4465">
        <v>-0.15268399999999999</v>
      </c>
      <c r="F4465">
        <v>0.47114499999999998</v>
      </c>
      <c r="G4465">
        <v>0.44129299999999999</v>
      </c>
    </row>
    <row r="4466" spans="1:7">
      <c r="A4466" t="s">
        <v>144</v>
      </c>
      <c r="B4466">
        <v>70</v>
      </c>
      <c r="C4466">
        <v>16</v>
      </c>
      <c r="D4466">
        <v>4.7853E-2</v>
      </c>
      <c r="E4466">
        <v>-0.28193000000000001</v>
      </c>
      <c r="F4466">
        <v>0.31186900000000001</v>
      </c>
      <c r="G4466">
        <v>0.28345399999999998</v>
      </c>
    </row>
    <row r="4467" spans="1:7">
      <c r="A4467" t="s">
        <v>144</v>
      </c>
      <c r="B4467">
        <v>70</v>
      </c>
      <c r="C4467">
        <v>17</v>
      </c>
      <c r="D4467">
        <v>4.7853E-2</v>
      </c>
      <c r="E4467">
        <v>0.74651299999999998</v>
      </c>
      <c r="F4467">
        <v>0.29496099999999997</v>
      </c>
      <c r="G4467">
        <v>0.31657000000000002</v>
      </c>
    </row>
    <row r="4468" spans="1:7">
      <c r="A4468" t="s">
        <v>144</v>
      </c>
      <c r="B4468">
        <v>70</v>
      </c>
      <c r="C4468">
        <v>18</v>
      </c>
      <c r="D4468">
        <v>4.7853E-2</v>
      </c>
      <c r="E4468">
        <v>0.54817300000000002</v>
      </c>
      <c r="F4468">
        <v>0.23908199999999999</v>
      </c>
      <c r="G4468">
        <v>0.25387300000000002</v>
      </c>
    </row>
    <row r="4469" spans="1:7">
      <c r="A4469" t="s">
        <v>144</v>
      </c>
      <c r="B4469">
        <v>70</v>
      </c>
      <c r="C4469">
        <v>19</v>
      </c>
      <c r="D4469">
        <v>4.7853E-2</v>
      </c>
      <c r="E4469">
        <v>0.54100199999999998</v>
      </c>
      <c r="F4469">
        <v>-0.730155</v>
      </c>
      <c r="G4469">
        <v>-0.66932700000000001</v>
      </c>
    </row>
    <row r="4470" spans="1:7">
      <c r="A4470" t="s">
        <v>144</v>
      </c>
      <c r="B4470">
        <v>70</v>
      </c>
      <c r="C4470">
        <v>20</v>
      </c>
      <c r="D4470">
        <v>4.7853E-2</v>
      </c>
      <c r="E4470">
        <v>-0.199072</v>
      </c>
      <c r="F4470">
        <v>0.25745400000000002</v>
      </c>
      <c r="G4470">
        <v>0.23560800000000001</v>
      </c>
    </row>
    <row r="4471" spans="1:7">
      <c r="A4471" t="s">
        <v>144</v>
      </c>
      <c r="B4471">
        <v>70</v>
      </c>
      <c r="C4471">
        <v>21</v>
      </c>
      <c r="D4471">
        <v>4.7853E-2</v>
      </c>
      <c r="E4471">
        <v>0.12845200000000001</v>
      </c>
      <c r="F4471">
        <v>0.413495</v>
      </c>
      <c r="G4471">
        <v>0.39985500000000002</v>
      </c>
    </row>
    <row r="4472" spans="1:7">
      <c r="A4472" t="s">
        <v>144</v>
      </c>
      <c r="B4472">
        <v>70</v>
      </c>
      <c r="C4472">
        <v>22</v>
      </c>
      <c r="D4472">
        <v>4.7853E-2</v>
      </c>
      <c r="E4472">
        <v>8.9328000000000005E-2</v>
      </c>
      <c r="F4472">
        <v>0.48231499999999999</v>
      </c>
      <c r="G4472">
        <v>0.463509</v>
      </c>
    </row>
    <row r="4473" spans="1:7">
      <c r="A4473" t="s">
        <v>144</v>
      </c>
      <c r="B4473">
        <v>70</v>
      </c>
      <c r="C4473">
        <v>23</v>
      </c>
      <c r="D4473">
        <v>4.7853E-2</v>
      </c>
      <c r="E4473">
        <v>-0.92086500000000004</v>
      </c>
      <c r="F4473">
        <v>0.83660400000000001</v>
      </c>
      <c r="G4473">
        <v>0.75250399999999995</v>
      </c>
    </row>
    <row r="4474" spans="1:7">
      <c r="A4474" t="s">
        <v>144</v>
      </c>
      <c r="B4474">
        <v>70</v>
      </c>
      <c r="C4474">
        <v>24</v>
      </c>
      <c r="D4474">
        <v>4.7853E-2</v>
      </c>
      <c r="E4474">
        <v>0.40418700000000002</v>
      </c>
      <c r="F4474">
        <v>0.42469600000000002</v>
      </c>
      <c r="G4474">
        <v>0.42371399999999998</v>
      </c>
    </row>
    <row r="4475" spans="1:7">
      <c r="A4475" t="s">
        <v>144</v>
      </c>
      <c r="B4475">
        <v>70</v>
      </c>
      <c r="C4475">
        <v>25</v>
      </c>
      <c r="D4475">
        <v>4.7853E-2</v>
      </c>
      <c r="E4475">
        <v>0.88283900000000004</v>
      </c>
      <c r="F4475">
        <v>0.38148100000000001</v>
      </c>
      <c r="G4475">
        <v>0.40547299999999997</v>
      </c>
    </row>
    <row r="4476" spans="1:7">
      <c r="A4476" t="s">
        <v>144</v>
      </c>
      <c r="B4476">
        <v>70</v>
      </c>
      <c r="C4476">
        <v>26</v>
      </c>
      <c r="D4476">
        <v>4.7853E-2</v>
      </c>
      <c r="E4476">
        <v>0.50660700000000003</v>
      </c>
      <c r="F4476">
        <v>0.56346300000000005</v>
      </c>
      <c r="G4476">
        <v>0.56074199999999996</v>
      </c>
    </row>
    <row r="4477" spans="1:7">
      <c r="A4477" t="s">
        <v>144</v>
      </c>
      <c r="B4477">
        <v>70</v>
      </c>
      <c r="C4477">
        <v>27</v>
      </c>
      <c r="D4477">
        <v>4.7853E-2</v>
      </c>
      <c r="E4477">
        <v>-0.40748299999999998</v>
      </c>
      <c r="F4477">
        <v>-0.71791700000000003</v>
      </c>
      <c r="G4477">
        <v>-0.70306199999999996</v>
      </c>
    </row>
    <row r="4478" spans="1:7">
      <c r="A4478" t="s">
        <v>144</v>
      </c>
      <c r="B4478">
        <v>70</v>
      </c>
      <c r="C4478">
        <v>28</v>
      </c>
      <c r="D4478">
        <v>4.7853E-2</v>
      </c>
      <c r="E4478">
        <v>-6.7933999999999994E-2</v>
      </c>
      <c r="F4478">
        <v>-0.16894999999999999</v>
      </c>
      <c r="G4478">
        <v>-0.16411700000000001</v>
      </c>
    </row>
    <row r="4479" spans="1:7">
      <c r="A4479" t="s">
        <v>144</v>
      </c>
      <c r="B4479">
        <v>70</v>
      </c>
      <c r="C4479">
        <v>29</v>
      </c>
      <c r="D4479">
        <v>4.7853E-2</v>
      </c>
      <c r="E4479">
        <v>0.74065400000000003</v>
      </c>
      <c r="F4479">
        <v>-0.46784900000000001</v>
      </c>
      <c r="G4479">
        <v>-0.41001799999999999</v>
      </c>
    </row>
    <row r="4480" spans="1:7">
      <c r="A4480" t="s">
        <v>144</v>
      </c>
      <c r="B4480">
        <v>70</v>
      </c>
      <c r="C4480">
        <v>30</v>
      </c>
      <c r="D4480">
        <v>4.7853E-2</v>
      </c>
      <c r="E4480">
        <v>-0.13766900000000001</v>
      </c>
      <c r="F4480">
        <v>0.53526399999999996</v>
      </c>
      <c r="G4480">
        <v>0.50306200000000001</v>
      </c>
    </row>
    <row r="4481" spans="1:7">
      <c r="A4481" t="s">
        <v>144</v>
      </c>
      <c r="B4481">
        <v>70</v>
      </c>
      <c r="C4481">
        <v>31</v>
      </c>
      <c r="D4481">
        <v>4.7853E-2</v>
      </c>
      <c r="E4481">
        <v>-0.86050000000000004</v>
      </c>
      <c r="F4481">
        <v>0.54399200000000003</v>
      </c>
      <c r="G4481">
        <v>0.47678300000000001</v>
      </c>
    </row>
    <row r="4482" spans="1:7">
      <c r="A4482" t="s">
        <v>144</v>
      </c>
      <c r="B4482">
        <v>70</v>
      </c>
      <c r="C4482">
        <v>32</v>
      </c>
      <c r="D4482">
        <v>4.7853E-2</v>
      </c>
      <c r="E4482">
        <v>-0.309305</v>
      </c>
      <c r="F4482">
        <v>-0.27643699999999999</v>
      </c>
      <c r="G4482">
        <v>-0.27800999999999998</v>
      </c>
    </row>
    <row r="4483" spans="1:7">
      <c r="A4483" t="s">
        <v>144</v>
      </c>
      <c r="B4483">
        <v>70</v>
      </c>
      <c r="C4483">
        <v>33</v>
      </c>
      <c r="D4483">
        <v>4.7853E-2</v>
      </c>
      <c r="E4483">
        <v>-0.218329</v>
      </c>
      <c r="F4483">
        <v>-6.8484000000000003E-2</v>
      </c>
      <c r="G4483">
        <v>-7.5653999999999999E-2</v>
      </c>
    </row>
    <row r="4484" spans="1:7">
      <c r="A4484" t="s">
        <v>144</v>
      </c>
      <c r="B4484">
        <v>70</v>
      </c>
      <c r="C4484">
        <v>34</v>
      </c>
      <c r="D4484">
        <v>4.7853E-2</v>
      </c>
      <c r="E4484">
        <v>0.63774500000000001</v>
      </c>
      <c r="F4484">
        <v>-0.84408099999999997</v>
      </c>
      <c r="G4484">
        <v>-0.77317100000000005</v>
      </c>
    </row>
    <row r="4485" spans="1:7">
      <c r="A4485" t="s">
        <v>144</v>
      </c>
      <c r="B4485">
        <v>70</v>
      </c>
      <c r="C4485">
        <v>35</v>
      </c>
      <c r="D4485">
        <v>4.7853E-2</v>
      </c>
      <c r="E4485">
        <v>0.24704699999999999</v>
      </c>
      <c r="F4485">
        <v>-0.27771800000000002</v>
      </c>
      <c r="G4485">
        <v>-0.25260700000000003</v>
      </c>
    </row>
    <row r="4486" spans="1:7">
      <c r="A4486" t="s">
        <v>144</v>
      </c>
      <c r="B4486">
        <v>70</v>
      </c>
      <c r="C4486">
        <v>36</v>
      </c>
      <c r="D4486">
        <v>4.7853E-2</v>
      </c>
      <c r="E4486">
        <v>-0.46522400000000003</v>
      </c>
      <c r="F4486">
        <v>-0.92117099999999996</v>
      </c>
      <c r="G4486">
        <v>-0.89935200000000004</v>
      </c>
    </row>
    <row r="4487" spans="1:7">
      <c r="A4487" t="s">
        <v>144</v>
      </c>
      <c r="B4487">
        <v>70</v>
      </c>
      <c r="C4487">
        <v>37</v>
      </c>
      <c r="D4487">
        <v>4.7853E-2</v>
      </c>
      <c r="E4487">
        <v>4.3305999999999997E-2</v>
      </c>
      <c r="F4487">
        <v>-0.31977299999999997</v>
      </c>
      <c r="G4487">
        <v>-0.30239899999999997</v>
      </c>
    </row>
    <row r="4488" spans="1:7">
      <c r="A4488" t="s">
        <v>144</v>
      </c>
      <c r="B4488">
        <v>70</v>
      </c>
      <c r="C4488">
        <v>38</v>
      </c>
      <c r="D4488">
        <v>4.7853E-2</v>
      </c>
      <c r="E4488">
        <v>-0.81154800000000005</v>
      </c>
      <c r="F4488">
        <v>-0.84957400000000005</v>
      </c>
      <c r="G4488">
        <v>-0.84775500000000004</v>
      </c>
    </row>
    <row r="4489" spans="1:7">
      <c r="A4489" t="s">
        <v>144</v>
      </c>
      <c r="B4489">
        <v>70</v>
      </c>
      <c r="C4489">
        <v>39</v>
      </c>
      <c r="D4489">
        <v>4.7853E-2</v>
      </c>
      <c r="E4489">
        <v>0.13003899999999999</v>
      </c>
      <c r="F4489">
        <v>-0.35087099999999999</v>
      </c>
      <c r="G4489">
        <v>-0.32785799999999998</v>
      </c>
    </row>
    <row r="4490" spans="1:7">
      <c r="A4490" t="s">
        <v>144</v>
      </c>
      <c r="B4490">
        <v>70</v>
      </c>
      <c r="C4490">
        <v>40</v>
      </c>
      <c r="D4490">
        <v>4.7853E-2</v>
      </c>
      <c r="E4490">
        <v>0.48499999999999999</v>
      </c>
      <c r="F4490">
        <v>0.74690999999999996</v>
      </c>
      <c r="G4490">
        <v>0.73437699999999995</v>
      </c>
    </row>
    <row r="4491" spans="1:7">
      <c r="A4491" t="s">
        <v>144</v>
      </c>
      <c r="B4491">
        <v>70</v>
      </c>
      <c r="C4491">
        <v>41</v>
      </c>
      <c r="D4491">
        <v>4.7853E-2</v>
      </c>
      <c r="E4491">
        <v>-0.70488600000000001</v>
      </c>
      <c r="F4491">
        <v>0.83663399999999999</v>
      </c>
      <c r="G4491">
        <v>0.76286799999999999</v>
      </c>
    </row>
    <row r="4492" spans="1:7">
      <c r="A4492" t="s">
        <v>144</v>
      </c>
      <c r="B4492">
        <v>70</v>
      </c>
      <c r="C4492">
        <v>42</v>
      </c>
      <c r="D4492">
        <v>4.7853E-2</v>
      </c>
      <c r="E4492">
        <v>0.57035999999999998</v>
      </c>
      <c r="F4492">
        <v>0.46903899999999998</v>
      </c>
      <c r="G4492">
        <v>0.47388799999999998</v>
      </c>
    </row>
    <row r="4493" spans="1:7">
      <c r="A4493" t="s">
        <v>144</v>
      </c>
      <c r="B4493">
        <v>70</v>
      </c>
      <c r="C4493">
        <v>43</v>
      </c>
      <c r="D4493">
        <v>4.7853E-2</v>
      </c>
      <c r="E4493">
        <v>-0.28153299999999998</v>
      </c>
      <c r="F4493">
        <v>0.46488800000000002</v>
      </c>
      <c r="G4493">
        <v>0.42917</v>
      </c>
    </row>
    <row r="4494" spans="1:7">
      <c r="A4494" t="s">
        <v>144</v>
      </c>
      <c r="B4494">
        <v>70</v>
      </c>
      <c r="C4494">
        <v>44</v>
      </c>
      <c r="D4494">
        <v>4.7853E-2</v>
      </c>
      <c r="E4494">
        <v>0.449934</v>
      </c>
      <c r="F4494">
        <v>7.4465000000000003E-2</v>
      </c>
      <c r="G4494">
        <v>9.2432E-2</v>
      </c>
    </row>
    <row r="4495" spans="1:7">
      <c r="A4495" t="s">
        <v>144</v>
      </c>
      <c r="B4495">
        <v>70</v>
      </c>
      <c r="C4495">
        <v>45</v>
      </c>
      <c r="D4495">
        <v>4.7853E-2</v>
      </c>
      <c r="E4495">
        <v>0.129887</v>
      </c>
      <c r="F4495">
        <v>-0.57591499999999995</v>
      </c>
      <c r="G4495">
        <v>-0.54213999999999996</v>
      </c>
    </row>
    <row r="4496" spans="1:7">
      <c r="A4496" t="s">
        <v>144</v>
      </c>
      <c r="B4496">
        <v>70</v>
      </c>
      <c r="C4496">
        <v>46</v>
      </c>
      <c r="D4496">
        <v>4.7853E-2</v>
      </c>
      <c r="E4496">
        <v>-1.413E-2</v>
      </c>
      <c r="F4496">
        <v>-0.94714200000000004</v>
      </c>
      <c r="G4496">
        <v>-0.90249400000000002</v>
      </c>
    </row>
    <row r="4497" spans="1:7">
      <c r="A4497" t="s">
        <v>144</v>
      </c>
      <c r="B4497">
        <v>70</v>
      </c>
      <c r="C4497">
        <v>47</v>
      </c>
      <c r="D4497">
        <v>4.7853E-2</v>
      </c>
      <c r="E4497">
        <v>-0.42100300000000002</v>
      </c>
      <c r="F4497">
        <v>0.51661699999999999</v>
      </c>
      <c r="G4497">
        <v>0.47174899999999997</v>
      </c>
    </row>
    <row r="4498" spans="1:7">
      <c r="A4498" t="s">
        <v>144</v>
      </c>
      <c r="B4498">
        <v>70</v>
      </c>
      <c r="C4498">
        <v>48</v>
      </c>
      <c r="D4498">
        <v>4.7853E-2</v>
      </c>
      <c r="E4498">
        <v>-0.21778</v>
      </c>
      <c r="F4498">
        <v>-0.23346700000000001</v>
      </c>
      <c r="G4498">
        <v>-0.23271600000000001</v>
      </c>
    </row>
    <row r="4499" spans="1:7">
      <c r="A4499" t="s">
        <v>144</v>
      </c>
      <c r="B4499">
        <v>70</v>
      </c>
      <c r="C4499">
        <v>49</v>
      </c>
      <c r="D4499">
        <v>4.7853E-2</v>
      </c>
      <c r="E4499">
        <v>0.48368800000000001</v>
      </c>
      <c r="F4499">
        <v>-0.82470200000000005</v>
      </c>
      <c r="G4499">
        <v>-0.76209099999999996</v>
      </c>
    </row>
    <row r="4500" spans="1:7">
      <c r="A4500" t="s">
        <v>144</v>
      </c>
      <c r="B4500" t="s">
        <v>145</v>
      </c>
      <c r="C4500">
        <v>71</v>
      </c>
    </row>
    <row r="4501" spans="1:7">
      <c r="A4501" t="s">
        <v>144</v>
      </c>
      <c r="B4501" t="s">
        <v>146</v>
      </c>
      <c r="C4501">
        <v>4</v>
      </c>
    </row>
    <row r="4502" spans="1:7">
      <c r="A4502" t="s">
        <v>144</v>
      </c>
      <c r="B4502" t="s">
        <v>147</v>
      </c>
      <c r="C4502">
        <v>4</v>
      </c>
    </row>
    <row r="4503" spans="1:7">
      <c r="A4503" t="s">
        <v>144</v>
      </c>
      <c r="B4503" t="s">
        <v>148</v>
      </c>
      <c r="C4503">
        <v>0.780999</v>
      </c>
    </row>
    <row r="4504" spans="1:7">
      <c r="A4504" t="s">
        <v>144</v>
      </c>
      <c r="B4504" t="s">
        <v>149</v>
      </c>
      <c r="C4504">
        <v>0.780999</v>
      </c>
    </row>
    <row r="4505" spans="1:7">
      <c r="A4505" t="s">
        <v>144</v>
      </c>
      <c r="B4505" t="s">
        <v>150</v>
      </c>
      <c r="C4505">
        <v>-1</v>
      </c>
    </row>
    <row r="4506" spans="1:7">
      <c r="A4506" t="s">
        <v>144</v>
      </c>
      <c r="B4506" t="s">
        <v>151</v>
      </c>
      <c r="C4506">
        <v>-1</v>
      </c>
    </row>
    <row r="4507" spans="1:7">
      <c r="A4507" t="s">
        <v>144</v>
      </c>
      <c r="B4507" t="s">
        <v>152</v>
      </c>
      <c r="C4507">
        <v>9</v>
      </c>
    </row>
    <row r="4508" spans="1:7">
      <c r="A4508" t="s">
        <v>144</v>
      </c>
      <c r="B4508" t="s">
        <v>153</v>
      </c>
      <c r="C4508">
        <v>9</v>
      </c>
    </row>
    <row r="4509" spans="1:7">
      <c r="A4509" t="s">
        <v>144</v>
      </c>
      <c r="B4509" t="s">
        <v>154</v>
      </c>
      <c r="C4509">
        <v>0</v>
      </c>
    </row>
    <row r="4510" spans="1:7">
      <c r="A4510" t="s">
        <v>144</v>
      </c>
      <c r="B4510" t="s">
        <v>161</v>
      </c>
    </row>
    <row r="4511" spans="1:7">
      <c r="A4511" t="s">
        <v>144</v>
      </c>
      <c r="B4511">
        <v>71</v>
      </c>
      <c r="C4511">
        <v>0</v>
      </c>
      <c r="D4511">
        <v>-1</v>
      </c>
      <c r="E4511">
        <v>-0.77953399999999995</v>
      </c>
      <c r="F4511">
        <v>-1</v>
      </c>
      <c r="G4511">
        <v>-0.77953399999999995</v>
      </c>
    </row>
    <row r="4512" spans="1:7">
      <c r="A4512" t="s">
        <v>144</v>
      </c>
      <c r="B4512">
        <v>71</v>
      </c>
      <c r="C4512">
        <v>1</v>
      </c>
      <c r="D4512">
        <v>-1</v>
      </c>
      <c r="E4512">
        <v>0.57921100000000003</v>
      </c>
      <c r="F4512">
        <v>-1</v>
      </c>
      <c r="G4512">
        <v>0.57921100000000003</v>
      </c>
    </row>
    <row r="4513" spans="1:7">
      <c r="A4513" t="s">
        <v>144</v>
      </c>
      <c r="B4513">
        <v>71</v>
      </c>
      <c r="C4513">
        <v>2</v>
      </c>
      <c r="D4513">
        <v>-1</v>
      </c>
      <c r="E4513">
        <v>-0.45201000000000002</v>
      </c>
      <c r="F4513">
        <v>-1</v>
      </c>
      <c r="G4513">
        <v>-0.45201000000000002</v>
      </c>
    </row>
    <row r="4514" spans="1:7">
      <c r="A4514" t="s">
        <v>144</v>
      </c>
      <c r="B4514">
        <v>71</v>
      </c>
      <c r="C4514">
        <v>3</v>
      </c>
      <c r="D4514">
        <v>-1</v>
      </c>
      <c r="E4514">
        <v>0.33069900000000002</v>
      </c>
      <c r="F4514">
        <v>-1</v>
      </c>
      <c r="G4514">
        <v>0.33069900000000002</v>
      </c>
    </row>
    <row r="4515" spans="1:7">
      <c r="A4515" t="s">
        <v>144</v>
      </c>
      <c r="B4515">
        <v>71</v>
      </c>
      <c r="C4515">
        <v>4</v>
      </c>
      <c r="D4515">
        <v>-1</v>
      </c>
      <c r="E4515">
        <v>-0.92080399999999996</v>
      </c>
      <c r="F4515">
        <v>-1</v>
      </c>
      <c r="G4515">
        <v>-0.92080399999999996</v>
      </c>
    </row>
    <row r="4516" spans="1:7">
      <c r="A4516" t="s">
        <v>144</v>
      </c>
      <c r="B4516">
        <v>71</v>
      </c>
      <c r="C4516">
        <v>5</v>
      </c>
      <c r="D4516">
        <v>-1</v>
      </c>
      <c r="E4516">
        <v>0.62257799999999996</v>
      </c>
      <c r="F4516">
        <v>-1</v>
      </c>
      <c r="G4516">
        <v>0.62257799999999996</v>
      </c>
    </row>
    <row r="4517" spans="1:7">
      <c r="A4517" t="s">
        <v>144</v>
      </c>
      <c r="B4517">
        <v>71</v>
      </c>
      <c r="C4517">
        <v>6</v>
      </c>
      <c r="D4517">
        <v>-1</v>
      </c>
      <c r="E4517">
        <v>0.74230200000000002</v>
      </c>
      <c r="F4517">
        <v>-1</v>
      </c>
      <c r="G4517">
        <v>0.74230200000000002</v>
      </c>
    </row>
    <row r="4518" spans="1:7">
      <c r="A4518" t="s">
        <v>144</v>
      </c>
      <c r="B4518">
        <v>71</v>
      </c>
      <c r="C4518">
        <v>7</v>
      </c>
      <c r="D4518">
        <v>-1</v>
      </c>
      <c r="E4518">
        <v>0.62001399999999995</v>
      </c>
      <c r="F4518">
        <v>-1</v>
      </c>
      <c r="G4518">
        <v>0.62001399999999995</v>
      </c>
    </row>
    <row r="4519" spans="1:7">
      <c r="A4519" t="s">
        <v>144</v>
      </c>
      <c r="B4519">
        <v>71</v>
      </c>
      <c r="C4519">
        <v>8</v>
      </c>
      <c r="D4519">
        <v>-1</v>
      </c>
      <c r="E4519">
        <v>0.81862800000000002</v>
      </c>
      <c r="F4519">
        <v>-1</v>
      </c>
      <c r="G4519">
        <v>0.81862800000000002</v>
      </c>
    </row>
    <row r="4520" spans="1:7">
      <c r="A4520" t="s">
        <v>144</v>
      </c>
      <c r="B4520">
        <v>71</v>
      </c>
      <c r="C4520">
        <v>9</v>
      </c>
      <c r="D4520">
        <v>-1</v>
      </c>
      <c r="E4520">
        <v>0.17725199999999999</v>
      </c>
      <c r="F4520">
        <v>-1</v>
      </c>
      <c r="G4520">
        <v>0.17725199999999999</v>
      </c>
    </row>
    <row r="4521" spans="1:7">
      <c r="A4521" t="s">
        <v>144</v>
      </c>
      <c r="B4521">
        <v>71</v>
      </c>
      <c r="C4521">
        <v>10</v>
      </c>
      <c r="D4521">
        <v>-1</v>
      </c>
      <c r="E4521">
        <v>0.455733</v>
      </c>
      <c r="F4521">
        <v>-1</v>
      </c>
      <c r="G4521">
        <v>0.455733</v>
      </c>
    </row>
    <row r="4522" spans="1:7">
      <c r="A4522" t="s">
        <v>144</v>
      </c>
      <c r="B4522">
        <v>71</v>
      </c>
      <c r="C4522">
        <v>11</v>
      </c>
      <c r="D4522">
        <v>-1</v>
      </c>
      <c r="E4522">
        <v>0.61146900000000004</v>
      </c>
      <c r="F4522">
        <v>-1</v>
      </c>
      <c r="G4522">
        <v>0.61146900000000004</v>
      </c>
    </row>
    <row r="4523" spans="1:7">
      <c r="A4523" t="s">
        <v>144</v>
      </c>
      <c r="B4523">
        <v>71</v>
      </c>
      <c r="C4523">
        <v>12</v>
      </c>
      <c r="D4523">
        <v>-1</v>
      </c>
      <c r="E4523">
        <v>-0.57991300000000001</v>
      </c>
      <c r="F4523">
        <v>-1</v>
      </c>
      <c r="G4523">
        <v>-0.57991300000000001</v>
      </c>
    </row>
    <row r="4524" spans="1:7">
      <c r="A4524" t="s">
        <v>144</v>
      </c>
      <c r="B4524">
        <v>71</v>
      </c>
      <c r="C4524">
        <v>13</v>
      </c>
      <c r="D4524">
        <v>-1</v>
      </c>
      <c r="E4524">
        <v>0.90084500000000001</v>
      </c>
      <c r="F4524">
        <v>-1</v>
      </c>
      <c r="G4524">
        <v>0.90084500000000001</v>
      </c>
    </row>
    <row r="4525" spans="1:7">
      <c r="A4525" t="s">
        <v>144</v>
      </c>
      <c r="B4525">
        <v>71</v>
      </c>
      <c r="C4525">
        <v>14</v>
      </c>
      <c r="D4525">
        <v>-1</v>
      </c>
      <c r="E4525">
        <v>-0.76863899999999996</v>
      </c>
      <c r="F4525">
        <v>-1</v>
      </c>
      <c r="G4525">
        <v>-0.76863899999999996</v>
      </c>
    </row>
    <row r="4526" spans="1:7">
      <c r="A4526" t="s">
        <v>144</v>
      </c>
      <c r="B4526">
        <v>71</v>
      </c>
      <c r="C4526">
        <v>15</v>
      </c>
      <c r="D4526">
        <v>-1</v>
      </c>
      <c r="E4526">
        <v>-0.212256</v>
      </c>
      <c r="F4526">
        <v>-1</v>
      </c>
      <c r="G4526">
        <v>-0.212256</v>
      </c>
    </row>
    <row r="4527" spans="1:7">
      <c r="A4527" t="s">
        <v>144</v>
      </c>
      <c r="B4527">
        <v>71</v>
      </c>
      <c r="C4527">
        <v>16</v>
      </c>
      <c r="D4527">
        <v>-1</v>
      </c>
      <c r="E4527">
        <v>0.25214399999999998</v>
      </c>
      <c r="F4527">
        <v>-1</v>
      </c>
      <c r="G4527">
        <v>0.25214399999999998</v>
      </c>
    </row>
    <row r="4528" spans="1:7">
      <c r="A4528" t="s">
        <v>144</v>
      </c>
      <c r="B4528">
        <v>71</v>
      </c>
      <c r="C4528">
        <v>17</v>
      </c>
      <c r="D4528">
        <v>-1</v>
      </c>
      <c r="E4528">
        <v>-0.16586799999999999</v>
      </c>
      <c r="F4528">
        <v>-1</v>
      </c>
      <c r="G4528">
        <v>-0.16586799999999999</v>
      </c>
    </row>
    <row r="4529" spans="1:7">
      <c r="A4529" t="s">
        <v>144</v>
      </c>
      <c r="B4529">
        <v>71</v>
      </c>
      <c r="C4529">
        <v>18</v>
      </c>
      <c r="D4529">
        <v>-1</v>
      </c>
      <c r="E4529">
        <v>-0.54200899999999996</v>
      </c>
      <c r="F4529">
        <v>-1</v>
      </c>
      <c r="G4529">
        <v>-0.54200899999999996</v>
      </c>
    </row>
    <row r="4530" spans="1:7">
      <c r="A4530" t="s">
        <v>144</v>
      </c>
      <c r="B4530">
        <v>71</v>
      </c>
      <c r="C4530">
        <v>19</v>
      </c>
      <c r="D4530">
        <v>-1</v>
      </c>
      <c r="E4530">
        <v>0.74178299999999997</v>
      </c>
      <c r="F4530">
        <v>-1</v>
      </c>
      <c r="G4530">
        <v>0.74178299999999997</v>
      </c>
    </row>
    <row r="4531" spans="1:7">
      <c r="A4531" t="s">
        <v>144</v>
      </c>
      <c r="B4531">
        <v>71</v>
      </c>
      <c r="C4531">
        <v>20</v>
      </c>
      <c r="D4531">
        <v>-1</v>
      </c>
      <c r="E4531">
        <v>0.84289099999999995</v>
      </c>
      <c r="F4531">
        <v>-1</v>
      </c>
      <c r="G4531">
        <v>0.84289099999999995</v>
      </c>
    </row>
    <row r="4532" spans="1:7">
      <c r="A4532" t="s">
        <v>144</v>
      </c>
      <c r="B4532">
        <v>71</v>
      </c>
      <c r="C4532">
        <v>21</v>
      </c>
      <c r="D4532">
        <v>-1</v>
      </c>
      <c r="E4532">
        <v>0.23572499999999999</v>
      </c>
      <c r="F4532">
        <v>-1</v>
      </c>
      <c r="G4532">
        <v>0.23572499999999999</v>
      </c>
    </row>
    <row r="4533" spans="1:7">
      <c r="A4533" t="s">
        <v>144</v>
      </c>
      <c r="B4533">
        <v>71</v>
      </c>
      <c r="C4533">
        <v>22</v>
      </c>
      <c r="D4533">
        <v>-1</v>
      </c>
      <c r="E4533">
        <v>-0.90362299999999995</v>
      </c>
      <c r="F4533">
        <v>-1</v>
      </c>
      <c r="G4533">
        <v>-0.90362299999999995</v>
      </c>
    </row>
    <row r="4534" spans="1:7">
      <c r="A4534" t="s">
        <v>144</v>
      </c>
      <c r="B4534">
        <v>71</v>
      </c>
      <c r="C4534">
        <v>23</v>
      </c>
      <c r="D4534">
        <v>-1</v>
      </c>
      <c r="E4534">
        <v>-0.169958</v>
      </c>
      <c r="F4534">
        <v>-1</v>
      </c>
      <c r="G4534">
        <v>-0.169958</v>
      </c>
    </row>
    <row r="4535" spans="1:7">
      <c r="A4535" t="s">
        <v>144</v>
      </c>
      <c r="B4535">
        <v>71</v>
      </c>
      <c r="C4535">
        <v>24</v>
      </c>
      <c r="D4535">
        <v>-1</v>
      </c>
      <c r="E4535">
        <v>0.46427800000000002</v>
      </c>
      <c r="F4535">
        <v>-1</v>
      </c>
      <c r="G4535">
        <v>0.46427800000000002</v>
      </c>
    </row>
    <row r="4536" spans="1:7">
      <c r="A4536" t="s">
        <v>144</v>
      </c>
      <c r="B4536">
        <v>71</v>
      </c>
      <c r="C4536">
        <v>25</v>
      </c>
      <c r="D4536">
        <v>-1</v>
      </c>
      <c r="E4536">
        <v>0.56526399999999999</v>
      </c>
      <c r="F4536">
        <v>-1</v>
      </c>
      <c r="G4536">
        <v>0.56526399999999999</v>
      </c>
    </row>
    <row r="4537" spans="1:7">
      <c r="A4537" t="s">
        <v>144</v>
      </c>
      <c r="B4537">
        <v>71</v>
      </c>
      <c r="C4537">
        <v>26</v>
      </c>
      <c r="D4537">
        <v>-1</v>
      </c>
      <c r="E4537">
        <v>-0.954924</v>
      </c>
      <c r="F4537">
        <v>-1</v>
      </c>
      <c r="G4537">
        <v>-0.954924</v>
      </c>
    </row>
    <row r="4538" spans="1:7">
      <c r="A4538" t="s">
        <v>144</v>
      </c>
      <c r="B4538">
        <v>71</v>
      </c>
      <c r="C4538">
        <v>27</v>
      </c>
      <c r="D4538">
        <v>-1</v>
      </c>
      <c r="E4538">
        <v>-0.48057499999999997</v>
      </c>
      <c r="F4538">
        <v>-1</v>
      </c>
      <c r="G4538">
        <v>-0.48057499999999997</v>
      </c>
    </row>
    <row r="4539" spans="1:7">
      <c r="A4539" t="s">
        <v>144</v>
      </c>
      <c r="B4539">
        <v>71</v>
      </c>
      <c r="C4539">
        <v>28</v>
      </c>
      <c r="D4539">
        <v>-1</v>
      </c>
      <c r="E4539">
        <v>0.60264899999999999</v>
      </c>
      <c r="F4539">
        <v>-1</v>
      </c>
      <c r="G4539">
        <v>0.60264899999999999</v>
      </c>
    </row>
    <row r="4540" spans="1:7">
      <c r="A4540" t="s">
        <v>144</v>
      </c>
      <c r="B4540">
        <v>71</v>
      </c>
      <c r="C4540">
        <v>29</v>
      </c>
      <c r="D4540">
        <v>-1</v>
      </c>
      <c r="E4540">
        <v>-0.2266</v>
      </c>
      <c r="F4540">
        <v>-1</v>
      </c>
      <c r="G4540">
        <v>-0.2266</v>
      </c>
    </row>
    <row r="4541" spans="1:7">
      <c r="A4541" t="s">
        <v>144</v>
      </c>
      <c r="B4541">
        <v>71</v>
      </c>
      <c r="C4541">
        <v>30</v>
      </c>
      <c r="D4541">
        <v>-1</v>
      </c>
      <c r="E4541">
        <v>-0.60319800000000001</v>
      </c>
      <c r="F4541">
        <v>-1</v>
      </c>
      <c r="G4541">
        <v>-0.60319800000000001</v>
      </c>
    </row>
    <row r="4542" spans="1:7">
      <c r="A4542" t="s">
        <v>144</v>
      </c>
      <c r="B4542">
        <v>71</v>
      </c>
      <c r="C4542">
        <v>31</v>
      </c>
      <c r="D4542">
        <v>-1</v>
      </c>
      <c r="E4542">
        <v>0.15933700000000001</v>
      </c>
      <c r="F4542">
        <v>-1</v>
      </c>
      <c r="G4542">
        <v>0.15933700000000001</v>
      </c>
    </row>
    <row r="4543" spans="1:7">
      <c r="A4543" t="s">
        <v>144</v>
      </c>
      <c r="B4543">
        <v>71</v>
      </c>
      <c r="C4543">
        <v>32</v>
      </c>
      <c r="D4543">
        <v>-1</v>
      </c>
      <c r="E4543">
        <v>0.51301600000000003</v>
      </c>
      <c r="F4543">
        <v>-1</v>
      </c>
      <c r="G4543">
        <v>0.51301600000000003</v>
      </c>
    </row>
    <row r="4544" spans="1:7">
      <c r="A4544" t="s">
        <v>144</v>
      </c>
      <c r="B4544">
        <v>71</v>
      </c>
      <c r="C4544">
        <v>33</v>
      </c>
      <c r="D4544">
        <v>-1</v>
      </c>
      <c r="E4544">
        <v>-0.460005</v>
      </c>
      <c r="F4544">
        <v>-1</v>
      </c>
      <c r="G4544">
        <v>-0.460005</v>
      </c>
    </row>
    <row r="4545" spans="1:7">
      <c r="A4545" t="s">
        <v>144</v>
      </c>
      <c r="B4545">
        <v>71</v>
      </c>
      <c r="C4545">
        <v>34</v>
      </c>
      <c r="D4545">
        <v>-1</v>
      </c>
      <c r="E4545">
        <v>0.51854</v>
      </c>
      <c r="F4545">
        <v>-1</v>
      </c>
      <c r="G4545">
        <v>0.51854</v>
      </c>
    </row>
    <row r="4546" spans="1:7">
      <c r="A4546" t="s">
        <v>144</v>
      </c>
      <c r="B4546">
        <v>71</v>
      </c>
      <c r="C4546">
        <v>35</v>
      </c>
      <c r="D4546">
        <v>-1</v>
      </c>
      <c r="E4546">
        <v>0.80748900000000001</v>
      </c>
      <c r="F4546">
        <v>-1</v>
      </c>
      <c r="G4546">
        <v>0.80748900000000001</v>
      </c>
    </row>
    <row r="4547" spans="1:7">
      <c r="A4547" t="s">
        <v>144</v>
      </c>
      <c r="B4547">
        <v>71</v>
      </c>
      <c r="C4547">
        <v>36</v>
      </c>
      <c r="D4547">
        <v>-1</v>
      </c>
      <c r="E4547">
        <v>-0.73857799999999996</v>
      </c>
      <c r="F4547">
        <v>-1</v>
      </c>
      <c r="G4547">
        <v>-0.73857799999999996</v>
      </c>
    </row>
    <row r="4548" spans="1:7">
      <c r="A4548" t="s">
        <v>144</v>
      </c>
      <c r="B4548">
        <v>71</v>
      </c>
      <c r="C4548">
        <v>37</v>
      </c>
      <c r="D4548">
        <v>-1</v>
      </c>
      <c r="E4548">
        <v>0.34961999999999999</v>
      </c>
      <c r="F4548">
        <v>-1</v>
      </c>
      <c r="G4548">
        <v>0.34961999999999999</v>
      </c>
    </row>
    <row r="4549" spans="1:7">
      <c r="A4549" t="s">
        <v>144</v>
      </c>
      <c r="B4549">
        <v>71</v>
      </c>
      <c r="C4549">
        <v>38</v>
      </c>
      <c r="D4549">
        <v>-1</v>
      </c>
      <c r="E4549">
        <v>-0.215918</v>
      </c>
      <c r="F4549">
        <v>-1</v>
      </c>
      <c r="G4549">
        <v>-0.215918</v>
      </c>
    </row>
    <row r="4550" spans="1:7">
      <c r="A4550" t="s">
        <v>144</v>
      </c>
      <c r="B4550">
        <v>71</v>
      </c>
      <c r="C4550">
        <v>39</v>
      </c>
      <c r="D4550">
        <v>-1</v>
      </c>
      <c r="E4550">
        <v>0.87975700000000001</v>
      </c>
      <c r="F4550">
        <v>-1</v>
      </c>
      <c r="G4550">
        <v>0.87975700000000001</v>
      </c>
    </row>
    <row r="4551" spans="1:7">
      <c r="A4551" t="s">
        <v>144</v>
      </c>
      <c r="B4551">
        <v>71</v>
      </c>
      <c r="C4551">
        <v>40</v>
      </c>
      <c r="D4551">
        <v>-1</v>
      </c>
      <c r="E4551">
        <v>0.75524199999999997</v>
      </c>
      <c r="F4551">
        <v>-1</v>
      </c>
      <c r="G4551">
        <v>0.75524199999999997</v>
      </c>
    </row>
    <row r="4552" spans="1:7">
      <c r="A4552" t="s">
        <v>144</v>
      </c>
      <c r="B4552">
        <v>71</v>
      </c>
      <c r="C4552">
        <v>41</v>
      </c>
      <c r="D4552">
        <v>-1</v>
      </c>
      <c r="E4552">
        <v>-0.62422599999999995</v>
      </c>
      <c r="F4552">
        <v>-1</v>
      </c>
      <c r="G4552">
        <v>-0.62422599999999995</v>
      </c>
    </row>
    <row r="4553" spans="1:7">
      <c r="A4553" t="s">
        <v>144</v>
      </c>
      <c r="B4553">
        <v>71</v>
      </c>
      <c r="C4553">
        <v>42</v>
      </c>
      <c r="D4553">
        <v>-1</v>
      </c>
      <c r="E4553">
        <v>-0.26212299999999999</v>
      </c>
      <c r="F4553">
        <v>-1</v>
      </c>
      <c r="G4553">
        <v>-0.26212299999999999</v>
      </c>
    </row>
    <row r="4554" spans="1:7">
      <c r="A4554" t="s">
        <v>144</v>
      </c>
      <c r="B4554">
        <v>71</v>
      </c>
      <c r="C4554">
        <v>43</v>
      </c>
      <c r="D4554">
        <v>-1</v>
      </c>
      <c r="E4554">
        <v>0.54783800000000005</v>
      </c>
      <c r="F4554">
        <v>-1</v>
      </c>
      <c r="G4554">
        <v>0.54783800000000005</v>
      </c>
    </row>
    <row r="4555" spans="1:7">
      <c r="A4555" t="s">
        <v>144</v>
      </c>
      <c r="B4555">
        <v>71</v>
      </c>
      <c r="C4555">
        <v>44</v>
      </c>
      <c r="D4555">
        <v>-1</v>
      </c>
      <c r="E4555">
        <v>0.74123399999999995</v>
      </c>
      <c r="F4555">
        <v>-1</v>
      </c>
      <c r="G4555">
        <v>0.74123399999999995</v>
      </c>
    </row>
    <row r="4556" spans="1:7">
      <c r="A4556" t="s">
        <v>144</v>
      </c>
      <c r="B4556">
        <v>71</v>
      </c>
      <c r="C4556">
        <v>45</v>
      </c>
      <c r="D4556">
        <v>-1</v>
      </c>
      <c r="E4556">
        <v>0.58299500000000004</v>
      </c>
      <c r="F4556">
        <v>-1</v>
      </c>
      <c r="G4556">
        <v>0.58299500000000004</v>
      </c>
    </row>
    <row r="4557" spans="1:7">
      <c r="A4557" t="s">
        <v>144</v>
      </c>
      <c r="B4557">
        <v>71</v>
      </c>
      <c r="C4557">
        <v>46</v>
      </c>
      <c r="D4557">
        <v>-1</v>
      </c>
      <c r="E4557">
        <v>0.60792900000000005</v>
      </c>
      <c r="F4557">
        <v>-1</v>
      </c>
      <c r="G4557">
        <v>0.60792900000000005</v>
      </c>
    </row>
    <row r="4558" spans="1:7">
      <c r="A4558" t="s">
        <v>144</v>
      </c>
      <c r="B4558">
        <v>71</v>
      </c>
      <c r="C4558">
        <v>47</v>
      </c>
      <c r="D4558">
        <v>-1</v>
      </c>
      <c r="E4558">
        <v>-0.68874199999999997</v>
      </c>
      <c r="F4558">
        <v>-1</v>
      </c>
      <c r="G4558">
        <v>-0.68874199999999997</v>
      </c>
    </row>
    <row r="4559" spans="1:7">
      <c r="A4559" t="s">
        <v>144</v>
      </c>
      <c r="B4559">
        <v>71</v>
      </c>
      <c r="C4559">
        <v>48</v>
      </c>
      <c r="D4559">
        <v>-1</v>
      </c>
      <c r="E4559">
        <v>0.47154099999999999</v>
      </c>
      <c r="F4559">
        <v>-1</v>
      </c>
      <c r="G4559">
        <v>0.47154099999999999</v>
      </c>
    </row>
    <row r="4560" spans="1:7">
      <c r="A4560" t="s">
        <v>144</v>
      </c>
      <c r="B4560">
        <v>71</v>
      </c>
      <c r="C4560">
        <v>49</v>
      </c>
      <c r="D4560">
        <v>-1</v>
      </c>
      <c r="E4560">
        <v>-0.146397</v>
      </c>
      <c r="F4560">
        <v>-1</v>
      </c>
      <c r="G4560">
        <v>-0.146397</v>
      </c>
    </row>
    <row r="4561" spans="1:7">
      <c r="A4561" t="s">
        <v>144</v>
      </c>
      <c r="B4561" t="s">
        <v>145</v>
      </c>
      <c r="C4561">
        <v>72</v>
      </c>
    </row>
    <row r="4562" spans="1:7">
      <c r="A4562" t="s">
        <v>144</v>
      </c>
      <c r="B4562" t="s">
        <v>146</v>
      </c>
      <c r="C4562">
        <v>15</v>
      </c>
    </row>
    <row r="4563" spans="1:7">
      <c r="A4563" t="s">
        <v>144</v>
      </c>
      <c r="B4563" t="s">
        <v>147</v>
      </c>
      <c r="C4563">
        <v>15</v>
      </c>
    </row>
    <row r="4564" spans="1:7">
      <c r="A4564" t="s">
        <v>144</v>
      </c>
      <c r="B4564" t="s">
        <v>148</v>
      </c>
      <c r="C4564">
        <v>0.98712100000000003</v>
      </c>
    </row>
    <row r="4565" spans="1:7">
      <c r="A4565" t="s">
        <v>144</v>
      </c>
      <c r="B4565" t="s">
        <v>149</v>
      </c>
      <c r="C4565">
        <v>0.98712100000000003</v>
      </c>
    </row>
    <row r="4566" spans="1:7">
      <c r="A4566" t="s">
        <v>144</v>
      </c>
      <c r="B4566" t="s">
        <v>150</v>
      </c>
      <c r="C4566">
        <v>-1</v>
      </c>
    </row>
    <row r="4567" spans="1:7">
      <c r="A4567" t="s">
        <v>144</v>
      </c>
      <c r="B4567" t="s">
        <v>151</v>
      </c>
      <c r="C4567">
        <v>-1</v>
      </c>
    </row>
    <row r="4568" spans="1:7">
      <c r="A4568" t="s">
        <v>144</v>
      </c>
      <c r="B4568" t="s">
        <v>152</v>
      </c>
      <c r="C4568">
        <v>44</v>
      </c>
    </row>
    <row r="4569" spans="1:7">
      <c r="A4569" t="s">
        <v>144</v>
      </c>
      <c r="B4569" t="s">
        <v>153</v>
      </c>
      <c r="C4569">
        <v>44</v>
      </c>
    </row>
    <row r="4570" spans="1:7">
      <c r="A4570" t="s">
        <v>144</v>
      </c>
      <c r="B4570" t="s">
        <v>154</v>
      </c>
      <c r="C4570">
        <v>0</v>
      </c>
    </row>
    <row r="4571" spans="1:7">
      <c r="A4571" t="s">
        <v>144</v>
      </c>
      <c r="B4571" t="s">
        <v>161</v>
      </c>
    </row>
    <row r="4572" spans="1:7">
      <c r="A4572" t="s">
        <v>144</v>
      </c>
      <c r="B4572">
        <v>72</v>
      </c>
      <c r="C4572">
        <v>0</v>
      </c>
      <c r="D4572">
        <v>-1</v>
      </c>
      <c r="E4572">
        <v>-0.69780600000000004</v>
      </c>
      <c r="F4572">
        <v>-1</v>
      </c>
      <c r="G4572">
        <v>-0.69780600000000004</v>
      </c>
    </row>
    <row r="4573" spans="1:7">
      <c r="A4573" t="s">
        <v>144</v>
      </c>
      <c r="B4573">
        <v>72</v>
      </c>
      <c r="C4573">
        <v>1</v>
      </c>
      <c r="D4573">
        <v>-1</v>
      </c>
      <c r="E4573">
        <v>-0.59309699999999999</v>
      </c>
      <c r="F4573">
        <v>-1</v>
      </c>
      <c r="G4573">
        <v>-0.59309699999999999</v>
      </c>
    </row>
    <row r="4574" spans="1:7">
      <c r="A4574" t="s">
        <v>144</v>
      </c>
      <c r="B4574">
        <v>72</v>
      </c>
      <c r="C4574">
        <v>2</v>
      </c>
      <c r="D4574">
        <v>-1</v>
      </c>
      <c r="E4574">
        <v>0.75072499999999998</v>
      </c>
      <c r="F4574">
        <v>-1</v>
      </c>
      <c r="G4574">
        <v>0.75072499999999998</v>
      </c>
    </row>
    <row r="4575" spans="1:7">
      <c r="A4575" t="s">
        <v>144</v>
      </c>
      <c r="B4575">
        <v>72</v>
      </c>
      <c r="C4575">
        <v>3</v>
      </c>
      <c r="D4575">
        <v>-1</v>
      </c>
      <c r="E4575">
        <v>0.44999499999999998</v>
      </c>
      <c r="F4575">
        <v>-1</v>
      </c>
      <c r="G4575">
        <v>0.44999499999999998</v>
      </c>
    </row>
    <row r="4576" spans="1:7">
      <c r="A4576" t="s">
        <v>144</v>
      </c>
      <c r="B4576">
        <v>72</v>
      </c>
      <c r="C4576">
        <v>4</v>
      </c>
      <c r="D4576">
        <v>-1</v>
      </c>
      <c r="E4576">
        <v>0.67723599999999995</v>
      </c>
      <c r="F4576">
        <v>-1</v>
      </c>
      <c r="G4576">
        <v>0.67723599999999995</v>
      </c>
    </row>
    <row r="4577" spans="1:7">
      <c r="A4577" t="s">
        <v>144</v>
      </c>
      <c r="B4577">
        <v>72</v>
      </c>
      <c r="C4577">
        <v>5</v>
      </c>
      <c r="D4577">
        <v>-1</v>
      </c>
      <c r="E4577">
        <v>-0.81936100000000001</v>
      </c>
      <c r="F4577">
        <v>-1</v>
      </c>
      <c r="G4577">
        <v>-0.81936100000000001</v>
      </c>
    </row>
    <row r="4578" spans="1:7">
      <c r="A4578" t="s">
        <v>144</v>
      </c>
      <c r="B4578">
        <v>72</v>
      </c>
      <c r="C4578">
        <v>6</v>
      </c>
      <c r="D4578">
        <v>-1</v>
      </c>
      <c r="E4578">
        <v>-0.19272400000000001</v>
      </c>
      <c r="F4578">
        <v>-1</v>
      </c>
      <c r="G4578">
        <v>-0.19272400000000001</v>
      </c>
    </row>
    <row r="4579" spans="1:7">
      <c r="A4579" t="s">
        <v>144</v>
      </c>
      <c r="B4579">
        <v>72</v>
      </c>
      <c r="C4579">
        <v>7</v>
      </c>
      <c r="D4579">
        <v>-1</v>
      </c>
      <c r="E4579">
        <v>0.40638400000000002</v>
      </c>
      <c r="F4579">
        <v>-1</v>
      </c>
      <c r="G4579">
        <v>0.40638400000000002</v>
      </c>
    </row>
    <row r="4580" spans="1:7">
      <c r="A4580" t="s">
        <v>144</v>
      </c>
      <c r="B4580">
        <v>72</v>
      </c>
      <c r="C4580">
        <v>8</v>
      </c>
      <c r="D4580">
        <v>-1</v>
      </c>
      <c r="E4580">
        <v>-4.3672000000000002E-2</v>
      </c>
      <c r="F4580">
        <v>-1</v>
      </c>
      <c r="G4580">
        <v>-4.3672000000000002E-2</v>
      </c>
    </row>
    <row r="4581" spans="1:7">
      <c r="A4581" t="s">
        <v>144</v>
      </c>
      <c r="B4581">
        <v>72</v>
      </c>
      <c r="C4581">
        <v>9</v>
      </c>
      <c r="D4581">
        <v>-1</v>
      </c>
      <c r="E4581">
        <v>0.52415500000000004</v>
      </c>
      <c r="F4581">
        <v>-1</v>
      </c>
      <c r="G4581">
        <v>0.52415500000000004</v>
      </c>
    </row>
    <row r="4582" spans="1:7">
      <c r="A4582" t="s">
        <v>144</v>
      </c>
      <c r="B4582">
        <v>72</v>
      </c>
      <c r="C4582">
        <v>10</v>
      </c>
      <c r="D4582">
        <v>-1</v>
      </c>
      <c r="E4582">
        <v>0.39988400000000002</v>
      </c>
      <c r="F4582">
        <v>-1</v>
      </c>
      <c r="G4582">
        <v>0.39988400000000002</v>
      </c>
    </row>
    <row r="4583" spans="1:7">
      <c r="A4583" t="s">
        <v>144</v>
      </c>
      <c r="B4583">
        <v>72</v>
      </c>
      <c r="C4583">
        <v>11</v>
      </c>
      <c r="D4583">
        <v>-1</v>
      </c>
      <c r="E4583">
        <v>-0.87337900000000002</v>
      </c>
      <c r="F4583">
        <v>-1</v>
      </c>
      <c r="G4583">
        <v>-0.87337900000000002</v>
      </c>
    </row>
    <row r="4584" spans="1:7">
      <c r="A4584" t="s">
        <v>144</v>
      </c>
      <c r="B4584">
        <v>72</v>
      </c>
      <c r="C4584">
        <v>12</v>
      </c>
      <c r="D4584">
        <v>-1</v>
      </c>
      <c r="E4584">
        <v>0.12350800000000001</v>
      </c>
      <c r="F4584">
        <v>-1</v>
      </c>
      <c r="G4584">
        <v>0.12350800000000001</v>
      </c>
    </row>
    <row r="4585" spans="1:7">
      <c r="A4585" t="s">
        <v>144</v>
      </c>
      <c r="B4585">
        <v>72</v>
      </c>
      <c r="C4585">
        <v>13</v>
      </c>
      <c r="D4585">
        <v>-1</v>
      </c>
      <c r="E4585">
        <v>-0.21491099999999999</v>
      </c>
      <c r="F4585">
        <v>-1</v>
      </c>
      <c r="G4585">
        <v>-0.21491099999999999</v>
      </c>
    </row>
    <row r="4586" spans="1:7">
      <c r="A4586" t="s">
        <v>144</v>
      </c>
      <c r="B4586">
        <v>72</v>
      </c>
      <c r="C4586">
        <v>14</v>
      </c>
      <c r="D4586">
        <v>-1</v>
      </c>
      <c r="E4586">
        <v>-7.1596000000000007E-2</v>
      </c>
      <c r="F4586">
        <v>-1</v>
      </c>
      <c r="G4586">
        <v>-7.1596000000000007E-2</v>
      </c>
    </row>
    <row r="4587" spans="1:7">
      <c r="A4587" t="s">
        <v>144</v>
      </c>
      <c r="B4587">
        <v>72</v>
      </c>
      <c r="C4587">
        <v>15</v>
      </c>
      <c r="D4587">
        <v>-1</v>
      </c>
      <c r="E4587">
        <v>0.34125800000000001</v>
      </c>
      <c r="F4587">
        <v>-1</v>
      </c>
      <c r="G4587">
        <v>0.34125800000000001</v>
      </c>
    </row>
    <row r="4588" spans="1:7">
      <c r="A4588" t="s">
        <v>144</v>
      </c>
      <c r="B4588">
        <v>72</v>
      </c>
      <c r="C4588">
        <v>16</v>
      </c>
      <c r="D4588">
        <v>-1</v>
      </c>
      <c r="E4588">
        <v>-8.7862999999999997E-2</v>
      </c>
      <c r="F4588">
        <v>-1</v>
      </c>
      <c r="G4588">
        <v>-8.7862999999999997E-2</v>
      </c>
    </row>
    <row r="4589" spans="1:7">
      <c r="A4589" t="s">
        <v>144</v>
      </c>
      <c r="B4589">
        <v>72</v>
      </c>
      <c r="C4589">
        <v>17</v>
      </c>
      <c r="D4589">
        <v>-1</v>
      </c>
      <c r="E4589">
        <v>-0.25266300000000003</v>
      </c>
      <c r="F4589">
        <v>-1</v>
      </c>
      <c r="G4589">
        <v>-0.25266300000000003</v>
      </c>
    </row>
    <row r="4590" spans="1:7">
      <c r="A4590" t="s">
        <v>144</v>
      </c>
      <c r="B4590">
        <v>72</v>
      </c>
      <c r="C4590">
        <v>18</v>
      </c>
      <c r="D4590">
        <v>-1</v>
      </c>
      <c r="E4590">
        <v>-0.840144</v>
      </c>
      <c r="F4590">
        <v>-1</v>
      </c>
      <c r="G4590">
        <v>-0.840144</v>
      </c>
    </row>
    <row r="4591" spans="1:7">
      <c r="A4591" t="s">
        <v>144</v>
      </c>
      <c r="B4591">
        <v>72</v>
      </c>
      <c r="C4591">
        <v>19</v>
      </c>
      <c r="D4591">
        <v>-1</v>
      </c>
      <c r="E4591">
        <v>0.94509699999999996</v>
      </c>
      <c r="F4591">
        <v>-1</v>
      </c>
      <c r="G4591">
        <v>0.94509699999999996</v>
      </c>
    </row>
    <row r="4592" spans="1:7">
      <c r="A4592" t="s">
        <v>144</v>
      </c>
      <c r="B4592">
        <v>72</v>
      </c>
      <c r="C4592">
        <v>20</v>
      </c>
      <c r="D4592">
        <v>-1</v>
      </c>
      <c r="E4592">
        <v>0.159856</v>
      </c>
      <c r="F4592">
        <v>-1</v>
      </c>
      <c r="G4592">
        <v>0.159856</v>
      </c>
    </row>
    <row r="4593" spans="1:7">
      <c r="A4593" t="s">
        <v>144</v>
      </c>
      <c r="B4593">
        <v>72</v>
      </c>
      <c r="C4593">
        <v>21</v>
      </c>
      <c r="D4593">
        <v>-1</v>
      </c>
      <c r="E4593">
        <v>-0.71538400000000002</v>
      </c>
      <c r="F4593">
        <v>-1</v>
      </c>
      <c r="G4593">
        <v>-0.71538400000000002</v>
      </c>
    </row>
    <row r="4594" spans="1:7">
      <c r="A4594" t="s">
        <v>144</v>
      </c>
      <c r="B4594">
        <v>72</v>
      </c>
      <c r="C4594">
        <v>22</v>
      </c>
      <c r="D4594">
        <v>-1</v>
      </c>
      <c r="E4594">
        <v>-3.9888E-2</v>
      </c>
      <c r="F4594">
        <v>-1</v>
      </c>
      <c r="G4594">
        <v>-3.9888E-2</v>
      </c>
    </row>
    <row r="4595" spans="1:7">
      <c r="A4595" t="s">
        <v>144</v>
      </c>
      <c r="B4595">
        <v>72</v>
      </c>
      <c r="C4595">
        <v>23</v>
      </c>
      <c r="D4595">
        <v>-1</v>
      </c>
      <c r="E4595">
        <v>0.39036199999999999</v>
      </c>
      <c r="F4595">
        <v>-1</v>
      </c>
      <c r="G4595">
        <v>0.39036199999999999</v>
      </c>
    </row>
    <row r="4596" spans="1:7">
      <c r="A4596" t="s">
        <v>144</v>
      </c>
      <c r="B4596">
        <v>72</v>
      </c>
      <c r="C4596">
        <v>24</v>
      </c>
      <c r="D4596">
        <v>-1</v>
      </c>
      <c r="E4596">
        <v>0.94650100000000004</v>
      </c>
      <c r="F4596">
        <v>-1</v>
      </c>
      <c r="G4596">
        <v>0.94650100000000004</v>
      </c>
    </row>
    <row r="4597" spans="1:7">
      <c r="A4597" t="s">
        <v>144</v>
      </c>
      <c r="B4597">
        <v>72</v>
      </c>
      <c r="C4597">
        <v>25</v>
      </c>
      <c r="D4597">
        <v>-1</v>
      </c>
      <c r="E4597">
        <v>0.386181</v>
      </c>
      <c r="F4597">
        <v>-1</v>
      </c>
      <c r="G4597">
        <v>0.386181</v>
      </c>
    </row>
    <row r="4598" spans="1:7">
      <c r="A4598" t="s">
        <v>144</v>
      </c>
      <c r="B4598">
        <v>72</v>
      </c>
      <c r="C4598">
        <v>26</v>
      </c>
      <c r="D4598">
        <v>-1</v>
      </c>
      <c r="E4598">
        <v>0.60219100000000003</v>
      </c>
      <c r="F4598">
        <v>-1</v>
      </c>
      <c r="G4598">
        <v>0.60219100000000003</v>
      </c>
    </row>
    <row r="4599" spans="1:7">
      <c r="A4599" t="s">
        <v>144</v>
      </c>
      <c r="B4599">
        <v>72</v>
      </c>
      <c r="C4599">
        <v>27</v>
      </c>
      <c r="D4599">
        <v>-1</v>
      </c>
      <c r="E4599">
        <v>-3.6930000000000001E-3</v>
      </c>
      <c r="F4599">
        <v>-1</v>
      </c>
      <c r="G4599">
        <v>-3.6930000000000001E-3</v>
      </c>
    </row>
    <row r="4600" spans="1:7">
      <c r="A4600" t="s">
        <v>144</v>
      </c>
      <c r="B4600">
        <v>72</v>
      </c>
      <c r="C4600">
        <v>28</v>
      </c>
      <c r="D4600">
        <v>-1</v>
      </c>
      <c r="E4600">
        <v>0.89565700000000004</v>
      </c>
      <c r="F4600">
        <v>-1</v>
      </c>
      <c r="G4600">
        <v>0.89565700000000004</v>
      </c>
    </row>
    <row r="4601" spans="1:7">
      <c r="A4601" t="s">
        <v>144</v>
      </c>
      <c r="B4601">
        <v>72</v>
      </c>
      <c r="C4601">
        <v>29</v>
      </c>
      <c r="D4601">
        <v>-1</v>
      </c>
      <c r="E4601">
        <v>0.86675599999999997</v>
      </c>
      <c r="F4601">
        <v>-1</v>
      </c>
      <c r="G4601">
        <v>0.86675599999999997</v>
      </c>
    </row>
    <row r="4602" spans="1:7">
      <c r="A4602" t="s">
        <v>144</v>
      </c>
      <c r="B4602">
        <v>72</v>
      </c>
      <c r="C4602">
        <v>30</v>
      </c>
      <c r="D4602">
        <v>-1</v>
      </c>
      <c r="E4602">
        <v>-7.4556999999999998E-2</v>
      </c>
      <c r="F4602">
        <v>-1</v>
      </c>
      <c r="G4602">
        <v>-7.4556999999999998E-2</v>
      </c>
    </row>
    <row r="4603" spans="1:7">
      <c r="A4603" t="s">
        <v>144</v>
      </c>
      <c r="B4603">
        <v>72</v>
      </c>
      <c r="C4603">
        <v>31</v>
      </c>
      <c r="D4603">
        <v>-1</v>
      </c>
      <c r="E4603">
        <v>-0.90887200000000001</v>
      </c>
      <c r="F4603">
        <v>-1</v>
      </c>
      <c r="G4603">
        <v>-0.90887200000000001</v>
      </c>
    </row>
    <row r="4604" spans="1:7">
      <c r="A4604" t="s">
        <v>144</v>
      </c>
      <c r="B4604">
        <v>72</v>
      </c>
      <c r="C4604">
        <v>32</v>
      </c>
      <c r="D4604">
        <v>-1</v>
      </c>
      <c r="E4604">
        <v>0.87823099999999998</v>
      </c>
      <c r="F4604">
        <v>-1</v>
      </c>
      <c r="G4604">
        <v>0.87823099999999998</v>
      </c>
    </row>
    <row r="4605" spans="1:7">
      <c r="A4605" t="s">
        <v>144</v>
      </c>
      <c r="B4605">
        <v>72</v>
      </c>
      <c r="C4605">
        <v>33</v>
      </c>
      <c r="D4605">
        <v>-1</v>
      </c>
      <c r="E4605">
        <v>-0.81548500000000002</v>
      </c>
      <c r="F4605">
        <v>-1</v>
      </c>
      <c r="G4605">
        <v>-0.81548500000000002</v>
      </c>
    </row>
    <row r="4606" spans="1:7">
      <c r="A4606" t="s">
        <v>144</v>
      </c>
      <c r="B4606">
        <v>72</v>
      </c>
      <c r="C4606">
        <v>34</v>
      </c>
      <c r="D4606">
        <v>-1</v>
      </c>
      <c r="E4606">
        <v>0.76552600000000004</v>
      </c>
      <c r="F4606">
        <v>-1</v>
      </c>
      <c r="G4606">
        <v>0.76552600000000004</v>
      </c>
    </row>
    <row r="4607" spans="1:7">
      <c r="A4607" t="s">
        <v>144</v>
      </c>
      <c r="B4607">
        <v>72</v>
      </c>
      <c r="C4607">
        <v>35</v>
      </c>
      <c r="D4607">
        <v>-1</v>
      </c>
      <c r="E4607">
        <v>0.32721899999999998</v>
      </c>
      <c r="F4607">
        <v>-1</v>
      </c>
      <c r="G4607">
        <v>0.32721899999999998</v>
      </c>
    </row>
    <row r="4608" spans="1:7">
      <c r="A4608" t="s">
        <v>144</v>
      </c>
      <c r="B4608">
        <v>72</v>
      </c>
      <c r="C4608">
        <v>36</v>
      </c>
      <c r="D4608">
        <v>-1</v>
      </c>
      <c r="E4608">
        <v>0.89513799999999999</v>
      </c>
      <c r="F4608">
        <v>-1</v>
      </c>
      <c r="G4608">
        <v>0.89513799999999999</v>
      </c>
    </row>
    <row r="4609" spans="1:7">
      <c r="A4609" t="s">
        <v>144</v>
      </c>
      <c r="B4609">
        <v>72</v>
      </c>
      <c r="C4609">
        <v>37</v>
      </c>
      <c r="D4609">
        <v>-1</v>
      </c>
      <c r="E4609">
        <v>-0.31080000000000002</v>
      </c>
      <c r="F4609">
        <v>-1</v>
      </c>
      <c r="G4609">
        <v>-0.31080000000000002</v>
      </c>
    </row>
    <row r="4610" spans="1:7">
      <c r="A4610" t="s">
        <v>144</v>
      </c>
      <c r="B4610">
        <v>72</v>
      </c>
      <c r="C4610">
        <v>38</v>
      </c>
      <c r="D4610">
        <v>-1</v>
      </c>
      <c r="E4610">
        <v>1.3854999999999999E-2</v>
      </c>
      <c r="F4610">
        <v>-1</v>
      </c>
      <c r="G4610">
        <v>1.3854999999999999E-2</v>
      </c>
    </row>
    <row r="4611" spans="1:7">
      <c r="A4611" t="s">
        <v>144</v>
      </c>
      <c r="B4611">
        <v>72</v>
      </c>
      <c r="C4611">
        <v>39</v>
      </c>
      <c r="D4611">
        <v>-1</v>
      </c>
      <c r="E4611">
        <v>3.8149999999999998E-3</v>
      </c>
      <c r="F4611">
        <v>-1</v>
      </c>
      <c r="G4611">
        <v>3.8149999999999998E-3</v>
      </c>
    </row>
    <row r="4612" spans="1:7">
      <c r="A4612" t="s">
        <v>144</v>
      </c>
      <c r="B4612">
        <v>72</v>
      </c>
      <c r="C4612">
        <v>40</v>
      </c>
      <c r="D4612">
        <v>-1</v>
      </c>
      <c r="E4612">
        <v>-0.90935999999999995</v>
      </c>
      <c r="F4612">
        <v>-1</v>
      </c>
      <c r="G4612">
        <v>-0.90935999999999995</v>
      </c>
    </row>
    <row r="4613" spans="1:7">
      <c r="A4613" t="s">
        <v>144</v>
      </c>
      <c r="B4613">
        <v>72</v>
      </c>
      <c r="C4613">
        <v>41</v>
      </c>
      <c r="D4613">
        <v>-1</v>
      </c>
      <c r="E4613">
        <v>0.33951799999999999</v>
      </c>
      <c r="F4613">
        <v>-1</v>
      </c>
      <c r="G4613">
        <v>0.33951799999999999</v>
      </c>
    </row>
    <row r="4614" spans="1:7">
      <c r="A4614" t="s">
        <v>144</v>
      </c>
      <c r="B4614">
        <v>72</v>
      </c>
      <c r="C4614">
        <v>42</v>
      </c>
      <c r="D4614">
        <v>-1</v>
      </c>
      <c r="E4614">
        <v>-0.583453</v>
      </c>
      <c r="F4614">
        <v>-1</v>
      </c>
      <c r="G4614">
        <v>-0.583453</v>
      </c>
    </row>
    <row r="4615" spans="1:7">
      <c r="A4615" t="s">
        <v>144</v>
      </c>
      <c r="B4615">
        <v>72</v>
      </c>
      <c r="C4615">
        <v>43</v>
      </c>
      <c r="D4615">
        <v>-1</v>
      </c>
      <c r="E4615">
        <v>0.75804899999999997</v>
      </c>
      <c r="F4615">
        <v>-1</v>
      </c>
      <c r="G4615">
        <v>0.75804899999999997</v>
      </c>
    </row>
    <row r="4616" spans="1:7">
      <c r="A4616" t="s">
        <v>144</v>
      </c>
      <c r="B4616">
        <v>72</v>
      </c>
      <c r="C4616">
        <v>44</v>
      </c>
      <c r="D4616">
        <v>-1</v>
      </c>
      <c r="E4616">
        <v>-0.80284999999999995</v>
      </c>
      <c r="F4616">
        <v>-1</v>
      </c>
      <c r="G4616">
        <v>-0.80284999999999995</v>
      </c>
    </row>
    <row r="4617" spans="1:7">
      <c r="A4617" t="s">
        <v>144</v>
      </c>
      <c r="B4617">
        <v>72</v>
      </c>
      <c r="C4617">
        <v>45</v>
      </c>
      <c r="D4617">
        <v>-1</v>
      </c>
      <c r="E4617">
        <v>0.41001599999999999</v>
      </c>
      <c r="F4617">
        <v>-1</v>
      </c>
      <c r="G4617">
        <v>0.41001599999999999</v>
      </c>
    </row>
    <row r="4618" spans="1:7">
      <c r="A4618" t="s">
        <v>144</v>
      </c>
      <c r="B4618">
        <v>72</v>
      </c>
      <c r="C4618">
        <v>46</v>
      </c>
      <c r="D4618">
        <v>-1</v>
      </c>
      <c r="E4618">
        <v>-0.18246999999999999</v>
      </c>
      <c r="F4618">
        <v>-1</v>
      </c>
      <c r="G4618">
        <v>-0.18246999999999999</v>
      </c>
    </row>
    <row r="4619" spans="1:7">
      <c r="A4619" t="s">
        <v>144</v>
      </c>
      <c r="B4619">
        <v>72</v>
      </c>
      <c r="C4619">
        <v>47</v>
      </c>
      <c r="D4619">
        <v>-1</v>
      </c>
      <c r="E4619">
        <v>0.159307</v>
      </c>
      <c r="F4619">
        <v>-1</v>
      </c>
      <c r="G4619">
        <v>0.159307</v>
      </c>
    </row>
    <row r="4620" spans="1:7">
      <c r="A4620" t="s">
        <v>144</v>
      </c>
      <c r="B4620">
        <v>72</v>
      </c>
      <c r="C4620">
        <v>48</v>
      </c>
      <c r="D4620">
        <v>-1</v>
      </c>
      <c r="E4620">
        <v>-0.45872400000000002</v>
      </c>
      <c r="F4620">
        <v>-1</v>
      </c>
      <c r="G4620">
        <v>-0.45872400000000002</v>
      </c>
    </row>
    <row r="4621" spans="1:7">
      <c r="A4621" t="s">
        <v>144</v>
      </c>
      <c r="B4621">
        <v>72</v>
      </c>
      <c r="C4621">
        <v>49</v>
      </c>
      <c r="D4621">
        <v>-1</v>
      </c>
      <c r="E4621">
        <v>0.29053600000000002</v>
      </c>
      <c r="F4621">
        <v>-1</v>
      </c>
      <c r="G4621">
        <v>0.29053600000000002</v>
      </c>
    </row>
    <row r="4622" spans="1:7">
      <c r="A4622" t="s">
        <v>144</v>
      </c>
      <c r="B4622" t="s">
        <v>145</v>
      </c>
      <c r="C4622">
        <v>73</v>
      </c>
    </row>
    <row r="4623" spans="1:7">
      <c r="A4623" t="s">
        <v>144</v>
      </c>
      <c r="B4623" t="s">
        <v>146</v>
      </c>
      <c r="C4623">
        <v>85</v>
      </c>
    </row>
    <row r="4624" spans="1:7">
      <c r="A4624" t="s">
        <v>144</v>
      </c>
      <c r="B4624" t="s">
        <v>147</v>
      </c>
      <c r="C4624">
        <v>85</v>
      </c>
    </row>
    <row r="4625" spans="1:7">
      <c r="A4625" t="s">
        <v>144</v>
      </c>
      <c r="B4625" t="s">
        <v>148</v>
      </c>
      <c r="C4625">
        <v>0.55784800000000001</v>
      </c>
    </row>
    <row r="4626" spans="1:7">
      <c r="A4626" t="s">
        <v>144</v>
      </c>
      <c r="B4626" t="s">
        <v>149</v>
      </c>
      <c r="C4626">
        <v>0.55784800000000001</v>
      </c>
    </row>
    <row r="4627" spans="1:7">
      <c r="A4627" t="s">
        <v>144</v>
      </c>
      <c r="B4627" t="s">
        <v>150</v>
      </c>
      <c r="C4627">
        <v>-1</v>
      </c>
    </row>
    <row r="4628" spans="1:7">
      <c r="A4628" t="s">
        <v>144</v>
      </c>
      <c r="B4628" t="s">
        <v>151</v>
      </c>
      <c r="C4628">
        <v>-1</v>
      </c>
    </row>
    <row r="4629" spans="1:7">
      <c r="A4629" t="s">
        <v>144</v>
      </c>
      <c r="B4629" t="s">
        <v>152</v>
      </c>
      <c r="C4629">
        <v>4</v>
      </c>
    </row>
    <row r="4630" spans="1:7">
      <c r="A4630" t="s">
        <v>144</v>
      </c>
      <c r="B4630" t="s">
        <v>153</v>
      </c>
      <c r="C4630">
        <v>4</v>
      </c>
    </row>
    <row r="4631" spans="1:7">
      <c r="A4631" t="s">
        <v>144</v>
      </c>
      <c r="B4631" t="s">
        <v>154</v>
      </c>
      <c r="C4631">
        <v>0</v>
      </c>
    </row>
    <row r="4632" spans="1:7">
      <c r="A4632" t="s">
        <v>144</v>
      </c>
      <c r="B4632" t="s">
        <v>155</v>
      </c>
    </row>
    <row r="4633" spans="1:7">
      <c r="A4633" t="s">
        <v>144</v>
      </c>
      <c r="B4633" t="s">
        <v>150</v>
      </c>
      <c r="C4633">
        <v>4.7731000000000003E-2</v>
      </c>
    </row>
    <row r="4634" spans="1:7">
      <c r="A4634" t="s">
        <v>144</v>
      </c>
      <c r="B4634" t="s">
        <v>151</v>
      </c>
      <c r="C4634">
        <v>4.7731000000000003E-2</v>
      </c>
    </row>
    <row r="4635" spans="1:7">
      <c r="A4635" t="s">
        <v>144</v>
      </c>
      <c r="B4635" t="s">
        <v>156</v>
      </c>
      <c r="C4635" t="s">
        <v>157</v>
      </c>
      <c r="D4635" t="s">
        <v>63</v>
      </c>
      <c r="E4635" t="s">
        <v>158</v>
      </c>
      <c r="F4635" t="s">
        <v>159</v>
      </c>
      <c r="G4635" t="s">
        <v>160</v>
      </c>
    </row>
    <row r="4636" spans="1:7">
      <c r="A4636" t="s">
        <v>144</v>
      </c>
      <c r="B4636">
        <v>73</v>
      </c>
      <c r="C4636">
        <v>0</v>
      </c>
      <c r="D4636">
        <v>4.7731000000000003E-2</v>
      </c>
      <c r="E4636">
        <v>-0.745201</v>
      </c>
      <c r="F4636">
        <v>-1</v>
      </c>
      <c r="G4636">
        <v>-0.745201</v>
      </c>
    </row>
    <row r="4637" spans="1:7">
      <c r="A4637" t="s">
        <v>144</v>
      </c>
      <c r="B4637">
        <v>73</v>
      </c>
      <c r="C4637">
        <v>1</v>
      </c>
      <c r="D4637">
        <v>4.7731000000000003E-2</v>
      </c>
      <c r="E4637">
        <v>-0.613147</v>
      </c>
      <c r="F4637">
        <v>-1</v>
      </c>
      <c r="G4637">
        <v>-0.613147</v>
      </c>
    </row>
    <row r="4638" spans="1:7">
      <c r="A4638" t="s">
        <v>144</v>
      </c>
      <c r="B4638">
        <v>73</v>
      </c>
      <c r="C4638">
        <v>2</v>
      </c>
      <c r="D4638">
        <v>4.7731000000000003E-2</v>
      </c>
      <c r="E4638">
        <v>0.89046899999999996</v>
      </c>
      <c r="F4638">
        <v>-1</v>
      </c>
      <c r="G4638">
        <v>0.89046899999999996</v>
      </c>
    </row>
    <row r="4639" spans="1:7">
      <c r="A4639" t="s">
        <v>144</v>
      </c>
      <c r="B4639">
        <v>73</v>
      </c>
      <c r="C4639">
        <v>3</v>
      </c>
      <c r="D4639">
        <v>4.7731000000000003E-2</v>
      </c>
      <c r="E4639">
        <v>-0.89443600000000001</v>
      </c>
      <c r="F4639">
        <v>-1</v>
      </c>
      <c r="G4639">
        <v>-0.89443600000000001</v>
      </c>
    </row>
    <row r="4640" spans="1:7">
      <c r="A4640" t="s">
        <v>144</v>
      </c>
      <c r="B4640">
        <v>73</v>
      </c>
      <c r="C4640">
        <v>4</v>
      </c>
      <c r="D4640">
        <v>4.7731000000000003E-2</v>
      </c>
      <c r="E4640">
        <v>-0.34998600000000002</v>
      </c>
      <c r="F4640">
        <v>-0.60918000000000005</v>
      </c>
      <c r="G4640">
        <v>-0.59680800000000001</v>
      </c>
    </row>
    <row r="4641" spans="1:7">
      <c r="A4641" t="s">
        <v>144</v>
      </c>
      <c r="B4641">
        <v>73</v>
      </c>
      <c r="C4641">
        <v>5</v>
      </c>
      <c r="D4641">
        <v>4.7731000000000003E-2</v>
      </c>
      <c r="E4641">
        <v>0.86013399999999995</v>
      </c>
      <c r="F4641">
        <v>0.33524599999999999</v>
      </c>
      <c r="G4641">
        <v>0.36029899999999998</v>
      </c>
    </row>
    <row r="4642" spans="1:7">
      <c r="A4642" t="s">
        <v>144</v>
      </c>
      <c r="B4642">
        <v>73</v>
      </c>
      <c r="C4642">
        <v>6</v>
      </c>
      <c r="D4642">
        <v>4.7731000000000003E-2</v>
      </c>
      <c r="E4642">
        <v>0.80077500000000001</v>
      </c>
      <c r="F4642">
        <v>0.328318</v>
      </c>
      <c r="G4642">
        <v>0.35086899999999999</v>
      </c>
    </row>
    <row r="4643" spans="1:7">
      <c r="A4643" t="s">
        <v>144</v>
      </c>
      <c r="B4643">
        <v>73</v>
      </c>
      <c r="C4643">
        <v>7</v>
      </c>
      <c r="D4643">
        <v>4.7731000000000003E-2</v>
      </c>
      <c r="E4643">
        <v>0.35453400000000002</v>
      </c>
      <c r="F4643">
        <v>8.2583000000000004E-2</v>
      </c>
      <c r="G4643">
        <v>9.5563999999999996E-2</v>
      </c>
    </row>
    <row r="4644" spans="1:7">
      <c r="A4644" t="s">
        <v>144</v>
      </c>
      <c r="B4644">
        <v>73</v>
      </c>
      <c r="C4644">
        <v>8</v>
      </c>
      <c r="D4644">
        <v>4.7731000000000003E-2</v>
      </c>
      <c r="E4644">
        <v>0.60026900000000005</v>
      </c>
      <c r="F4644">
        <v>0.44294600000000001</v>
      </c>
      <c r="G4644">
        <v>0.45045499999999999</v>
      </c>
    </row>
    <row r="4645" spans="1:7">
      <c r="A4645" t="s">
        <v>144</v>
      </c>
      <c r="B4645">
        <v>73</v>
      </c>
      <c r="C4645">
        <v>9</v>
      </c>
      <c r="D4645">
        <v>4.7731000000000003E-2</v>
      </c>
      <c r="E4645">
        <v>0.42338300000000001</v>
      </c>
      <c r="F4645">
        <v>-0.83715300000000004</v>
      </c>
      <c r="G4645">
        <v>-0.77698699999999998</v>
      </c>
    </row>
    <row r="4646" spans="1:7">
      <c r="A4646" t="s">
        <v>144</v>
      </c>
      <c r="B4646">
        <v>73</v>
      </c>
      <c r="C4646">
        <v>10</v>
      </c>
      <c r="D4646">
        <v>4.7731000000000003E-2</v>
      </c>
      <c r="E4646">
        <v>0.62175400000000003</v>
      </c>
      <c r="F4646">
        <v>0.77983899999999995</v>
      </c>
      <c r="G4646">
        <v>0.77229400000000004</v>
      </c>
    </row>
    <row r="4647" spans="1:7">
      <c r="A4647" t="s">
        <v>144</v>
      </c>
      <c r="B4647">
        <v>73</v>
      </c>
      <c r="C4647">
        <v>11</v>
      </c>
      <c r="D4647">
        <v>4.7731000000000003E-2</v>
      </c>
      <c r="E4647">
        <v>-8.3956000000000003E-2</v>
      </c>
      <c r="F4647">
        <v>0.13477</v>
      </c>
      <c r="G4647">
        <v>0.12433</v>
      </c>
    </row>
    <row r="4648" spans="1:7">
      <c r="A4648" t="s">
        <v>144</v>
      </c>
      <c r="B4648">
        <v>73</v>
      </c>
      <c r="C4648">
        <v>12</v>
      </c>
      <c r="D4648">
        <v>4.7731000000000003E-2</v>
      </c>
      <c r="E4648">
        <v>-0.43580400000000002</v>
      </c>
      <c r="F4648">
        <v>-1.4801E-2</v>
      </c>
      <c r="G4648">
        <v>-3.4896000000000003E-2</v>
      </c>
    </row>
    <row r="4649" spans="1:7">
      <c r="A4649" t="s">
        <v>144</v>
      </c>
      <c r="B4649">
        <v>73</v>
      </c>
      <c r="C4649">
        <v>13</v>
      </c>
      <c r="D4649">
        <v>4.7731000000000003E-2</v>
      </c>
      <c r="E4649">
        <v>0.20658000000000001</v>
      </c>
      <c r="F4649">
        <v>-0.73122299999999996</v>
      </c>
      <c r="G4649">
        <v>-0.68646099999999999</v>
      </c>
    </row>
    <row r="4650" spans="1:7">
      <c r="A4650" t="s">
        <v>144</v>
      </c>
      <c r="B4650">
        <v>73</v>
      </c>
      <c r="C4650">
        <v>14</v>
      </c>
      <c r="D4650">
        <v>4.7731000000000003E-2</v>
      </c>
      <c r="E4650">
        <v>-0.49339300000000003</v>
      </c>
      <c r="F4650">
        <v>-4.5469999999999998E-3</v>
      </c>
      <c r="G4650">
        <v>-2.7879999999999999E-2</v>
      </c>
    </row>
    <row r="4651" spans="1:7">
      <c r="A4651" t="s">
        <v>144</v>
      </c>
      <c r="B4651">
        <v>73</v>
      </c>
      <c r="C4651">
        <v>15</v>
      </c>
      <c r="D4651">
        <v>4.7731000000000003E-2</v>
      </c>
      <c r="E4651">
        <v>-0.41361700000000001</v>
      </c>
      <c r="F4651">
        <v>0.83681799999999995</v>
      </c>
      <c r="G4651">
        <v>0.77713299999999996</v>
      </c>
    </row>
    <row r="4652" spans="1:7">
      <c r="A4652" t="s">
        <v>144</v>
      </c>
      <c r="B4652">
        <v>73</v>
      </c>
      <c r="C4652">
        <v>16</v>
      </c>
      <c r="D4652">
        <v>4.7731000000000003E-2</v>
      </c>
      <c r="E4652">
        <v>0.46745199999999998</v>
      </c>
      <c r="F4652">
        <v>0.15118899999999999</v>
      </c>
      <c r="G4652">
        <v>0.16628399999999999</v>
      </c>
    </row>
    <row r="4653" spans="1:7">
      <c r="A4653" t="s">
        <v>144</v>
      </c>
      <c r="B4653">
        <v>73</v>
      </c>
      <c r="C4653">
        <v>17</v>
      </c>
      <c r="D4653">
        <v>4.7731000000000003E-2</v>
      </c>
      <c r="E4653">
        <v>-0.40244799999999997</v>
      </c>
      <c r="F4653">
        <v>-0.65047200000000005</v>
      </c>
      <c r="G4653">
        <v>-0.63863300000000001</v>
      </c>
    </row>
    <row r="4654" spans="1:7">
      <c r="A4654" t="s">
        <v>144</v>
      </c>
      <c r="B4654">
        <v>73</v>
      </c>
      <c r="C4654">
        <v>18</v>
      </c>
      <c r="D4654">
        <v>4.7731000000000003E-2</v>
      </c>
      <c r="E4654">
        <v>-0.40852100000000002</v>
      </c>
      <c r="F4654">
        <v>-0.45692300000000002</v>
      </c>
      <c r="G4654">
        <v>-0.45461299999999999</v>
      </c>
    </row>
    <row r="4655" spans="1:7">
      <c r="A4655" t="s">
        <v>144</v>
      </c>
      <c r="B4655">
        <v>73</v>
      </c>
      <c r="C4655">
        <v>19</v>
      </c>
      <c r="D4655">
        <v>4.7731000000000003E-2</v>
      </c>
      <c r="E4655">
        <v>-0.59834600000000004</v>
      </c>
      <c r="F4655">
        <v>9.8514000000000004E-2</v>
      </c>
      <c r="G4655">
        <v>6.5252000000000004E-2</v>
      </c>
    </row>
    <row r="4656" spans="1:7">
      <c r="A4656" t="s">
        <v>144</v>
      </c>
      <c r="B4656">
        <v>73</v>
      </c>
      <c r="C4656">
        <v>20</v>
      </c>
      <c r="D4656">
        <v>4.7731000000000003E-2</v>
      </c>
      <c r="E4656">
        <v>-0.87157799999999996</v>
      </c>
      <c r="F4656">
        <v>-0.42375000000000002</v>
      </c>
      <c r="G4656">
        <v>-0.44512499999999999</v>
      </c>
    </row>
    <row r="4657" spans="1:7">
      <c r="A4657" t="s">
        <v>144</v>
      </c>
      <c r="B4657">
        <v>73</v>
      </c>
      <c r="C4657">
        <v>21</v>
      </c>
      <c r="D4657">
        <v>4.7731000000000003E-2</v>
      </c>
      <c r="E4657">
        <v>-0.54371800000000003</v>
      </c>
      <c r="F4657">
        <v>0.184973</v>
      </c>
      <c r="G4657">
        <v>0.15019199999999999</v>
      </c>
    </row>
    <row r="4658" spans="1:7">
      <c r="A4658" t="s">
        <v>144</v>
      </c>
      <c r="B4658">
        <v>73</v>
      </c>
      <c r="C4658">
        <v>22</v>
      </c>
      <c r="D4658">
        <v>4.7731000000000003E-2</v>
      </c>
      <c r="E4658">
        <v>-0.669485</v>
      </c>
      <c r="F4658">
        <v>-0.45567200000000002</v>
      </c>
      <c r="G4658">
        <v>-0.46587699999999999</v>
      </c>
    </row>
    <row r="4659" spans="1:7">
      <c r="A4659" t="s">
        <v>144</v>
      </c>
      <c r="B4659">
        <v>73</v>
      </c>
      <c r="C4659">
        <v>23</v>
      </c>
      <c r="D4659">
        <v>4.7731000000000003E-2</v>
      </c>
      <c r="E4659">
        <v>0.93017399999999995</v>
      </c>
      <c r="F4659">
        <v>0.85924900000000004</v>
      </c>
      <c r="G4659">
        <v>0.86263400000000001</v>
      </c>
    </row>
    <row r="4660" spans="1:7">
      <c r="A4660" t="s">
        <v>144</v>
      </c>
      <c r="B4660">
        <v>73</v>
      </c>
      <c r="C4660">
        <v>24</v>
      </c>
      <c r="D4660">
        <v>4.7731000000000003E-2</v>
      </c>
      <c r="E4660">
        <v>-0.40967999999999999</v>
      </c>
      <c r="F4660">
        <v>-0.91885099999999997</v>
      </c>
      <c r="G4660">
        <v>-0.89454800000000001</v>
      </c>
    </row>
    <row r="4661" spans="1:7">
      <c r="A4661" t="s">
        <v>144</v>
      </c>
      <c r="B4661">
        <v>73</v>
      </c>
      <c r="C4661">
        <v>25</v>
      </c>
      <c r="D4661">
        <v>4.7731000000000003E-2</v>
      </c>
      <c r="E4661">
        <v>-0.67891500000000005</v>
      </c>
      <c r="F4661">
        <v>0.80779400000000001</v>
      </c>
      <c r="G4661">
        <v>0.73683200000000004</v>
      </c>
    </row>
    <row r="4662" spans="1:7">
      <c r="A4662" t="s">
        <v>144</v>
      </c>
      <c r="B4662">
        <v>73</v>
      </c>
      <c r="C4662">
        <v>26</v>
      </c>
      <c r="D4662">
        <v>4.7731000000000003E-2</v>
      </c>
      <c r="E4662">
        <v>-0.470443</v>
      </c>
      <c r="F4662">
        <v>-0.51606799999999997</v>
      </c>
      <c r="G4662">
        <v>-0.51388999999999996</v>
      </c>
    </row>
    <row r="4663" spans="1:7">
      <c r="A4663" t="s">
        <v>144</v>
      </c>
      <c r="B4663">
        <v>73</v>
      </c>
      <c r="C4663">
        <v>27</v>
      </c>
      <c r="D4663">
        <v>4.7731000000000003E-2</v>
      </c>
      <c r="E4663">
        <v>0.97671399999999997</v>
      </c>
      <c r="F4663">
        <v>7.5899999999999995E-2</v>
      </c>
      <c r="G4663">
        <v>0.118896</v>
      </c>
    </row>
    <row r="4664" spans="1:7">
      <c r="A4664" t="s">
        <v>144</v>
      </c>
      <c r="B4664">
        <v>73</v>
      </c>
      <c r="C4664">
        <v>28</v>
      </c>
      <c r="D4664">
        <v>4.7731000000000003E-2</v>
      </c>
      <c r="E4664">
        <v>0.57280200000000003</v>
      </c>
      <c r="F4664">
        <v>0.13223699999999999</v>
      </c>
      <c r="G4664">
        <v>0.15326500000000001</v>
      </c>
    </row>
    <row r="4665" spans="1:7">
      <c r="A4665" t="s">
        <v>144</v>
      </c>
      <c r="B4665">
        <v>73</v>
      </c>
      <c r="C4665">
        <v>29</v>
      </c>
      <c r="D4665">
        <v>4.7731000000000003E-2</v>
      </c>
      <c r="E4665">
        <v>0.67299399999999998</v>
      </c>
      <c r="F4665">
        <v>-0.92568700000000004</v>
      </c>
      <c r="G4665">
        <v>-0.84938100000000005</v>
      </c>
    </row>
    <row r="4666" spans="1:7">
      <c r="A4666" t="s">
        <v>144</v>
      </c>
      <c r="B4666">
        <v>73</v>
      </c>
      <c r="C4666">
        <v>30</v>
      </c>
      <c r="D4666">
        <v>4.7731000000000003E-2</v>
      </c>
      <c r="E4666">
        <v>0.60429699999999997</v>
      </c>
      <c r="F4666">
        <v>0.80666499999999997</v>
      </c>
      <c r="G4666">
        <v>0.79700599999999999</v>
      </c>
    </row>
    <row r="4667" spans="1:7">
      <c r="A4667" t="s">
        <v>144</v>
      </c>
      <c r="B4667">
        <v>73</v>
      </c>
      <c r="C4667">
        <v>31</v>
      </c>
      <c r="D4667">
        <v>4.7731000000000003E-2</v>
      </c>
      <c r="E4667">
        <v>-0.94436500000000001</v>
      </c>
      <c r="F4667">
        <v>0.83657300000000001</v>
      </c>
      <c r="G4667">
        <v>0.75156699999999999</v>
      </c>
    </row>
    <row r="4668" spans="1:7">
      <c r="A4668" t="s">
        <v>144</v>
      </c>
      <c r="B4668">
        <v>73</v>
      </c>
      <c r="C4668">
        <v>32</v>
      </c>
      <c r="D4668">
        <v>4.7731000000000003E-2</v>
      </c>
      <c r="E4668">
        <v>-0.85116099999999995</v>
      </c>
      <c r="F4668">
        <v>-0.98846400000000001</v>
      </c>
      <c r="G4668">
        <v>-0.98190999999999995</v>
      </c>
    </row>
    <row r="4669" spans="1:7">
      <c r="A4669" t="s">
        <v>144</v>
      </c>
      <c r="B4669">
        <v>73</v>
      </c>
      <c r="C4669">
        <v>33</v>
      </c>
      <c r="D4669">
        <v>4.7731000000000003E-2</v>
      </c>
      <c r="E4669">
        <v>0.63325900000000002</v>
      </c>
      <c r="F4669">
        <v>-5.4871999999999997E-2</v>
      </c>
      <c r="G4669">
        <v>-2.2027000000000001E-2</v>
      </c>
    </row>
    <row r="4670" spans="1:7">
      <c r="A4670" t="s">
        <v>144</v>
      </c>
      <c r="B4670">
        <v>73</v>
      </c>
      <c r="C4670">
        <v>34</v>
      </c>
      <c r="D4670">
        <v>4.7731000000000003E-2</v>
      </c>
      <c r="E4670">
        <v>0.29471700000000001</v>
      </c>
      <c r="F4670">
        <v>0.73158999999999996</v>
      </c>
      <c r="G4670">
        <v>0.71073699999999995</v>
      </c>
    </row>
    <row r="4671" spans="1:7">
      <c r="A4671" t="s">
        <v>144</v>
      </c>
      <c r="B4671">
        <v>73</v>
      </c>
      <c r="C4671">
        <v>35</v>
      </c>
      <c r="D4671">
        <v>4.7731000000000003E-2</v>
      </c>
      <c r="E4671">
        <v>-0.16650899999999999</v>
      </c>
      <c r="F4671">
        <v>-0.59837600000000002</v>
      </c>
      <c r="G4671">
        <v>-0.57776300000000003</v>
      </c>
    </row>
    <row r="4672" spans="1:7">
      <c r="A4672" t="s">
        <v>144</v>
      </c>
      <c r="B4672">
        <v>73</v>
      </c>
      <c r="C4672">
        <v>36</v>
      </c>
      <c r="D4672">
        <v>4.7731000000000003E-2</v>
      </c>
      <c r="E4672">
        <v>0.128666</v>
      </c>
      <c r="F4672">
        <v>-0.98544299999999996</v>
      </c>
      <c r="G4672">
        <v>-0.93226500000000001</v>
      </c>
    </row>
    <row r="4673" spans="1:7">
      <c r="A4673" t="s">
        <v>144</v>
      </c>
      <c r="B4673">
        <v>73</v>
      </c>
      <c r="C4673">
        <v>37</v>
      </c>
      <c r="D4673">
        <v>4.7731000000000003E-2</v>
      </c>
      <c r="E4673">
        <v>0.46018900000000001</v>
      </c>
      <c r="F4673">
        <v>0.121921</v>
      </c>
      <c r="G4673">
        <v>0.138067</v>
      </c>
    </row>
    <row r="4674" spans="1:7">
      <c r="A4674" t="s">
        <v>144</v>
      </c>
      <c r="B4674">
        <v>73</v>
      </c>
      <c r="C4674">
        <v>38</v>
      </c>
      <c r="D4674">
        <v>4.7731000000000003E-2</v>
      </c>
      <c r="E4674">
        <v>-0.15323300000000001</v>
      </c>
      <c r="F4674">
        <v>-0.63744000000000001</v>
      </c>
      <c r="G4674">
        <v>-0.61432799999999999</v>
      </c>
    </row>
    <row r="4675" spans="1:7">
      <c r="A4675" t="s">
        <v>144</v>
      </c>
      <c r="B4675">
        <v>73</v>
      </c>
      <c r="C4675">
        <v>39</v>
      </c>
      <c r="D4675">
        <v>4.7731000000000003E-2</v>
      </c>
      <c r="E4675">
        <v>0.71706300000000001</v>
      </c>
      <c r="F4675">
        <v>-0.55113400000000001</v>
      </c>
      <c r="G4675">
        <v>-0.49060199999999998</v>
      </c>
    </row>
    <row r="4676" spans="1:7">
      <c r="A4676" t="s">
        <v>144</v>
      </c>
      <c r="B4676">
        <v>73</v>
      </c>
      <c r="C4676">
        <v>40</v>
      </c>
      <c r="D4676">
        <v>4.7731000000000003E-2</v>
      </c>
      <c r="E4676">
        <v>-0.20246</v>
      </c>
      <c r="F4676">
        <v>-0.46394200000000002</v>
      </c>
      <c r="G4676">
        <v>-0.45146199999999997</v>
      </c>
    </row>
    <row r="4677" spans="1:7">
      <c r="A4677" t="s">
        <v>144</v>
      </c>
      <c r="B4677">
        <v>73</v>
      </c>
      <c r="C4677">
        <v>41</v>
      </c>
      <c r="D4677">
        <v>4.7731000000000003E-2</v>
      </c>
      <c r="E4677">
        <v>0.52302599999999999</v>
      </c>
      <c r="F4677">
        <v>0.88943099999999997</v>
      </c>
      <c r="G4677">
        <v>0.87194300000000002</v>
      </c>
    </row>
    <row r="4678" spans="1:7">
      <c r="A4678" t="s">
        <v>144</v>
      </c>
      <c r="B4678">
        <v>73</v>
      </c>
      <c r="C4678">
        <v>42</v>
      </c>
      <c r="D4678">
        <v>4.7731000000000003E-2</v>
      </c>
      <c r="E4678">
        <v>-0.26114700000000002</v>
      </c>
      <c r="F4678">
        <v>-0.64537500000000003</v>
      </c>
      <c r="G4678">
        <v>-0.62703500000000001</v>
      </c>
    </row>
    <row r="4679" spans="1:7">
      <c r="A4679" t="s">
        <v>144</v>
      </c>
      <c r="B4679">
        <v>73</v>
      </c>
      <c r="C4679">
        <v>43</v>
      </c>
      <c r="D4679">
        <v>4.7731000000000003E-2</v>
      </c>
      <c r="E4679">
        <v>-0.14838100000000001</v>
      </c>
      <c r="F4679">
        <v>-0.10544100000000001</v>
      </c>
      <c r="G4679">
        <v>-0.107491</v>
      </c>
    </row>
    <row r="4680" spans="1:7">
      <c r="A4680" t="s">
        <v>144</v>
      </c>
      <c r="B4680">
        <v>73</v>
      </c>
      <c r="C4680">
        <v>44</v>
      </c>
      <c r="D4680">
        <v>4.7731000000000003E-2</v>
      </c>
      <c r="E4680">
        <v>-0.42735099999999998</v>
      </c>
      <c r="F4680">
        <v>2.2279999999999999E-3</v>
      </c>
      <c r="G4680">
        <v>-1.8276000000000001E-2</v>
      </c>
    </row>
    <row r="4681" spans="1:7">
      <c r="A4681" t="s">
        <v>144</v>
      </c>
      <c r="B4681">
        <v>73</v>
      </c>
      <c r="C4681">
        <v>45</v>
      </c>
      <c r="D4681">
        <v>4.7731000000000003E-2</v>
      </c>
      <c r="E4681">
        <v>-0.46070699999999998</v>
      </c>
      <c r="F4681">
        <v>0.50678999999999996</v>
      </c>
      <c r="G4681">
        <v>0.46061099999999999</v>
      </c>
    </row>
    <row r="4682" spans="1:7">
      <c r="A4682" t="s">
        <v>144</v>
      </c>
      <c r="B4682">
        <v>73</v>
      </c>
      <c r="C4682">
        <v>46</v>
      </c>
      <c r="D4682">
        <v>4.7731000000000003E-2</v>
      </c>
      <c r="E4682">
        <v>-0.376751</v>
      </c>
      <c r="F4682">
        <v>-0.60808099999999998</v>
      </c>
      <c r="G4682">
        <v>-0.59704000000000002</v>
      </c>
    </row>
    <row r="4683" spans="1:7">
      <c r="A4683" t="s">
        <v>144</v>
      </c>
      <c r="B4683">
        <v>73</v>
      </c>
      <c r="C4683">
        <v>47</v>
      </c>
      <c r="D4683">
        <v>4.7731000000000003E-2</v>
      </c>
      <c r="E4683">
        <v>-0.35489999999999999</v>
      </c>
      <c r="F4683">
        <v>-0.506027</v>
      </c>
      <c r="G4683">
        <v>-0.49881399999999998</v>
      </c>
    </row>
    <row r="4684" spans="1:7">
      <c r="A4684" t="s">
        <v>144</v>
      </c>
      <c r="B4684">
        <v>73</v>
      </c>
      <c r="C4684">
        <v>48</v>
      </c>
      <c r="D4684">
        <v>4.7731000000000003E-2</v>
      </c>
      <c r="E4684">
        <v>0.485458</v>
      </c>
      <c r="F4684">
        <v>-0.93554499999999996</v>
      </c>
      <c r="G4684">
        <v>-0.86771900000000002</v>
      </c>
    </row>
    <row r="4685" spans="1:7">
      <c r="A4685" t="s">
        <v>144</v>
      </c>
      <c r="B4685">
        <v>73</v>
      </c>
      <c r="C4685">
        <v>49</v>
      </c>
      <c r="D4685">
        <v>4.7731000000000003E-2</v>
      </c>
      <c r="E4685">
        <v>-0.10757799999999999</v>
      </c>
      <c r="F4685">
        <v>-0.18607099999999999</v>
      </c>
      <c r="G4685">
        <v>-0.18232499999999999</v>
      </c>
    </row>
    <row r="4686" spans="1:7">
      <c r="A4686" t="s">
        <v>144</v>
      </c>
      <c r="B4686" t="s">
        <v>145</v>
      </c>
      <c r="C4686">
        <v>74</v>
      </c>
    </row>
    <row r="4687" spans="1:7">
      <c r="A4687" t="s">
        <v>144</v>
      </c>
      <c r="B4687" t="s">
        <v>146</v>
      </c>
      <c r="C4687">
        <v>93</v>
      </c>
    </row>
    <row r="4688" spans="1:7">
      <c r="A4688" t="s">
        <v>144</v>
      </c>
      <c r="B4688" t="s">
        <v>147</v>
      </c>
      <c r="C4688">
        <v>93</v>
      </c>
    </row>
    <row r="4689" spans="1:7">
      <c r="A4689" t="s">
        <v>144</v>
      </c>
      <c r="B4689" t="s">
        <v>148</v>
      </c>
      <c r="C4689">
        <v>0.16486100000000001</v>
      </c>
    </row>
    <row r="4690" spans="1:7">
      <c r="A4690" t="s">
        <v>144</v>
      </c>
      <c r="B4690" t="s">
        <v>149</v>
      </c>
      <c r="C4690">
        <v>0.16486100000000001</v>
      </c>
    </row>
    <row r="4691" spans="1:7">
      <c r="A4691" t="s">
        <v>144</v>
      </c>
      <c r="B4691" t="s">
        <v>150</v>
      </c>
      <c r="C4691">
        <v>-1</v>
      </c>
    </row>
    <row r="4692" spans="1:7">
      <c r="A4692" t="s">
        <v>144</v>
      </c>
      <c r="B4692" t="s">
        <v>151</v>
      </c>
      <c r="C4692">
        <v>-1</v>
      </c>
    </row>
    <row r="4693" spans="1:7">
      <c r="A4693" t="s">
        <v>144</v>
      </c>
      <c r="B4693" t="s">
        <v>152</v>
      </c>
      <c r="C4693">
        <v>28</v>
      </c>
    </row>
    <row r="4694" spans="1:7">
      <c r="A4694" t="s">
        <v>144</v>
      </c>
      <c r="B4694" t="s">
        <v>153</v>
      </c>
      <c r="C4694">
        <v>28</v>
      </c>
    </row>
    <row r="4695" spans="1:7">
      <c r="A4695" t="s">
        <v>144</v>
      </c>
      <c r="B4695" t="s">
        <v>154</v>
      </c>
      <c r="C4695">
        <v>0</v>
      </c>
    </row>
    <row r="4696" spans="1:7">
      <c r="A4696" t="s">
        <v>144</v>
      </c>
      <c r="B4696" t="s">
        <v>155</v>
      </c>
    </row>
    <row r="4697" spans="1:7">
      <c r="A4697" t="s">
        <v>144</v>
      </c>
      <c r="B4697" t="s">
        <v>150</v>
      </c>
      <c r="C4697">
        <v>0.109806</v>
      </c>
    </row>
    <row r="4698" spans="1:7">
      <c r="A4698" t="s">
        <v>144</v>
      </c>
      <c r="B4698" t="s">
        <v>151</v>
      </c>
      <c r="C4698">
        <v>0.109806</v>
      </c>
    </row>
    <row r="4699" spans="1:7">
      <c r="A4699" t="s">
        <v>144</v>
      </c>
      <c r="B4699" t="s">
        <v>156</v>
      </c>
      <c r="C4699" t="s">
        <v>157</v>
      </c>
      <c r="D4699" t="s">
        <v>63</v>
      </c>
      <c r="E4699" t="s">
        <v>158</v>
      </c>
      <c r="F4699" t="s">
        <v>159</v>
      </c>
      <c r="G4699" t="s">
        <v>160</v>
      </c>
    </row>
    <row r="4700" spans="1:7">
      <c r="A4700" t="s">
        <v>144</v>
      </c>
      <c r="B4700">
        <v>74</v>
      </c>
      <c r="C4700">
        <v>0</v>
      </c>
      <c r="D4700">
        <v>0.109806</v>
      </c>
      <c r="E4700">
        <v>0.562944</v>
      </c>
      <c r="F4700">
        <v>-1</v>
      </c>
      <c r="G4700">
        <v>0.562944</v>
      </c>
    </row>
    <row r="4701" spans="1:7">
      <c r="A4701" t="s">
        <v>144</v>
      </c>
      <c r="B4701">
        <v>74</v>
      </c>
      <c r="C4701">
        <v>1</v>
      </c>
      <c r="D4701">
        <v>0.109806</v>
      </c>
      <c r="E4701">
        <v>-0.54945500000000003</v>
      </c>
      <c r="F4701">
        <v>-1</v>
      </c>
      <c r="G4701">
        <v>-0.54945500000000003</v>
      </c>
    </row>
    <row r="4702" spans="1:7">
      <c r="A4702" t="s">
        <v>144</v>
      </c>
      <c r="B4702">
        <v>74</v>
      </c>
      <c r="C4702">
        <v>2</v>
      </c>
      <c r="D4702">
        <v>0.109806</v>
      </c>
      <c r="E4702">
        <v>5.2919000000000001E-2</v>
      </c>
      <c r="F4702">
        <v>-1</v>
      </c>
      <c r="G4702">
        <v>5.2919000000000001E-2</v>
      </c>
    </row>
    <row r="4703" spans="1:7">
      <c r="A4703" t="s">
        <v>144</v>
      </c>
      <c r="B4703">
        <v>74</v>
      </c>
      <c r="C4703">
        <v>3</v>
      </c>
      <c r="D4703">
        <v>0.109806</v>
      </c>
      <c r="E4703">
        <v>0.89922800000000003</v>
      </c>
      <c r="F4703">
        <v>-1</v>
      </c>
      <c r="G4703">
        <v>0.89922800000000003</v>
      </c>
    </row>
    <row r="4704" spans="1:7">
      <c r="A4704" t="s">
        <v>144</v>
      </c>
      <c r="B4704">
        <v>74</v>
      </c>
      <c r="C4704">
        <v>4</v>
      </c>
      <c r="D4704">
        <v>0.109806</v>
      </c>
      <c r="E4704">
        <v>0.57460199999999995</v>
      </c>
      <c r="F4704">
        <v>-1</v>
      </c>
      <c r="G4704">
        <v>0.57460199999999995</v>
      </c>
    </row>
    <row r="4705" spans="1:7">
      <c r="A4705" t="s">
        <v>144</v>
      </c>
      <c r="B4705">
        <v>74</v>
      </c>
      <c r="C4705">
        <v>5</v>
      </c>
      <c r="D4705">
        <v>0.109806</v>
      </c>
      <c r="E4705">
        <v>-0.18543000000000001</v>
      </c>
      <c r="F4705">
        <v>-1</v>
      </c>
      <c r="G4705">
        <v>-0.18543000000000001</v>
      </c>
    </row>
    <row r="4706" spans="1:7">
      <c r="A4706" t="s">
        <v>144</v>
      </c>
      <c r="B4706">
        <v>74</v>
      </c>
      <c r="C4706">
        <v>6</v>
      </c>
      <c r="D4706">
        <v>0.109806</v>
      </c>
      <c r="E4706">
        <v>-0.51005599999999995</v>
      </c>
      <c r="F4706">
        <v>-1</v>
      </c>
      <c r="G4706">
        <v>-0.51005599999999995</v>
      </c>
    </row>
    <row r="4707" spans="1:7">
      <c r="A4707" t="s">
        <v>144</v>
      </c>
      <c r="B4707">
        <v>74</v>
      </c>
      <c r="C4707">
        <v>7</v>
      </c>
      <c r="D4707">
        <v>0.109806</v>
      </c>
      <c r="E4707">
        <v>0.191717</v>
      </c>
      <c r="F4707">
        <v>-1</v>
      </c>
      <c r="G4707">
        <v>0.191717</v>
      </c>
    </row>
    <row r="4708" spans="1:7">
      <c r="A4708" t="s">
        <v>144</v>
      </c>
      <c r="B4708">
        <v>74</v>
      </c>
      <c r="C4708">
        <v>8</v>
      </c>
      <c r="D4708">
        <v>0.109806</v>
      </c>
      <c r="E4708">
        <v>-1.4312999999999999E-2</v>
      </c>
      <c r="F4708">
        <v>-1</v>
      </c>
      <c r="G4708">
        <v>-1.4312999999999999E-2</v>
      </c>
    </row>
    <row r="4709" spans="1:7">
      <c r="A4709" t="s">
        <v>144</v>
      </c>
      <c r="B4709">
        <v>74</v>
      </c>
      <c r="C4709">
        <v>9</v>
      </c>
      <c r="D4709">
        <v>0.109806</v>
      </c>
      <c r="E4709">
        <v>-0.235847</v>
      </c>
      <c r="F4709">
        <v>-1</v>
      </c>
      <c r="G4709">
        <v>-0.235847</v>
      </c>
    </row>
    <row r="4710" spans="1:7">
      <c r="A4710" t="s">
        <v>144</v>
      </c>
      <c r="B4710">
        <v>74</v>
      </c>
      <c r="C4710">
        <v>10</v>
      </c>
      <c r="D4710">
        <v>0.109806</v>
      </c>
      <c r="E4710">
        <v>-0.25318200000000002</v>
      </c>
      <c r="F4710">
        <v>-1</v>
      </c>
      <c r="G4710">
        <v>-0.25318200000000002</v>
      </c>
    </row>
    <row r="4711" spans="1:7">
      <c r="A4711" t="s">
        <v>144</v>
      </c>
      <c r="B4711">
        <v>74</v>
      </c>
      <c r="C4711">
        <v>11</v>
      </c>
      <c r="D4711">
        <v>0.109806</v>
      </c>
      <c r="E4711">
        <v>-0.561083</v>
      </c>
      <c r="F4711">
        <v>-1</v>
      </c>
      <c r="G4711">
        <v>-0.561083</v>
      </c>
    </row>
    <row r="4712" spans="1:7">
      <c r="A4712" t="s">
        <v>144</v>
      </c>
      <c r="B4712">
        <v>74</v>
      </c>
      <c r="C4712">
        <v>12</v>
      </c>
      <c r="D4712">
        <v>0.109806</v>
      </c>
      <c r="E4712">
        <v>0.17435200000000001</v>
      </c>
      <c r="F4712">
        <v>-1</v>
      </c>
      <c r="G4712">
        <v>0.17435200000000001</v>
      </c>
    </row>
    <row r="4713" spans="1:7">
      <c r="A4713" t="s">
        <v>144</v>
      </c>
      <c r="B4713">
        <v>74</v>
      </c>
      <c r="C4713">
        <v>13</v>
      </c>
      <c r="D4713">
        <v>0.109806</v>
      </c>
      <c r="E4713">
        <v>0.52607800000000005</v>
      </c>
      <c r="F4713">
        <v>-1</v>
      </c>
      <c r="G4713">
        <v>0.52607800000000005</v>
      </c>
    </row>
    <row r="4714" spans="1:7">
      <c r="A4714" t="s">
        <v>144</v>
      </c>
      <c r="B4714">
        <v>74</v>
      </c>
      <c r="C4714">
        <v>14</v>
      </c>
      <c r="D4714">
        <v>0.109806</v>
      </c>
      <c r="E4714">
        <v>-0.46809299999999998</v>
      </c>
      <c r="F4714">
        <v>-1</v>
      </c>
      <c r="G4714">
        <v>-0.46809299999999998</v>
      </c>
    </row>
    <row r="4715" spans="1:7">
      <c r="A4715" t="s">
        <v>144</v>
      </c>
      <c r="B4715">
        <v>74</v>
      </c>
      <c r="C4715">
        <v>15</v>
      </c>
      <c r="D4715">
        <v>0.109806</v>
      </c>
      <c r="E4715">
        <v>-0.50019800000000003</v>
      </c>
      <c r="F4715">
        <v>-1</v>
      </c>
      <c r="G4715">
        <v>-0.50019800000000003</v>
      </c>
    </row>
    <row r="4716" spans="1:7">
      <c r="A4716" t="s">
        <v>144</v>
      </c>
      <c r="B4716">
        <v>74</v>
      </c>
      <c r="C4716">
        <v>16</v>
      </c>
      <c r="D4716">
        <v>0.109806</v>
      </c>
      <c r="E4716">
        <v>-0.87340899999999999</v>
      </c>
      <c r="F4716">
        <v>-1</v>
      </c>
      <c r="G4716">
        <v>-0.87340899999999999</v>
      </c>
    </row>
    <row r="4717" spans="1:7">
      <c r="A4717" t="s">
        <v>144</v>
      </c>
      <c r="B4717">
        <v>74</v>
      </c>
      <c r="C4717">
        <v>17</v>
      </c>
      <c r="D4717">
        <v>0.109806</v>
      </c>
      <c r="E4717">
        <v>0.86983900000000003</v>
      </c>
      <c r="F4717">
        <v>-1</v>
      </c>
      <c r="G4717">
        <v>0.86983900000000003</v>
      </c>
    </row>
    <row r="4718" spans="1:7">
      <c r="A4718" t="s">
        <v>144</v>
      </c>
      <c r="B4718">
        <v>74</v>
      </c>
      <c r="C4718">
        <v>18</v>
      </c>
      <c r="D4718">
        <v>0.109806</v>
      </c>
      <c r="E4718">
        <v>0.48628199999999999</v>
      </c>
      <c r="F4718">
        <v>-1</v>
      </c>
      <c r="G4718">
        <v>0.48628199999999999</v>
      </c>
    </row>
    <row r="4719" spans="1:7">
      <c r="A4719" t="s">
        <v>144</v>
      </c>
      <c r="B4719">
        <v>74</v>
      </c>
      <c r="C4719">
        <v>19</v>
      </c>
      <c r="D4719">
        <v>0.109806</v>
      </c>
      <c r="E4719">
        <v>6.2562999999999994E-2</v>
      </c>
      <c r="F4719">
        <v>-1</v>
      </c>
      <c r="G4719">
        <v>6.2562999999999994E-2</v>
      </c>
    </row>
    <row r="4720" spans="1:7">
      <c r="A4720" t="s">
        <v>144</v>
      </c>
      <c r="B4720">
        <v>74</v>
      </c>
      <c r="C4720">
        <v>20</v>
      </c>
      <c r="D4720">
        <v>0.109806</v>
      </c>
      <c r="E4720">
        <v>0.22617300000000001</v>
      </c>
      <c r="F4720">
        <v>-1</v>
      </c>
      <c r="G4720">
        <v>0.22617300000000001</v>
      </c>
    </row>
    <row r="4721" spans="1:7">
      <c r="A4721" t="s">
        <v>144</v>
      </c>
      <c r="B4721">
        <v>74</v>
      </c>
      <c r="C4721">
        <v>21</v>
      </c>
      <c r="D4721">
        <v>0.109806</v>
      </c>
      <c r="E4721">
        <v>-0.99502500000000005</v>
      </c>
      <c r="F4721">
        <v>-1</v>
      </c>
      <c r="G4721">
        <v>-0.99502500000000005</v>
      </c>
    </row>
    <row r="4722" spans="1:7">
      <c r="A4722" t="s">
        <v>144</v>
      </c>
      <c r="B4722">
        <v>74</v>
      </c>
      <c r="C4722">
        <v>22</v>
      </c>
      <c r="D4722">
        <v>0.109806</v>
      </c>
      <c r="E4722">
        <v>0.116855</v>
      </c>
      <c r="F4722">
        <v>-1</v>
      </c>
      <c r="G4722">
        <v>0.116855</v>
      </c>
    </row>
    <row r="4723" spans="1:7">
      <c r="A4723" t="s">
        <v>144</v>
      </c>
      <c r="B4723">
        <v>74</v>
      </c>
      <c r="C4723">
        <v>23</v>
      </c>
      <c r="D4723">
        <v>0.109806</v>
      </c>
      <c r="E4723">
        <v>0.85073399999999999</v>
      </c>
      <c r="F4723">
        <v>-1</v>
      </c>
      <c r="G4723">
        <v>0.85073399999999999</v>
      </c>
    </row>
    <row r="4724" spans="1:7">
      <c r="A4724" t="s">
        <v>144</v>
      </c>
      <c r="B4724">
        <v>74</v>
      </c>
      <c r="C4724">
        <v>24</v>
      </c>
      <c r="D4724">
        <v>0.109806</v>
      </c>
      <c r="E4724">
        <v>0.53801100000000002</v>
      </c>
      <c r="F4724">
        <v>-1</v>
      </c>
      <c r="G4724">
        <v>0.53801100000000002</v>
      </c>
    </row>
    <row r="4725" spans="1:7">
      <c r="A4725" t="s">
        <v>144</v>
      </c>
      <c r="B4725">
        <v>74</v>
      </c>
      <c r="C4725">
        <v>25</v>
      </c>
      <c r="D4725">
        <v>0.109806</v>
      </c>
      <c r="E4725">
        <v>-0.59456200000000003</v>
      </c>
      <c r="F4725">
        <v>-1</v>
      </c>
      <c r="G4725">
        <v>-0.59456200000000003</v>
      </c>
    </row>
    <row r="4726" spans="1:7">
      <c r="A4726" t="s">
        <v>144</v>
      </c>
      <c r="B4726">
        <v>74</v>
      </c>
      <c r="C4726">
        <v>26</v>
      </c>
      <c r="D4726">
        <v>0.109806</v>
      </c>
      <c r="E4726">
        <v>-0.103702</v>
      </c>
      <c r="F4726">
        <v>-1</v>
      </c>
      <c r="G4726">
        <v>-0.103702</v>
      </c>
    </row>
    <row r="4727" spans="1:7">
      <c r="A4727" t="s">
        <v>144</v>
      </c>
      <c r="B4727">
        <v>74</v>
      </c>
      <c r="C4727">
        <v>27</v>
      </c>
      <c r="D4727">
        <v>0.109806</v>
      </c>
      <c r="E4727">
        <v>0.12939800000000001</v>
      </c>
      <c r="F4727">
        <v>-1</v>
      </c>
      <c r="G4727">
        <v>0.12939800000000001</v>
      </c>
    </row>
    <row r="4728" spans="1:7">
      <c r="A4728" t="s">
        <v>144</v>
      </c>
      <c r="B4728">
        <v>74</v>
      </c>
      <c r="C4728">
        <v>28</v>
      </c>
      <c r="D4728">
        <v>0.109806</v>
      </c>
      <c r="E4728">
        <v>0.32422899999999999</v>
      </c>
      <c r="F4728">
        <v>0.57280200000000003</v>
      </c>
      <c r="G4728">
        <v>0.54550699999999996</v>
      </c>
    </row>
    <row r="4729" spans="1:7">
      <c r="A4729" t="s">
        <v>144</v>
      </c>
      <c r="B4729">
        <v>74</v>
      </c>
      <c r="C4729">
        <v>29</v>
      </c>
      <c r="D4729">
        <v>0.109806</v>
      </c>
      <c r="E4729">
        <v>-0.50205999999999995</v>
      </c>
      <c r="F4729">
        <v>0.67299399999999998</v>
      </c>
      <c r="G4729">
        <v>0.54396699999999998</v>
      </c>
    </row>
    <row r="4730" spans="1:7">
      <c r="A4730" t="s">
        <v>144</v>
      </c>
      <c r="B4730">
        <v>74</v>
      </c>
      <c r="C4730">
        <v>30</v>
      </c>
      <c r="D4730">
        <v>0.109806</v>
      </c>
      <c r="E4730">
        <v>0.70732700000000004</v>
      </c>
      <c r="F4730">
        <v>0.60429699999999997</v>
      </c>
      <c r="G4730">
        <v>0.61560999999999999</v>
      </c>
    </row>
    <row r="4731" spans="1:7">
      <c r="A4731" t="s">
        <v>144</v>
      </c>
      <c r="B4731">
        <v>74</v>
      </c>
      <c r="C4731">
        <v>31</v>
      </c>
      <c r="D4731">
        <v>0.109806</v>
      </c>
      <c r="E4731">
        <v>-6.3813999999999996E-2</v>
      </c>
      <c r="F4731">
        <v>-0.94436500000000001</v>
      </c>
      <c r="G4731">
        <v>-0.84767499999999996</v>
      </c>
    </row>
    <row r="4732" spans="1:7">
      <c r="A4732" t="s">
        <v>144</v>
      </c>
      <c r="B4732">
        <v>74</v>
      </c>
      <c r="C4732">
        <v>32</v>
      </c>
      <c r="D4732">
        <v>0.109806</v>
      </c>
      <c r="E4732">
        <v>0.45484799999999997</v>
      </c>
      <c r="F4732">
        <v>-0.85116099999999995</v>
      </c>
      <c r="G4732">
        <v>-0.70775399999999999</v>
      </c>
    </row>
    <row r="4733" spans="1:7">
      <c r="A4733" t="s">
        <v>144</v>
      </c>
      <c r="B4733">
        <v>74</v>
      </c>
      <c r="C4733">
        <v>33</v>
      </c>
      <c r="D4733">
        <v>0.109806</v>
      </c>
      <c r="E4733">
        <v>0.99273699999999998</v>
      </c>
      <c r="F4733">
        <v>0.63325900000000002</v>
      </c>
      <c r="G4733">
        <v>0.672732</v>
      </c>
    </row>
    <row r="4734" spans="1:7">
      <c r="A4734" t="s">
        <v>144</v>
      </c>
      <c r="B4734">
        <v>74</v>
      </c>
      <c r="C4734">
        <v>34</v>
      </c>
      <c r="D4734">
        <v>0.109806</v>
      </c>
      <c r="E4734">
        <v>-0.41199999999999998</v>
      </c>
      <c r="F4734">
        <v>0.29471700000000001</v>
      </c>
      <c r="G4734">
        <v>0.217116</v>
      </c>
    </row>
    <row r="4735" spans="1:7">
      <c r="A4735" t="s">
        <v>144</v>
      </c>
      <c r="B4735">
        <v>74</v>
      </c>
      <c r="C4735">
        <v>35</v>
      </c>
      <c r="D4735">
        <v>0.109806</v>
      </c>
      <c r="E4735">
        <v>-8.3041000000000004E-2</v>
      </c>
      <c r="F4735">
        <v>-0.16650899999999999</v>
      </c>
      <c r="G4735">
        <v>-0.15734400000000001</v>
      </c>
    </row>
    <row r="4736" spans="1:7">
      <c r="A4736" t="s">
        <v>144</v>
      </c>
      <c r="B4736">
        <v>74</v>
      </c>
      <c r="C4736">
        <v>36</v>
      </c>
      <c r="D4736">
        <v>0.109806</v>
      </c>
      <c r="E4736">
        <v>0.42399399999999998</v>
      </c>
      <c r="F4736">
        <v>0.128666</v>
      </c>
      <c r="G4736">
        <v>0.16109499999999999</v>
      </c>
    </row>
    <row r="4737" spans="1:7">
      <c r="A4737" t="s">
        <v>144</v>
      </c>
      <c r="B4737">
        <v>74</v>
      </c>
      <c r="C4737">
        <v>37</v>
      </c>
      <c r="D4737">
        <v>0.109806</v>
      </c>
      <c r="E4737">
        <v>0.20899100000000001</v>
      </c>
      <c r="F4737">
        <v>0.46018900000000001</v>
      </c>
      <c r="G4737">
        <v>0.43260599999999999</v>
      </c>
    </row>
    <row r="4738" spans="1:7">
      <c r="A4738" t="s">
        <v>144</v>
      </c>
      <c r="B4738">
        <v>74</v>
      </c>
      <c r="C4738">
        <v>38</v>
      </c>
      <c r="D4738">
        <v>0.109806</v>
      </c>
      <c r="E4738">
        <v>-0.75786600000000004</v>
      </c>
      <c r="F4738">
        <v>-0.15323300000000001</v>
      </c>
      <c r="G4738">
        <v>-0.21962499999999999</v>
      </c>
    </row>
    <row r="4739" spans="1:7">
      <c r="A4739" t="s">
        <v>144</v>
      </c>
      <c r="B4739">
        <v>74</v>
      </c>
      <c r="C4739">
        <v>39</v>
      </c>
      <c r="D4739">
        <v>0.109806</v>
      </c>
      <c r="E4739">
        <v>0.36817499999999997</v>
      </c>
      <c r="F4739">
        <v>0.71706300000000001</v>
      </c>
      <c r="G4739">
        <v>0.67875300000000005</v>
      </c>
    </row>
    <row r="4740" spans="1:7">
      <c r="A4740" t="s">
        <v>144</v>
      </c>
      <c r="B4740">
        <v>74</v>
      </c>
      <c r="C4740">
        <v>40</v>
      </c>
      <c r="D4740">
        <v>0.109806</v>
      </c>
      <c r="E4740">
        <v>-0.74446900000000005</v>
      </c>
      <c r="F4740">
        <v>-0.20246</v>
      </c>
      <c r="G4740">
        <v>-0.26197500000000001</v>
      </c>
    </row>
    <row r="4741" spans="1:7">
      <c r="A4741" t="s">
        <v>144</v>
      </c>
      <c r="B4741">
        <v>74</v>
      </c>
      <c r="C4741">
        <v>41</v>
      </c>
      <c r="D4741">
        <v>0.109806</v>
      </c>
      <c r="E4741">
        <v>-0.71147800000000005</v>
      </c>
      <c r="F4741">
        <v>0.52302599999999999</v>
      </c>
      <c r="G4741">
        <v>0.38747100000000001</v>
      </c>
    </row>
    <row r="4742" spans="1:7">
      <c r="A4742" t="s">
        <v>144</v>
      </c>
      <c r="B4742">
        <v>74</v>
      </c>
      <c r="C4742">
        <v>42</v>
      </c>
      <c r="D4742">
        <v>0.109806</v>
      </c>
      <c r="E4742">
        <v>0.29780000000000001</v>
      </c>
      <c r="F4742">
        <v>-0.26114700000000002</v>
      </c>
      <c r="G4742">
        <v>-0.199771</v>
      </c>
    </row>
    <row r="4743" spans="1:7">
      <c r="A4743" t="s">
        <v>144</v>
      </c>
      <c r="B4743">
        <v>74</v>
      </c>
      <c r="C4743">
        <v>43</v>
      </c>
      <c r="D4743">
        <v>0.109806</v>
      </c>
      <c r="E4743">
        <v>-0.46565099999999998</v>
      </c>
      <c r="F4743">
        <v>-0.14838100000000001</v>
      </c>
      <c r="G4743">
        <v>-0.18321899999999999</v>
      </c>
    </row>
    <row r="4744" spans="1:7">
      <c r="A4744" t="s">
        <v>144</v>
      </c>
      <c r="B4744">
        <v>74</v>
      </c>
      <c r="C4744">
        <v>44</v>
      </c>
      <c r="D4744">
        <v>0.109806</v>
      </c>
      <c r="E4744">
        <v>-0.46726899999999999</v>
      </c>
      <c r="F4744">
        <v>-0.42735099999999998</v>
      </c>
      <c r="G4744">
        <v>-0.43173400000000001</v>
      </c>
    </row>
    <row r="4745" spans="1:7">
      <c r="A4745" t="s">
        <v>144</v>
      </c>
      <c r="B4745">
        <v>74</v>
      </c>
      <c r="C4745">
        <v>45</v>
      </c>
      <c r="D4745">
        <v>0.109806</v>
      </c>
      <c r="E4745">
        <v>-0.15454599999999999</v>
      </c>
      <c r="F4745">
        <v>-0.46070699999999998</v>
      </c>
      <c r="G4745">
        <v>-0.427089</v>
      </c>
    </row>
    <row r="4746" spans="1:7">
      <c r="A4746" t="s">
        <v>144</v>
      </c>
      <c r="B4746">
        <v>74</v>
      </c>
      <c r="C4746">
        <v>46</v>
      </c>
      <c r="D4746">
        <v>0.109806</v>
      </c>
      <c r="E4746">
        <v>-0.67955600000000005</v>
      </c>
      <c r="F4746">
        <v>-0.376751</v>
      </c>
      <c r="G4746">
        <v>-0.410001</v>
      </c>
    </row>
    <row r="4747" spans="1:7">
      <c r="A4747" t="s">
        <v>144</v>
      </c>
      <c r="B4747">
        <v>74</v>
      </c>
      <c r="C4747">
        <v>47</v>
      </c>
      <c r="D4747">
        <v>0.109806</v>
      </c>
      <c r="E4747">
        <v>-2.5575000000000001E-2</v>
      </c>
      <c r="F4747">
        <v>-0.35489999999999999</v>
      </c>
      <c r="G4747">
        <v>-0.31873800000000002</v>
      </c>
    </row>
    <row r="4748" spans="1:7">
      <c r="A4748" t="s">
        <v>144</v>
      </c>
      <c r="B4748">
        <v>74</v>
      </c>
      <c r="C4748">
        <v>48</v>
      </c>
      <c r="D4748">
        <v>0.109806</v>
      </c>
      <c r="E4748">
        <v>-0.82616699999999998</v>
      </c>
      <c r="F4748">
        <v>0.485458</v>
      </c>
      <c r="G4748">
        <v>0.34143400000000002</v>
      </c>
    </row>
    <row r="4749" spans="1:7">
      <c r="A4749" t="s">
        <v>144</v>
      </c>
      <c r="B4749">
        <v>74</v>
      </c>
      <c r="C4749">
        <v>49</v>
      </c>
      <c r="D4749">
        <v>0.109806</v>
      </c>
      <c r="E4749">
        <v>8.7344000000000005E-2</v>
      </c>
      <c r="F4749">
        <v>-0.10757799999999999</v>
      </c>
      <c r="G4749">
        <v>-8.6174000000000001E-2</v>
      </c>
    </row>
    <row r="4750" spans="1:7">
      <c r="A4750" t="s">
        <v>144</v>
      </c>
      <c r="B4750" t="s">
        <v>145</v>
      </c>
      <c r="C4750">
        <v>75</v>
      </c>
    </row>
    <row r="4751" spans="1:7">
      <c r="A4751" t="s">
        <v>144</v>
      </c>
      <c r="B4751" t="s">
        <v>146</v>
      </c>
      <c r="C4751">
        <v>45</v>
      </c>
    </row>
    <row r="4752" spans="1:7">
      <c r="A4752" t="s">
        <v>144</v>
      </c>
      <c r="B4752" t="s">
        <v>147</v>
      </c>
      <c r="C4752">
        <v>45</v>
      </c>
    </row>
    <row r="4753" spans="1:7">
      <c r="A4753" t="s">
        <v>144</v>
      </c>
      <c r="B4753" t="s">
        <v>148</v>
      </c>
      <c r="C4753">
        <v>0.30848100000000001</v>
      </c>
    </row>
    <row r="4754" spans="1:7">
      <c r="A4754" t="s">
        <v>144</v>
      </c>
      <c r="B4754" t="s">
        <v>149</v>
      </c>
      <c r="C4754">
        <v>0.30848100000000001</v>
      </c>
    </row>
    <row r="4755" spans="1:7">
      <c r="A4755" t="s">
        <v>144</v>
      </c>
      <c r="B4755" t="s">
        <v>150</v>
      </c>
      <c r="C4755">
        <v>-1</v>
      </c>
    </row>
    <row r="4756" spans="1:7">
      <c r="A4756" t="s">
        <v>144</v>
      </c>
      <c r="B4756" t="s">
        <v>151</v>
      </c>
      <c r="C4756">
        <v>-1</v>
      </c>
    </row>
    <row r="4757" spans="1:7">
      <c r="A4757" t="s">
        <v>144</v>
      </c>
      <c r="B4757" t="s">
        <v>152</v>
      </c>
      <c r="C4757">
        <v>33</v>
      </c>
    </row>
    <row r="4758" spans="1:7">
      <c r="A4758" t="s">
        <v>144</v>
      </c>
      <c r="B4758" t="s">
        <v>153</v>
      </c>
      <c r="C4758">
        <v>33</v>
      </c>
    </row>
    <row r="4759" spans="1:7">
      <c r="A4759" t="s">
        <v>144</v>
      </c>
      <c r="B4759" t="s">
        <v>154</v>
      </c>
      <c r="C4759">
        <v>0</v>
      </c>
    </row>
    <row r="4760" spans="1:7">
      <c r="A4760" t="s">
        <v>144</v>
      </c>
      <c r="B4760" t="s">
        <v>155</v>
      </c>
    </row>
    <row r="4761" spans="1:7">
      <c r="A4761" t="s">
        <v>144</v>
      </c>
      <c r="B4761" t="s">
        <v>150</v>
      </c>
      <c r="C4761">
        <v>0.42625200000000002</v>
      </c>
    </row>
    <row r="4762" spans="1:7">
      <c r="A4762" t="s">
        <v>144</v>
      </c>
      <c r="B4762" t="s">
        <v>151</v>
      </c>
      <c r="C4762">
        <v>0.42625200000000002</v>
      </c>
    </row>
    <row r="4763" spans="1:7">
      <c r="A4763" t="s">
        <v>144</v>
      </c>
      <c r="B4763" t="s">
        <v>156</v>
      </c>
      <c r="C4763" t="s">
        <v>157</v>
      </c>
      <c r="D4763" t="s">
        <v>63</v>
      </c>
      <c r="E4763" t="s">
        <v>158</v>
      </c>
      <c r="F4763" t="s">
        <v>159</v>
      </c>
      <c r="G4763" t="s">
        <v>160</v>
      </c>
    </row>
    <row r="4764" spans="1:7">
      <c r="A4764" t="s">
        <v>144</v>
      </c>
      <c r="B4764">
        <v>75</v>
      </c>
      <c r="C4764">
        <v>0</v>
      </c>
      <c r="D4764">
        <v>0.42625200000000002</v>
      </c>
      <c r="E4764">
        <v>0.91192399999999996</v>
      </c>
      <c r="F4764">
        <v>-1</v>
      </c>
      <c r="G4764">
        <v>0.91192399999999996</v>
      </c>
    </row>
    <row r="4765" spans="1:7">
      <c r="A4765" t="s">
        <v>144</v>
      </c>
      <c r="B4765">
        <v>75</v>
      </c>
      <c r="C4765">
        <v>1</v>
      </c>
      <c r="D4765">
        <v>0.42625200000000002</v>
      </c>
      <c r="E4765">
        <v>0.40696399999999999</v>
      </c>
      <c r="F4765">
        <v>-1</v>
      </c>
      <c r="G4765">
        <v>0.40696399999999999</v>
      </c>
    </row>
    <row r="4766" spans="1:7">
      <c r="A4766" t="s">
        <v>144</v>
      </c>
      <c r="B4766">
        <v>75</v>
      </c>
      <c r="C4766">
        <v>2</v>
      </c>
      <c r="D4766">
        <v>0.42625200000000002</v>
      </c>
      <c r="E4766">
        <v>-0.20560300000000001</v>
      </c>
      <c r="F4766">
        <v>-1</v>
      </c>
      <c r="G4766">
        <v>-0.20560300000000001</v>
      </c>
    </row>
    <row r="4767" spans="1:7">
      <c r="A4767" t="s">
        <v>144</v>
      </c>
      <c r="B4767">
        <v>75</v>
      </c>
      <c r="C4767">
        <v>3</v>
      </c>
      <c r="D4767">
        <v>0.42625200000000002</v>
      </c>
      <c r="E4767">
        <v>-4.9592999999999998E-2</v>
      </c>
      <c r="F4767">
        <v>-1</v>
      </c>
      <c r="G4767">
        <v>-4.9592999999999998E-2</v>
      </c>
    </row>
    <row r="4768" spans="1:7">
      <c r="A4768" t="s">
        <v>144</v>
      </c>
      <c r="B4768">
        <v>75</v>
      </c>
      <c r="C4768">
        <v>4</v>
      </c>
      <c r="D4768">
        <v>0.42625200000000002</v>
      </c>
      <c r="E4768">
        <v>-0.64827400000000002</v>
      </c>
      <c r="F4768">
        <v>-1</v>
      </c>
      <c r="G4768">
        <v>-0.64827400000000002</v>
      </c>
    </row>
    <row r="4769" spans="1:7">
      <c r="A4769" t="s">
        <v>144</v>
      </c>
      <c r="B4769">
        <v>75</v>
      </c>
      <c r="C4769">
        <v>5</v>
      </c>
      <c r="D4769">
        <v>0.42625200000000002</v>
      </c>
      <c r="E4769">
        <v>-0.93994</v>
      </c>
      <c r="F4769">
        <v>-1</v>
      </c>
      <c r="G4769">
        <v>-0.93994</v>
      </c>
    </row>
    <row r="4770" spans="1:7">
      <c r="A4770" t="s">
        <v>144</v>
      </c>
      <c r="B4770">
        <v>75</v>
      </c>
      <c r="C4770">
        <v>6</v>
      </c>
      <c r="D4770">
        <v>0.42625200000000002</v>
      </c>
      <c r="E4770">
        <v>-0.60847799999999996</v>
      </c>
      <c r="F4770">
        <v>-1</v>
      </c>
      <c r="G4770">
        <v>-0.60847799999999996</v>
      </c>
    </row>
    <row r="4771" spans="1:7">
      <c r="A4771" t="s">
        <v>144</v>
      </c>
      <c r="B4771">
        <v>75</v>
      </c>
      <c r="C4771">
        <v>7</v>
      </c>
      <c r="D4771">
        <v>0.42625200000000002</v>
      </c>
      <c r="E4771">
        <v>0.20874699999999999</v>
      </c>
      <c r="F4771">
        <v>-1</v>
      </c>
      <c r="G4771">
        <v>0.20874699999999999</v>
      </c>
    </row>
    <row r="4772" spans="1:7">
      <c r="A4772" t="s">
        <v>144</v>
      </c>
      <c r="B4772">
        <v>75</v>
      </c>
      <c r="C4772">
        <v>8</v>
      </c>
      <c r="D4772">
        <v>0.42625200000000002</v>
      </c>
      <c r="E4772">
        <v>0.58488700000000005</v>
      </c>
      <c r="F4772">
        <v>-1</v>
      </c>
      <c r="G4772">
        <v>0.58488700000000005</v>
      </c>
    </row>
    <row r="4773" spans="1:7">
      <c r="A4773" t="s">
        <v>144</v>
      </c>
      <c r="B4773">
        <v>75</v>
      </c>
      <c r="C4773">
        <v>9</v>
      </c>
      <c r="D4773">
        <v>0.42625200000000002</v>
      </c>
      <c r="E4773">
        <v>0.23569399999999999</v>
      </c>
      <c r="F4773">
        <v>-1</v>
      </c>
      <c r="G4773">
        <v>0.23569399999999999</v>
      </c>
    </row>
    <row r="4774" spans="1:7">
      <c r="A4774" t="s">
        <v>144</v>
      </c>
      <c r="B4774">
        <v>75</v>
      </c>
      <c r="C4774">
        <v>10</v>
      </c>
      <c r="D4774">
        <v>0.42625200000000002</v>
      </c>
      <c r="E4774">
        <v>1.8402999999999999E-2</v>
      </c>
      <c r="F4774">
        <v>-1</v>
      </c>
      <c r="G4774">
        <v>1.8402999999999999E-2</v>
      </c>
    </row>
    <row r="4775" spans="1:7">
      <c r="A4775" t="s">
        <v>144</v>
      </c>
      <c r="B4775">
        <v>75</v>
      </c>
      <c r="C4775">
        <v>11</v>
      </c>
      <c r="D4775">
        <v>0.42625200000000002</v>
      </c>
      <c r="E4775">
        <v>0.20835000000000001</v>
      </c>
      <c r="F4775">
        <v>-1</v>
      </c>
      <c r="G4775">
        <v>0.20835000000000001</v>
      </c>
    </row>
    <row r="4776" spans="1:7">
      <c r="A4776" t="s">
        <v>144</v>
      </c>
      <c r="B4776">
        <v>75</v>
      </c>
      <c r="C4776">
        <v>12</v>
      </c>
      <c r="D4776">
        <v>0.42625200000000002</v>
      </c>
      <c r="E4776">
        <v>0.57496899999999995</v>
      </c>
      <c r="F4776">
        <v>-1</v>
      </c>
      <c r="G4776">
        <v>0.57496899999999995</v>
      </c>
    </row>
    <row r="4777" spans="1:7">
      <c r="A4777" t="s">
        <v>144</v>
      </c>
      <c r="B4777">
        <v>75</v>
      </c>
      <c r="C4777">
        <v>13</v>
      </c>
      <c r="D4777">
        <v>0.42625200000000002</v>
      </c>
      <c r="E4777">
        <v>0.91784399999999999</v>
      </c>
      <c r="F4777">
        <v>-1</v>
      </c>
      <c r="G4777">
        <v>0.91784399999999999</v>
      </c>
    </row>
    <row r="4778" spans="1:7">
      <c r="A4778" t="s">
        <v>144</v>
      </c>
      <c r="B4778">
        <v>75</v>
      </c>
      <c r="C4778">
        <v>14</v>
      </c>
      <c r="D4778">
        <v>0.42625200000000002</v>
      </c>
      <c r="E4778">
        <v>0.55525400000000003</v>
      </c>
      <c r="F4778">
        <v>-1</v>
      </c>
      <c r="G4778">
        <v>0.55525400000000003</v>
      </c>
    </row>
    <row r="4779" spans="1:7">
      <c r="A4779" t="s">
        <v>144</v>
      </c>
      <c r="B4779">
        <v>75</v>
      </c>
      <c r="C4779">
        <v>15</v>
      </c>
      <c r="D4779">
        <v>0.42625200000000002</v>
      </c>
      <c r="E4779">
        <v>-0.69689000000000001</v>
      </c>
      <c r="F4779">
        <v>-1</v>
      </c>
      <c r="G4779">
        <v>-0.69689000000000001</v>
      </c>
    </row>
    <row r="4780" spans="1:7">
      <c r="A4780" t="s">
        <v>144</v>
      </c>
      <c r="B4780">
        <v>75</v>
      </c>
      <c r="C4780">
        <v>16</v>
      </c>
      <c r="D4780">
        <v>0.42625200000000002</v>
      </c>
      <c r="E4780">
        <v>0.58790900000000001</v>
      </c>
      <c r="F4780">
        <v>-1</v>
      </c>
      <c r="G4780">
        <v>0.58790900000000001</v>
      </c>
    </row>
    <row r="4781" spans="1:7">
      <c r="A4781" t="s">
        <v>144</v>
      </c>
      <c r="B4781">
        <v>75</v>
      </c>
      <c r="C4781">
        <v>17</v>
      </c>
      <c r="D4781">
        <v>0.42625200000000002</v>
      </c>
      <c r="E4781">
        <v>-0.90688800000000003</v>
      </c>
      <c r="F4781">
        <v>-1</v>
      </c>
      <c r="G4781">
        <v>-0.90688800000000003</v>
      </c>
    </row>
    <row r="4782" spans="1:7">
      <c r="A4782" t="s">
        <v>144</v>
      </c>
      <c r="B4782">
        <v>75</v>
      </c>
      <c r="C4782">
        <v>18</v>
      </c>
      <c r="D4782">
        <v>0.42625200000000002</v>
      </c>
      <c r="E4782">
        <v>0.26175700000000002</v>
      </c>
      <c r="F4782">
        <v>-1</v>
      </c>
      <c r="G4782">
        <v>0.26175700000000002</v>
      </c>
    </row>
    <row r="4783" spans="1:7">
      <c r="A4783" t="s">
        <v>144</v>
      </c>
      <c r="B4783">
        <v>75</v>
      </c>
      <c r="C4783">
        <v>19</v>
      </c>
      <c r="D4783">
        <v>0.42625200000000002</v>
      </c>
      <c r="E4783">
        <v>0.87969600000000003</v>
      </c>
      <c r="F4783">
        <v>-1</v>
      </c>
      <c r="G4783">
        <v>0.87969600000000003</v>
      </c>
    </row>
    <row r="4784" spans="1:7">
      <c r="A4784" t="s">
        <v>144</v>
      </c>
      <c r="B4784">
        <v>75</v>
      </c>
      <c r="C4784">
        <v>20</v>
      </c>
      <c r="D4784">
        <v>0.42625200000000002</v>
      </c>
      <c r="E4784">
        <v>-0.85412200000000005</v>
      </c>
      <c r="F4784">
        <v>-1</v>
      </c>
      <c r="G4784">
        <v>-0.85412200000000005</v>
      </c>
    </row>
    <row r="4785" spans="1:7">
      <c r="A4785" t="s">
        <v>144</v>
      </c>
      <c r="B4785">
        <v>75</v>
      </c>
      <c r="C4785">
        <v>21</v>
      </c>
      <c r="D4785">
        <v>0.42625200000000002</v>
      </c>
      <c r="E4785">
        <v>-0.72115200000000002</v>
      </c>
      <c r="F4785">
        <v>-1</v>
      </c>
      <c r="G4785">
        <v>-0.72115200000000002</v>
      </c>
    </row>
    <row r="4786" spans="1:7">
      <c r="A4786" t="s">
        <v>144</v>
      </c>
      <c r="B4786">
        <v>75</v>
      </c>
      <c r="C4786">
        <v>22</v>
      </c>
      <c r="D4786">
        <v>0.42625200000000002</v>
      </c>
      <c r="E4786">
        <v>0.810724</v>
      </c>
      <c r="F4786">
        <v>-1</v>
      </c>
      <c r="G4786">
        <v>0.810724</v>
      </c>
    </row>
    <row r="4787" spans="1:7">
      <c r="A4787" t="s">
        <v>144</v>
      </c>
      <c r="B4787">
        <v>75</v>
      </c>
      <c r="C4787">
        <v>23</v>
      </c>
      <c r="D4787">
        <v>0.42625200000000002</v>
      </c>
      <c r="E4787">
        <v>0.88201499999999999</v>
      </c>
      <c r="F4787">
        <v>-1</v>
      </c>
      <c r="G4787">
        <v>0.88201499999999999</v>
      </c>
    </row>
    <row r="4788" spans="1:7">
      <c r="A4788" t="s">
        <v>144</v>
      </c>
      <c r="B4788">
        <v>75</v>
      </c>
      <c r="C4788">
        <v>24</v>
      </c>
      <c r="D4788">
        <v>0.42625200000000002</v>
      </c>
      <c r="E4788">
        <v>0.13425100000000001</v>
      </c>
      <c r="F4788">
        <v>-1</v>
      </c>
      <c r="G4788">
        <v>0.13425100000000001</v>
      </c>
    </row>
    <row r="4789" spans="1:7">
      <c r="A4789" t="s">
        <v>144</v>
      </c>
      <c r="B4789">
        <v>75</v>
      </c>
      <c r="C4789">
        <v>25</v>
      </c>
      <c r="D4789">
        <v>0.42625200000000002</v>
      </c>
      <c r="E4789">
        <v>-0.90258499999999997</v>
      </c>
      <c r="F4789">
        <v>-1</v>
      </c>
      <c r="G4789">
        <v>-0.90258499999999997</v>
      </c>
    </row>
    <row r="4790" spans="1:7">
      <c r="A4790" t="s">
        <v>144</v>
      </c>
      <c r="B4790">
        <v>75</v>
      </c>
      <c r="C4790">
        <v>26</v>
      </c>
      <c r="D4790">
        <v>0.42625200000000002</v>
      </c>
      <c r="E4790">
        <v>-0.336924</v>
      </c>
      <c r="F4790">
        <v>-1</v>
      </c>
      <c r="G4790">
        <v>-0.336924</v>
      </c>
    </row>
    <row r="4791" spans="1:7">
      <c r="A4791" t="s">
        <v>144</v>
      </c>
      <c r="B4791">
        <v>75</v>
      </c>
      <c r="C4791">
        <v>27</v>
      </c>
      <c r="D4791">
        <v>0.42625200000000002</v>
      </c>
      <c r="E4791">
        <v>0.23755599999999999</v>
      </c>
      <c r="F4791">
        <v>-1</v>
      </c>
      <c r="G4791">
        <v>0.23755599999999999</v>
      </c>
    </row>
    <row r="4792" spans="1:7">
      <c r="A4792" t="s">
        <v>144</v>
      </c>
      <c r="B4792">
        <v>75</v>
      </c>
      <c r="C4792">
        <v>28</v>
      </c>
      <c r="D4792">
        <v>0.42625200000000002</v>
      </c>
      <c r="E4792">
        <v>0.11401699999999999</v>
      </c>
      <c r="F4792">
        <v>-1</v>
      </c>
      <c r="G4792">
        <v>0.11401699999999999</v>
      </c>
    </row>
    <row r="4793" spans="1:7">
      <c r="A4793" t="s">
        <v>144</v>
      </c>
      <c r="B4793">
        <v>75</v>
      </c>
      <c r="C4793">
        <v>29</v>
      </c>
      <c r="D4793">
        <v>0.42625200000000002</v>
      </c>
      <c r="E4793">
        <v>0.56733900000000004</v>
      </c>
      <c r="F4793">
        <v>-1</v>
      </c>
      <c r="G4793">
        <v>0.56733900000000004</v>
      </c>
    </row>
    <row r="4794" spans="1:7">
      <c r="A4794" t="s">
        <v>144</v>
      </c>
      <c r="B4794">
        <v>75</v>
      </c>
      <c r="C4794">
        <v>30</v>
      </c>
      <c r="D4794">
        <v>0.42625200000000002</v>
      </c>
      <c r="E4794">
        <v>-0.39426899999999998</v>
      </c>
      <c r="F4794">
        <v>-1</v>
      </c>
      <c r="G4794">
        <v>-0.39426899999999998</v>
      </c>
    </row>
    <row r="4795" spans="1:7">
      <c r="A4795" t="s">
        <v>144</v>
      </c>
      <c r="B4795">
        <v>75</v>
      </c>
      <c r="C4795">
        <v>31</v>
      </c>
      <c r="D4795">
        <v>0.42625200000000002</v>
      </c>
      <c r="E4795">
        <v>0.50157200000000002</v>
      </c>
      <c r="F4795">
        <v>-1</v>
      </c>
      <c r="G4795">
        <v>0.50157200000000002</v>
      </c>
    </row>
    <row r="4796" spans="1:7">
      <c r="A4796" t="s">
        <v>144</v>
      </c>
      <c r="B4796">
        <v>75</v>
      </c>
      <c r="C4796">
        <v>32</v>
      </c>
      <c r="D4796">
        <v>0.42625200000000002</v>
      </c>
      <c r="E4796">
        <v>-0.92355100000000001</v>
      </c>
      <c r="F4796">
        <v>-1</v>
      </c>
      <c r="G4796">
        <v>-0.92355100000000001</v>
      </c>
    </row>
    <row r="4797" spans="1:7">
      <c r="A4797" t="s">
        <v>144</v>
      </c>
      <c r="B4797">
        <v>75</v>
      </c>
      <c r="C4797">
        <v>33</v>
      </c>
      <c r="D4797">
        <v>0.42625200000000002</v>
      </c>
      <c r="E4797">
        <v>-8.1820000000000004E-2</v>
      </c>
      <c r="F4797">
        <v>0.54872299999999996</v>
      </c>
      <c r="G4797">
        <v>0.27995300000000001</v>
      </c>
    </row>
    <row r="4798" spans="1:7">
      <c r="A4798" t="s">
        <v>144</v>
      </c>
      <c r="B4798">
        <v>75</v>
      </c>
      <c r="C4798">
        <v>34</v>
      </c>
      <c r="D4798">
        <v>0.42625200000000002</v>
      </c>
      <c r="E4798">
        <v>-3.7751E-2</v>
      </c>
      <c r="F4798">
        <v>0.61299499999999996</v>
      </c>
      <c r="G4798">
        <v>0.33561299999999999</v>
      </c>
    </row>
    <row r="4799" spans="1:7">
      <c r="A4799" t="s">
        <v>144</v>
      </c>
      <c r="B4799">
        <v>75</v>
      </c>
      <c r="C4799">
        <v>35</v>
      </c>
      <c r="D4799">
        <v>0.42625200000000002</v>
      </c>
      <c r="E4799">
        <v>0.98919599999999996</v>
      </c>
      <c r="F4799">
        <v>0.18115800000000001</v>
      </c>
      <c r="G4799">
        <v>0.525586</v>
      </c>
    </row>
    <row r="4800" spans="1:7">
      <c r="A4800" t="s">
        <v>144</v>
      </c>
      <c r="B4800">
        <v>75</v>
      </c>
      <c r="C4800">
        <v>36</v>
      </c>
      <c r="D4800">
        <v>0.42625200000000002</v>
      </c>
      <c r="E4800">
        <v>0.78188400000000002</v>
      </c>
      <c r="F4800">
        <v>0.55012700000000003</v>
      </c>
      <c r="G4800">
        <v>0.64891399999999999</v>
      </c>
    </row>
    <row r="4801" spans="1:7">
      <c r="A4801" t="s">
        <v>144</v>
      </c>
      <c r="B4801">
        <v>75</v>
      </c>
      <c r="C4801">
        <v>37</v>
      </c>
      <c r="D4801">
        <v>0.42625200000000002</v>
      </c>
      <c r="E4801">
        <v>0.86327699999999996</v>
      </c>
      <c r="F4801">
        <v>-0.29749399999999998</v>
      </c>
      <c r="G4801">
        <v>0.19728699999999999</v>
      </c>
    </row>
    <row r="4802" spans="1:7">
      <c r="A4802" t="s">
        <v>144</v>
      </c>
      <c r="B4802">
        <v>75</v>
      </c>
      <c r="C4802">
        <v>38</v>
      </c>
      <c r="D4802">
        <v>0.42625200000000002</v>
      </c>
      <c r="E4802">
        <v>3.0457000000000001E-2</v>
      </c>
      <c r="F4802">
        <v>-2.5055999999999998E-2</v>
      </c>
      <c r="G4802">
        <v>-1.3929999999999999E-3</v>
      </c>
    </row>
    <row r="4803" spans="1:7">
      <c r="A4803" t="s">
        <v>144</v>
      </c>
      <c r="B4803">
        <v>75</v>
      </c>
      <c r="C4803">
        <v>39</v>
      </c>
      <c r="D4803">
        <v>0.42625200000000002</v>
      </c>
      <c r="E4803">
        <v>0.63872200000000001</v>
      </c>
      <c r="F4803">
        <v>2.5482999999999999E-2</v>
      </c>
      <c r="G4803">
        <v>0.28687699999999999</v>
      </c>
    </row>
    <row r="4804" spans="1:7">
      <c r="A4804" t="s">
        <v>144</v>
      </c>
      <c r="B4804">
        <v>75</v>
      </c>
      <c r="C4804">
        <v>40</v>
      </c>
      <c r="D4804">
        <v>0.42625200000000002</v>
      </c>
      <c r="E4804">
        <v>-0.76671699999999998</v>
      </c>
      <c r="F4804">
        <v>7.1809999999999999E-2</v>
      </c>
      <c r="G4804">
        <v>-0.28561399999999998</v>
      </c>
    </row>
    <row r="4805" spans="1:7">
      <c r="A4805" t="s">
        <v>144</v>
      </c>
      <c r="B4805">
        <v>75</v>
      </c>
      <c r="C4805">
        <v>41</v>
      </c>
      <c r="D4805">
        <v>0.42625200000000002</v>
      </c>
      <c r="E4805">
        <v>0.305643</v>
      </c>
      <c r="F4805">
        <v>-0.62507999999999997</v>
      </c>
      <c r="G4805">
        <v>-0.22835800000000001</v>
      </c>
    </row>
    <row r="4806" spans="1:7">
      <c r="A4806" t="s">
        <v>144</v>
      </c>
      <c r="B4806">
        <v>75</v>
      </c>
      <c r="C4806">
        <v>42</v>
      </c>
      <c r="D4806">
        <v>0.42625200000000002</v>
      </c>
      <c r="E4806">
        <v>-0.17569499999999999</v>
      </c>
      <c r="F4806">
        <v>-0.61629100000000003</v>
      </c>
      <c r="G4806">
        <v>-0.42848599999999998</v>
      </c>
    </row>
    <row r="4807" spans="1:7">
      <c r="A4807" t="s">
        <v>144</v>
      </c>
      <c r="B4807">
        <v>75</v>
      </c>
      <c r="C4807">
        <v>43</v>
      </c>
      <c r="D4807">
        <v>0.42625200000000002</v>
      </c>
      <c r="E4807">
        <v>0.999969</v>
      </c>
      <c r="F4807">
        <v>0.71144700000000005</v>
      </c>
      <c r="G4807">
        <v>0.83443100000000003</v>
      </c>
    </row>
    <row r="4808" spans="1:7">
      <c r="A4808" t="s">
        <v>144</v>
      </c>
      <c r="B4808">
        <v>75</v>
      </c>
      <c r="C4808">
        <v>44</v>
      </c>
      <c r="D4808">
        <v>0.42625200000000002</v>
      </c>
      <c r="E4808">
        <v>0.70867000000000002</v>
      </c>
      <c r="F4808">
        <v>-0.73561799999999999</v>
      </c>
      <c r="G4808">
        <v>-0.119987</v>
      </c>
    </row>
    <row r="4809" spans="1:7">
      <c r="A4809" t="s">
        <v>144</v>
      </c>
      <c r="B4809">
        <v>75</v>
      </c>
      <c r="C4809">
        <v>45</v>
      </c>
      <c r="D4809">
        <v>0.42625200000000002</v>
      </c>
      <c r="E4809">
        <v>-0.83031699999999997</v>
      </c>
      <c r="F4809">
        <v>-0.839839</v>
      </c>
      <c r="G4809">
        <v>-0.83577999999999997</v>
      </c>
    </row>
    <row r="4810" spans="1:7">
      <c r="A4810" t="s">
        <v>144</v>
      </c>
      <c r="B4810">
        <v>75</v>
      </c>
      <c r="C4810">
        <v>46</v>
      </c>
      <c r="D4810">
        <v>0.42625200000000002</v>
      </c>
      <c r="E4810">
        <v>-0.77391900000000002</v>
      </c>
      <c r="F4810">
        <v>0.169683</v>
      </c>
      <c r="G4810">
        <v>-0.23252900000000001</v>
      </c>
    </row>
    <row r="4811" spans="1:7">
      <c r="A4811" t="s">
        <v>144</v>
      </c>
      <c r="B4811">
        <v>75</v>
      </c>
      <c r="C4811">
        <v>47</v>
      </c>
      <c r="D4811">
        <v>0.42625200000000002</v>
      </c>
      <c r="E4811">
        <v>-0.347331</v>
      </c>
      <c r="F4811">
        <v>0.35746299999999998</v>
      </c>
      <c r="G4811">
        <v>5.7043000000000003E-2</v>
      </c>
    </row>
    <row r="4812" spans="1:7">
      <c r="A4812" t="s">
        <v>144</v>
      </c>
      <c r="B4812">
        <v>75</v>
      </c>
      <c r="C4812">
        <v>48</v>
      </c>
      <c r="D4812">
        <v>0.42625200000000002</v>
      </c>
      <c r="E4812">
        <v>0.211035</v>
      </c>
      <c r="F4812">
        <v>-0.24060799999999999</v>
      </c>
      <c r="G4812">
        <v>-4.8093999999999998E-2</v>
      </c>
    </row>
    <row r="4813" spans="1:7">
      <c r="A4813" t="s">
        <v>144</v>
      </c>
      <c r="B4813">
        <v>75</v>
      </c>
      <c r="C4813">
        <v>49</v>
      </c>
      <c r="D4813">
        <v>0.42625200000000002</v>
      </c>
      <c r="E4813">
        <v>-6.1921999999999998E-2</v>
      </c>
      <c r="F4813">
        <v>-0.92989900000000003</v>
      </c>
      <c r="G4813">
        <v>-0.55992200000000003</v>
      </c>
    </row>
    <row r="4814" spans="1:7">
      <c r="A4814" t="s">
        <v>144</v>
      </c>
      <c r="B4814" t="s">
        <v>145</v>
      </c>
      <c r="C4814">
        <v>76</v>
      </c>
    </row>
    <row r="4815" spans="1:7">
      <c r="A4815" t="s">
        <v>144</v>
      </c>
      <c r="B4815" t="s">
        <v>146</v>
      </c>
      <c r="C4815">
        <v>11</v>
      </c>
    </row>
    <row r="4816" spans="1:7">
      <c r="A4816" t="s">
        <v>144</v>
      </c>
      <c r="B4816" t="s">
        <v>147</v>
      </c>
      <c r="C4816">
        <v>11</v>
      </c>
    </row>
    <row r="4817" spans="1:9">
      <c r="A4817" t="s">
        <v>144</v>
      </c>
      <c r="B4817" t="s">
        <v>148</v>
      </c>
      <c r="C4817">
        <v>0.190527</v>
      </c>
    </row>
    <row r="4818" spans="1:9">
      <c r="A4818" t="s">
        <v>144</v>
      </c>
      <c r="B4818" t="s">
        <v>149</v>
      </c>
      <c r="C4818">
        <v>0.190527</v>
      </c>
    </row>
    <row r="4819" spans="1:9">
      <c r="A4819" t="s">
        <v>144</v>
      </c>
      <c r="B4819" t="s">
        <v>150</v>
      </c>
      <c r="C4819">
        <v>-1</v>
      </c>
    </row>
    <row r="4820" spans="1:9">
      <c r="A4820" t="s">
        <v>144</v>
      </c>
      <c r="B4820" t="s">
        <v>151</v>
      </c>
      <c r="C4820">
        <v>-1</v>
      </c>
    </row>
    <row r="4821" spans="1:9">
      <c r="A4821" t="s">
        <v>144</v>
      </c>
      <c r="B4821" t="s">
        <v>152</v>
      </c>
      <c r="C4821">
        <v>15</v>
      </c>
    </row>
    <row r="4822" spans="1:9">
      <c r="A4822" t="s">
        <v>144</v>
      </c>
      <c r="B4822" t="s">
        <v>153</v>
      </c>
      <c r="C4822">
        <v>15</v>
      </c>
    </row>
    <row r="4823" spans="1:9">
      <c r="A4823" t="s">
        <v>144</v>
      </c>
      <c r="B4823" t="s">
        <v>154</v>
      </c>
      <c r="C4823">
        <v>0</v>
      </c>
    </row>
    <row r="4824" spans="1:9">
      <c r="A4824" t="s">
        <v>144</v>
      </c>
      <c r="B4824" t="s">
        <v>155</v>
      </c>
    </row>
    <row r="4825" spans="1:9">
      <c r="A4825" t="s">
        <v>144</v>
      </c>
      <c r="B4825" t="s">
        <v>150</v>
      </c>
      <c r="C4825">
        <v>5.2461000000000001E-2</v>
      </c>
      <c r="H4825" s="38" t="s">
        <v>164</v>
      </c>
      <c r="I4825" s="44">
        <f>MIN(I4828:I4877)</f>
        <v>-1.1853860000035632E-6</v>
      </c>
    </row>
    <row r="4826" spans="1:9">
      <c r="A4826" t="s">
        <v>144</v>
      </c>
      <c r="B4826" t="s">
        <v>151</v>
      </c>
      <c r="C4826">
        <v>5.2461000000000001E-2</v>
      </c>
      <c r="H4826" s="38" t="s">
        <v>165</v>
      </c>
      <c r="I4826" s="44">
        <f>MAX(I4828:I4877)</f>
        <v>7.6109999996853972E-7</v>
      </c>
    </row>
    <row r="4827" spans="1:9">
      <c r="A4827" t="s">
        <v>144</v>
      </c>
      <c r="B4827" t="s">
        <v>156</v>
      </c>
      <c r="C4827" t="s">
        <v>157</v>
      </c>
      <c r="D4827" t="s">
        <v>63</v>
      </c>
      <c r="E4827" t="s">
        <v>158</v>
      </c>
      <c r="F4827" t="s">
        <v>159</v>
      </c>
      <c r="G4827" t="s">
        <v>160</v>
      </c>
      <c r="H4827" s="43" t="s">
        <v>162</v>
      </c>
      <c r="I4827" s="43" t="s">
        <v>163</v>
      </c>
    </row>
    <row r="4828" spans="1:9">
      <c r="A4828" t="s">
        <v>144</v>
      </c>
      <c r="B4828">
        <v>76</v>
      </c>
      <c r="C4828">
        <v>0</v>
      </c>
      <c r="D4828">
        <v>5.2461000000000001E-2</v>
      </c>
      <c r="E4828">
        <v>-0.69780600000000004</v>
      </c>
      <c r="F4828">
        <v>-1</v>
      </c>
      <c r="G4828">
        <v>-0.69780600000000004</v>
      </c>
      <c r="H4828" s="42">
        <f>IF(C4828&lt;$C$4821,E4828,D4828*E4828 + (1 - D4828)*F4828)</f>
        <v>-0.69780600000000004</v>
      </c>
      <c r="I4828" s="42">
        <f>H4828-G4828</f>
        <v>0</v>
      </c>
    </row>
    <row r="4829" spans="1:9">
      <c r="A4829" t="s">
        <v>144</v>
      </c>
      <c r="B4829">
        <v>76</v>
      </c>
      <c r="C4829">
        <v>1</v>
      </c>
      <c r="D4829">
        <v>5.2461000000000001E-2</v>
      </c>
      <c r="E4829">
        <v>-0.59309699999999999</v>
      </c>
      <c r="F4829">
        <v>-1</v>
      </c>
      <c r="G4829">
        <v>-0.59309699999999999</v>
      </c>
      <c r="H4829" s="42">
        <f t="shared" ref="H4829:H4877" si="20">IF(C4829&lt;$C$4821,E4829,D4829*E4829 + (1 - D4829)*F4829)</f>
        <v>-0.59309699999999999</v>
      </c>
      <c r="I4829" s="42">
        <f t="shared" ref="I4829:I4877" si="21">H4829-G4829</f>
        <v>0</v>
      </c>
    </row>
    <row r="4830" spans="1:9">
      <c r="A4830" t="s">
        <v>144</v>
      </c>
      <c r="B4830">
        <v>76</v>
      </c>
      <c r="C4830">
        <v>2</v>
      </c>
      <c r="D4830">
        <v>5.2461000000000001E-2</v>
      </c>
      <c r="E4830">
        <v>0.75072499999999998</v>
      </c>
      <c r="F4830">
        <v>-1</v>
      </c>
      <c r="G4830">
        <v>0.75072499999999998</v>
      </c>
      <c r="H4830" s="42">
        <f t="shared" si="20"/>
        <v>0.75072499999999998</v>
      </c>
      <c r="I4830" s="42">
        <f t="shared" si="21"/>
        <v>0</v>
      </c>
    </row>
    <row r="4831" spans="1:9">
      <c r="A4831" t="s">
        <v>144</v>
      </c>
      <c r="B4831">
        <v>76</v>
      </c>
      <c r="C4831">
        <v>3</v>
      </c>
      <c r="D4831">
        <v>5.2461000000000001E-2</v>
      </c>
      <c r="E4831">
        <v>0.44999499999999998</v>
      </c>
      <c r="F4831">
        <v>-1</v>
      </c>
      <c r="G4831">
        <v>0.44999499999999998</v>
      </c>
      <c r="H4831" s="42">
        <f t="shared" si="20"/>
        <v>0.44999499999999998</v>
      </c>
      <c r="I4831" s="42">
        <f t="shared" si="21"/>
        <v>0</v>
      </c>
    </row>
    <row r="4832" spans="1:9">
      <c r="A4832" t="s">
        <v>144</v>
      </c>
      <c r="B4832">
        <v>76</v>
      </c>
      <c r="C4832">
        <v>4</v>
      </c>
      <c r="D4832">
        <v>5.2461000000000001E-2</v>
      </c>
      <c r="E4832">
        <v>0.67723599999999995</v>
      </c>
      <c r="F4832">
        <v>-1</v>
      </c>
      <c r="G4832">
        <v>0.67723599999999995</v>
      </c>
      <c r="H4832" s="42">
        <f t="shared" si="20"/>
        <v>0.67723599999999995</v>
      </c>
      <c r="I4832" s="42">
        <f t="shared" si="21"/>
        <v>0</v>
      </c>
    </row>
    <row r="4833" spans="1:9">
      <c r="A4833" t="s">
        <v>144</v>
      </c>
      <c r="B4833">
        <v>76</v>
      </c>
      <c r="C4833">
        <v>5</v>
      </c>
      <c r="D4833">
        <v>5.2461000000000001E-2</v>
      </c>
      <c r="E4833">
        <v>-0.81936100000000001</v>
      </c>
      <c r="F4833">
        <v>-1</v>
      </c>
      <c r="G4833">
        <v>-0.81936100000000001</v>
      </c>
      <c r="H4833" s="42">
        <f t="shared" si="20"/>
        <v>-0.81936100000000001</v>
      </c>
      <c r="I4833" s="42">
        <f t="shared" si="21"/>
        <v>0</v>
      </c>
    </row>
    <row r="4834" spans="1:9">
      <c r="A4834" t="s">
        <v>144</v>
      </c>
      <c r="B4834">
        <v>76</v>
      </c>
      <c r="C4834">
        <v>6</v>
      </c>
      <c r="D4834">
        <v>5.2461000000000001E-2</v>
      </c>
      <c r="E4834">
        <v>-0.19272400000000001</v>
      </c>
      <c r="F4834">
        <v>-1</v>
      </c>
      <c r="G4834">
        <v>-0.19272400000000001</v>
      </c>
      <c r="H4834" s="42">
        <f t="shared" si="20"/>
        <v>-0.19272400000000001</v>
      </c>
      <c r="I4834" s="42">
        <f t="shared" si="21"/>
        <v>0</v>
      </c>
    </row>
    <row r="4835" spans="1:9">
      <c r="A4835" t="s">
        <v>144</v>
      </c>
      <c r="B4835">
        <v>76</v>
      </c>
      <c r="C4835">
        <v>7</v>
      </c>
      <c r="D4835">
        <v>5.2461000000000001E-2</v>
      </c>
      <c r="E4835">
        <v>0.40638400000000002</v>
      </c>
      <c r="F4835">
        <v>-1</v>
      </c>
      <c r="G4835">
        <v>0.40638400000000002</v>
      </c>
      <c r="H4835" s="42">
        <f t="shared" si="20"/>
        <v>0.40638400000000002</v>
      </c>
      <c r="I4835" s="42">
        <f t="shared" si="21"/>
        <v>0</v>
      </c>
    </row>
    <row r="4836" spans="1:9">
      <c r="A4836" t="s">
        <v>144</v>
      </c>
      <c r="B4836">
        <v>76</v>
      </c>
      <c r="C4836">
        <v>8</v>
      </c>
      <c r="D4836">
        <v>5.2461000000000001E-2</v>
      </c>
      <c r="E4836">
        <v>-4.3672000000000002E-2</v>
      </c>
      <c r="F4836">
        <v>-1</v>
      </c>
      <c r="G4836">
        <v>-4.3672000000000002E-2</v>
      </c>
      <c r="H4836" s="42">
        <f t="shared" si="20"/>
        <v>-4.3672000000000002E-2</v>
      </c>
      <c r="I4836" s="42">
        <f t="shared" si="21"/>
        <v>0</v>
      </c>
    </row>
    <row r="4837" spans="1:9">
      <c r="A4837" t="s">
        <v>144</v>
      </c>
      <c r="B4837">
        <v>76</v>
      </c>
      <c r="C4837">
        <v>9</v>
      </c>
      <c r="D4837">
        <v>5.2461000000000001E-2</v>
      </c>
      <c r="E4837">
        <v>0.52415500000000004</v>
      </c>
      <c r="F4837">
        <v>-1</v>
      </c>
      <c r="G4837">
        <v>0.52415500000000004</v>
      </c>
      <c r="H4837" s="42">
        <f t="shared" si="20"/>
        <v>0.52415500000000004</v>
      </c>
      <c r="I4837" s="42">
        <f t="shared" si="21"/>
        <v>0</v>
      </c>
    </row>
    <row r="4838" spans="1:9">
      <c r="A4838" t="s">
        <v>144</v>
      </c>
      <c r="B4838">
        <v>76</v>
      </c>
      <c r="C4838">
        <v>10</v>
      </c>
      <c r="D4838">
        <v>5.2461000000000001E-2</v>
      </c>
      <c r="E4838">
        <v>0.39988400000000002</v>
      </c>
      <c r="F4838">
        <v>-1</v>
      </c>
      <c r="G4838">
        <v>0.39988400000000002</v>
      </c>
      <c r="H4838" s="42">
        <f t="shared" si="20"/>
        <v>0.39988400000000002</v>
      </c>
      <c r="I4838" s="42">
        <f t="shared" si="21"/>
        <v>0</v>
      </c>
    </row>
    <row r="4839" spans="1:9">
      <c r="A4839" t="s">
        <v>144</v>
      </c>
      <c r="B4839">
        <v>76</v>
      </c>
      <c r="C4839">
        <v>11</v>
      </c>
      <c r="D4839">
        <v>5.2461000000000001E-2</v>
      </c>
      <c r="E4839">
        <v>-0.87337900000000002</v>
      </c>
      <c r="F4839">
        <v>-1</v>
      </c>
      <c r="G4839">
        <v>-0.87337900000000002</v>
      </c>
      <c r="H4839" s="42">
        <f t="shared" si="20"/>
        <v>-0.87337900000000002</v>
      </c>
      <c r="I4839" s="42">
        <f t="shared" si="21"/>
        <v>0</v>
      </c>
    </row>
    <row r="4840" spans="1:9">
      <c r="A4840" t="s">
        <v>144</v>
      </c>
      <c r="B4840">
        <v>76</v>
      </c>
      <c r="C4840">
        <v>12</v>
      </c>
      <c r="D4840">
        <v>5.2461000000000001E-2</v>
      </c>
      <c r="E4840">
        <v>0.12350800000000001</v>
      </c>
      <c r="F4840">
        <v>-1</v>
      </c>
      <c r="G4840">
        <v>0.12350800000000001</v>
      </c>
      <c r="H4840" s="42">
        <f t="shared" si="20"/>
        <v>0.12350800000000001</v>
      </c>
      <c r="I4840" s="42">
        <f t="shared" si="21"/>
        <v>0</v>
      </c>
    </row>
    <row r="4841" spans="1:9">
      <c r="A4841" t="s">
        <v>144</v>
      </c>
      <c r="B4841">
        <v>76</v>
      </c>
      <c r="C4841">
        <v>13</v>
      </c>
      <c r="D4841">
        <v>5.2461000000000001E-2</v>
      </c>
      <c r="E4841">
        <v>-0.21491099999999999</v>
      </c>
      <c r="F4841">
        <v>-1</v>
      </c>
      <c r="G4841">
        <v>-0.21491099999999999</v>
      </c>
      <c r="H4841" s="42">
        <f t="shared" si="20"/>
        <v>-0.21491099999999999</v>
      </c>
      <c r="I4841" s="42">
        <f t="shared" si="21"/>
        <v>0</v>
      </c>
    </row>
    <row r="4842" spans="1:9">
      <c r="A4842" t="s">
        <v>144</v>
      </c>
      <c r="B4842">
        <v>76</v>
      </c>
      <c r="C4842">
        <v>14</v>
      </c>
      <c r="D4842">
        <v>5.2461000000000001E-2</v>
      </c>
      <c r="E4842">
        <v>-7.1596000000000007E-2</v>
      </c>
      <c r="F4842">
        <v>-1</v>
      </c>
      <c r="G4842">
        <v>-7.1596000000000007E-2</v>
      </c>
      <c r="H4842" s="42">
        <f t="shared" si="20"/>
        <v>-7.1596000000000007E-2</v>
      </c>
      <c r="I4842" s="42">
        <f t="shared" si="21"/>
        <v>0</v>
      </c>
    </row>
    <row r="4843" spans="1:9">
      <c r="A4843" t="s">
        <v>144</v>
      </c>
      <c r="B4843">
        <v>76</v>
      </c>
      <c r="C4843">
        <v>15</v>
      </c>
      <c r="D4843">
        <v>5.2461000000000001E-2</v>
      </c>
      <c r="E4843">
        <v>0.34125800000000001</v>
      </c>
      <c r="F4843">
        <v>-0.68578099999999997</v>
      </c>
      <c r="G4843">
        <v>-0.63190199999999996</v>
      </c>
      <c r="H4843" s="42">
        <f t="shared" si="20"/>
        <v>-0.63190150702100001</v>
      </c>
      <c r="I4843" s="42">
        <f t="shared" si="21"/>
        <v>4.9297899995526251E-7</v>
      </c>
    </row>
    <row r="4844" spans="1:9">
      <c r="A4844" t="s">
        <v>144</v>
      </c>
      <c r="B4844">
        <v>76</v>
      </c>
      <c r="C4844">
        <v>16</v>
      </c>
      <c r="D4844">
        <v>5.2461000000000001E-2</v>
      </c>
      <c r="E4844">
        <v>-8.7862999999999997E-2</v>
      </c>
      <c r="F4844">
        <v>-0.77095899999999995</v>
      </c>
      <c r="G4844">
        <v>-0.73512299999999997</v>
      </c>
      <c r="H4844" s="42">
        <f t="shared" si="20"/>
        <v>-0.735123100744</v>
      </c>
      <c r="I4844" s="42">
        <f t="shared" si="21"/>
        <v>-1.0074400003112771E-7</v>
      </c>
    </row>
    <row r="4845" spans="1:9">
      <c r="A4845" t="s">
        <v>144</v>
      </c>
      <c r="B4845">
        <v>76</v>
      </c>
      <c r="C4845">
        <v>17</v>
      </c>
      <c r="D4845">
        <v>5.2461000000000001E-2</v>
      </c>
      <c r="E4845">
        <v>-0.25266300000000003</v>
      </c>
      <c r="F4845">
        <v>-0.71260699999999999</v>
      </c>
      <c r="G4845">
        <v>-0.68847800000000003</v>
      </c>
      <c r="H4845" s="42">
        <f t="shared" si="20"/>
        <v>-0.68847787781600001</v>
      </c>
      <c r="I4845" s="42">
        <f t="shared" si="21"/>
        <v>1.2218400002872443E-7</v>
      </c>
    </row>
    <row r="4846" spans="1:9">
      <c r="A4846" t="s">
        <v>144</v>
      </c>
      <c r="B4846">
        <v>76</v>
      </c>
      <c r="C4846">
        <v>18</v>
      </c>
      <c r="D4846">
        <v>5.2461000000000001E-2</v>
      </c>
      <c r="E4846">
        <v>-0.840144</v>
      </c>
      <c r="F4846">
        <v>0.423261</v>
      </c>
      <c r="G4846">
        <v>0.35698099999999999</v>
      </c>
      <c r="H4846" s="42">
        <f t="shared" si="20"/>
        <v>0.35698151029500003</v>
      </c>
      <c r="I4846" s="42">
        <f t="shared" si="21"/>
        <v>5.1029500003352268E-7</v>
      </c>
    </row>
    <row r="4847" spans="1:9">
      <c r="A4847" t="s">
        <v>144</v>
      </c>
      <c r="B4847">
        <v>76</v>
      </c>
      <c r="C4847">
        <v>19</v>
      </c>
      <c r="D4847">
        <v>5.2461000000000001E-2</v>
      </c>
      <c r="E4847">
        <v>0.94509699999999996</v>
      </c>
      <c r="F4847">
        <v>-0.88317500000000004</v>
      </c>
      <c r="G4847">
        <v>-0.78726200000000002</v>
      </c>
      <c r="H4847" s="42">
        <f t="shared" si="20"/>
        <v>-0.78726202260800004</v>
      </c>
      <c r="I4847" s="42">
        <f t="shared" si="21"/>
        <v>-2.2608000027624087E-8</v>
      </c>
    </row>
    <row r="4848" spans="1:9">
      <c r="A4848" t="s">
        <v>144</v>
      </c>
      <c r="B4848">
        <v>76</v>
      </c>
      <c r="C4848">
        <v>20</v>
      </c>
      <c r="D4848">
        <v>5.2461000000000001E-2</v>
      </c>
      <c r="E4848">
        <v>0.159856</v>
      </c>
      <c r="F4848">
        <v>6.8758E-2</v>
      </c>
      <c r="G4848">
        <v>7.3537000000000005E-2</v>
      </c>
      <c r="H4848" s="42">
        <f t="shared" si="20"/>
        <v>7.3537092178000002E-2</v>
      </c>
      <c r="I4848" s="42">
        <f t="shared" si="21"/>
        <v>9.2177999996834181E-8</v>
      </c>
    </row>
    <row r="4849" spans="1:9">
      <c r="A4849" t="s">
        <v>144</v>
      </c>
      <c r="B4849">
        <v>76</v>
      </c>
      <c r="C4849">
        <v>21</v>
      </c>
      <c r="D4849">
        <v>5.2461000000000001E-2</v>
      </c>
      <c r="E4849">
        <v>-0.71538400000000002</v>
      </c>
      <c r="F4849">
        <v>0.41297600000000001</v>
      </c>
      <c r="G4849">
        <v>0.35378100000000001</v>
      </c>
      <c r="H4849" s="42">
        <f t="shared" si="20"/>
        <v>0.35378110604000002</v>
      </c>
      <c r="I4849" s="42">
        <f t="shared" si="21"/>
        <v>1.0604000000302705E-7</v>
      </c>
    </row>
    <row r="4850" spans="1:9">
      <c r="A4850" t="s">
        <v>144</v>
      </c>
      <c r="B4850">
        <v>76</v>
      </c>
      <c r="C4850">
        <v>22</v>
      </c>
      <c r="D4850">
        <v>5.2461000000000001E-2</v>
      </c>
      <c r="E4850">
        <v>-3.9888E-2</v>
      </c>
      <c r="F4850">
        <v>0.85900399999999999</v>
      </c>
      <c r="G4850">
        <v>0.81184699999999999</v>
      </c>
      <c r="H4850" s="42">
        <f t="shared" si="20"/>
        <v>0.81184722678800003</v>
      </c>
      <c r="I4850" s="42">
        <f t="shared" si="21"/>
        <v>2.2678800004616306E-7</v>
      </c>
    </row>
    <row r="4851" spans="1:9">
      <c r="A4851" t="s">
        <v>144</v>
      </c>
      <c r="B4851">
        <v>76</v>
      </c>
      <c r="C4851">
        <v>23</v>
      </c>
      <c r="D4851">
        <v>5.2461000000000001E-2</v>
      </c>
      <c r="E4851">
        <v>0.39036199999999999</v>
      </c>
      <c r="F4851">
        <v>0.57310700000000003</v>
      </c>
      <c r="G4851">
        <v>0.56352000000000002</v>
      </c>
      <c r="H4851" s="42">
        <f t="shared" si="20"/>
        <v>0.563520014555</v>
      </c>
      <c r="I4851" s="42">
        <f t="shared" si="21"/>
        <v>1.4554999983040773E-8</v>
      </c>
    </row>
    <row r="4852" spans="1:9">
      <c r="A4852" t="s">
        <v>144</v>
      </c>
      <c r="B4852">
        <v>76</v>
      </c>
      <c r="C4852">
        <v>24</v>
      </c>
      <c r="D4852">
        <v>5.2461000000000001E-2</v>
      </c>
      <c r="E4852">
        <v>0.94650100000000004</v>
      </c>
      <c r="F4852">
        <v>0.398511</v>
      </c>
      <c r="G4852">
        <v>0.427259</v>
      </c>
      <c r="H4852" s="42">
        <f t="shared" si="20"/>
        <v>0.42725910339000001</v>
      </c>
      <c r="I4852" s="42">
        <f t="shared" si="21"/>
        <v>1.0339000000580967E-7</v>
      </c>
    </row>
    <row r="4853" spans="1:9">
      <c r="A4853" t="s">
        <v>144</v>
      </c>
      <c r="B4853">
        <v>76</v>
      </c>
      <c r="C4853">
        <v>25</v>
      </c>
      <c r="D4853">
        <v>5.2461000000000001E-2</v>
      </c>
      <c r="E4853">
        <v>0.386181</v>
      </c>
      <c r="F4853">
        <v>-0.29038399999999998</v>
      </c>
      <c r="G4853">
        <v>-0.25489000000000001</v>
      </c>
      <c r="H4853" s="42">
        <f t="shared" si="20"/>
        <v>-0.25489072353499997</v>
      </c>
      <c r="I4853" s="42">
        <f t="shared" si="21"/>
        <v>-7.2353499996902215E-7</v>
      </c>
    </row>
    <row r="4854" spans="1:9">
      <c r="A4854" t="s">
        <v>144</v>
      </c>
      <c r="B4854">
        <v>76</v>
      </c>
      <c r="C4854">
        <v>26</v>
      </c>
      <c r="D4854">
        <v>5.2461000000000001E-2</v>
      </c>
      <c r="E4854">
        <v>0.60219100000000003</v>
      </c>
      <c r="F4854">
        <v>-0.39701500000000001</v>
      </c>
      <c r="G4854">
        <v>-0.34459600000000001</v>
      </c>
      <c r="H4854" s="42">
        <f t="shared" si="20"/>
        <v>-0.344595654034</v>
      </c>
      <c r="I4854" s="42">
        <f t="shared" si="21"/>
        <v>3.4596600001490785E-7</v>
      </c>
    </row>
    <row r="4855" spans="1:9">
      <c r="A4855" t="s">
        <v>144</v>
      </c>
      <c r="B4855">
        <v>76</v>
      </c>
      <c r="C4855">
        <v>27</v>
      </c>
      <c r="D4855">
        <v>5.2461000000000001E-2</v>
      </c>
      <c r="E4855">
        <v>-3.6930000000000001E-3</v>
      </c>
      <c r="F4855">
        <v>0.265206</v>
      </c>
      <c r="G4855">
        <v>0.25109900000000002</v>
      </c>
      <c r="H4855" s="42">
        <f t="shared" si="20"/>
        <v>0.25109928956099997</v>
      </c>
      <c r="I4855" s="42">
        <f t="shared" si="21"/>
        <v>2.8956099995536277E-7</v>
      </c>
    </row>
    <row r="4856" spans="1:9">
      <c r="A4856" t="s">
        <v>144</v>
      </c>
      <c r="B4856">
        <v>76</v>
      </c>
      <c r="C4856">
        <v>28</v>
      </c>
      <c r="D4856">
        <v>5.2461000000000001E-2</v>
      </c>
      <c r="E4856">
        <v>0.89565700000000004</v>
      </c>
      <c r="F4856">
        <v>0.97940000000000005</v>
      </c>
      <c r="G4856">
        <v>0.97500699999999996</v>
      </c>
      <c r="H4856" s="42">
        <f t="shared" si="20"/>
        <v>0.97500675847700002</v>
      </c>
      <c r="I4856" s="42">
        <f t="shared" si="21"/>
        <v>-2.415229999330748E-7</v>
      </c>
    </row>
    <row r="4857" spans="1:9">
      <c r="A4857" t="s">
        <v>144</v>
      </c>
      <c r="B4857">
        <v>76</v>
      </c>
      <c r="C4857">
        <v>29</v>
      </c>
      <c r="D4857">
        <v>5.2461000000000001E-2</v>
      </c>
      <c r="E4857">
        <v>0.86675599999999997</v>
      </c>
      <c r="F4857">
        <v>-1.3184E-2</v>
      </c>
      <c r="G4857">
        <v>3.2979000000000001E-2</v>
      </c>
      <c r="H4857" s="42">
        <f t="shared" si="20"/>
        <v>3.2978532340000005E-2</v>
      </c>
      <c r="I4857" s="42">
        <f t="shared" si="21"/>
        <v>-4.676599999961506E-7</v>
      </c>
    </row>
    <row r="4858" spans="1:9">
      <c r="A4858" t="s">
        <v>144</v>
      </c>
      <c r="B4858">
        <v>76</v>
      </c>
      <c r="C4858">
        <v>30</v>
      </c>
      <c r="D4858">
        <v>5.2461000000000001E-2</v>
      </c>
      <c r="E4858">
        <v>-7.4556999999999998E-2</v>
      </c>
      <c r="F4858">
        <v>0.31034299999999998</v>
      </c>
      <c r="G4858">
        <v>0.29015000000000002</v>
      </c>
      <c r="H4858" s="42">
        <f t="shared" si="20"/>
        <v>0.29015076109999999</v>
      </c>
      <c r="I4858" s="42">
        <f t="shared" si="21"/>
        <v>7.6109999996853972E-7</v>
      </c>
    </row>
    <row r="4859" spans="1:9">
      <c r="A4859" t="s">
        <v>144</v>
      </c>
      <c r="B4859">
        <v>76</v>
      </c>
      <c r="C4859">
        <v>31</v>
      </c>
      <c r="D4859">
        <v>5.2461000000000001E-2</v>
      </c>
      <c r="E4859">
        <v>-0.90887200000000001</v>
      </c>
      <c r="F4859">
        <v>-0.73680800000000002</v>
      </c>
      <c r="G4859">
        <v>-0.74583500000000003</v>
      </c>
      <c r="H4859" s="42">
        <f t="shared" si="20"/>
        <v>-0.74583464950400002</v>
      </c>
      <c r="I4859" s="42">
        <f t="shared" si="21"/>
        <v>3.5049600000114367E-7</v>
      </c>
    </row>
    <row r="4860" spans="1:9">
      <c r="A4860" t="s">
        <v>144</v>
      </c>
      <c r="B4860">
        <v>76</v>
      </c>
      <c r="C4860">
        <v>32</v>
      </c>
      <c r="D4860">
        <v>5.2461000000000001E-2</v>
      </c>
      <c r="E4860">
        <v>0.87823099999999998</v>
      </c>
      <c r="F4860">
        <v>-0.68990099999999999</v>
      </c>
      <c r="G4860">
        <v>-0.60763500000000004</v>
      </c>
      <c r="H4860" s="42">
        <f t="shared" si="20"/>
        <v>-0.607635227148</v>
      </c>
      <c r="I4860" s="42">
        <f t="shared" si="21"/>
        <v>-2.2714799996492729E-7</v>
      </c>
    </row>
    <row r="4861" spans="1:9">
      <c r="A4861" t="s">
        <v>144</v>
      </c>
      <c r="B4861">
        <v>76</v>
      </c>
      <c r="C4861">
        <v>33</v>
      </c>
      <c r="D4861">
        <v>5.2461000000000001E-2</v>
      </c>
      <c r="E4861">
        <v>-0.81548500000000002</v>
      </c>
      <c r="F4861">
        <v>-0.43345400000000001</v>
      </c>
      <c r="G4861">
        <v>-0.45349600000000001</v>
      </c>
      <c r="H4861" s="42">
        <f t="shared" si="20"/>
        <v>-0.45349572829099999</v>
      </c>
      <c r="I4861" s="42">
        <f t="shared" si="21"/>
        <v>2.7170900002149168E-7</v>
      </c>
    </row>
    <row r="4862" spans="1:9">
      <c r="A4862" t="s">
        <v>144</v>
      </c>
      <c r="B4862">
        <v>76</v>
      </c>
      <c r="C4862">
        <v>34</v>
      </c>
      <c r="D4862">
        <v>5.2461000000000001E-2</v>
      </c>
      <c r="E4862">
        <v>0.76552600000000004</v>
      </c>
      <c r="F4862">
        <v>0.77547500000000003</v>
      </c>
      <c r="G4862">
        <v>0.774953</v>
      </c>
      <c r="H4862" s="42">
        <f t="shared" si="20"/>
        <v>0.77495306551100007</v>
      </c>
      <c r="I4862" s="42">
        <f t="shared" si="21"/>
        <v>6.5511000069129466E-8</v>
      </c>
    </row>
    <row r="4863" spans="1:9">
      <c r="A4863" t="s">
        <v>144</v>
      </c>
      <c r="B4863">
        <v>76</v>
      </c>
      <c r="C4863">
        <v>35</v>
      </c>
      <c r="D4863">
        <v>5.2461000000000001E-2</v>
      </c>
      <c r="E4863">
        <v>0.32721899999999998</v>
      </c>
      <c r="F4863">
        <v>-0.146092</v>
      </c>
      <c r="G4863">
        <v>-0.12126199999999999</v>
      </c>
      <c r="H4863" s="42">
        <f t="shared" si="20"/>
        <v>-0.121261631629</v>
      </c>
      <c r="I4863" s="42">
        <f t="shared" si="21"/>
        <v>3.6837099999520451E-7</v>
      </c>
    </row>
    <row r="4864" spans="1:9">
      <c r="A4864" t="s">
        <v>144</v>
      </c>
      <c r="B4864">
        <v>76</v>
      </c>
      <c r="C4864">
        <v>36</v>
      </c>
      <c r="D4864">
        <v>5.2461000000000001E-2</v>
      </c>
      <c r="E4864">
        <v>0.89513799999999999</v>
      </c>
      <c r="F4864">
        <v>-8.7436E-2</v>
      </c>
      <c r="G4864">
        <v>-3.5888000000000003E-2</v>
      </c>
      <c r="H4864" s="42">
        <f t="shared" si="20"/>
        <v>-3.5889185386000007E-2</v>
      </c>
      <c r="I4864" s="42">
        <f t="shared" si="21"/>
        <v>-1.1853860000035632E-6</v>
      </c>
    </row>
    <row r="4865" spans="1:9">
      <c r="A4865" t="s">
        <v>144</v>
      </c>
      <c r="B4865">
        <v>76</v>
      </c>
      <c r="C4865">
        <v>37</v>
      </c>
      <c r="D4865">
        <v>5.2461000000000001E-2</v>
      </c>
      <c r="E4865">
        <v>-0.31080000000000002</v>
      </c>
      <c r="F4865">
        <v>-0.76271900000000004</v>
      </c>
      <c r="G4865">
        <v>-0.73900999999999994</v>
      </c>
      <c r="H4865" s="42">
        <f t="shared" si="20"/>
        <v>-0.73901087734100002</v>
      </c>
      <c r="I4865" s="42">
        <f t="shared" si="21"/>
        <v>-8.7734100007175186E-7</v>
      </c>
    </row>
    <row r="4866" spans="1:9">
      <c r="A4866" t="s">
        <v>144</v>
      </c>
      <c r="B4866">
        <v>76</v>
      </c>
      <c r="C4866">
        <v>38</v>
      </c>
      <c r="D4866">
        <v>5.2461000000000001E-2</v>
      </c>
      <c r="E4866">
        <v>1.3854999999999999E-2</v>
      </c>
      <c r="F4866">
        <v>0.454237</v>
      </c>
      <c r="G4866">
        <v>0.43113400000000002</v>
      </c>
      <c r="H4866" s="42">
        <f t="shared" si="20"/>
        <v>0.43113411989799999</v>
      </c>
      <c r="I4866" s="42">
        <f t="shared" si="21"/>
        <v>1.198979999728067E-7</v>
      </c>
    </row>
    <row r="4867" spans="1:9">
      <c r="A4867" t="s">
        <v>144</v>
      </c>
      <c r="B4867">
        <v>76</v>
      </c>
      <c r="C4867">
        <v>39</v>
      </c>
      <c r="D4867">
        <v>5.2461000000000001E-2</v>
      </c>
      <c r="E4867">
        <v>3.8149999999999998E-3</v>
      </c>
      <c r="F4867">
        <v>0.27069900000000002</v>
      </c>
      <c r="G4867">
        <v>0.25669799999999998</v>
      </c>
      <c r="H4867" s="42">
        <f t="shared" si="20"/>
        <v>0.25669799847600006</v>
      </c>
      <c r="I4867" s="42">
        <f t="shared" si="21"/>
        <v>-1.523999926256181E-9</v>
      </c>
    </row>
    <row r="4868" spans="1:9">
      <c r="A4868" t="s">
        <v>144</v>
      </c>
      <c r="B4868">
        <v>76</v>
      </c>
      <c r="C4868">
        <v>40</v>
      </c>
      <c r="D4868">
        <v>5.2461000000000001E-2</v>
      </c>
      <c r="E4868">
        <v>-0.90935999999999995</v>
      </c>
      <c r="F4868">
        <v>-0.55275099999999999</v>
      </c>
      <c r="G4868">
        <v>-0.57145900000000005</v>
      </c>
      <c r="H4868" s="42">
        <f t="shared" si="20"/>
        <v>-0.57145906474899999</v>
      </c>
      <c r="I4868" s="42">
        <f t="shared" si="21"/>
        <v>-6.4748999939467922E-8</v>
      </c>
    </row>
    <row r="4869" spans="1:9">
      <c r="A4869" t="s">
        <v>144</v>
      </c>
      <c r="B4869">
        <v>76</v>
      </c>
      <c r="C4869">
        <v>41</v>
      </c>
      <c r="D4869">
        <v>5.2461000000000001E-2</v>
      </c>
      <c r="E4869">
        <v>0.33951799999999999</v>
      </c>
      <c r="F4869">
        <v>-0.87289000000000005</v>
      </c>
      <c r="G4869">
        <v>-0.80928599999999995</v>
      </c>
      <c r="H4869" s="42">
        <f t="shared" si="20"/>
        <v>-0.80928586391200008</v>
      </c>
      <c r="I4869" s="42">
        <f t="shared" si="21"/>
        <v>1.3608799986908338E-7</v>
      </c>
    </row>
    <row r="4870" spans="1:9">
      <c r="A4870" t="s">
        <v>144</v>
      </c>
      <c r="B4870">
        <v>76</v>
      </c>
      <c r="C4870">
        <v>42</v>
      </c>
      <c r="D4870">
        <v>5.2461000000000001E-2</v>
      </c>
      <c r="E4870">
        <v>-0.583453</v>
      </c>
      <c r="F4870">
        <v>-0.20108599999999999</v>
      </c>
      <c r="G4870">
        <v>-0.22114600000000001</v>
      </c>
      <c r="H4870" s="42">
        <f t="shared" si="20"/>
        <v>-0.22114535518699999</v>
      </c>
      <c r="I4870" s="42">
        <f t="shared" si="21"/>
        <v>6.4481300002250386E-7</v>
      </c>
    </row>
    <row r="4871" spans="1:9">
      <c r="A4871" t="s">
        <v>144</v>
      </c>
      <c r="B4871">
        <v>76</v>
      </c>
      <c r="C4871">
        <v>43</v>
      </c>
      <c r="D4871">
        <v>5.2461000000000001E-2</v>
      </c>
      <c r="E4871">
        <v>0.75804899999999997</v>
      </c>
      <c r="F4871">
        <v>-0.87072400000000005</v>
      </c>
      <c r="G4871">
        <v>-0.78527599999999997</v>
      </c>
      <c r="H4871" s="42">
        <f t="shared" si="20"/>
        <v>-0.78527693964700007</v>
      </c>
      <c r="I4871" s="42">
        <f t="shared" si="21"/>
        <v>-9.3964700009774305E-7</v>
      </c>
    </row>
    <row r="4872" spans="1:9">
      <c r="A4872" t="s">
        <v>144</v>
      </c>
      <c r="B4872">
        <v>76</v>
      </c>
      <c r="C4872">
        <v>44</v>
      </c>
      <c r="D4872">
        <v>5.2461000000000001E-2</v>
      </c>
      <c r="E4872">
        <v>-0.80284999999999995</v>
      </c>
      <c r="F4872">
        <v>0.55940400000000001</v>
      </c>
      <c r="G4872">
        <v>0.48793900000000001</v>
      </c>
      <c r="H4872" s="42">
        <f t="shared" si="20"/>
        <v>0.48793879290600006</v>
      </c>
      <c r="I4872" s="42">
        <f t="shared" si="21"/>
        <v>-2.0709399994878197E-7</v>
      </c>
    </row>
    <row r="4873" spans="1:9">
      <c r="A4873" t="s">
        <v>144</v>
      </c>
      <c r="B4873">
        <v>76</v>
      </c>
      <c r="C4873">
        <v>45</v>
      </c>
      <c r="D4873">
        <v>5.2461000000000001E-2</v>
      </c>
      <c r="E4873">
        <v>0.41001599999999999</v>
      </c>
      <c r="F4873">
        <v>0.72179300000000002</v>
      </c>
      <c r="G4873">
        <v>0.70543699999999998</v>
      </c>
      <c r="H4873" s="42">
        <f t="shared" si="20"/>
        <v>0.705436866803</v>
      </c>
      <c r="I4873" s="42">
        <f t="shared" si="21"/>
        <v>-1.3319699998515233E-7</v>
      </c>
    </row>
    <row r="4874" spans="1:9">
      <c r="A4874" t="s">
        <v>144</v>
      </c>
      <c r="B4874">
        <v>76</v>
      </c>
      <c r="C4874">
        <v>46</v>
      </c>
      <c r="D4874">
        <v>5.2461000000000001E-2</v>
      </c>
      <c r="E4874">
        <v>-0.18246999999999999</v>
      </c>
      <c r="F4874">
        <v>-0.89501600000000003</v>
      </c>
      <c r="G4874">
        <v>-0.85763500000000004</v>
      </c>
      <c r="H4874" s="42">
        <f t="shared" si="20"/>
        <v>-0.85763512429400002</v>
      </c>
      <c r="I4874" s="42">
        <f t="shared" si="21"/>
        <v>-1.24293999981262E-7</v>
      </c>
    </row>
    <row r="4875" spans="1:9">
      <c r="A4875" t="s">
        <v>144</v>
      </c>
      <c r="B4875">
        <v>76</v>
      </c>
      <c r="C4875">
        <v>47</v>
      </c>
      <c r="D4875">
        <v>5.2461000000000001E-2</v>
      </c>
      <c r="E4875">
        <v>0.159307</v>
      </c>
      <c r="F4875">
        <v>-0.176977</v>
      </c>
      <c r="G4875">
        <v>-0.159335</v>
      </c>
      <c r="H4875" s="42">
        <f t="shared" si="20"/>
        <v>-0.15933520507599999</v>
      </c>
      <c r="I4875" s="42">
        <f t="shared" si="21"/>
        <v>-2.0507599998720316E-7</v>
      </c>
    </row>
    <row r="4876" spans="1:9">
      <c r="A4876" t="s">
        <v>144</v>
      </c>
      <c r="B4876">
        <v>76</v>
      </c>
      <c r="C4876">
        <v>48</v>
      </c>
      <c r="D4876">
        <v>5.2461000000000001E-2</v>
      </c>
      <c r="E4876">
        <v>-0.45872400000000002</v>
      </c>
      <c r="F4876">
        <v>6.8484000000000003E-2</v>
      </c>
      <c r="G4876">
        <v>4.0826000000000001E-2</v>
      </c>
      <c r="H4876" s="42">
        <f t="shared" si="20"/>
        <v>4.0826141112000003E-2</v>
      </c>
      <c r="I4876" s="42">
        <f t="shared" si="21"/>
        <v>1.4111200000166413E-7</v>
      </c>
    </row>
    <row r="4877" spans="1:9">
      <c r="A4877" t="s">
        <v>144</v>
      </c>
      <c r="B4877">
        <v>76</v>
      </c>
      <c r="C4877">
        <v>49</v>
      </c>
      <c r="D4877">
        <v>5.2461000000000001E-2</v>
      </c>
      <c r="E4877">
        <v>0.29053600000000002</v>
      </c>
      <c r="F4877">
        <v>-0.90423299999999995</v>
      </c>
      <c r="G4877">
        <v>-0.84155400000000002</v>
      </c>
      <c r="H4877" s="42">
        <f t="shared" si="20"/>
        <v>-0.84155422349099995</v>
      </c>
      <c r="I4877" s="42">
        <f t="shared" si="21"/>
        <v>-2.2349099992879928E-7</v>
      </c>
    </row>
    <row r="4878" spans="1:9">
      <c r="A4878" t="s">
        <v>144</v>
      </c>
      <c r="B4878" t="s">
        <v>145</v>
      </c>
      <c r="C4878">
        <v>77</v>
      </c>
    </row>
    <row r="4879" spans="1:9">
      <c r="A4879" t="s">
        <v>144</v>
      </c>
      <c r="B4879" t="s">
        <v>146</v>
      </c>
      <c r="C4879">
        <v>64</v>
      </c>
    </row>
    <row r="4880" spans="1:9">
      <c r="A4880" t="s">
        <v>144</v>
      </c>
      <c r="B4880" t="s">
        <v>147</v>
      </c>
      <c r="C4880">
        <v>64</v>
      </c>
    </row>
    <row r="4881" spans="1:7">
      <c r="A4881" t="s">
        <v>144</v>
      </c>
      <c r="B4881" t="s">
        <v>148</v>
      </c>
      <c r="C4881">
        <v>0.46232499999999999</v>
      </c>
    </row>
    <row r="4882" spans="1:7">
      <c r="A4882" t="s">
        <v>144</v>
      </c>
      <c r="B4882" t="s">
        <v>149</v>
      </c>
      <c r="C4882">
        <v>0.46232499999999999</v>
      </c>
    </row>
    <row r="4883" spans="1:7">
      <c r="A4883" t="s">
        <v>144</v>
      </c>
      <c r="B4883" t="s">
        <v>150</v>
      </c>
      <c r="C4883">
        <v>-1</v>
      </c>
    </row>
    <row r="4884" spans="1:7">
      <c r="A4884" t="s">
        <v>144</v>
      </c>
      <c r="B4884" t="s">
        <v>151</v>
      </c>
      <c r="C4884">
        <v>-1</v>
      </c>
    </row>
    <row r="4885" spans="1:7">
      <c r="A4885" t="s">
        <v>144</v>
      </c>
      <c r="B4885" t="s">
        <v>152</v>
      </c>
      <c r="C4885">
        <v>26</v>
      </c>
    </row>
    <row r="4886" spans="1:7">
      <c r="A4886" t="s">
        <v>144</v>
      </c>
      <c r="B4886" t="s">
        <v>153</v>
      </c>
      <c r="C4886">
        <v>26</v>
      </c>
    </row>
    <row r="4887" spans="1:7">
      <c r="A4887" t="s">
        <v>144</v>
      </c>
      <c r="B4887" t="s">
        <v>154</v>
      </c>
      <c r="C4887">
        <v>0</v>
      </c>
    </row>
    <row r="4888" spans="1:7">
      <c r="A4888" t="s">
        <v>144</v>
      </c>
      <c r="B4888" t="s">
        <v>155</v>
      </c>
    </row>
    <row r="4889" spans="1:7">
      <c r="A4889" t="s">
        <v>144</v>
      </c>
      <c r="B4889" t="s">
        <v>150</v>
      </c>
      <c r="C4889">
        <v>0.23041500000000001</v>
      </c>
    </row>
    <row r="4890" spans="1:7">
      <c r="A4890" t="s">
        <v>144</v>
      </c>
      <c r="B4890" t="s">
        <v>151</v>
      </c>
      <c r="C4890">
        <v>0.23041500000000001</v>
      </c>
    </row>
    <row r="4891" spans="1:7">
      <c r="A4891" t="s">
        <v>144</v>
      </c>
      <c r="B4891" t="s">
        <v>156</v>
      </c>
      <c r="C4891" t="s">
        <v>157</v>
      </c>
      <c r="D4891" t="s">
        <v>63</v>
      </c>
      <c r="E4891" t="s">
        <v>158</v>
      </c>
      <c r="F4891" t="s">
        <v>159</v>
      </c>
      <c r="G4891" t="s">
        <v>160</v>
      </c>
    </row>
    <row r="4892" spans="1:7">
      <c r="A4892" t="s">
        <v>144</v>
      </c>
      <c r="B4892">
        <v>77</v>
      </c>
      <c r="C4892">
        <v>0</v>
      </c>
      <c r="D4892">
        <v>0.23041500000000001</v>
      </c>
      <c r="E4892">
        <v>-0.91607400000000005</v>
      </c>
      <c r="F4892">
        <v>-1</v>
      </c>
      <c r="G4892">
        <v>-0.91607400000000005</v>
      </c>
    </row>
    <row r="4893" spans="1:7">
      <c r="A4893" t="s">
        <v>144</v>
      </c>
      <c r="B4893">
        <v>77</v>
      </c>
      <c r="C4893">
        <v>1</v>
      </c>
      <c r="D4893">
        <v>0.23041500000000001</v>
      </c>
      <c r="E4893">
        <v>-0.50422699999999998</v>
      </c>
      <c r="F4893">
        <v>-1</v>
      </c>
      <c r="G4893">
        <v>-0.50422699999999998</v>
      </c>
    </row>
    <row r="4894" spans="1:7">
      <c r="A4894" t="s">
        <v>144</v>
      </c>
      <c r="B4894">
        <v>77</v>
      </c>
      <c r="C4894">
        <v>2</v>
      </c>
      <c r="D4894">
        <v>0.23041500000000001</v>
      </c>
      <c r="E4894">
        <v>-0.50395199999999996</v>
      </c>
      <c r="F4894">
        <v>-1</v>
      </c>
      <c r="G4894">
        <v>-0.50395199999999996</v>
      </c>
    </row>
    <row r="4895" spans="1:7">
      <c r="A4895" t="s">
        <v>144</v>
      </c>
      <c r="B4895">
        <v>77</v>
      </c>
      <c r="C4895">
        <v>3</v>
      </c>
      <c r="D4895">
        <v>0.23041500000000001</v>
      </c>
      <c r="E4895">
        <v>0.486709</v>
      </c>
      <c r="F4895">
        <v>-1</v>
      </c>
      <c r="G4895">
        <v>0.486709</v>
      </c>
    </row>
    <row r="4896" spans="1:7">
      <c r="A4896" t="s">
        <v>144</v>
      </c>
      <c r="B4896">
        <v>77</v>
      </c>
      <c r="C4896">
        <v>4</v>
      </c>
      <c r="D4896">
        <v>0.23041500000000001</v>
      </c>
      <c r="E4896">
        <v>-0.85781399999999997</v>
      </c>
      <c r="F4896">
        <v>-1</v>
      </c>
      <c r="G4896">
        <v>-0.85781399999999997</v>
      </c>
    </row>
    <row r="4897" spans="1:7">
      <c r="A4897" t="s">
        <v>144</v>
      </c>
      <c r="B4897">
        <v>77</v>
      </c>
      <c r="C4897">
        <v>5</v>
      </c>
      <c r="D4897">
        <v>0.23041500000000001</v>
      </c>
      <c r="E4897">
        <v>-0.876247</v>
      </c>
      <c r="F4897">
        <v>-1</v>
      </c>
      <c r="G4897">
        <v>-0.876247</v>
      </c>
    </row>
    <row r="4898" spans="1:7">
      <c r="A4898" t="s">
        <v>144</v>
      </c>
      <c r="B4898">
        <v>77</v>
      </c>
      <c r="C4898">
        <v>6</v>
      </c>
      <c r="D4898">
        <v>0.23041500000000001</v>
      </c>
      <c r="E4898">
        <v>-0.62138700000000002</v>
      </c>
      <c r="F4898">
        <v>-1</v>
      </c>
      <c r="G4898">
        <v>-0.62138700000000002</v>
      </c>
    </row>
    <row r="4899" spans="1:7">
      <c r="A4899" t="s">
        <v>144</v>
      </c>
      <c r="B4899">
        <v>77</v>
      </c>
      <c r="C4899">
        <v>7</v>
      </c>
      <c r="D4899">
        <v>0.23041500000000001</v>
      </c>
      <c r="E4899">
        <v>-0.79592300000000005</v>
      </c>
      <c r="F4899">
        <v>-1</v>
      </c>
      <c r="G4899">
        <v>-0.79592300000000005</v>
      </c>
    </row>
    <row r="4900" spans="1:7">
      <c r="A4900" t="s">
        <v>144</v>
      </c>
      <c r="B4900">
        <v>77</v>
      </c>
      <c r="C4900">
        <v>8</v>
      </c>
      <c r="D4900">
        <v>0.23041500000000001</v>
      </c>
      <c r="E4900">
        <v>-0.86458900000000005</v>
      </c>
      <c r="F4900">
        <v>-1</v>
      </c>
      <c r="G4900">
        <v>-0.86458900000000005</v>
      </c>
    </row>
    <row r="4901" spans="1:7">
      <c r="A4901" t="s">
        <v>144</v>
      </c>
      <c r="B4901">
        <v>77</v>
      </c>
      <c r="C4901">
        <v>9</v>
      </c>
      <c r="D4901">
        <v>0.23041500000000001</v>
      </c>
      <c r="E4901">
        <v>0.53178499999999995</v>
      </c>
      <c r="F4901">
        <v>-1</v>
      </c>
      <c r="G4901">
        <v>0.53178499999999995</v>
      </c>
    </row>
    <row r="4902" spans="1:7">
      <c r="A4902" t="s">
        <v>144</v>
      </c>
      <c r="B4902">
        <v>77</v>
      </c>
      <c r="C4902">
        <v>10</v>
      </c>
      <c r="D4902">
        <v>0.23041500000000001</v>
      </c>
      <c r="E4902">
        <v>7.7090000000000006E-2</v>
      </c>
      <c r="F4902">
        <v>-1</v>
      </c>
      <c r="G4902">
        <v>7.7090000000000006E-2</v>
      </c>
    </row>
    <row r="4903" spans="1:7">
      <c r="A4903" t="s">
        <v>144</v>
      </c>
      <c r="B4903">
        <v>77</v>
      </c>
      <c r="C4903">
        <v>11</v>
      </c>
      <c r="D4903">
        <v>0.23041500000000001</v>
      </c>
      <c r="E4903">
        <v>0.72692000000000001</v>
      </c>
      <c r="F4903">
        <v>-1</v>
      </c>
      <c r="G4903">
        <v>0.72692000000000001</v>
      </c>
    </row>
    <row r="4904" spans="1:7">
      <c r="A4904" t="s">
        <v>144</v>
      </c>
      <c r="B4904">
        <v>77</v>
      </c>
      <c r="C4904">
        <v>12</v>
      </c>
      <c r="D4904">
        <v>0.23041500000000001</v>
      </c>
      <c r="E4904">
        <v>-0.16428100000000001</v>
      </c>
      <c r="F4904">
        <v>-1</v>
      </c>
      <c r="G4904">
        <v>-0.16428100000000001</v>
      </c>
    </row>
    <row r="4905" spans="1:7">
      <c r="A4905" t="s">
        <v>144</v>
      </c>
      <c r="B4905">
        <v>77</v>
      </c>
      <c r="C4905">
        <v>13</v>
      </c>
      <c r="D4905">
        <v>0.23041500000000001</v>
      </c>
      <c r="E4905">
        <v>-0.59279199999999999</v>
      </c>
      <c r="F4905">
        <v>-1</v>
      </c>
      <c r="G4905">
        <v>-0.59279199999999999</v>
      </c>
    </row>
    <row r="4906" spans="1:7">
      <c r="A4906" t="s">
        <v>144</v>
      </c>
      <c r="B4906">
        <v>77</v>
      </c>
      <c r="C4906">
        <v>14</v>
      </c>
      <c r="D4906">
        <v>0.23041500000000001</v>
      </c>
      <c r="E4906">
        <v>0.60103200000000001</v>
      </c>
      <c r="F4906">
        <v>-1</v>
      </c>
      <c r="G4906">
        <v>0.60103200000000001</v>
      </c>
    </row>
    <row r="4907" spans="1:7">
      <c r="A4907" t="s">
        <v>144</v>
      </c>
      <c r="B4907">
        <v>77</v>
      </c>
      <c r="C4907">
        <v>15</v>
      </c>
      <c r="D4907">
        <v>0.23041500000000001</v>
      </c>
      <c r="E4907">
        <v>-0.54478599999999999</v>
      </c>
      <c r="F4907">
        <v>-1</v>
      </c>
      <c r="G4907">
        <v>-0.54478599999999999</v>
      </c>
    </row>
    <row r="4908" spans="1:7">
      <c r="A4908" t="s">
        <v>144</v>
      </c>
      <c r="B4908">
        <v>77</v>
      </c>
      <c r="C4908">
        <v>16</v>
      </c>
      <c r="D4908">
        <v>0.23041500000000001</v>
      </c>
      <c r="E4908">
        <v>0.40006700000000001</v>
      </c>
      <c r="F4908">
        <v>-1</v>
      </c>
      <c r="G4908">
        <v>0.40006700000000001</v>
      </c>
    </row>
    <row r="4909" spans="1:7">
      <c r="A4909" t="s">
        <v>144</v>
      </c>
      <c r="B4909">
        <v>77</v>
      </c>
      <c r="C4909">
        <v>17</v>
      </c>
      <c r="D4909">
        <v>0.23041500000000001</v>
      </c>
      <c r="E4909">
        <v>0.167577</v>
      </c>
      <c r="F4909">
        <v>-1</v>
      </c>
      <c r="G4909">
        <v>0.167577</v>
      </c>
    </row>
    <row r="4910" spans="1:7">
      <c r="A4910" t="s">
        <v>144</v>
      </c>
      <c r="B4910">
        <v>77</v>
      </c>
      <c r="C4910">
        <v>18</v>
      </c>
      <c r="D4910">
        <v>0.23041500000000001</v>
      </c>
      <c r="E4910">
        <v>-5.1209999999999999E-2</v>
      </c>
      <c r="F4910">
        <v>-1</v>
      </c>
      <c r="G4910">
        <v>-5.1209999999999999E-2</v>
      </c>
    </row>
    <row r="4911" spans="1:7">
      <c r="A4911" t="s">
        <v>144</v>
      </c>
      <c r="B4911">
        <v>77</v>
      </c>
      <c r="C4911">
        <v>19</v>
      </c>
      <c r="D4911">
        <v>0.23041500000000001</v>
      </c>
      <c r="E4911">
        <v>0.91701999999999995</v>
      </c>
      <c r="F4911">
        <v>-1</v>
      </c>
      <c r="G4911">
        <v>0.91701999999999995</v>
      </c>
    </row>
    <row r="4912" spans="1:7">
      <c r="A4912" t="s">
        <v>144</v>
      </c>
      <c r="B4912">
        <v>77</v>
      </c>
      <c r="C4912">
        <v>20</v>
      </c>
      <c r="D4912">
        <v>0.23041500000000001</v>
      </c>
      <c r="E4912">
        <v>8.7251999999999996E-2</v>
      </c>
      <c r="F4912">
        <v>-1</v>
      </c>
      <c r="G4912">
        <v>8.7251999999999996E-2</v>
      </c>
    </row>
    <row r="4913" spans="1:7">
      <c r="A4913" t="s">
        <v>144</v>
      </c>
      <c r="B4913">
        <v>77</v>
      </c>
      <c r="C4913">
        <v>21</v>
      </c>
      <c r="D4913">
        <v>0.23041500000000001</v>
      </c>
      <c r="E4913">
        <v>0.46430900000000003</v>
      </c>
      <c r="F4913">
        <v>-1</v>
      </c>
      <c r="G4913">
        <v>0.46430900000000003</v>
      </c>
    </row>
    <row r="4914" spans="1:7">
      <c r="A4914" t="s">
        <v>144</v>
      </c>
      <c r="B4914">
        <v>77</v>
      </c>
      <c r="C4914">
        <v>22</v>
      </c>
      <c r="D4914">
        <v>0.23041500000000001</v>
      </c>
      <c r="E4914">
        <v>0.43330200000000002</v>
      </c>
      <c r="F4914">
        <v>-1</v>
      </c>
      <c r="G4914">
        <v>0.43330200000000002</v>
      </c>
    </row>
    <row r="4915" spans="1:7">
      <c r="A4915" t="s">
        <v>144</v>
      </c>
      <c r="B4915">
        <v>77</v>
      </c>
      <c r="C4915">
        <v>23</v>
      </c>
      <c r="D4915">
        <v>0.23041500000000001</v>
      </c>
      <c r="E4915">
        <v>-8.9328000000000005E-2</v>
      </c>
      <c r="F4915">
        <v>-1</v>
      </c>
      <c r="G4915">
        <v>-8.9328000000000005E-2</v>
      </c>
    </row>
    <row r="4916" spans="1:7">
      <c r="A4916" t="s">
        <v>144</v>
      </c>
      <c r="B4916">
        <v>77</v>
      </c>
      <c r="C4916">
        <v>24</v>
      </c>
      <c r="D4916">
        <v>0.23041500000000001</v>
      </c>
      <c r="E4916">
        <v>0.19534899999999999</v>
      </c>
      <c r="F4916">
        <v>-1</v>
      </c>
      <c r="G4916">
        <v>0.19534899999999999</v>
      </c>
    </row>
    <row r="4917" spans="1:7">
      <c r="A4917" t="s">
        <v>144</v>
      </c>
      <c r="B4917">
        <v>77</v>
      </c>
      <c r="C4917">
        <v>25</v>
      </c>
      <c r="D4917">
        <v>0.23041500000000001</v>
      </c>
      <c r="E4917">
        <v>-2.8993000000000001E-2</v>
      </c>
      <c r="F4917">
        <v>-1</v>
      </c>
      <c r="G4917">
        <v>-2.8993000000000001E-2</v>
      </c>
    </row>
    <row r="4918" spans="1:7">
      <c r="A4918" t="s">
        <v>144</v>
      </c>
      <c r="B4918">
        <v>77</v>
      </c>
      <c r="C4918">
        <v>26</v>
      </c>
      <c r="D4918">
        <v>0.23041500000000001</v>
      </c>
      <c r="E4918">
        <v>-4.4922999999999998E-2</v>
      </c>
      <c r="F4918">
        <v>-0.67696199999999995</v>
      </c>
      <c r="G4918">
        <v>-0.531331</v>
      </c>
    </row>
    <row r="4919" spans="1:7">
      <c r="A4919" t="s">
        <v>144</v>
      </c>
      <c r="B4919">
        <v>77</v>
      </c>
      <c r="C4919">
        <v>27</v>
      </c>
      <c r="D4919">
        <v>0.23041500000000001</v>
      </c>
      <c r="E4919">
        <v>-0.18656</v>
      </c>
      <c r="F4919">
        <v>-0.93832199999999999</v>
      </c>
      <c r="G4919">
        <v>-0.76510500000000004</v>
      </c>
    </row>
    <row r="4920" spans="1:7">
      <c r="A4920" t="s">
        <v>144</v>
      </c>
      <c r="B4920">
        <v>77</v>
      </c>
      <c r="C4920">
        <v>28</v>
      </c>
      <c r="D4920">
        <v>0.23041500000000001</v>
      </c>
      <c r="E4920">
        <v>-0.85519000000000001</v>
      </c>
      <c r="F4920">
        <v>0.86553500000000005</v>
      </c>
      <c r="G4920">
        <v>0.469055</v>
      </c>
    </row>
    <row r="4921" spans="1:7">
      <c r="A4921" t="s">
        <v>144</v>
      </c>
      <c r="B4921">
        <v>77</v>
      </c>
      <c r="C4921">
        <v>29</v>
      </c>
      <c r="D4921">
        <v>0.23041500000000001</v>
      </c>
      <c r="E4921">
        <v>0.109073</v>
      </c>
      <c r="F4921">
        <v>0.45188800000000001</v>
      </c>
      <c r="G4921">
        <v>0.37289800000000001</v>
      </c>
    </row>
    <row r="4922" spans="1:7">
      <c r="A4922" t="s">
        <v>144</v>
      </c>
      <c r="B4922">
        <v>77</v>
      </c>
      <c r="C4922">
        <v>30</v>
      </c>
      <c r="D4922">
        <v>0.23041500000000001</v>
      </c>
      <c r="E4922">
        <v>0.74553700000000001</v>
      </c>
      <c r="F4922">
        <v>0.49861100000000003</v>
      </c>
      <c r="G4922">
        <v>0.55550699999999997</v>
      </c>
    </row>
    <row r="4923" spans="1:7">
      <c r="A4923" t="s">
        <v>144</v>
      </c>
      <c r="B4923">
        <v>77</v>
      </c>
      <c r="C4923">
        <v>31</v>
      </c>
      <c r="D4923">
        <v>0.23041500000000001</v>
      </c>
      <c r="E4923">
        <v>-0.63826400000000005</v>
      </c>
      <c r="F4923">
        <v>0.224525</v>
      </c>
      <c r="G4923">
        <v>2.5725000000000001E-2</v>
      </c>
    </row>
    <row r="4924" spans="1:7">
      <c r="A4924" t="s">
        <v>144</v>
      </c>
      <c r="B4924">
        <v>77</v>
      </c>
      <c r="C4924">
        <v>32</v>
      </c>
      <c r="D4924">
        <v>0.23041500000000001</v>
      </c>
      <c r="E4924">
        <v>0.19074099999999999</v>
      </c>
      <c r="F4924">
        <v>0.91579900000000003</v>
      </c>
      <c r="G4924">
        <v>0.74873500000000004</v>
      </c>
    </row>
    <row r="4925" spans="1:7">
      <c r="A4925" t="s">
        <v>144</v>
      </c>
      <c r="B4925">
        <v>77</v>
      </c>
      <c r="C4925">
        <v>33</v>
      </c>
      <c r="D4925">
        <v>0.23041500000000001</v>
      </c>
      <c r="E4925">
        <v>0.141514</v>
      </c>
      <c r="F4925">
        <v>-0.251106</v>
      </c>
      <c r="G4925">
        <v>-0.16064100000000001</v>
      </c>
    </row>
    <row r="4926" spans="1:7">
      <c r="A4926" t="s">
        <v>144</v>
      </c>
      <c r="B4926">
        <v>77</v>
      </c>
      <c r="C4926">
        <v>34</v>
      </c>
      <c r="D4926">
        <v>0.23041500000000001</v>
      </c>
      <c r="E4926">
        <v>0.35059699999999999</v>
      </c>
      <c r="F4926">
        <v>-0.51741099999999995</v>
      </c>
      <c r="G4926">
        <v>-0.317409</v>
      </c>
    </row>
    <row r="4927" spans="1:7">
      <c r="A4927" t="s">
        <v>144</v>
      </c>
      <c r="B4927">
        <v>77</v>
      </c>
      <c r="C4927">
        <v>35</v>
      </c>
      <c r="D4927">
        <v>0.23041500000000001</v>
      </c>
      <c r="E4927">
        <v>0.729576</v>
      </c>
      <c r="F4927">
        <v>-0.151341</v>
      </c>
      <c r="G4927">
        <v>5.1635E-2</v>
      </c>
    </row>
    <row r="4928" spans="1:7">
      <c r="A4928" t="s">
        <v>144</v>
      </c>
      <c r="B4928">
        <v>77</v>
      </c>
      <c r="C4928">
        <v>36</v>
      </c>
      <c r="D4928">
        <v>0.23041500000000001</v>
      </c>
      <c r="E4928">
        <v>0.27649800000000002</v>
      </c>
      <c r="F4928">
        <v>-2.9786E-2</v>
      </c>
      <c r="G4928">
        <v>4.0786000000000003E-2</v>
      </c>
    </row>
    <row r="4929" spans="1:7">
      <c r="A4929" t="s">
        <v>144</v>
      </c>
      <c r="B4929">
        <v>77</v>
      </c>
      <c r="C4929">
        <v>37</v>
      </c>
      <c r="D4929">
        <v>0.23041500000000001</v>
      </c>
      <c r="E4929">
        <v>0.36616100000000001</v>
      </c>
      <c r="F4929">
        <v>-0.80696999999999997</v>
      </c>
      <c r="G4929">
        <v>-0.53666400000000003</v>
      </c>
    </row>
    <row r="4930" spans="1:7">
      <c r="A4930" t="s">
        <v>144</v>
      </c>
      <c r="B4930">
        <v>77</v>
      </c>
      <c r="C4930">
        <v>38</v>
      </c>
      <c r="D4930">
        <v>0.23041500000000001</v>
      </c>
      <c r="E4930">
        <v>-0.15140200000000001</v>
      </c>
      <c r="F4930">
        <v>-0.49125600000000003</v>
      </c>
      <c r="G4930">
        <v>-0.41294900000000001</v>
      </c>
    </row>
    <row r="4931" spans="1:7">
      <c r="A4931" t="s">
        <v>144</v>
      </c>
      <c r="B4931">
        <v>77</v>
      </c>
      <c r="C4931">
        <v>39</v>
      </c>
      <c r="D4931">
        <v>0.23041500000000001</v>
      </c>
      <c r="E4931">
        <v>-0.27707799999999999</v>
      </c>
      <c r="F4931">
        <v>-0.485458</v>
      </c>
      <c r="G4931">
        <v>-0.437444</v>
      </c>
    </row>
    <row r="4932" spans="1:7">
      <c r="A4932" t="s">
        <v>144</v>
      </c>
      <c r="B4932">
        <v>77</v>
      </c>
      <c r="C4932">
        <v>40</v>
      </c>
      <c r="D4932">
        <v>0.23041500000000001</v>
      </c>
      <c r="E4932">
        <v>0.21915299999999999</v>
      </c>
      <c r="F4932">
        <v>-0.61494800000000005</v>
      </c>
      <c r="G4932">
        <v>-0.422759</v>
      </c>
    </row>
    <row r="4933" spans="1:7">
      <c r="A4933" t="s">
        <v>144</v>
      </c>
      <c r="B4933">
        <v>77</v>
      </c>
      <c r="C4933">
        <v>41</v>
      </c>
      <c r="D4933">
        <v>0.23041500000000001</v>
      </c>
      <c r="E4933">
        <v>0.56395200000000001</v>
      </c>
      <c r="F4933">
        <v>-0.35630400000000001</v>
      </c>
      <c r="G4933">
        <v>-0.144263</v>
      </c>
    </row>
    <row r="4934" spans="1:7">
      <c r="A4934" t="s">
        <v>144</v>
      </c>
      <c r="B4934">
        <v>77</v>
      </c>
      <c r="C4934">
        <v>42</v>
      </c>
      <c r="D4934">
        <v>0.23041500000000001</v>
      </c>
      <c r="E4934">
        <v>0.55943500000000002</v>
      </c>
      <c r="F4934">
        <v>0.68504900000000002</v>
      </c>
      <c r="G4934">
        <v>0.65610599999999997</v>
      </c>
    </row>
    <row r="4935" spans="1:7">
      <c r="A4935" t="s">
        <v>144</v>
      </c>
      <c r="B4935">
        <v>77</v>
      </c>
      <c r="C4935">
        <v>43</v>
      </c>
      <c r="D4935">
        <v>0.23041500000000001</v>
      </c>
      <c r="E4935">
        <v>-0.429456</v>
      </c>
      <c r="F4935">
        <v>0.80605499999999997</v>
      </c>
      <c r="G4935">
        <v>0.52137500000000003</v>
      </c>
    </row>
    <row r="4936" spans="1:7">
      <c r="A4936" t="s">
        <v>144</v>
      </c>
      <c r="B4936">
        <v>77</v>
      </c>
      <c r="C4936">
        <v>44</v>
      </c>
      <c r="D4936">
        <v>0.23041500000000001</v>
      </c>
      <c r="E4936">
        <v>-0.36484899999999998</v>
      </c>
      <c r="F4936">
        <v>0.64223200000000003</v>
      </c>
      <c r="G4936">
        <v>0.41018500000000002</v>
      </c>
    </row>
    <row r="4937" spans="1:7">
      <c r="A4937" t="s">
        <v>144</v>
      </c>
      <c r="B4937">
        <v>77</v>
      </c>
      <c r="C4937">
        <v>45</v>
      </c>
      <c r="D4937">
        <v>0.23041500000000001</v>
      </c>
      <c r="E4937">
        <v>0.92028600000000005</v>
      </c>
      <c r="F4937">
        <v>-0.45838800000000002</v>
      </c>
      <c r="G4937">
        <v>-0.14072100000000001</v>
      </c>
    </row>
    <row r="4938" spans="1:7">
      <c r="A4938" t="s">
        <v>144</v>
      </c>
      <c r="B4938">
        <v>77</v>
      </c>
      <c r="C4938">
        <v>46</v>
      </c>
      <c r="D4938">
        <v>0.23041500000000001</v>
      </c>
      <c r="E4938">
        <v>0.875973</v>
      </c>
      <c r="F4938">
        <v>0.51512199999999997</v>
      </c>
      <c r="G4938">
        <v>0.59826699999999999</v>
      </c>
    </row>
    <row r="4939" spans="1:7">
      <c r="A4939" t="s">
        <v>144</v>
      </c>
      <c r="B4939">
        <v>77</v>
      </c>
      <c r="C4939">
        <v>47</v>
      </c>
      <c r="D4939">
        <v>0.23041500000000001</v>
      </c>
      <c r="E4939">
        <v>0.59340199999999999</v>
      </c>
      <c r="F4939">
        <v>-0.30576500000000001</v>
      </c>
      <c r="G4939">
        <v>-9.8584000000000005E-2</v>
      </c>
    </row>
    <row r="4940" spans="1:7">
      <c r="A4940" t="s">
        <v>144</v>
      </c>
      <c r="B4940">
        <v>77</v>
      </c>
      <c r="C4940">
        <v>48</v>
      </c>
      <c r="D4940">
        <v>0.23041500000000001</v>
      </c>
      <c r="E4940">
        <v>-0.63109199999999999</v>
      </c>
      <c r="F4940">
        <v>0.853298</v>
      </c>
      <c r="G4940">
        <v>0.51127199999999995</v>
      </c>
    </row>
    <row r="4941" spans="1:7">
      <c r="A4941" t="s">
        <v>144</v>
      </c>
      <c r="B4941">
        <v>77</v>
      </c>
      <c r="C4941">
        <v>49</v>
      </c>
      <c r="D4941">
        <v>0.23041500000000001</v>
      </c>
      <c r="E4941">
        <v>-1.3184E-2</v>
      </c>
      <c r="F4941">
        <v>0.85824100000000003</v>
      </c>
      <c r="G4941">
        <v>0.65745200000000004</v>
      </c>
    </row>
    <row r="4942" spans="1:7">
      <c r="A4942" t="s">
        <v>144</v>
      </c>
      <c r="B4942" t="s">
        <v>145</v>
      </c>
      <c r="C4942">
        <v>78</v>
      </c>
    </row>
    <row r="4943" spans="1:7">
      <c r="A4943" t="s">
        <v>144</v>
      </c>
      <c r="B4943" t="s">
        <v>146</v>
      </c>
      <c r="C4943">
        <v>50</v>
      </c>
    </row>
    <row r="4944" spans="1:7">
      <c r="A4944" t="s">
        <v>144</v>
      </c>
      <c r="B4944" t="s">
        <v>147</v>
      </c>
      <c r="C4944">
        <v>50</v>
      </c>
    </row>
    <row r="4945" spans="1:7">
      <c r="A4945" t="s">
        <v>144</v>
      </c>
      <c r="B4945" t="s">
        <v>148</v>
      </c>
      <c r="C4945">
        <v>0.72099999999999997</v>
      </c>
    </row>
    <row r="4946" spans="1:7">
      <c r="A4946" t="s">
        <v>144</v>
      </c>
      <c r="B4946" t="s">
        <v>149</v>
      </c>
      <c r="C4946">
        <v>0.72099999999999997</v>
      </c>
    </row>
    <row r="4947" spans="1:7">
      <c r="A4947" t="s">
        <v>144</v>
      </c>
      <c r="B4947" t="s">
        <v>150</v>
      </c>
      <c r="C4947">
        <v>-1</v>
      </c>
    </row>
    <row r="4948" spans="1:7">
      <c r="A4948" t="s">
        <v>144</v>
      </c>
      <c r="B4948" t="s">
        <v>151</v>
      </c>
      <c r="C4948">
        <v>-1</v>
      </c>
    </row>
    <row r="4949" spans="1:7">
      <c r="A4949" t="s">
        <v>144</v>
      </c>
      <c r="B4949" t="s">
        <v>152</v>
      </c>
      <c r="C4949">
        <v>10</v>
      </c>
    </row>
    <row r="4950" spans="1:7">
      <c r="A4950" t="s">
        <v>144</v>
      </c>
      <c r="B4950" t="s">
        <v>153</v>
      </c>
      <c r="C4950">
        <v>10</v>
      </c>
    </row>
    <row r="4951" spans="1:7">
      <c r="A4951" t="s">
        <v>144</v>
      </c>
      <c r="B4951" t="s">
        <v>154</v>
      </c>
      <c r="C4951">
        <v>0</v>
      </c>
    </row>
    <row r="4952" spans="1:7">
      <c r="A4952" t="s">
        <v>144</v>
      </c>
      <c r="B4952" t="s">
        <v>155</v>
      </c>
    </row>
    <row r="4953" spans="1:7">
      <c r="A4953" t="s">
        <v>144</v>
      </c>
      <c r="B4953" t="s">
        <v>150</v>
      </c>
      <c r="C4953">
        <v>0.10477</v>
      </c>
    </row>
    <row r="4954" spans="1:7">
      <c r="A4954" t="s">
        <v>144</v>
      </c>
      <c r="B4954" t="s">
        <v>151</v>
      </c>
      <c r="C4954">
        <v>0.10477</v>
      </c>
    </row>
    <row r="4955" spans="1:7">
      <c r="A4955" t="s">
        <v>144</v>
      </c>
      <c r="B4955" t="s">
        <v>156</v>
      </c>
      <c r="C4955" t="s">
        <v>157</v>
      </c>
      <c r="D4955" t="s">
        <v>63</v>
      </c>
      <c r="E4955" t="s">
        <v>158</v>
      </c>
      <c r="F4955" t="s">
        <v>159</v>
      </c>
      <c r="G4955" t="s">
        <v>160</v>
      </c>
    </row>
    <row r="4956" spans="1:7">
      <c r="A4956" t="s">
        <v>144</v>
      </c>
      <c r="B4956">
        <v>78</v>
      </c>
      <c r="C4956">
        <v>0</v>
      </c>
      <c r="D4956">
        <v>0.10477</v>
      </c>
      <c r="E4956">
        <v>-0.19367000000000001</v>
      </c>
      <c r="F4956">
        <v>-1</v>
      </c>
      <c r="G4956">
        <v>-0.19367000000000001</v>
      </c>
    </row>
    <row r="4957" spans="1:7">
      <c r="A4957" t="s">
        <v>144</v>
      </c>
      <c r="B4957">
        <v>78</v>
      </c>
      <c r="C4957">
        <v>1</v>
      </c>
      <c r="D4957">
        <v>0.10477</v>
      </c>
      <c r="E4957">
        <v>-0.39393299999999998</v>
      </c>
      <c r="F4957">
        <v>-1</v>
      </c>
      <c r="G4957">
        <v>-0.39393299999999998</v>
      </c>
    </row>
    <row r="4958" spans="1:7">
      <c r="A4958" t="s">
        <v>144</v>
      </c>
      <c r="B4958">
        <v>78</v>
      </c>
      <c r="C4958">
        <v>2</v>
      </c>
      <c r="D4958">
        <v>0.10477</v>
      </c>
      <c r="E4958">
        <v>-0.50172399999999995</v>
      </c>
      <c r="F4958">
        <v>-1</v>
      </c>
      <c r="G4958">
        <v>-0.50172399999999995</v>
      </c>
    </row>
    <row r="4959" spans="1:7">
      <c r="A4959" t="s">
        <v>144</v>
      </c>
      <c r="B4959">
        <v>78</v>
      </c>
      <c r="C4959">
        <v>3</v>
      </c>
      <c r="D4959">
        <v>0.10477</v>
      </c>
      <c r="E4959">
        <v>0.59779700000000002</v>
      </c>
      <c r="F4959">
        <v>-1</v>
      </c>
      <c r="G4959">
        <v>0.59779700000000002</v>
      </c>
    </row>
    <row r="4960" spans="1:7">
      <c r="A4960" t="s">
        <v>144</v>
      </c>
      <c r="B4960">
        <v>78</v>
      </c>
      <c r="C4960">
        <v>4</v>
      </c>
      <c r="D4960">
        <v>0.10477</v>
      </c>
      <c r="E4960">
        <v>7.7210000000000004E-3</v>
      </c>
      <c r="F4960">
        <v>-1</v>
      </c>
      <c r="G4960">
        <v>7.7210000000000004E-3</v>
      </c>
    </row>
    <row r="4961" spans="1:7">
      <c r="A4961" t="s">
        <v>144</v>
      </c>
      <c r="B4961">
        <v>78</v>
      </c>
      <c r="C4961">
        <v>5</v>
      </c>
      <c r="D4961">
        <v>0.10477</v>
      </c>
      <c r="E4961">
        <v>0.29593799999999998</v>
      </c>
      <c r="F4961">
        <v>-1</v>
      </c>
      <c r="G4961">
        <v>0.29593799999999998</v>
      </c>
    </row>
    <row r="4962" spans="1:7">
      <c r="A4962" t="s">
        <v>144</v>
      </c>
      <c r="B4962">
        <v>78</v>
      </c>
      <c r="C4962">
        <v>6</v>
      </c>
      <c r="D4962">
        <v>0.10477</v>
      </c>
      <c r="E4962">
        <v>-0.50178500000000004</v>
      </c>
      <c r="F4962">
        <v>-1</v>
      </c>
      <c r="G4962">
        <v>-0.50178500000000004</v>
      </c>
    </row>
    <row r="4963" spans="1:7">
      <c r="A4963" t="s">
        <v>144</v>
      </c>
      <c r="B4963">
        <v>78</v>
      </c>
      <c r="C4963">
        <v>7</v>
      </c>
      <c r="D4963">
        <v>0.10477</v>
      </c>
      <c r="E4963">
        <v>0.86599300000000001</v>
      </c>
      <c r="F4963">
        <v>-1</v>
      </c>
      <c r="G4963">
        <v>0.86599300000000001</v>
      </c>
    </row>
    <row r="4964" spans="1:7">
      <c r="A4964" t="s">
        <v>144</v>
      </c>
      <c r="B4964">
        <v>78</v>
      </c>
      <c r="C4964">
        <v>8</v>
      </c>
      <c r="D4964">
        <v>0.10477</v>
      </c>
      <c r="E4964">
        <v>0.78170099999999998</v>
      </c>
      <c r="F4964">
        <v>-1</v>
      </c>
      <c r="G4964">
        <v>0.78170099999999998</v>
      </c>
    </row>
    <row r="4965" spans="1:7">
      <c r="A4965" t="s">
        <v>144</v>
      </c>
      <c r="B4965">
        <v>78</v>
      </c>
      <c r="C4965">
        <v>9</v>
      </c>
      <c r="D4965">
        <v>0.10477</v>
      </c>
      <c r="E4965">
        <v>8.2338999999999996E-2</v>
      </c>
      <c r="F4965">
        <v>-1</v>
      </c>
      <c r="G4965">
        <v>8.2338999999999996E-2</v>
      </c>
    </row>
    <row r="4966" spans="1:7">
      <c r="A4966" t="s">
        <v>144</v>
      </c>
      <c r="B4966">
        <v>78</v>
      </c>
      <c r="C4966">
        <v>10</v>
      </c>
      <c r="D4966">
        <v>0.10477</v>
      </c>
      <c r="E4966">
        <v>-0.169958</v>
      </c>
      <c r="F4966">
        <v>-0.221778</v>
      </c>
      <c r="G4966">
        <v>-0.21634900000000001</v>
      </c>
    </row>
    <row r="4967" spans="1:7">
      <c r="A4967" t="s">
        <v>144</v>
      </c>
      <c r="B4967">
        <v>78</v>
      </c>
      <c r="C4967">
        <v>11</v>
      </c>
      <c r="D4967">
        <v>0.10477</v>
      </c>
      <c r="E4967">
        <v>-2.1271000000000002E-2</v>
      </c>
      <c r="F4967">
        <v>0.34681200000000001</v>
      </c>
      <c r="G4967">
        <v>0.30824800000000002</v>
      </c>
    </row>
    <row r="4968" spans="1:7">
      <c r="A4968" t="s">
        <v>144</v>
      </c>
      <c r="B4968">
        <v>78</v>
      </c>
      <c r="C4968">
        <v>12</v>
      </c>
      <c r="D4968">
        <v>0.10477</v>
      </c>
      <c r="E4968">
        <v>0.90829199999999999</v>
      </c>
      <c r="F4968">
        <v>0.75969699999999996</v>
      </c>
      <c r="G4968">
        <v>0.77526600000000001</v>
      </c>
    </row>
    <row r="4969" spans="1:7">
      <c r="A4969" t="s">
        <v>144</v>
      </c>
      <c r="B4969">
        <v>78</v>
      </c>
      <c r="C4969">
        <v>13</v>
      </c>
      <c r="D4969">
        <v>0.10477</v>
      </c>
      <c r="E4969">
        <v>-0.85827200000000003</v>
      </c>
      <c r="F4969">
        <v>0.50276200000000004</v>
      </c>
      <c r="G4969">
        <v>0.36016599999999999</v>
      </c>
    </row>
    <row r="4970" spans="1:7">
      <c r="A4970" t="s">
        <v>144</v>
      </c>
      <c r="B4970">
        <v>78</v>
      </c>
      <c r="C4970">
        <v>14</v>
      </c>
      <c r="D4970">
        <v>0.10477</v>
      </c>
      <c r="E4970">
        <v>-0.58461300000000005</v>
      </c>
      <c r="F4970">
        <v>0.40967999999999999</v>
      </c>
      <c r="G4970">
        <v>0.305508</v>
      </c>
    </row>
    <row r="4971" spans="1:7">
      <c r="A4971" t="s">
        <v>144</v>
      </c>
      <c r="B4971">
        <v>78</v>
      </c>
      <c r="C4971">
        <v>15</v>
      </c>
      <c r="D4971">
        <v>0.10477</v>
      </c>
      <c r="E4971">
        <v>0.96429299999999996</v>
      </c>
      <c r="F4971">
        <v>-0.29917300000000002</v>
      </c>
      <c r="G4971">
        <v>-0.1668</v>
      </c>
    </row>
    <row r="4972" spans="1:7">
      <c r="A4972" t="s">
        <v>144</v>
      </c>
      <c r="B4972">
        <v>78</v>
      </c>
      <c r="C4972">
        <v>16</v>
      </c>
      <c r="D4972">
        <v>0.10477</v>
      </c>
      <c r="E4972">
        <v>0.25013000000000002</v>
      </c>
      <c r="F4972">
        <v>-0.63405299999999998</v>
      </c>
      <c r="G4972">
        <v>-0.54141700000000004</v>
      </c>
    </row>
    <row r="4973" spans="1:7">
      <c r="A4973" t="s">
        <v>144</v>
      </c>
      <c r="B4973">
        <v>78</v>
      </c>
      <c r="C4973">
        <v>17</v>
      </c>
      <c r="D4973">
        <v>0.10477</v>
      </c>
      <c r="E4973">
        <v>-0.207343</v>
      </c>
      <c r="F4973">
        <v>0.67876199999999998</v>
      </c>
      <c r="G4973">
        <v>0.58592500000000003</v>
      </c>
    </row>
    <row r="4974" spans="1:7">
      <c r="A4974" t="s">
        <v>144</v>
      </c>
      <c r="B4974">
        <v>78</v>
      </c>
      <c r="C4974">
        <v>18</v>
      </c>
      <c r="D4974">
        <v>0.10477</v>
      </c>
      <c r="E4974">
        <v>0.38178699999999999</v>
      </c>
      <c r="F4974">
        <v>0.956542</v>
      </c>
      <c r="G4974">
        <v>0.89632500000000004</v>
      </c>
    </row>
    <row r="4975" spans="1:7">
      <c r="A4975" t="s">
        <v>144</v>
      </c>
      <c r="B4975">
        <v>78</v>
      </c>
      <c r="C4975">
        <v>19</v>
      </c>
      <c r="D4975">
        <v>0.10477</v>
      </c>
      <c r="E4975">
        <v>-0.86513899999999999</v>
      </c>
      <c r="F4975">
        <v>-0.715445</v>
      </c>
      <c r="G4975">
        <v>-0.73112900000000003</v>
      </c>
    </row>
    <row r="4976" spans="1:7">
      <c r="A4976" t="s">
        <v>144</v>
      </c>
      <c r="B4976">
        <v>78</v>
      </c>
      <c r="C4976">
        <v>20</v>
      </c>
      <c r="D4976">
        <v>0.10477</v>
      </c>
      <c r="E4976">
        <v>0.34669</v>
      </c>
      <c r="F4976">
        <v>0.28614200000000001</v>
      </c>
      <c r="G4976">
        <v>0.29248499999999999</v>
      </c>
    </row>
    <row r="4977" spans="1:7">
      <c r="A4977" t="s">
        <v>144</v>
      </c>
      <c r="B4977">
        <v>78</v>
      </c>
      <c r="C4977">
        <v>21</v>
      </c>
      <c r="D4977">
        <v>0.10477</v>
      </c>
      <c r="E4977">
        <v>-5.5239000000000003E-2</v>
      </c>
      <c r="F4977">
        <v>0.77925999999999995</v>
      </c>
      <c r="G4977">
        <v>0.69182900000000003</v>
      </c>
    </row>
    <row r="4978" spans="1:7">
      <c r="A4978" t="s">
        <v>144</v>
      </c>
      <c r="B4978">
        <v>78</v>
      </c>
      <c r="C4978">
        <v>22</v>
      </c>
      <c r="D4978">
        <v>0.10477</v>
      </c>
      <c r="E4978">
        <v>0.52488800000000002</v>
      </c>
      <c r="F4978">
        <v>0.64937299999999998</v>
      </c>
      <c r="G4978">
        <v>0.63633099999999998</v>
      </c>
    </row>
    <row r="4979" spans="1:7">
      <c r="A4979" t="s">
        <v>144</v>
      </c>
      <c r="B4979">
        <v>78</v>
      </c>
      <c r="C4979">
        <v>23</v>
      </c>
      <c r="D4979">
        <v>0.10477</v>
      </c>
      <c r="E4979">
        <v>8.9450000000000002E-2</v>
      </c>
      <c r="F4979">
        <v>0.37473699999999999</v>
      </c>
      <c r="G4979">
        <v>0.34484700000000001</v>
      </c>
    </row>
    <row r="4980" spans="1:7">
      <c r="A4980" t="s">
        <v>144</v>
      </c>
      <c r="B4980">
        <v>78</v>
      </c>
      <c r="C4980">
        <v>24</v>
      </c>
      <c r="D4980">
        <v>0.10477</v>
      </c>
      <c r="E4980">
        <v>0.74639100000000003</v>
      </c>
      <c r="F4980">
        <v>-0.98651100000000003</v>
      </c>
      <c r="G4980">
        <v>-0.80495499999999998</v>
      </c>
    </row>
    <row r="4981" spans="1:7">
      <c r="A4981" t="s">
        <v>144</v>
      </c>
      <c r="B4981">
        <v>78</v>
      </c>
      <c r="C4981">
        <v>25</v>
      </c>
      <c r="D4981">
        <v>0.10477</v>
      </c>
      <c r="E4981">
        <v>-0.65776500000000004</v>
      </c>
      <c r="F4981">
        <v>0.55958699999999995</v>
      </c>
      <c r="G4981">
        <v>0.43204500000000001</v>
      </c>
    </row>
    <row r="4982" spans="1:7">
      <c r="A4982" t="s">
        <v>144</v>
      </c>
      <c r="B4982">
        <v>78</v>
      </c>
      <c r="C4982">
        <v>26</v>
      </c>
      <c r="D4982">
        <v>0.10477</v>
      </c>
      <c r="E4982">
        <v>-0.199072</v>
      </c>
      <c r="F4982">
        <v>0.16898099999999999</v>
      </c>
      <c r="G4982">
        <v>0.13042000000000001</v>
      </c>
    </row>
    <row r="4983" spans="1:7">
      <c r="A4983" t="s">
        <v>144</v>
      </c>
      <c r="B4983">
        <v>78</v>
      </c>
      <c r="C4983">
        <v>27</v>
      </c>
      <c r="D4983">
        <v>0.10477</v>
      </c>
      <c r="E4983">
        <v>0.24906200000000001</v>
      </c>
      <c r="F4983">
        <v>-0.34940599999999999</v>
      </c>
      <c r="G4983">
        <v>-0.28670499999999999</v>
      </c>
    </row>
    <row r="4984" spans="1:7">
      <c r="A4984" t="s">
        <v>144</v>
      </c>
      <c r="B4984">
        <v>78</v>
      </c>
      <c r="C4984">
        <v>28</v>
      </c>
      <c r="D4984">
        <v>0.10477</v>
      </c>
      <c r="E4984">
        <v>0.46351500000000001</v>
      </c>
      <c r="F4984">
        <v>0.89352100000000001</v>
      </c>
      <c r="G4984">
        <v>0.84846900000000003</v>
      </c>
    </row>
    <row r="4985" spans="1:7">
      <c r="A4985" t="s">
        <v>144</v>
      </c>
      <c r="B4985">
        <v>78</v>
      </c>
      <c r="C4985">
        <v>29</v>
      </c>
      <c r="D4985">
        <v>0.10477</v>
      </c>
      <c r="E4985">
        <v>0.714225</v>
      </c>
      <c r="F4985">
        <v>1.5412E-2</v>
      </c>
      <c r="G4985">
        <v>8.8625999999999996E-2</v>
      </c>
    </row>
    <row r="4986" spans="1:7">
      <c r="A4986" t="s">
        <v>144</v>
      </c>
      <c r="B4986">
        <v>78</v>
      </c>
      <c r="C4986">
        <v>30</v>
      </c>
      <c r="D4986">
        <v>0.10477</v>
      </c>
      <c r="E4986">
        <v>0.83086599999999999</v>
      </c>
      <c r="F4986">
        <v>0.60939399999999999</v>
      </c>
      <c r="G4986">
        <v>0.63259699999999996</v>
      </c>
    </row>
    <row r="4987" spans="1:7">
      <c r="A4987" t="s">
        <v>144</v>
      </c>
      <c r="B4987">
        <v>78</v>
      </c>
      <c r="C4987">
        <v>31</v>
      </c>
      <c r="D4987">
        <v>0.10477</v>
      </c>
      <c r="E4987">
        <v>0.37785000000000002</v>
      </c>
      <c r="F4987">
        <v>-0.680593</v>
      </c>
      <c r="G4987">
        <v>-0.56969999999999998</v>
      </c>
    </row>
    <row r="4988" spans="1:7">
      <c r="A4988" t="s">
        <v>144</v>
      </c>
      <c r="B4988">
        <v>78</v>
      </c>
      <c r="C4988">
        <v>32</v>
      </c>
      <c r="D4988">
        <v>0.10477</v>
      </c>
      <c r="E4988">
        <v>-0.56038100000000002</v>
      </c>
      <c r="F4988">
        <v>0.135411</v>
      </c>
      <c r="G4988">
        <v>6.2512999999999999E-2</v>
      </c>
    </row>
    <row r="4989" spans="1:7">
      <c r="A4989" t="s">
        <v>144</v>
      </c>
      <c r="B4989">
        <v>78</v>
      </c>
      <c r="C4989">
        <v>33</v>
      </c>
      <c r="D4989">
        <v>0.10477</v>
      </c>
      <c r="E4989">
        <v>-0.60563999999999996</v>
      </c>
      <c r="F4989">
        <v>0.121128</v>
      </c>
      <c r="G4989">
        <v>4.4984000000000003E-2</v>
      </c>
    </row>
    <row r="4990" spans="1:7">
      <c r="A4990" t="s">
        <v>144</v>
      </c>
      <c r="B4990">
        <v>78</v>
      </c>
      <c r="C4990">
        <v>34</v>
      </c>
      <c r="D4990">
        <v>0.10477</v>
      </c>
      <c r="E4990">
        <v>0.23258200000000001</v>
      </c>
      <c r="F4990">
        <v>0.12228799999999999</v>
      </c>
      <c r="G4990">
        <v>0.13384299999999999</v>
      </c>
    </row>
    <row r="4991" spans="1:7">
      <c r="A4991" t="s">
        <v>144</v>
      </c>
      <c r="B4991">
        <v>78</v>
      </c>
      <c r="C4991">
        <v>35</v>
      </c>
      <c r="D4991">
        <v>0.10477</v>
      </c>
      <c r="E4991">
        <v>0.23236799999999999</v>
      </c>
      <c r="F4991">
        <v>-0.17911299999999999</v>
      </c>
      <c r="G4991">
        <v>-0.13600200000000001</v>
      </c>
    </row>
    <row r="4992" spans="1:7">
      <c r="A4992" t="s">
        <v>144</v>
      </c>
      <c r="B4992">
        <v>78</v>
      </c>
      <c r="C4992">
        <v>36</v>
      </c>
      <c r="D4992">
        <v>0.10477</v>
      </c>
      <c r="E4992">
        <v>0.85433499999999996</v>
      </c>
      <c r="F4992">
        <v>1.7243000000000001E-2</v>
      </c>
      <c r="G4992">
        <v>0.104945</v>
      </c>
    </row>
    <row r="4993" spans="1:7">
      <c r="A4993" t="s">
        <v>144</v>
      </c>
      <c r="B4993">
        <v>78</v>
      </c>
      <c r="C4993">
        <v>37</v>
      </c>
      <c r="D4993">
        <v>0.10477</v>
      </c>
      <c r="E4993">
        <v>-0.75814099999999995</v>
      </c>
      <c r="F4993">
        <v>0.69292299999999996</v>
      </c>
      <c r="G4993">
        <v>0.54089500000000001</v>
      </c>
    </row>
    <row r="4994" spans="1:7">
      <c r="A4994" t="s">
        <v>144</v>
      </c>
      <c r="B4994">
        <v>78</v>
      </c>
      <c r="C4994">
        <v>38</v>
      </c>
      <c r="D4994">
        <v>0.10477</v>
      </c>
      <c r="E4994">
        <v>0.87206600000000001</v>
      </c>
      <c r="F4994">
        <v>-0.686697</v>
      </c>
      <c r="G4994">
        <v>-0.52338499999999999</v>
      </c>
    </row>
    <row r="4995" spans="1:7">
      <c r="A4995" t="s">
        <v>144</v>
      </c>
      <c r="B4995">
        <v>78</v>
      </c>
      <c r="C4995">
        <v>39</v>
      </c>
      <c r="D4995">
        <v>0.10477</v>
      </c>
      <c r="E4995">
        <v>-0.71782599999999996</v>
      </c>
      <c r="F4995">
        <v>-0.35120699999999999</v>
      </c>
      <c r="G4995">
        <v>-0.38961800000000002</v>
      </c>
    </row>
    <row r="4996" spans="1:7">
      <c r="A4996" t="s">
        <v>144</v>
      </c>
      <c r="B4996">
        <v>78</v>
      </c>
      <c r="C4996">
        <v>40</v>
      </c>
      <c r="D4996">
        <v>0.10477</v>
      </c>
      <c r="E4996">
        <v>0.74965700000000002</v>
      </c>
      <c r="F4996">
        <v>-0.35313</v>
      </c>
      <c r="G4996">
        <v>-0.237591</v>
      </c>
    </row>
    <row r="4997" spans="1:7">
      <c r="A4997" t="s">
        <v>144</v>
      </c>
      <c r="B4997">
        <v>78</v>
      </c>
      <c r="C4997">
        <v>41</v>
      </c>
      <c r="D4997">
        <v>0.10477</v>
      </c>
      <c r="E4997">
        <v>-0.131138</v>
      </c>
      <c r="F4997">
        <v>-0.37723899999999999</v>
      </c>
      <c r="G4997">
        <v>-0.35145500000000002</v>
      </c>
    </row>
    <row r="4998" spans="1:7">
      <c r="A4998" t="s">
        <v>144</v>
      </c>
      <c r="B4998">
        <v>78</v>
      </c>
      <c r="C4998">
        <v>42</v>
      </c>
      <c r="D4998">
        <v>0.10477</v>
      </c>
      <c r="E4998">
        <v>-0.26691500000000001</v>
      </c>
      <c r="F4998">
        <v>3.3270000000000001E-3</v>
      </c>
      <c r="G4998">
        <v>-2.4986999999999999E-2</v>
      </c>
    </row>
    <row r="4999" spans="1:7">
      <c r="A4999" t="s">
        <v>144</v>
      </c>
      <c r="B4999">
        <v>78</v>
      </c>
      <c r="C4999">
        <v>43</v>
      </c>
      <c r="D4999">
        <v>0.10477</v>
      </c>
      <c r="E4999">
        <v>0.43870399999999998</v>
      </c>
      <c r="F4999">
        <v>0.449324</v>
      </c>
      <c r="G4999">
        <v>0.44821100000000003</v>
      </c>
    </row>
    <row r="5000" spans="1:7">
      <c r="A5000" t="s">
        <v>144</v>
      </c>
      <c r="B5000">
        <v>78</v>
      </c>
      <c r="C5000">
        <v>44</v>
      </c>
      <c r="D5000">
        <v>0.10477</v>
      </c>
      <c r="E5000">
        <v>0.1948</v>
      </c>
      <c r="F5000">
        <v>-0.92294100000000001</v>
      </c>
      <c r="G5000">
        <v>-0.80583499999999997</v>
      </c>
    </row>
    <row r="5001" spans="1:7">
      <c r="A5001" t="s">
        <v>144</v>
      </c>
      <c r="B5001">
        <v>78</v>
      </c>
      <c r="C5001">
        <v>45</v>
      </c>
      <c r="D5001">
        <v>0.10477</v>
      </c>
      <c r="E5001">
        <v>-0.83074400000000004</v>
      </c>
      <c r="F5001">
        <v>-0.76403100000000002</v>
      </c>
      <c r="G5001">
        <v>-0.77102000000000004</v>
      </c>
    </row>
    <row r="5002" spans="1:7">
      <c r="A5002" t="s">
        <v>144</v>
      </c>
      <c r="B5002">
        <v>78</v>
      </c>
      <c r="C5002">
        <v>46</v>
      </c>
      <c r="D5002">
        <v>0.10477</v>
      </c>
      <c r="E5002">
        <v>-0.50431800000000004</v>
      </c>
      <c r="F5002">
        <v>-0.51441999999999999</v>
      </c>
      <c r="G5002">
        <v>-0.51336199999999999</v>
      </c>
    </row>
    <row r="5003" spans="1:7">
      <c r="A5003" t="s">
        <v>144</v>
      </c>
      <c r="B5003">
        <v>78</v>
      </c>
      <c r="C5003">
        <v>47</v>
      </c>
      <c r="D5003">
        <v>0.10477</v>
      </c>
      <c r="E5003">
        <v>-0.37464500000000001</v>
      </c>
      <c r="F5003">
        <v>0.64793800000000001</v>
      </c>
      <c r="G5003">
        <v>0.540802</v>
      </c>
    </row>
    <row r="5004" spans="1:7">
      <c r="A5004" t="s">
        <v>144</v>
      </c>
      <c r="B5004">
        <v>78</v>
      </c>
      <c r="C5004">
        <v>48</v>
      </c>
      <c r="D5004">
        <v>0.10477</v>
      </c>
      <c r="E5004">
        <v>-0.76433600000000002</v>
      </c>
      <c r="F5004">
        <v>5.4598000000000001E-2</v>
      </c>
      <c r="G5004">
        <v>-3.1202000000000001E-2</v>
      </c>
    </row>
    <row r="5005" spans="1:7">
      <c r="A5005" t="s">
        <v>144</v>
      </c>
      <c r="B5005">
        <v>78</v>
      </c>
      <c r="C5005">
        <v>49</v>
      </c>
      <c r="D5005">
        <v>0.10477</v>
      </c>
      <c r="E5005">
        <v>0.847804</v>
      </c>
      <c r="F5005">
        <v>0.62492800000000004</v>
      </c>
      <c r="G5005">
        <v>0.64827800000000002</v>
      </c>
    </row>
    <row r="5006" spans="1:7">
      <c r="A5006" t="s">
        <v>144</v>
      </c>
      <c r="B5006" t="s">
        <v>145</v>
      </c>
      <c r="C5006">
        <v>79</v>
      </c>
    </row>
    <row r="5007" spans="1:7">
      <c r="A5007" t="s">
        <v>144</v>
      </c>
      <c r="B5007" t="s">
        <v>146</v>
      </c>
      <c r="C5007">
        <v>85</v>
      </c>
    </row>
    <row r="5008" spans="1:7">
      <c r="A5008" t="s">
        <v>144</v>
      </c>
      <c r="B5008" t="s">
        <v>147</v>
      </c>
      <c r="C5008">
        <v>85</v>
      </c>
    </row>
    <row r="5009" spans="1:7">
      <c r="A5009" t="s">
        <v>144</v>
      </c>
      <c r="B5009" t="s">
        <v>148</v>
      </c>
      <c r="C5009">
        <v>0.20291799999999999</v>
      </c>
    </row>
    <row r="5010" spans="1:7">
      <c r="A5010" t="s">
        <v>144</v>
      </c>
      <c r="B5010" t="s">
        <v>149</v>
      </c>
      <c r="C5010">
        <v>0.20291799999999999</v>
      </c>
    </row>
    <row r="5011" spans="1:7">
      <c r="A5011" t="s">
        <v>144</v>
      </c>
      <c r="B5011" t="s">
        <v>150</v>
      </c>
      <c r="C5011">
        <v>-1</v>
      </c>
    </row>
    <row r="5012" spans="1:7">
      <c r="A5012" t="s">
        <v>144</v>
      </c>
      <c r="B5012" t="s">
        <v>151</v>
      </c>
      <c r="C5012">
        <v>-1</v>
      </c>
    </row>
    <row r="5013" spans="1:7">
      <c r="A5013" t="s">
        <v>144</v>
      </c>
      <c r="B5013" t="s">
        <v>152</v>
      </c>
      <c r="C5013">
        <v>45</v>
      </c>
    </row>
    <row r="5014" spans="1:7">
      <c r="A5014" t="s">
        <v>144</v>
      </c>
      <c r="B5014" t="s">
        <v>153</v>
      </c>
      <c r="C5014">
        <v>45</v>
      </c>
    </row>
    <row r="5015" spans="1:7">
      <c r="A5015" t="s">
        <v>144</v>
      </c>
      <c r="B5015" t="s">
        <v>154</v>
      </c>
      <c r="C5015">
        <v>0</v>
      </c>
    </row>
    <row r="5016" spans="1:7">
      <c r="A5016" t="s">
        <v>144</v>
      </c>
      <c r="B5016" t="s">
        <v>155</v>
      </c>
    </row>
    <row r="5017" spans="1:7">
      <c r="A5017" t="s">
        <v>144</v>
      </c>
      <c r="B5017" t="s">
        <v>150</v>
      </c>
      <c r="C5017">
        <v>0.21414800000000001</v>
      </c>
    </row>
    <row r="5018" spans="1:7">
      <c r="A5018" t="s">
        <v>144</v>
      </c>
      <c r="B5018" t="s">
        <v>151</v>
      </c>
      <c r="C5018">
        <v>0.21414800000000001</v>
      </c>
    </row>
    <row r="5019" spans="1:7">
      <c r="A5019" t="s">
        <v>144</v>
      </c>
      <c r="B5019" t="s">
        <v>156</v>
      </c>
      <c r="C5019" t="s">
        <v>157</v>
      </c>
      <c r="D5019" t="s">
        <v>63</v>
      </c>
      <c r="E5019" t="s">
        <v>158</v>
      </c>
      <c r="F5019" t="s">
        <v>159</v>
      </c>
      <c r="G5019" t="s">
        <v>160</v>
      </c>
    </row>
    <row r="5020" spans="1:7">
      <c r="A5020" t="s">
        <v>144</v>
      </c>
      <c r="B5020">
        <v>79</v>
      </c>
      <c r="C5020">
        <v>0</v>
      </c>
      <c r="D5020">
        <v>0.21414800000000001</v>
      </c>
      <c r="E5020">
        <v>0.37080000000000002</v>
      </c>
      <c r="F5020">
        <v>-1</v>
      </c>
      <c r="G5020">
        <v>0.37080000000000002</v>
      </c>
    </row>
    <row r="5021" spans="1:7">
      <c r="A5021" t="s">
        <v>144</v>
      </c>
      <c r="B5021">
        <v>79</v>
      </c>
      <c r="C5021">
        <v>1</v>
      </c>
      <c r="D5021">
        <v>0.21414800000000001</v>
      </c>
      <c r="E5021">
        <v>0.63362499999999999</v>
      </c>
      <c r="F5021">
        <v>-1</v>
      </c>
      <c r="G5021">
        <v>0.63362499999999999</v>
      </c>
    </row>
    <row r="5022" spans="1:7">
      <c r="A5022" t="s">
        <v>144</v>
      </c>
      <c r="B5022">
        <v>79</v>
      </c>
      <c r="C5022">
        <v>2</v>
      </c>
      <c r="D5022">
        <v>0.21414800000000001</v>
      </c>
      <c r="E5022">
        <v>-0.36680200000000002</v>
      </c>
      <c r="F5022">
        <v>-1</v>
      </c>
      <c r="G5022">
        <v>-0.36680200000000002</v>
      </c>
    </row>
    <row r="5023" spans="1:7">
      <c r="A5023" t="s">
        <v>144</v>
      </c>
      <c r="B5023">
        <v>79</v>
      </c>
      <c r="C5023">
        <v>3</v>
      </c>
      <c r="D5023">
        <v>0.21414800000000001</v>
      </c>
      <c r="E5023">
        <v>-0.84127300000000005</v>
      </c>
      <c r="F5023">
        <v>-1</v>
      </c>
      <c r="G5023">
        <v>-0.84127300000000005</v>
      </c>
    </row>
    <row r="5024" spans="1:7">
      <c r="A5024" t="s">
        <v>144</v>
      </c>
      <c r="B5024">
        <v>79</v>
      </c>
      <c r="C5024">
        <v>4</v>
      </c>
      <c r="D5024">
        <v>0.21414800000000001</v>
      </c>
      <c r="E5024">
        <v>9.1677999999999996E-2</v>
      </c>
      <c r="F5024">
        <v>-1</v>
      </c>
      <c r="G5024">
        <v>9.1677999999999996E-2</v>
      </c>
    </row>
    <row r="5025" spans="1:7">
      <c r="A5025" t="s">
        <v>144</v>
      </c>
      <c r="B5025">
        <v>79</v>
      </c>
      <c r="C5025">
        <v>5</v>
      </c>
      <c r="D5025">
        <v>0.21414800000000001</v>
      </c>
      <c r="E5025">
        <v>4.6998999999999999E-2</v>
      </c>
      <c r="F5025">
        <v>-1</v>
      </c>
      <c r="G5025">
        <v>4.6998999999999999E-2</v>
      </c>
    </row>
    <row r="5026" spans="1:7">
      <c r="A5026" t="s">
        <v>144</v>
      </c>
      <c r="B5026">
        <v>79</v>
      </c>
      <c r="C5026">
        <v>6</v>
      </c>
      <c r="D5026">
        <v>0.21414800000000001</v>
      </c>
      <c r="E5026">
        <v>0.86934999999999996</v>
      </c>
      <c r="F5026">
        <v>-1</v>
      </c>
      <c r="G5026">
        <v>0.86934999999999996</v>
      </c>
    </row>
    <row r="5027" spans="1:7">
      <c r="A5027" t="s">
        <v>144</v>
      </c>
      <c r="B5027">
        <v>79</v>
      </c>
      <c r="C5027">
        <v>7</v>
      </c>
      <c r="D5027">
        <v>0.21414800000000001</v>
      </c>
      <c r="E5027">
        <v>-0.47962900000000003</v>
      </c>
      <c r="F5027">
        <v>-1</v>
      </c>
      <c r="G5027">
        <v>-0.47962900000000003</v>
      </c>
    </row>
    <row r="5028" spans="1:7">
      <c r="A5028" t="s">
        <v>144</v>
      </c>
      <c r="B5028">
        <v>79</v>
      </c>
      <c r="C5028">
        <v>8</v>
      </c>
      <c r="D5028">
        <v>0.21414800000000001</v>
      </c>
      <c r="E5028">
        <v>-0.57957700000000001</v>
      </c>
      <c r="F5028">
        <v>-1</v>
      </c>
      <c r="G5028">
        <v>-0.57957700000000001</v>
      </c>
    </row>
    <row r="5029" spans="1:7">
      <c r="A5029" t="s">
        <v>144</v>
      </c>
      <c r="B5029">
        <v>79</v>
      </c>
      <c r="C5029">
        <v>9</v>
      </c>
      <c r="D5029">
        <v>0.21414800000000001</v>
      </c>
      <c r="E5029">
        <v>0.44862200000000002</v>
      </c>
      <c r="F5029">
        <v>-1</v>
      </c>
      <c r="G5029">
        <v>0.44862200000000002</v>
      </c>
    </row>
    <row r="5030" spans="1:7">
      <c r="A5030" t="s">
        <v>144</v>
      </c>
      <c r="B5030">
        <v>79</v>
      </c>
      <c r="C5030">
        <v>10</v>
      </c>
      <c r="D5030">
        <v>0.21414800000000001</v>
      </c>
      <c r="E5030">
        <v>-0.532609</v>
      </c>
      <c r="F5030">
        <v>-1</v>
      </c>
      <c r="G5030">
        <v>-0.532609</v>
      </c>
    </row>
    <row r="5031" spans="1:7">
      <c r="A5031" t="s">
        <v>144</v>
      </c>
      <c r="B5031">
        <v>79</v>
      </c>
      <c r="C5031">
        <v>11</v>
      </c>
      <c r="D5031">
        <v>0.21414800000000001</v>
      </c>
      <c r="E5031">
        <v>-0.46607900000000002</v>
      </c>
      <c r="F5031">
        <v>-1</v>
      </c>
      <c r="G5031">
        <v>-0.46607900000000002</v>
      </c>
    </row>
    <row r="5032" spans="1:7">
      <c r="A5032" t="s">
        <v>144</v>
      </c>
      <c r="B5032">
        <v>79</v>
      </c>
      <c r="C5032">
        <v>12</v>
      </c>
      <c r="D5032">
        <v>0.21414800000000001</v>
      </c>
      <c r="E5032">
        <v>0.81457000000000002</v>
      </c>
      <c r="F5032">
        <v>-1</v>
      </c>
      <c r="G5032">
        <v>0.81457000000000002</v>
      </c>
    </row>
    <row r="5033" spans="1:7">
      <c r="A5033" t="s">
        <v>144</v>
      </c>
      <c r="B5033">
        <v>79</v>
      </c>
      <c r="C5033">
        <v>13</v>
      </c>
      <c r="D5033">
        <v>0.21414800000000001</v>
      </c>
      <c r="E5033">
        <v>-0.60460199999999997</v>
      </c>
      <c r="F5033">
        <v>-1</v>
      </c>
      <c r="G5033">
        <v>-0.60460199999999997</v>
      </c>
    </row>
    <row r="5034" spans="1:7">
      <c r="A5034" t="s">
        <v>144</v>
      </c>
      <c r="B5034">
        <v>79</v>
      </c>
      <c r="C5034">
        <v>14</v>
      </c>
      <c r="D5034">
        <v>0.21414800000000001</v>
      </c>
      <c r="E5034">
        <v>0.759606</v>
      </c>
      <c r="F5034">
        <v>-1</v>
      </c>
      <c r="G5034">
        <v>0.759606</v>
      </c>
    </row>
    <row r="5035" spans="1:7">
      <c r="A5035" t="s">
        <v>144</v>
      </c>
      <c r="B5035">
        <v>79</v>
      </c>
      <c r="C5035">
        <v>15</v>
      </c>
      <c r="D5035">
        <v>0.21414800000000001</v>
      </c>
      <c r="E5035">
        <v>-0.99795500000000004</v>
      </c>
      <c r="F5035">
        <v>-1</v>
      </c>
      <c r="G5035">
        <v>-0.99795500000000004</v>
      </c>
    </row>
    <row r="5036" spans="1:7">
      <c r="A5036" t="s">
        <v>144</v>
      </c>
      <c r="B5036">
        <v>79</v>
      </c>
      <c r="C5036">
        <v>16</v>
      </c>
      <c r="D5036">
        <v>0.21414800000000001</v>
      </c>
      <c r="E5036">
        <v>-0.70555699999999999</v>
      </c>
      <c r="F5036">
        <v>-1</v>
      </c>
      <c r="G5036">
        <v>-0.70555699999999999</v>
      </c>
    </row>
    <row r="5037" spans="1:7">
      <c r="A5037" t="s">
        <v>144</v>
      </c>
      <c r="B5037">
        <v>79</v>
      </c>
      <c r="C5037">
        <v>17</v>
      </c>
      <c r="D5037">
        <v>0.21414800000000001</v>
      </c>
      <c r="E5037">
        <v>-0.89053000000000004</v>
      </c>
      <c r="F5037">
        <v>-1</v>
      </c>
      <c r="G5037">
        <v>-0.89053000000000004</v>
      </c>
    </row>
    <row r="5038" spans="1:7">
      <c r="A5038" t="s">
        <v>144</v>
      </c>
      <c r="B5038">
        <v>79</v>
      </c>
      <c r="C5038">
        <v>18</v>
      </c>
      <c r="D5038">
        <v>0.21414800000000001</v>
      </c>
      <c r="E5038">
        <v>-0.68877200000000005</v>
      </c>
      <c r="F5038">
        <v>-1</v>
      </c>
      <c r="G5038">
        <v>-0.68877200000000005</v>
      </c>
    </row>
    <row r="5039" spans="1:7">
      <c r="A5039" t="s">
        <v>144</v>
      </c>
      <c r="B5039">
        <v>79</v>
      </c>
      <c r="C5039">
        <v>19</v>
      </c>
      <c r="D5039">
        <v>0.21414800000000001</v>
      </c>
      <c r="E5039">
        <v>0.141789</v>
      </c>
      <c r="F5039">
        <v>-1</v>
      </c>
      <c r="G5039">
        <v>0.141789</v>
      </c>
    </row>
    <row r="5040" spans="1:7">
      <c r="A5040" t="s">
        <v>144</v>
      </c>
      <c r="B5040">
        <v>79</v>
      </c>
      <c r="C5040">
        <v>20</v>
      </c>
      <c r="D5040">
        <v>0.21414800000000001</v>
      </c>
      <c r="E5040">
        <v>0.23483999999999999</v>
      </c>
      <c r="F5040">
        <v>-1</v>
      </c>
      <c r="G5040">
        <v>0.23483999999999999</v>
      </c>
    </row>
    <row r="5041" spans="1:7">
      <c r="A5041" t="s">
        <v>144</v>
      </c>
      <c r="B5041">
        <v>79</v>
      </c>
      <c r="C5041">
        <v>21</v>
      </c>
      <c r="D5041">
        <v>0.21414800000000001</v>
      </c>
      <c r="E5041">
        <v>-0.59230300000000002</v>
      </c>
      <c r="F5041">
        <v>-1</v>
      </c>
      <c r="G5041">
        <v>-0.59230300000000002</v>
      </c>
    </row>
    <row r="5042" spans="1:7">
      <c r="A5042" t="s">
        <v>144</v>
      </c>
      <c r="B5042">
        <v>79</v>
      </c>
      <c r="C5042">
        <v>22</v>
      </c>
      <c r="D5042">
        <v>0.21414800000000001</v>
      </c>
      <c r="E5042">
        <v>0.90115100000000004</v>
      </c>
      <c r="F5042">
        <v>-1</v>
      </c>
      <c r="G5042">
        <v>0.90115100000000004</v>
      </c>
    </row>
    <row r="5043" spans="1:7">
      <c r="A5043" t="s">
        <v>144</v>
      </c>
      <c r="B5043">
        <v>79</v>
      </c>
      <c r="C5043">
        <v>23</v>
      </c>
      <c r="D5043">
        <v>0.21414800000000001</v>
      </c>
      <c r="E5043">
        <v>0.19684399999999999</v>
      </c>
      <c r="F5043">
        <v>-1</v>
      </c>
      <c r="G5043">
        <v>0.19684399999999999</v>
      </c>
    </row>
    <row r="5044" spans="1:7">
      <c r="A5044" t="s">
        <v>144</v>
      </c>
      <c r="B5044">
        <v>79</v>
      </c>
      <c r="C5044">
        <v>24</v>
      </c>
      <c r="D5044">
        <v>0.21414800000000001</v>
      </c>
      <c r="E5044">
        <v>-0.72762199999999999</v>
      </c>
      <c r="F5044">
        <v>-1</v>
      </c>
      <c r="G5044">
        <v>-0.72762199999999999</v>
      </c>
    </row>
    <row r="5045" spans="1:7">
      <c r="A5045" t="s">
        <v>144</v>
      </c>
      <c r="B5045">
        <v>79</v>
      </c>
      <c r="C5045">
        <v>25</v>
      </c>
      <c r="D5045">
        <v>0.21414800000000001</v>
      </c>
      <c r="E5045">
        <v>0.33195000000000002</v>
      </c>
      <c r="F5045">
        <v>-1</v>
      </c>
      <c r="G5045">
        <v>0.33195000000000002</v>
      </c>
    </row>
    <row r="5046" spans="1:7">
      <c r="A5046" t="s">
        <v>144</v>
      </c>
      <c r="B5046">
        <v>79</v>
      </c>
      <c r="C5046">
        <v>26</v>
      </c>
      <c r="D5046">
        <v>0.21414800000000001</v>
      </c>
      <c r="E5046">
        <v>0.25217400000000001</v>
      </c>
      <c r="F5046">
        <v>-1</v>
      </c>
      <c r="G5046">
        <v>0.25217400000000001</v>
      </c>
    </row>
    <row r="5047" spans="1:7">
      <c r="A5047" t="s">
        <v>144</v>
      </c>
      <c r="B5047">
        <v>79</v>
      </c>
      <c r="C5047">
        <v>27</v>
      </c>
      <c r="D5047">
        <v>0.21414800000000001</v>
      </c>
      <c r="E5047">
        <v>0.18304999999999999</v>
      </c>
      <c r="F5047">
        <v>-1</v>
      </c>
      <c r="G5047">
        <v>0.18304999999999999</v>
      </c>
    </row>
    <row r="5048" spans="1:7">
      <c r="A5048" t="s">
        <v>144</v>
      </c>
      <c r="B5048">
        <v>79</v>
      </c>
      <c r="C5048">
        <v>28</v>
      </c>
      <c r="D5048">
        <v>0.21414800000000001</v>
      </c>
      <c r="E5048">
        <v>-0.24649799999999999</v>
      </c>
      <c r="F5048">
        <v>-1</v>
      </c>
      <c r="G5048">
        <v>-0.24649799999999999</v>
      </c>
    </row>
    <row r="5049" spans="1:7">
      <c r="A5049" t="s">
        <v>144</v>
      </c>
      <c r="B5049">
        <v>79</v>
      </c>
      <c r="C5049">
        <v>29</v>
      </c>
      <c r="D5049">
        <v>0.21414800000000001</v>
      </c>
      <c r="E5049">
        <v>-0.61824400000000002</v>
      </c>
      <c r="F5049">
        <v>-1</v>
      </c>
      <c r="G5049">
        <v>-0.61824400000000002</v>
      </c>
    </row>
    <row r="5050" spans="1:7">
      <c r="A5050" t="s">
        <v>144</v>
      </c>
      <c r="B5050">
        <v>79</v>
      </c>
      <c r="C5050">
        <v>30</v>
      </c>
      <c r="D5050">
        <v>0.21414800000000001</v>
      </c>
      <c r="E5050">
        <v>0.82903499999999997</v>
      </c>
      <c r="F5050">
        <v>-1</v>
      </c>
      <c r="G5050">
        <v>0.82903499999999997</v>
      </c>
    </row>
    <row r="5051" spans="1:7">
      <c r="A5051" t="s">
        <v>144</v>
      </c>
      <c r="B5051">
        <v>79</v>
      </c>
      <c r="C5051">
        <v>31</v>
      </c>
      <c r="D5051">
        <v>0.21414800000000001</v>
      </c>
      <c r="E5051">
        <v>0.454482</v>
      </c>
      <c r="F5051">
        <v>-1</v>
      </c>
      <c r="G5051">
        <v>0.454482</v>
      </c>
    </row>
    <row r="5052" spans="1:7">
      <c r="A5052" t="s">
        <v>144</v>
      </c>
      <c r="B5052">
        <v>79</v>
      </c>
      <c r="C5052">
        <v>32</v>
      </c>
      <c r="D5052">
        <v>0.21414800000000001</v>
      </c>
      <c r="E5052">
        <v>0.111057</v>
      </c>
      <c r="F5052">
        <v>-1</v>
      </c>
      <c r="G5052">
        <v>0.111057</v>
      </c>
    </row>
    <row r="5053" spans="1:7">
      <c r="A5053" t="s">
        <v>144</v>
      </c>
      <c r="B5053">
        <v>79</v>
      </c>
      <c r="C5053">
        <v>33</v>
      </c>
      <c r="D5053">
        <v>0.21414800000000001</v>
      </c>
      <c r="E5053">
        <v>0.52262900000000001</v>
      </c>
      <c r="F5053">
        <v>-1</v>
      </c>
      <c r="G5053">
        <v>0.52262900000000001</v>
      </c>
    </row>
    <row r="5054" spans="1:7">
      <c r="A5054" t="s">
        <v>144</v>
      </c>
      <c r="B5054">
        <v>79</v>
      </c>
      <c r="C5054">
        <v>34</v>
      </c>
      <c r="D5054">
        <v>0.21414800000000001</v>
      </c>
      <c r="E5054">
        <v>-3.2319000000000001E-2</v>
      </c>
      <c r="F5054">
        <v>-1</v>
      </c>
      <c r="G5054">
        <v>-3.2319000000000001E-2</v>
      </c>
    </row>
    <row r="5055" spans="1:7">
      <c r="A5055" t="s">
        <v>144</v>
      </c>
      <c r="B5055">
        <v>79</v>
      </c>
      <c r="C5055">
        <v>35</v>
      </c>
      <c r="D5055">
        <v>0.21414800000000001</v>
      </c>
      <c r="E5055">
        <v>0.43760500000000002</v>
      </c>
      <c r="F5055">
        <v>-1</v>
      </c>
      <c r="G5055">
        <v>0.43760500000000002</v>
      </c>
    </row>
    <row r="5056" spans="1:7">
      <c r="A5056" t="s">
        <v>144</v>
      </c>
      <c r="B5056">
        <v>79</v>
      </c>
      <c r="C5056">
        <v>36</v>
      </c>
      <c r="D5056">
        <v>0.21414800000000001</v>
      </c>
      <c r="E5056">
        <v>0.54234400000000005</v>
      </c>
      <c r="F5056">
        <v>-1</v>
      </c>
      <c r="G5056">
        <v>0.54234400000000005</v>
      </c>
    </row>
    <row r="5057" spans="1:7">
      <c r="A5057" t="s">
        <v>144</v>
      </c>
      <c r="B5057">
        <v>79</v>
      </c>
      <c r="C5057">
        <v>37</v>
      </c>
      <c r="D5057">
        <v>0.21414800000000001</v>
      </c>
      <c r="E5057">
        <v>-0.479904</v>
      </c>
      <c r="F5057">
        <v>-1</v>
      </c>
      <c r="G5057">
        <v>-0.479904</v>
      </c>
    </row>
    <row r="5058" spans="1:7">
      <c r="A5058" t="s">
        <v>144</v>
      </c>
      <c r="B5058">
        <v>79</v>
      </c>
      <c r="C5058">
        <v>38</v>
      </c>
      <c r="D5058">
        <v>0.21414800000000001</v>
      </c>
      <c r="E5058">
        <v>0.78344100000000005</v>
      </c>
      <c r="F5058">
        <v>-1</v>
      </c>
      <c r="G5058">
        <v>0.78344100000000005</v>
      </c>
    </row>
    <row r="5059" spans="1:7">
      <c r="A5059" t="s">
        <v>144</v>
      </c>
      <c r="B5059">
        <v>79</v>
      </c>
      <c r="C5059">
        <v>39</v>
      </c>
      <c r="D5059">
        <v>0.21414800000000001</v>
      </c>
      <c r="E5059">
        <v>0.49458299999999999</v>
      </c>
      <c r="F5059">
        <v>-1</v>
      </c>
      <c r="G5059">
        <v>0.49458299999999999</v>
      </c>
    </row>
    <row r="5060" spans="1:7">
      <c r="A5060" t="s">
        <v>144</v>
      </c>
      <c r="B5060">
        <v>79</v>
      </c>
      <c r="C5060">
        <v>40</v>
      </c>
      <c r="D5060">
        <v>0.21414800000000001</v>
      </c>
      <c r="E5060">
        <v>-0.432417</v>
      </c>
      <c r="F5060">
        <v>-1</v>
      </c>
      <c r="G5060">
        <v>-0.432417</v>
      </c>
    </row>
    <row r="5061" spans="1:7">
      <c r="A5061" t="s">
        <v>144</v>
      </c>
      <c r="B5061">
        <v>79</v>
      </c>
      <c r="C5061">
        <v>41</v>
      </c>
      <c r="D5061">
        <v>0.21414800000000001</v>
      </c>
      <c r="E5061">
        <v>0.214118</v>
      </c>
      <c r="F5061">
        <v>-1</v>
      </c>
      <c r="G5061">
        <v>0.214118</v>
      </c>
    </row>
    <row r="5062" spans="1:7">
      <c r="A5062" t="s">
        <v>144</v>
      </c>
      <c r="B5062">
        <v>79</v>
      </c>
      <c r="C5062">
        <v>42</v>
      </c>
      <c r="D5062">
        <v>0.21414800000000001</v>
      </c>
      <c r="E5062">
        <v>-0.85628800000000005</v>
      </c>
      <c r="F5062">
        <v>-1</v>
      </c>
      <c r="G5062">
        <v>-0.85628800000000005</v>
      </c>
    </row>
    <row r="5063" spans="1:7">
      <c r="A5063" t="s">
        <v>144</v>
      </c>
      <c r="B5063">
        <v>79</v>
      </c>
      <c r="C5063">
        <v>43</v>
      </c>
      <c r="D5063">
        <v>0.21414800000000001</v>
      </c>
      <c r="E5063">
        <v>-0.91152699999999998</v>
      </c>
      <c r="F5063">
        <v>-1</v>
      </c>
      <c r="G5063">
        <v>-0.91152699999999998</v>
      </c>
    </row>
    <row r="5064" spans="1:7">
      <c r="A5064" t="s">
        <v>144</v>
      </c>
      <c r="B5064">
        <v>79</v>
      </c>
      <c r="C5064">
        <v>44</v>
      </c>
      <c r="D5064">
        <v>0.21414800000000001</v>
      </c>
      <c r="E5064">
        <v>0.238929</v>
      </c>
      <c r="F5064">
        <v>-1</v>
      </c>
      <c r="G5064">
        <v>0.238929</v>
      </c>
    </row>
    <row r="5065" spans="1:7">
      <c r="A5065" t="s">
        <v>144</v>
      </c>
      <c r="B5065">
        <v>79</v>
      </c>
      <c r="C5065">
        <v>45</v>
      </c>
      <c r="D5065">
        <v>0.21414800000000001</v>
      </c>
      <c r="E5065">
        <v>0.7893</v>
      </c>
      <c r="F5065">
        <v>0.50678999999999996</v>
      </c>
      <c r="G5065">
        <v>0.56728900000000004</v>
      </c>
    </row>
    <row r="5066" spans="1:7">
      <c r="A5066" t="s">
        <v>144</v>
      </c>
      <c r="B5066">
        <v>79</v>
      </c>
      <c r="C5066">
        <v>46</v>
      </c>
      <c r="D5066">
        <v>0.21414800000000001</v>
      </c>
      <c r="E5066">
        <v>-0.33457399999999998</v>
      </c>
      <c r="F5066">
        <v>-0.60808099999999998</v>
      </c>
      <c r="G5066">
        <v>-0.54951000000000005</v>
      </c>
    </row>
    <row r="5067" spans="1:7">
      <c r="A5067" t="s">
        <v>144</v>
      </c>
      <c r="B5067">
        <v>79</v>
      </c>
      <c r="C5067">
        <v>47</v>
      </c>
      <c r="D5067">
        <v>0.21414800000000001</v>
      </c>
      <c r="E5067">
        <v>-1.1658E-2</v>
      </c>
      <c r="F5067">
        <v>-0.506027</v>
      </c>
      <c r="G5067">
        <v>-0.40015899999999999</v>
      </c>
    </row>
    <row r="5068" spans="1:7">
      <c r="A5068" t="s">
        <v>144</v>
      </c>
      <c r="B5068">
        <v>79</v>
      </c>
      <c r="C5068">
        <v>48</v>
      </c>
      <c r="D5068">
        <v>0.21414800000000001</v>
      </c>
      <c r="E5068">
        <v>-4.5779999999999996E-3</v>
      </c>
      <c r="F5068">
        <v>-0.93554499999999996</v>
      </c>
      <c r="G5068">
        <v>-0.73617999999999995</v>
      </c>
    </row>
    <row r="5069" spans="1:7">
      <c r="A5069" t="s">
        <v>144</v>
      </c>
      <c r="B5069">
        <v>79</v>
      </c>
      <c r="C5069">
        <v>49</v>
      </c>
      <c r="D5069">
        <v>0.21414800000000001</v>
      </c>
      <c r="E5069">
        <v>0.78508900000000004</v>
      </c>
      <c r="F5069">
        <v>-0.18607099999999999</v>
      </c>
      <c r="G5069">
        <v>2.1901E-2</v>
      </c>
    </row>
    <row r="5070" spans="1:7">
      <c r="A5070" t="s">
        <v>144</v>
      </c>
      <c r="B5070" t="s">
        <v>145</v>
      </c>
      <c r="C5070">
        <v>80</v>
      </c>
    </row>
    <row r="5071" spans="1:7">
      <c r="A5071" t="s">
        <v>144</v>
      </c>
      <c r="B5071" t="s">
        <v>146</v>
      </c>
      <c r="C5071">
        <v>20</v>
      </c>
    </row>
    <row r="5072" spans="1:7">
      <c r="A5072" t="s">
        <v>144</v>
      </c>
      <c r="B5072" t="s">
        <v>147</v>
      </c>
      <c r="C5072">
        <v>20</v>
      </c>
    </row>
    <row r="5073" spans="1:7">
      <c r="A5073" t="s">
        <v>144</v>
      </c>
      <c r="B5073" t="s">
        <v>148</v>
      </c>
      <c r="C5073">
        <v>0.455733</v>
      </c>
    </row>
    <row r="5074" spans="1:7">
      <c r="A5074" t="s">
        <v>144</v>
      </c>
      <c r="B5074" t="s">
        <v>149</v>
      </c>
      <c r="C5074">
        <v>0.455733</v>
      </c>
    </row>
    <row r="5075" spans="1:7">
      <c r="A5075" t="s">
        <v>144</v>
      </c>
      <c r="B5075" t="s">
        <v>150</v>
      </c>
      <c r="C5075">
        <v>-1</v>
      </c>
    </row>
    <row r="5076" spans="1:7">
      <c r="A5076" t="s">
        <v>144</v>
      </c>
      <c r="B5076" t="s">
        <v>151</v>
      </c>
      <c r="C5076">
        <v>-1</v>
      </c>
    </row>
    <row r="5077" spans="1:7">
      <c r="A5077" t="s">
        <v>144</v>
      </c>
      <c r="B5077" t="s">
        <v>152</v>
      </c>
      <c r="C5077">
        <v>14</v>
      </c>
    </row>
    <row r="5078" spans="1:7">
      <c r="A5078" t="s">
        <v>144</v>
      </c>
      <c r="B5078" t="s">
        <v>153</v>
      </c>
      <c r="C5078">
        <v>14</v>
      </c>
    </row>
    <row r="5079" spans="1:7">
      <c r="A5079" t="s">
        <v>144</v>
      </c>
      <c r="B5079" t="s">
        <v>154</v>
      </c>
      <c r="C5079">
        <v>0</v>
      </c>
    </row>
    <row r="5080" spans="1:7">
      <c r="A5080" t="s">
        <v>144</v>
      </c>
      <c r="B5080" t="s">
        <v>155</v>
      </c>
    </row>
    <row r="5081" spans="1:7">
      <c r="A5081" t="s">
        <v>144</v>
      </c>
      <c r="B5081" t="s">
        <v>150</v>
      </c>
      <c r="C5081">
        <v>0.78908699999999998</v>
      </c>
    </row>
    <row r="5082" spans="1:7">
      <c r="A5082" t="s">
        <v>144</v>
      </c>
      <c r="B5082" t="s">
        <v>151</v>
      </c>
      <c r="C5082">
        <v>0.78908699999999998</v>
      </c>
    </row>
    <row r="5083" spans="1:7">
      <c r="A5083" t="s">
        <v>144</v>
      </c>
      <c r="B5083" t="s">
        <v>156</v>
      </c>
      <c r="C5083" t="s">
        <v>157</v>
      </c>
      <c r="D5083" t="s">
        <v>63</v>
      </c>
      <c r="E5083" t="s">
        <v>158</v>
      </c>
      <c r="F5083" t="s">
        <v>159</v>
      </c>
      <c r="G5083" t="s">
        <v>160</v>
      </c>
    </row>
    <row r="5084" spans="1:7">
      <c r="A5084" t="s">
        <v>144</v>
      </c>
      <c r="B5084">
        <v>80</v>
      </c>
      <c r="C5084">
        <v>0</v>
      </c>
      <c r="D5084">
        <v>0.78908699999999998</v>
      </c>
      <c r="E5084">
        <v>0.306589</v>
      </c>
      <c r="F5084">
        <v>-1</v>
      </c>
      <c r="G5084">
        <v>0.306589</v>
      </c>
    </row>
    <row r="5085" spans="1:7">
      <c r="A5085" t="s">
        <v>144</v>
      </c>
      <c r="B5085">
        <v>80</v>
      </c>
      <c r="C5085">
        <v>1</v>
      </c>
      <c r="D5085">
        <v>0.78908699999999998</v>
      </c>
      <c r="E5085">
        <v>0.27494099999999999</v>
      </c>
      <c r="F5085">
        <v>-1</v>
      </c>
      <c r="G5085">
        <v>0.27494099999999999</v>
      </c>
    </row>
    <row r="5086" spans="1:7">
      <c r="A5086" t="s">
        <v>144</v>
      </c>
      <c r="B5086">
        <v>80</v>
      </c>
      <c r="C5086">
        <v>2</v>
      </c>
      <c r="D5086">
        <v>0.78908699999999998</v>
      </c>
      <c r="E5086">
        <v>0.52394200000000002</v>
      </c>
      <c r="F5086">
        <v>-1</v>
      </c>
      <c r="G5086">
        <v>0.52394200000000002</v>
      </c>
    </row>
    <row r="5087" spans="1:7">
      <c r="A5087" t="s">
        <v>144</v>
      </c>
      <c r="B5087">
        <v>80</v>
      </c>
      <c r="C5087">
        <v>3</v>
      </c>
      <c r="D5087">
        <v>0.78908699999999998</v>
      </c>
      <c r="E5087">
        <v>0.449965</v>
      </c>
      <c r="F5087">
        <v>-1</v>
      </c>
      <c r="G5087">
        <v>0.449965</v>
      </c>
    </row>
    <row r="5088" spans="1:7">
      <c r="A5088" t="s">
        <v>144</v>
      </c>
      <c r="B5088">
        <v>80</v>
      </c>
      <c r="C5088">
        <v>4</v>
      </c>
      <c r="D5088">
        <v>0.78908699999999998</v>
      </c>
      <c r="E5088">
        <v>-0.85894300000000001</v>
      </c>
      <c r="F5088">
        <v>-1</v>
      </c>
      <c r="G5088">
        <v>-0.85894300000000001</v>
      </c>
    </row>
    <row r="5089" spans="1:7">
      <c r="A5089" t="s">
        <v>144</v>
      </c>
      <c r="B5089">
        <v>80</v>
      </c>
      <c r="C5089">
        <v>5</v>
      </c>
      <c r="D5089">
        <v>0.78908699999999998</v>
      </c>
      <c r="E5089">
        <v>0.40437000000000001</v>
      </c>
      <c r="F5089">
        <v>-1</v>
      </c>
      <c r="G5089">
        <v>0.40437000000000001</v>
      </c>
    </row>
    <row r="5090" spans="1:7">
      <c r="A5090" t="s">
        <v>144</v>
      </c>
      <c r="B5090">
        <v>80</v>
      </c>
      <c r="C5090">
        <v>6</v>
      </c>
      <c r="D5090">
        <v>0.78908699999999998</v>
      </c>
      <c r="E5090">
        <v>-0.818079</v>
      </c>
      <c r="F5090">
        <v>-1</v>
      </c>
      <c r="G5090">
        <v>-0.818079</v>
      </c>
    </row>
    <row r="5091" spans="1:7">
      <c r="A5091" t="s">
        <v>144</v>
      </c>
      <c r="B5091">
        <v>80</v>
      </c>
      <c r="C5091">
        <v>7</v>
      </c>
      <c r="D5091">
        <v>0.78908699999999998</v>
      </c>
      <c r="E5091">
        <v>0.58809199999999995</v>
      </c>
      <c r="F5091">
        <v>-1</v>
      </c>
      <c r="G5091">
        <v>0.58809199999999995</v>
      </c>
    </row>
    <row r="5092" spans="1:7">
      <c r="A5092" t="s">
        <v>144</v>
      </c>
      <c r="B5092">
        <v>80</v>
      </c>
      <c r="C5092">
        <v>8</v>
      </c>
      <c r="D5092">
        <v>0.78908699999999998</v>
      </c>
      <c r="E5092">
        <v>0.47499000000000002</v>
      </c>
      <c r="F5092">
        <v>-1</v>
      </c>
      <c r="G5092">
        <v>0.47499000000000002</v>
      </c>
    </row>
    <row r="5093" spans="1:7">
      <c r="A5093" t="s">
        <v>144</v>
      </c>
      <c r="B5093">
        <v>80</v>
      </c>
      <c r="C5093">
        <v>9</v>
      </c>
      <c r="D5093">
        <v>0.78908699999999998</v>
      </c>
      <c r="E5093">
        <v>-0.88402999999999998</v>
      </c>
      <c r="F5093">
        <v>-1</v>
      </c>
      <c r="G5093">
        <v>-0.88402999999999998</v>
      </c>
    </row>
    <row r="5094" spans="1:7">
      <c r="A5094" t="s">
        <v>144</v>
      </c>
      <c r="B5094">
        <v>80</v>
      </c>
      <c r="C5094">
        <v>10</v>
      </c>
      <c r="D5094">
        <v>0.78908699999999998</v>
      </c>
      <c r="E5094">
        <v>-0.75350200000000001</v>
      </c>
      <c r="F5094">
        <v>-1</v>
      </c>
      <c r="G5094">
        <v>-0.75350200000000001</v>
      </c>
    </row>
    <row r="5095" spans="1:7">
      <c r="A5095" t="s">
        <v>144</v>
      </c>
      <c r="B5095">
        <v>80</v>
      </c>
      <c r="C5095">
        <v>11</v>
      </c>
      <c r="D5095">
        <v>0.78908699999999998</v>
      </c>
      <c r="E5095">
        <v>-0.40357700000000002</v>
      </c>
      <c r="F5095">
        <v>-1</v>
      </c>
      <c r="G5095">
        <v>-0.40357700000000002</v>
      </c>
    </row>
    <row r="5096" spans="1:7">
      <c r="A5096" t="s">
        <v>144</v>
      </c>
      <c r="B5096">
        <v>80</v>
      </c>
      <c r="C5096">
        <v>12</v>
      </c>
      <c r="D5096">
        <v>0.78908699999999998</v>
      </c>
      <c r="E5096">
        <v>0.83709199999999995</v>
      </c>
      <c r="F5096">
        <v>-1</v>
      </c>
      <c r="G5096">
        <v>0.83709199999999995</v>
      </c>
    </row>
    <row r="5097" spans="1:7">
      <c r="A5097" t="s">
        <v>144</v>
      </c>
      <c r="B5097">
        <v>80</v>
      </c>
      <c r="C5097">
        <v>13</v>
      </c>
      <c r="D5097">
        <v>0.78908699999999998</v>
      </c>
      <c r="E5097">
        <v>0.424848</v>
      </c>
      <c r="F5097">
        <v>-1</v>
      </c>
      <c r="G5097">
        <v>0.424848</v>
      </c>
    </row>
    <row r="5098" spans="1:7">
      <c r="A5098" t="s">
        <v>144</v>
      </c>
      <c r="B5098">
        <v>80</v>
      </c>
      <c r="C5098">
        <v>14</v>
      </c>
      <c r="D5098">
        <v>0.78908699999999998</v>
      </c>
      <c r="E5098">
        <v>0.862209</v>
      </c>
      <c r="F5098">
        <v>0.18216499999999999</v>
      </c>
      <c r="G5098">
        <v>0.71877800000000003</v>
      </c>
    </row>
    <row r="5099" spans="1:7">
      <c r="A5099" t="s">
        <v>144</v>
      </c>
      <c r="B5099">
        <v>80</v>
      </c>
      <c r="C5099">
        <v>15</v>
      </c>
      <c r="D5099">
        <v>0.78908699999999998</v>
      </c>
      <c r="E5099">
        <v>-0.87951299999999999</v>
      </c>
      <c r="F5099">
        <v>5.6978000000000001E-2</v>
      </c>
      <c r="G5099">
        <v>-0.68199399999999999</v>
      </c>
    </row>
    <row r="5100" spans="1:7">
      <c r="A5100" t="s">
        <v>144</v>
      </c>
      <c r="B5100">
        <v>80</v>
      </c>
      <c r="C5100">
        <v>16</v>
      </c>
      <c r="D5100">
        <v>0.78908699999999998</v>
      </c>
      <c r="E5100">
        <v>-0.55049300000000001</v>
      </c>
      <c r="F5100">
        <v>0.898312</v>
      </c>
      <c r="G5100">
        <v>-0.24492</v>
      </c>
    </row>
    <row r="5101" spans="1:7">
      <c r="A5101" t="s">
        <v>144</v>
      </c>
      <c r="B5101">
        <v>80</v>
      </c>
      <c r="C5101">
        <v>17</v>
      </c>
      <c r="D5101">
        <v>0.78908699999999998</v>
      </c>
      <c r="E5101">
        <v>-0.29471700000000001</v>
      </c>
      <c r="F5101">
        <v>-0.81063300000000005</v>
      </c>
      <c r="G5101">
        <v>-0.40353099999999997</v>
      </c>
    </row>
    <row r="5102" spans="1:7">
      <c r="A5102" t="s">
        <v>144</v>
      </c>
      <c r="B5102">
        <v>80</v>
      </c>
      <c r="C5102">
        <v>18</v>
      </c>
      <c r="D5102">
        <v>0.78908699999999998</v>
      </c>
      <c r="E5102">
        <v>0.93707099999999999</v>
      </c>
      <c r="F5102">
        <v>-0.74700200000000005</v>
      </c>
      <c r="G5102">
        <v>0.58187699999999998</v>
      </c>
    </row>
    <row r="5103" spans="1:7">
      <c r="A5103" t="s">
        <v>144</v>
      </c>
      <c r="B5103">
        <v>80</v>
      </c>
      <c r="C5103">
        <v>19</v>
      </c>
      <c r="D5103">
        <v>0.78908699999999998</v>
      </c>
      <c r="E5103">
        <v>0.59666699999999995</v>
      </c>
      <c r="F5103">
        <v>0.64601600000000003</v>
      </c>
      <c r="G5103">
        <v>0.60707599999999995</v>
      </c>
    </row>
    <row r="5104" spans="1:7">
      <c r="A5104" t="s">
        <v>144</v>
      </c>
      <c r="B5104">
        <v>80</v>
      </c>
      <c r="C5104">
        <v>20</v>
      </c>
      <c r="D5104">
        <v>0.78908699999999998</v>
      </c>
      <c r="E5104">
        <v>-0.85048999999999997</v>
      </c>
      <c r="F5104">
        <v>0.45310800000000001</v>
      </c>
      <c r="G5104">
        <v>-0.57554300000000003</v>
      </c>
    </row>
    <row r="5105" spans="1:7">
      <c r="A5105" t="s">
        <v>144</v>
      </c>
      <c r="B5105">
        <v>80</v>
      </c>
      <c r="C5105">
        <v>21</v>
      </c>
      <c r="D5105">
        <v>0.78908699999999998</v>
      </c>
      <c r="E5105">
        <v>0.68138699999999996</v>
      </c>
      <c r="F5105">
        <v>0.41578399999999999</v>
      </c>
      <c r="G5105">
        <v>0.62536800000000003</v>
      </c>
    </row>
    <row r="5106" spans="1:7">
      <c r="A5106" t="s">
        <v>144</v>
      </c>
      <c r="B5106">
        <v>80</v>
      </c>
      <c r="C5106">
        <v>22</v>
      </c>
      <c r="D5106">
        <v>0.78908699999999998</v>
      </c>
      <c r="E5106">
        <v>0.30124800000000002</v>
      </c>
      <c r="F5106">
        <v>-0.65196699999999996</v>
      </c>
      <c r="G5106">
        <v>0.100202</v>
      </c>
    </row>
    <row r="5107" spans="1:7">
      <c r="A5107" t="s">
        <v>144</v>
      </c>
      <c r="B5107">
        <v>80</v>
      </c>
      <c r="C5107">
        <v>23</v>
      </c>
      <c r="D5107">
        <v>0.78908699999999998</v>
      </c>
      <c r="E5107">
        <v>0.15948999999999999</v>
      </c>
      <c r="F5107">
        <v>-0.49488799999999999</v>
      </c>
      <c r="G5107">
        <v>2.1472999999999999E-2</v>
      </c>
    </row>
    <row r="5108" spans="1:7">
      <c r="A5108" t="s">
        <v>144</v>
      </c>
      <c r="B5108">
        <v>80</v>
      </c>
      <c r="C5108">
        <v>24</v>
      </c>
      <c r="D5108">
        <v>0.78908699999999998</v>
      </c>
      <c r="E5108">
        <v>-0.43436999999999998</v>
      </c>
      <c r="F5108">
        <v>0.63310599999999995</v>
      </c>
      <c r="G5108">
        <v>-0.20922499999999999</v>
      </c>
    </row>
    <row r="5109" spans="1:7">
      <c r="A5109" t="s">
        <v>144</v>
      </c>
      <c r="B5109">
        <v>80</v>
      </c>
      <c r="C5109">
        <v>25</v>
      </c>
      <c r="D5109">
        <v>0.78908699999999998</v>
      </c>
      <c r="E5109">
        <v>0.181036</v>
      </c>
      <c r="F5109">
        <v>0.72457000000000005</v>
      </c>
      <c r="G5109">
        <v>0.29567500000000002</v>
      </c>
    </row>
    <row r="5110" spans="1:7">
      <c r="A5110" t="s">
        <v>144</v>
      </c>
      <c r="B5110">
        <v>80</v>
      </c>
      <c r="C5110">
        <v>26</v>
      </c>
      <c r="D5110">
        <v>0.78908699999999998</v>
      </c>
      <c r="E5110">
        <v>0.20294799999999999</v>
      </c>
      <c r="F5110">
        <v>8.5971000000000006E-2</v>
      </c>
      <c r="G5110">
        <v>0.17827599999999999</v>
      </c>
    </row>
    <row r="5111" spans="1:7">
      <c r="A5111" t="s">
        <v>144</v>
      </c>
      <c r="B5111">
        <v>80</v>
      </c>
      <c r="C5111">
        <v>27</v>
      </c>
      <c r="D5111">
        <v>0.78908699999999998</v>
      </c>
      <c r="E5111">
        <v>-0.74669600000000003</v>
      </c>
      <c r="F5111">
        <v>0.37394300000000003</v>
      </c>
      <c r="G5111">
        <v>-0.51033799999999996</v>
      </c>
    </row>
    <row r="5112" spans="1:7">
      <c r="A5112" t="s">
        <v>144</v>
      </c>
      <c r="B5112">
        <v>80</v>
      </c>
      <c r="C5112">
        <v>28</v>
      </c>
      <c r="D5112">
        <v>0.78908699999999998</v>
      </c>
      <c r="E5112">
        <v>0.41856100000000002</v>
      </c>
      <c r="F5112">
        <v>4.0889999999999998E-3</v>
      </c>
      <c r="G5112">
        <v>0.33114399999999999</v>
      </c>
    </row>
    <row r="5113" spans="1:7">
      <c r="A5113" t="s">
        <v>144</v>
      </c>
      <c r="B5113">
        <v>80</v>
      </c>
      <c r="C5113">
        <v>29</v>
      </c>
      <c r="D5113">
        <v>0.78908699999999998</v>
      </c>
      <c r="E5113">
        <v>-0.41142000000000001</v>
      </c>
      <c r="F5113">
        <v>-0.52543700000000004</v>
      </c>
      <c r="G5113">
        <v>-0.43546800000000002</v>
      </c>
    </row>
    <row r="5114" spans="1:7">
      <c r="A5114" t="s">
        <v>144</v>
      </c>
      <c r="B5114">
        <v>80</v>
      </c>
      <c r="C5114">
        <v>30</v>
      </c>
      <c r="D5114">
        <v>0.78908699999999998</v>
      </c>
      <c r="E5114">
        <v>0.33478799999999997</v>
      </c>
      <c r="F5114">
        <v>0.40311900000000001</v>
      </c>
      <c r="G5114">
        <v>0.34920000000000001</v>
      </c>
    </row>
    <row r="5115" spans="1:7">
      <c r="A5115" t="s">
        <v>144</v>
      </c>
      <c r="B5115">
        <v>80</v>
      </c>
      <c r="C5115">
        <v>31</v>
      </c>
      <c r="D5115">
        <v>0.78908699999999998</v>
      </c>
      <c r="E5115">
        <v>-0.78713299999999997</v>
      </c>
      <c r="F5115">
        <v>-0.79003299999999999</v>
      </c>
      <c r="G5115">
        <v>-0.78774500000000003</v>
      </c>
    </row>
    <row r="5116" spans="1:7">
      <c r="A5116" t="s">
        <v>144</v>
      </c>
      <c r="B5116">
        <v>80</v>
      </c>
      <c r="C5116">
        <v>32</v>
      </c>
      <c r="D5116">
        <v>0.78908699999999998</v>
      </c>
      <c r="E5116">
        <v>0.42048400000000002</v>
      </c>
      <c r="F5116">
        <v>-1.0102E-2</v>
      </c>
      <c r="G5116">
        <v>0.32966800000000002</v>
      </c>
    </row>
    <row r="5117" spans="1:7">
      <c r="A5117" t="s">
        <v>144</v>
      </c>
      <c r="B5117">
        <v>80</v>
      </c>
      <c r="C5117">
        <v>33</v>
      </c>
      <c r="D5117">
        <v>0.78908699999999998</v>
      </c>
      <c r="E5117">
        <v>-0.75017500000000004</v>
      </c>
      <c r="F5117">
        <v>0.75933099999999998</v>
      </c>
      <c r="G5117">
        <v>-0.43180000000000002</v>
      </c>
    </row>
    <row r="5118" spans="1:7">
      <c r="A5118" t="s">
        <v>144</v>
      </c>
      <c r="B5118">
        <v>80</v>
      </c>
      <c r="C5118">
        <v>34</v>
      </c>
      <c r="D5118">
        <v>0.78908699999999998</v>
      </c>
      <c r="E5118">
        <v>-0.47837800000000003</v>
      </c>
      <c r="F5118">
        <v>0.57957700000000001</v>
      </c>
      <c r="G5118">
        <v>-0.255241</v>
      </c>
    </row>
    <row r="5119" spans="1:7">
      <c r="A5119" t="s">
        <v>144</v>
      </c>
      <c r="B5119">
        <v>80</v>
      </c>
      <c r="C5119">
        <v>35</v>
      </c>
      <c r="D5119">
        <v>0.78908699999999998</v>
      </c>
      <c r="E5119">
        <v>-0.760521</v>
      </c>
      <c r="F5119">
        <v>-9.9612000000000006E-2</v>
      </c>
      <c r="G5119">
        <v>-0.62112699999999998</v>
      </c>
    </row>
    <row r="5120" spans="1:7">
      <c r="A5120" t="s">
        <v>144</v>
      </c>
      <c r="B5120">
        <v>80</v>
      </c>
      <c r="C5120">
        <v>36</v>
      </c>
      <c r="D5120">
        <v>0.78908699999999998</v>
      </c>
      <c r="E5120">
        <v>-0.76580099999999995</v>
      </c>
      <c r="F5120">
        <v>-0.992676</v>
      </c>
      <c r="G5120">
        <v>-0.81365200000000004</v>
      </c>
    </row>
    <row r="5121" spans="1:7">
      <c r="A5121" t="s">
        <v>144</v>
      </c>
      <c r="B5121">
        <v>80</v>
      </c>
      <c r="C5121">
        <v>37</v>
      </c>
      <c r="D5121">
        <v>0.78908699999999998</v>
      </c>
      <c r="E5121">
        <v>-0.19809599999999999</v>
      </c>
      <c r="F5121">
        <v>-0.69542499999999996</v>
      </c>
      <c r="G5121">
        <v>-0.30298900000000001</v>
      </c>
    </row>
    <row r="5122" spans="1:7">
      <c r="A5122" t="s">
        <v>144</v>
      </c>
      <c r="B5122">
        <v>80</v>
      </c>
      <c r="C5122">
        <v>38</v>
      </c>
      <c r="D5122">
        <v>0.78908699999999998</v>
      </c>
      <c r="E5122">
        <v>0.27378200000000003</v>
      </c>
      <c r="F5122">
        <v>-0.79586199999999996</v>
      </c>
      <c r="G5122">
        <v>4.8179E-2</v>
      </c>
    </row>
    <row r="5123" spans="1:7">
      <c r="A5123" t="s">
        <v>144</v>
      </c>
      <c r="B5123">
        <v>80</v>
      </c>
      <c r="C5123">
        <v>39</v>
      </c>
      <c r="D5123">
        <v>0.78908699999999998</v>
      </c>
      <c r="E5123">
        <v>0.123325</v>
      </c>
      <c r="F5123">
        <v>-0.74730700000000005</v>
      </c>
      <c r="G5123">
        <v>-6.0303000000000002E-2</v>
      </c>
    </row>
    <row r="5124" spans="1:7">
      <c r="A5124" t="s">
        <v>144</v>
      </c>
      <c r="B5124">
        <v>80</v>
      </c>
      <c r="C5124">
        <v>40</v>
      </c>
      <c r="D5124">
        <v>0.78908699999999998</v>
      </c>
      <c r="E5124">
        <v>-0.82027600000000001</v>
      </c>
      <c r="F5124">
        <v>0.33539799999999997</v>
      </c>
      <c r="G5124">
        <v>-0.57652899999999996</v>
      </c>
    </row>
    <row r="5125" spans="1:7">
      <c r="A5125" t="s">
        <v>144</v>
      </c>
      <c r="B5125">
        <v>80</v>
      </c>
      <c r="C5125">
        <v>41</v>
      </c>
      <c r="D5125">
        <v>0.78908699999999998</v>
      </c>
      <c r="E5125">
        <v>-0.367504</v>
      </c>
      <c r="F5125">
        <v>0.23191000000000001</v>
      </c>
      <c r="G5125">
        <v>-0.24107899999999999</v>
      </c>
    </row>
    <row r="5126" spans="1:7">
      <c r="A5126" t="s">
        <v>144</v>
      </c>
      <c r="B5126">
        <v>80</v>
      </c>
      <c r="C5126">
        <v>42</v>
      </c>
      <c r="D5126">
        <v>0.78908699999999998</v>
      </c>
      <c r="E5126">
        <v>0.114231</v>
      </c>
      <c r="F5126">
        <v>-0.143651</v>
      </c>
      <c r="G5126">
        <v>5.9839999999999997E-2</v>
      </c>
    </row>
    <row r="5127" spans="1:7">
      <c r="A5127" t="s">
        <v>144</v>
      </c>
      <c r="B5127">
        <v>80</v>
      </c>
      <c r="C5127">
        <v>43</v>
      </c>
      <c r="D5127">
        <v>0.78908699999999998</v>
      </c>
      <c r="E5127">
        <v>-0.35950799999999999</v>
      </c>
      <c r="F5127">
        <v>-0.62886399999999998</v>
      </c>
      <c r="G5127">
        <v>-0.41631899999999999</v>
      </c>
    </row>
    <row r="5128" spans="1:7">
      <c r="A5128" t="s">
        <v>144</v>
      </c>
      <c r="B5128">
        <v>80</v>
      </c>
      <c r="C5128">
        <v>44</v>
      </c>
      <c r="D5128">
        <v>0.78908699999999998</v>
      </c>
      <c r="E5128">
        <v>0.44685200000000003</v>
      </c>
      <c r="F5128">
        <v>0.73366500000000001</v>
      </c>
      <c r="G5128">
        <v>0.50734500000000005</v>
      </c>
    </row>
    <row r="5129" spans="1:7">
      <c r="A5129" t="s">
        <v>144</v>
      </c>
      <c r="B5129">
        <v>80</v>
      </c>
      <c r="C5129">
        <v>45</v>
      </c>
      <c r="D5129">
        <v>0.78908699999999998</v>
      </c>
      <c r="E5129">
        <v>-0.59532499999999999</v>
      </c>
      <c r="F5129">
        <v>-0.32184800000000002</v>
      </c>
      <c r="G5129">
        <v>-0.53764500000000004</v>
      </c>
    </row>
    <row r="5130" spans="1:7">
      <c r="A5130" t="s">
        <v>144</v>
      </c>
      <c r="B5130">
        <v>80</v>
      </c>
      <c r="C5130">
        <v>46</v>
      </c>
      <c r="D5130">
        <v>0.78908699999999998</v>
      </c>
      <c r="E5130">
        <v>0.16550200000000001</v>
      </c>
      <c r="F5130">
        <v>-0.45802199999999998</v>
      </c>
      <c r="G5130">
        <v>3.3992000000000001E-2</v>
      </c>
    </row>
    <row r="5131" spans="1:7">
      <c r="A5131" t="s">
        <v>144</v>
      </c>
      <c r="B5131">
        <v>80</v>
      </c>
      <c r="C5131">
        <v>47</v>
      </c>
      <c r="D5131">
        <v>0.78908699999999998</v>
      </c>
      <c r="E5131">
        <v>0.15613299999999999</v>
      </c>
      <c r="F5131">
        <v>-0.57972999999999997</v>
      </c>
      <c r="G5131">
        <v>9.2900000000000003E-4</v>
      </c>
    </row>
    <row r="5132" spans="1:7">
      <c r="A5132" t="s">
        <v>144</v>
      </c>
      <c r="B5132">
        <v>80</v>
      </c>
      <c r="C5132">
        <v>48</v>
      </c>
      <c r="D5132">
        <v>0.78908699999999998</v>
      </c>
      <c r="E5132">
        <v>0.58772500000000005</v>
      </c>
      <c r="F5132">
        <v>-0.58885500000000002</v>
      </c>
      <c r="G5132">
        <v>0.33956900000000001</v>
      </c>
    </row>
    <row r="5133" spans="1:7">
      <c r="A5133" t="s">
        <v>144</v>
      </c>
      <c r="B5133">
        <v>80</v>
      </c>
      <c r="C5133">
        <v>49</v>
      </c>
      <c r="D5133">
        <v>0.78908699999999998</v>
      </c>
      <c r="E5133">
        <v>0.181585</v>
      </c>
      <c r="F5133">
        <v>0.52385000000000004</v>
      </c>
      <c r="G5133">
        <v>0.25377300000000003</v>
      </c>
    </row>
    <row r="5134" spans="1:7">
      <c r="A5134" t="s">
        <v>144</v>
      </c>
      <c r="B5134" t="s">
        <v>145</v>
      </c>
      <c r="C5134">
        <v>81</v>
      </c>
    </row>
    <row r="5135" spans="1:7">
      <c r="A5135" t="s">
        <v>144</v>
      </c>
      <c r="B5135" t="s">
        <v>146</v>
      </c>
      <c r="C5135">
        <v>65</v>
      </c>
    </row>
    <row r="5136" spans="1:7">
      <c r="A5136" t="s">
        <v>144</v>
      </c>
      <c r="B5136" t="s">
        <v>147</v>
      </c>
      <c r="C5136">
        <v>65</v>
      </c>
    </row>
    <row r="5137" spans="1:7">
      <c r="A5137" t="s">
        <v>144</v>
      </c>
      <c r="B5137" t="s">
        <v>148</v>
      </c>
      <c r="C5137">
        <v>0.27015</v>
      </c>
    </row>
    <row r="5138" spans="1:7">
      <c r="A5138" t="s">
        <v>144</v>
      </c>
      <c r="B5138" t="s">
        <v>149</v>
      </c>
      <c r="C5138">
        <v>0.27015</v>
      </c>
    </row>
    <row r="5139" spans="1:7">
      <c r="A5139" t="s">
        <v>144</v>
      </c>
      <c r="B5139" t="s">
        <v>150</v>
      </c>
      <c r="C5139">
        <v>-1</v>
      </c>
    </row>
    <row r="5140" spans="1:7">
      <c r="A5140" t="s">
        <v>144</v>
      </c>
      <c r="B5140" t="s">
        <v>151</v>
      </c>
      <c r="C5140">
        <v>-1</v>
      </c>
    </row>
    <row r="5141" spans="1:7">
      <c r="A5141" t="s">
        <v>144</v>
      </c>
      <c r="B5141" t="s">
        <v>152</v>
      </c>
      <c r="C5141">
        <v>3</v>
      </c>
    </row>
    <row r="5142" spans="1:7">
      <c r="A5142" t="s">
        <v>144</v>
      </c>
      <c r="B5142" t="s">
        <v>153</v>
      </c>
      <c r="C5142">
        <v>3</v>
      </c>
    </row>
    <row r="5143" spans="1:7">
      <c r="A5143" t="s">
        <v>144</v>
      </c>
      <c r="B5143" t="s">
        <v>154</v>
      </c>
      <c r="C5143">
        <v>0</v>
      </c>
    </row>
    <row r="5144" spans="1:7">
      <c r="A5144" t="s">
        <v>144</v>
      </c>
      <c r="B5144" t="s">
        <v>155</v>
      </c>
    </row>
    <row r="5145" spans="1:7">
      <c r="A5145" t="s">
        <v>144</v>
      </c>
      <c r="B5145" t="s">
        <v>150</v>
      </c>
      <c r="C5145">
        <v>0.38785999999999998</v>
      </c>
    </row>
    <row r="5146" spans="1:7">
      <c r="A5146" t="s">
        <v>144</v>
      </c>
      <c r="B5146" t="s">
        <v>151</v>
      </c>
      <c r="C5146">
        <v>0.38785999999999998</v>
      </c>
    </row>
    <row r="5147" spans="1:7">
      <c r="A5147" t="s">
        <v>144</v>
      </c>
      <c r="B5147" t="s">
        <v>156</v>
      </c>
      <c r="C5147" t="s">
        <v>157</v>
      </c>
      <c r="D5147" t="s">
        <v>63</v>
      </c>
      <c r="E5147" t="s">
        <v>158</v>
      </c>
      <c r="F5147" t="s">
        <v>159</v>
      </c>
      <c r="G5147" t="s">
        <v>160</v>
      </c>
    </row>
    <row r="5148" spans="1:7">
      <c r="A5148" t="s">
        <v>144</v>
      </c>
      <c r="B5148">
        <v>81</v>
      </c>
      <c r="C5148">
        <v>0</v>
      </c>
      <c r="D5148">
        <v>0.38785999999999998</v>
      </c>
      <c r="E5148">
        <v>-0.17041500000000001</v>
      </c>
      <c r="F5148">
        <v>-1</v>
      </c>
      <c r="G5148">
        <v>-0.17041500000000001</v>
      </c>
    </row>
    <row r="5149" spans="1:7">
      <c r="A5149" t="s">
        <v>144</v>
      </c>
      <c r="B5149">
        <v>81</v>
      </c>
      <c r="C5149">
        <v>1</v>
      </c>
      <c r="D5149">
        <v>0.38785999999999998</v>
      </c>
      <c r="E5149">
        <v>-0.80849599999999999</v>
      </c>
      <c r="F5149">
        <v>-1</v>
      </c>
      <c r="G5149">
        <v>-0.80849599999999999</v>
      </c>
    </row>
    <row r="5150" spans="1:7">
      <c r="A5150" t="s">
        <v>144</v>
      </c>
      <c r="B5150">
        <v>81</v>
      </c>
      <c r="C5150">
        <v>2</v>
      </c>
      <c r="D5150">
        <v>0.38785999999999998</v>
      </c>
      <c r="E5150">
        <v>-0.53370799999999996</v>
      </c>
      <c r="F5150">
        <v>-1</v>
      </c>
      <c r="G5150">
        <v>-0.53370799999999996</v>
      </c>
    </row>
    <row r="5151" spans="1:7">
      <c r="A5151" t="s">
        <v>144</v>
      </c>
      <c r="B5151">
        <v>81</v>
      </c>
      <c r="C5151">
        <v>3</v>
      </c>
      <c r="D5151">
        <v>0.38785999999999998</v>
      </c>
      <c r="E5151">
        <v>0.78423399999999999</v>
      </c>
      <c r="F5151">
        <v>0.33069900000000002</v>
      </c>
      <c r="G5151">
        <v>0.50660700000000003</v>
      </c>
    </row>
    <row r="5152" spans="1:7">
      <c r="A5152" t="s">
        <v>144</v>
      </c>
      <c r="B5152">
        <v>81</v>
      </c>
      <c r="C5152">
        <v>4</v>
      </c>
      <c r="D5152">
        <v>0.38785999999999998</v>
      </c>
      <c r="E5152">
        <v>-0.46085999999999999</v>
      </c>
      <c r="F5152">
        <v>-0.92080399999999996</v>
      </c>
      <c r="G5152">
        <v>-0.74241100000000004</v>
      </c>
    </row>
    <row r="5153" spans="1:7">
      <c r="A5153" t="s">
        <v>144</v>
      </c>
      <c r="B5153">
        <v>81</v>
      </c>
      <c r="C5153">
        <v>5</v>
      </c>
      <c r="D5153">
        <v>0.38785999999999998</v>
      </c>
      <c r="E5153">
        <v>-0.539964</v>
      </c>
      <c r="F5153">
        <v>0.62257799999999996</v>
      </c>
      <c r="G5153">
        <v>0.17167499999999999</v>
      </c>
    </row>
    <row r="5154" spans="1:7">
      <c r="A5154" t="s">
        <v>144</v>
      </c>
      <c r="B5154">
        <v>81</v>
      </c>
      <c r="C5154">
        <v>6</v>
      </c>
      <c r="D5154">
        <v>0.38785999999999998</v>
      </c>
      <c r="E5154">
        <v>-0.87725500000000001</v>
      </c>
      <c r="F5154">
        <v>0.74230200000000002</v>
      </c>
      <c r="G5154">
        <v>0.11414100000000001</v>
      </c>
    </row>
    <row r="5155" spans="1:7">
      <c r="A5155" t="s">
        <v>144</v>
      </c>
      <c r="B5155">
        <v>81</v>
      </c>
      <c r="C5155">
        <v>7</v>
      </c>
      <c r="D5155">
        <v>0.38785999999999998</v>
      </c>
      <c r="E5155">
        <v>4.5045000000000002E-2</v>
      </c>
      <c r="F5155">
        <v>0.62001399999999995</v>
      </c>
      <c r="G5155">
        <v>0.397007</v>
      </c>
    </row>
    <row r="5156" spans="1:7">
      <c r="A5156" t="s">
        <v>144</v>
      </c>
      <c r="B5156">
        <v>81</v>
      </c>
      <c r="C5156">
        <v>8</v>
      </c>
      <c r="D5156">
        <v>0.38785999999999998</v>
      </c>
      <c r="E5156">
        <v>0.281198</v>
      </c>
      <c r="F5156">
        <v>0.81862800000000002</v>
      </c>
      <c r="G5156">
        <v>0.61018099999999997</v>
      </c>
    </row>
    <row r="5157" spans="1:7">
      <c r="A5157" t="s">
        <v>144</v>
      </c>
      <c r="B5157">
        <v>81</v>
      </c>
      <c r="C5157">
        <v>9</v>
      </c>
      <c r="D5157">
        <v>0.38785999999999998</v>
      </c>
      <c r="E5157">
        <v>0.75456999999999996</v>
      </c>
      <c r="F5157">
        <v>0.17725199999999999</v>
      </c>
      <c r="G5157">
        <v>0.40117000000000003</v>
      </c>
    </row>
    <row r="5158" spans="1:7">
      <c r="A5158" t="s">
        <v>144</v>
      </c>
      <c r="B5158">
        <v>81</v>
      </c>
      <c r="C5158">
        <v>10</v>
      </c>
      <c r="D5158">
        <v>0.38785999999999998</v>
      </c>
      <c r="E5158">
        <v>-0.49577300000000002</v>
      </c>
      <c r="F5158">
        <v>0.455733</v>
      </c>
      <c r="G5158">
        <v>8.6681999999999995E-2</v>
      </c>
    </row>
    <row r="5159" spans="1:7">
      <c r="A5159" t="s">
        <v>144</v>
      </c>
      <c r="B5159">
        <v>81</v>
      </c>
      <c r="C5159">
        <v>11</v>
      </c>
      <c r="D5159">
        <v>0.38785999999999998</v>
      </c>
      <c r="E5159">
        <v>-0.62352399999999997</v>
      </c>
      <c r="F5159">
        <v>0.61146900000000004</v>
      </c>
      <c r="G5159">
        <v>0.132465</v>
      </c>
    </row>
    <row r="5160" spans="1:7">
      <c r="A5160" t="s">
        <v>144</v>
      </c>
      <c r="B5160">
        <v>81</v>
      </c>
      <c r="C5160">
        <v>12</v>
      </c>
      <c r="D5160">
        <v>0.38785999999999998</v>
      </c>
      <c r="E5160">
        <v>-4.7121000000000003E-2</v>
      </c>
      <c r="F5160">
        <v>-0.57991300000000001</v>
      </c>
      <c r="G5160">
        <v>-0.37326399999999998</v>
      </c>
    </row>
    <row r="5161" spans="1:7">
      <c r="A5161" t="s">
        <v>144</v>
      </c>
      <c r="B5161">
        <v>81</v>
      </c>
      <c r="C5161">
        <v>13</v>
      </c>
      <c r="D5161">
        <v>0.38785999999999998</v>
      </c>
      <c r="E5161">
        <v>0.76390899999999995</v>
      </c>
      <c r="F5161">
        <v>0.90084500000000001</v>
      </c>
      <c r="G5161">
        <v>0.84773299999999996</v>
      </c>
    </row>
    <row r="5162" spans="1:7">
      <c r="A5162" t="s">
        <v>144</v>
      </c>
      <c r="B5162">
        <v>81</v>
      </c>
      <c r="C5162">
        <v>14</v>
      </c>
      <c r="D5162">
        <v>0.38785999999999998</v>
      </c>
      <c r="E5162">
        <v>-0.32645600000000002</v>
      </c>
      <c r="F5162">
        <v>-0.76863899999999996</v>
      </c>
      <c r="G5162">
        <v>-0.59713400000000005</v>
      </c>
    </row>
    <row r="5163" spans="1:7">
      <c r="A5163" t="s">
        <v>144</v>
      </c>
      <c r="B5163">
        <v>81</v>
      </c>
      <c r="C5163">
        <v>15</v>
      </c>
      <c r="D5163">
        <v>0.38785999999999998</v>
      </c>
      <c r="E5163">
        <v>-0.15009</v>
      </c>
      <c r="F5163">
        <v>-0.212256</v>
      </c>
      <c r="G5163">
        <v>-0.18814400000000001</v>
      </c>
    </row>
    <row r="5164" spans="1:7">
      <c r="A5164" t="s">
        <v>144</v>
      </c>
      <c r="B5164">
        <v>81</v>
      </c>
      <c r="C5164">
        <v>16</v>
      </c>
      <c r="D5164">
        <v>0.38785999999999998</v>
      </c>
      <c r="E5164">
        <v>0.191076</v>
      </c>
      <c r="F5164">
        <v>0.25214399999999998</v>
      </c>
      <c r="G5164">
        <v>0.22845799999999999</v>
      </c>
    </row>
    <row r="5165" spans="1:7">
      <c r="A5165" t="s">
        <v>144</v>
      </c>
      <c r="B5165">
        <v>81</v>
      </c>
      <c r="C5165">
        <v>17</v>
      </c>
      <c r="D5165">
        <v>0.38785999999999998</v>
      </c>
      <c r="E5165">
        <v>-0.28000700000000001</v>
      </c>
      <c r="F5165">
        <v>-0.16586799999999999</v>
      </c>
      <c r="G5165">
        <v>-0.21013799999999999</v>
      </c>
    </row>
    <row r="5166" spans="1:7">
      <c r="A5166" t="s">
        <v>144</v>
      </c>
      <c r="B5166">
        <v>81</v>
      </c>
      <c r="C5166">
        <v>18</v>
      </c>
      <c r="D5166">
        <v>0.38785999999999998</v>
      </c>
      <c r="E5166">
        <v>-0.16122900000000001</v>
      </c>
      <c r="F5166">
        <v>-0.54200899999999996</v>
      </c>
      <c r="G5166">
        <v>-0.39432</v>
      </c>
    </row>
    <row r="5167" spans="1:7">
      <c r="A5167" t="s">
        <v>144</v>
      </c>
      <c r="B5167">
        <v>81</v>
      </c>
      <c r="C5167">
        <v>19</v>
      </c>
      <c r="D5167">
        <v>0.38785999999999998</v>
      </c>
      <c r="E5167">
        <v>0.19684399999999999</v>
      </c>
      <c r="F5167">
        <v>0.74178299999999997</v>
      </c>
      <c r="G5167">
        <v>0.53042299999999998</v>
      </c>
    </row>
    <row r="5168" spans="1:7">
      <c r="A5168" t="s">
        <v>144</v>
      </c>
      <c r="B5168">
        <v>81</v>
      </c>
      <c r="C5168">
        <v>20</v>
      </c>
      <c r="D5168">
        <v>0.38785999999999998</v>
      </c>
      <c r="E5168">
        <v>-0.86919800000000003</v>
      </c>
      <c r="F5168">
        <v>0.84289099999999995</v>
      </c>
      <c r="G5168">
        <v>0.178841</v>
      </c>
    </row>
    <row r="5169" spans="1:7">
      <c r="A5169" t="s">
        <v>144</v>
      </c>
      <c r="B5169">
        <v>81</v>
      </c>
      <c r="C5169">
        <v>21</v>
      </c>
      <c r="D5169">
        <v>0.38785999999999998</v>
      </c>
      <c r="E5169">
        <v>0.77889299999999995</v>
      </c>
      <c r="F5169">
        <v>0.23572499999999999</v>
      </c>
      <c r="G5169">
        <v>0.44639800000000002</v>
      </c>
    </row>
    <row r="5170" spans="1:7">
      <c r="A5170" t="s">
        <v>144</v>
      </c>
      <c r="B5170">
        <v>81</v>
      </c>
      <c r="C5170">
        <v>22</v>
      </c>
      <c r="D5170">
        <v>0.38785999999999998</v>
      </c>
      <c r="E5170">
        <v>-0.91607400000000005</v>
      </c>
      <c r="F5170">
        <v>-0.90362299999999995</v>
      </c>
      <c r="G5170">
        <v>-0.90845200000000004</v>
      </c>
    </row>
    <row r="5171" spans="1:7">
      <c r="A5171" t="s">
        <v>144</v>
      </c>
      <c r="B5171">
        <v>81</v>
      </c>
      <c r="C5171">
        <v>23</v>
      </c>
      <c r="D5171">
        <v>0.38785999999999998</v>
      </c>
      <c r="E5171">
        <v>0.70308499999999996</v>
      </c>
      <c r="F5171">
        <v>-0.169958</v>
      </c>
      <c r="G5171">
        <v>0.16866100000000001</v>
      </c>
    </row>
    <row r="5172" spans="1:7">
      <c r="A5172" t="s">
        <v>144</v>
      </c>
      <c r="B5172">
        <v>81</v>
      </c>
      <c r="C5172">
        <v>24</v>
      </c>
      <c r="D5172">
        <v>0.38785999999999998</v>
      </c>
      <c r="E5172">
        <v>-0.79348099999999999</v>
      </c>
      <c r="F5172">
        <v>0.46427800000000002</v>
      </c>
      <c r="G5172">
        <v>-2.3556000000000001E-2</v>
      </c>
    </row>
    <row r="5173" spans="1:7">
      <c r="A5173" t="s">
        <v>144</v>
      </c>
      <c r="B5173">
        <v>81</v>
      </c>
      <c r="C5173">
        <v>25</v>
      </c>
      <c r="D5173">
        <v>0.38785999999999998</v>
      </c>
      <c r="E5173">
        <v>-0.98849500000000001</v>
      </c>
      <c r="F5173">
        <v>0.56526399999999999</v>
      </c>
      <c r="G5173">
        <v>-3.7376E-2</v>
      </c>
    </row>
    <row r="5174" spans="1:7">
      <c r="A5174" t="s">
        <v>144</v>
      </c>
      <c r="B5174">
        <v>81</v>
      </c>
      <c r="C5174">
        <v>26</v>
      </c>
      <c r="D5174">
        <v>0.38785999999999998</v>
      </c>
      <c r="E5174">
        <v>-2.5635999999999999E-2</v>
      </c>
      <c r="F5174">
        <v>-0.954924</v>
      </c>
      <c r="G5174">
        <v>-0.59449099999999999</v>
      </c>
    </row>
    <row r="5175" spans="1:7">
      <c r="A5175" t="s">
        <v>144</v>
      </c>
      <c r="B5175">
        <v>81</v>
      </c>
      <c r="C5175">
        <v>27</v>
      </c>
      <c r="D5175">
        <v>0.38785999999999998</v>
      </c>
      <c r="E5175">
        <v>0.52626099999999998</v>
      </c>
      <c r="F5175">
        <v>-0.48057499999999997</v>
      </c>
      <c r="G5175">
        <v>-9.0064000000000005E-2</v>
      </c>
    </row>
    <row r="5176" spans="1:7">
      <c r="A5176" t="s">
        <v>144</v>
      </c>
      <c r="B5176">
        <v>81</v>
      </c>
      <c r="C5176">
        <v>28</v>
      </c>
      <c r="D5176">
        <v>0.38785999999999998</v>
      </c>
      <c r="E5176">
        <v>-0.188665</v>
      </c>
      <c r="F5176">
        <v>0.60264899999999999</v>
      </c>
      <c r="G5176">
        <v>0.29572999999999999</v>
      </c>
    </row>
    <row r="5177" spans="1:7">
      <c r="A5177" t="s">
        <v>144</v>
      </c>
      <c r="B5177">
        <v>81</v>
      </c>
      <c r="C5177">
        <v>29</v>
      </c>
      <c r="D5177">
        <v>0.38785999999999998</v>
      </c>
      <c r="E5177">
        <v>0.50215200000000004</v>
      </c>
      <c r="F5177">
        <v>-0.2266</v>
      </c>
      <c r="G5177">
        <v>5.6052999999999999E-2</v>
      </c>
    </row>
    <row r="5178" spans="1:7">
      <c r="A5178" t="s">
        <v>144</v>
      </c>
      <c r="B5178">
        <v>81</v>
      </c>
      <c r="C5178">
        <v>30</v>
      </c>
      <c r="D5178">
        <v>0.38785999999999998</v>
      </c>
      <c r="E5178">
        <v>0.96285900000000002</v>
      </c>
      <c r="F5178">
        <v>-0.60319800000000001</v>
      </c>
      <c r="G5178">
        <v>4.2119999999999996E-3</v>
      </c>
    </row>
    <row r="5179" spans="1:7">
      <c r="A5179" t="s">
        <v>144</v>
      </c>
      <c r="B5179">
        <v>81</v>
      </c>
      <c r="C5179">
        <v>31</v>
      </c>
      <c r="D5179">
        <v>0.38785999999999998</v>
      </c>
      <c r="E5179">
        <v>-0.11771</v>
      </c>
      <c r="F5179">
        <v>0.15933700000000001</v>
      </c>
      <c r="G5179">
        <v>5.1881999999999998E-2</v>
      </c>
    </row>
    <row r="5180" spans="1:7">
      <c r="A5180" t="s">
        <v>144</v>
      </c>
      <c r="B5180">
        <v>81</v>
      </c>
      <c r="C5180">
        <v>32</v>
      </c>
      <c r="D5180">
        <v>0.38785999999999998</v>
      </c>
      <c r="E5180">
        <v>0.87444699999999997</v>
      </c>
      <c r="F5180">
        <v>0.51301600000000003</v>
      </c>
      <c r="G5180">
        <v>0.65320100000000003</v>
      </c>
    </row>
    <row r="5181" spans="1:7">
      <c r="A5181" t="s">
        <v>144</v>
      </c>
      <c r="B5181">
        <v>81</v>
      </c>
      <c r="C5181">
        <v>33</v>
      </c>
      <c r="D5181">
        <v>0.38785999999999998</v>
      </c>
      <c r="E5181">
        <v>-0.51686100000000001</v>
      </c>
      <c r="F5181">
        <v>-0.460005</v>
      </c>
      <c r="G5181">
        <v>-0.48205799999999999</v>
      </c>
    </row>
    <row r="5182" spans="1:7">
      <c r="A5182" t="s">
        <v>144</v>
      </c>
      <c r="B5182">
        <v>81</v>
      </c>
      <c r="C5182">
        <v>34</v>
      </c>
      <c r="D5182">
        <v>0.38785999999999998</v>
      </c>
      <c r="E5182">
        <v>0.883328</v>
      </c>
      <c r="F5182">
        <v>0.51854</v>
      </c>
      <c r="G5182">
        <v>0.660026</v>
      </c>
    </row>
    <row r="5183" spans="1:7">
      <c r="A5183" t="s">
        <v>144</v>
      </c>
      <c r="B5183">
        <v>81</v>
      </c>
      <c r="C5183">
        <v>35</v>
      </c>
      <c r="D5183">
        <v>0.38785999999999998</v>
      </c>
      <c r="E5183">
        <v>-0.323405</v>
      </c>
      <c r="F5183">
        <v>0.80748900000000001</v>
      </c>
      <c r="G5183">
        <v>0.36886099999999999</v>
      </c>
    </row>
    <row r="5184" spans="1:7">
      <c r="A5184" t="s">
        <v>144</v>
      </c>
      <c r="B5184">
        <v>81</v>
      </c>
      <c r="C5184">
        <v>36</v>
      </c>
      <c r="D5184">
        <v>0.38785999999999998</v>
      </c>
      <c r="E5184">
        <v>0.47227400000000003</v>
      </c>
      <c r="F5184">
        <v>-0.73857799999999996</v>
      </c>
      <c r="G5184">
        <v>-0.26893800000000001</v>
      </c>
    </row>
    <row r="5185" spans="1:7">
      <c r="A5185" t="s">
        <v>144</v>
      </c>
      <c r="B5185">
        <v>81</v>
      </c>
      <c r="C5185">
        <v>37</v>
      </c>
      <c r="D5185">
        <v>0.38785999999999998</v>
      </c>
      <c r="E5185">
        <v>0.69649300000000003</v>
      </c>
      <c r="F5185">
        <v>0.34961999999999999</v>
      </c>
      <c r="G5185">
        <v>0.48415799999999998</v>
      </c>
    </row>
    <row r="5186" spans="1:7">
      <c r="A5186" t="s">
        <v>144</v>
      </c>
      <c r="B5186">
        <v>81</v>
      </c>
      <c r="C5186">
        <v>38</v>
      </c>
      <c r="D5186">
        <v>0.38785999999999998</v>
      </c>
      <c r="E5186">
        <v>0.39494000000000001</v>
      </c>
      <c r="F5186">
        <v>-0.215918</v>
      </c>
      <c r="G5186">
        <v>2.1009E-2</v>
      </c>
    </row>
    <row r="5187" spans="1:7">
      <c r="A5187" t="s">
        <v>144</v>
      </c>
      <c r="B5187">
        <v>81</v>
      </c>
      <c r="C5187">
        <v>39</v>
      </c>
      <c r="D5187">
        <v>0.38785999999999998</v>
      </c>
      <c r="E5187">
        <v>-0.30970199999999998</v>
      </c>
      <c r="F5187">
        <v>0.87975700000000001</v>
      </c>
      <c r="G5187">
        <v>0.41841400000000001</v>
      </c>
    </row>
    <row r="5188" spans="1:7">
      <c r="A5188" t="s">
        <v>144</v>
      </c>
      <c r="B5188">
        <v>81</v>
      </c>
      <c r="C5188">
        <v>40</v>
      </c>
      <c r="D5188">
        <v>0.38785999999999998</v>
      </c>
      <c r="E5188">
        <v>-0.73763199999999995</v>
      </c>
      <c r="F5188">
        <v>0.75524199999999997</v>
      </c>
      <c r="G5188">
        <v>0.17621600000000001</v>
      </c>
    </row>
    <row r="5189" spans="1:7">
      <c r="A5189" t="s">
        <v>144</v>
      </c>
      <c r="B5189">
        <v>81</v>
      </c>
      <c r="C5189">
        <v>41</v>
      </c>
      <c r="D5189">
        <v>0.38785999999999998</v>
      </c>
      <c r="E5189">
        <v>-0.160161</v>
      </c>
      <c r="F5189">
        <v>-0.62422599999999995</v>
      </c>
      <c r="G5189">
        <v>-0.44423400000000002</v>
      </c>
    </row>
    <row r="5190" spans="1:7">
      <c r="A5190" t="s">
        <v>144</v>
      </c>
      <c r="B5190">
        <v>81</v>
      </c>
      <c r="C5190">
        <v>42</v>
      </c>
      <c r="D5190">
        <v>0.38785999999999998</v>
      </c>
      <c r="E5190">
        <v>-0.45240599999999997</v>
      </c>
      <c r="F5190">
        <v>-0.26212299999999999</v>
      </c>
      <c r="G5190">
        <v>-0.33592699999999998</v>
      </c>
    </row>
    <row r="5191" spans="1:7">
      <c r="A5191" t="s">
        <v>144</v>
      </c>
      <c r="B5191">
        <v>81</v>
      </c>
      <c r="C5191">
        <v>43</v>
      </c>
      <c r="D5191">
        <v>0.38785999999999998</v>
      </c>
      <c r="E5191">
        <v>0.61424599999999996</v>
      </c>
      <c r="F5191">
        <v>0.54783800000000005</v>
      </c>
      <c r="G5191">
        <v>0.57359499999999997</v>
      </c>
    </row>
    <row r="5192" spans="1:7">
      <c r="A5192" t="s">
        <v>144</v>
      </c>
      <c r="B5192">
        <v>81</v>
      </c>
      <c r="C5192">
        <v>44</v>
      </c>
      <c r="D5192">
        <v>0.38785999999999998</v>
      </c>
      <c r="E5192">
        <v>1.6785000000000001E-2</v>
      </c>
      <c r="F5192">
        <v>0.74123399999999995</v>
      </c>
      <c r="G5192">
        <v>0.46024900000000002</v>
      </c>
    </row>
    <row r="5193" spans="1:7">
      <c r="A5193" t="s">
        <v>144</v>
      </c>
      <c r="B5193">
        <v>81</v>
      </c>
      <c r="C5193">
        <v>45</v>
      </c>
      <c r="D5193">
        <v>0.38785999999999998</v>
      </c>
      <c r="E5193">
        <v>-0.59547700000000003</v>
      </c>
      <c r="F5193">
        <v>0.58299500000000004</v>
      </c>
      <c r="G5193">
        <v>0.125913</v>
      </c>
    </row>
    <row r="5194" spans="1:7">
      <c r="A5194" t="s">
        <v>144</v>
      </c>
      <c r="B5194">
        <v>81</v>
      </c>
      <c r="C5194">
        <v>46</v>
      </c>
      <c r="D5194">
        <v>0.38785999999999998</v>
      </c>
      <c r="E5194">
        <v>-0.37678200000000001</v>
      </c>
      <c r="F5194">
        <v>0.60792900000000005</v>
      </c>
      <c r="G5194">
        <v>0.22599900000000001</v>
      </c>
    </row>
    <row r="5195" spans="1:7">
      <c r="A5195" t="s">
        <v>144</v>
      </c>
      <c r="B5195">
        <v>81</v>
      </c>
      <c r="C5195">
        <v>47</v>
      </c>
      <c r="D5195">
        <v>0.38785999999999998</v>
      </c>
      <c r="E5195">
        <v>0.321635</v>
      </c>
      <c r="F5195">
        <v>-0.68874199999999997</v>
      </c>
      <c r="G5195">
        <v>-0.29685699999999998</v>
      </c>
    </row>
    <row r="5196" spans="1:7">
      <c r="A5196" t="s">
        <v>144</v>
      </c>
      <c r="B5196">
        <v>81</v>
      </c>
      <c r="C5196">
        <v>48</v>
      </c>
      <c r="D5196">
        <v>0.38785999999999998</v>
      </c>
      <c r="E5196">
        <v>-0.82918800000000004</v>
      </c>
      <c r="F5196">
        <v>0.47154099999999999</v>
      </c>
      <c r="G5196">
        <v>-3.2959000000000002E-2</v>
      </c>
    </row>
    <row r="5197" spans="1:7">
      <c r="A5197" t="s">
        <v>144</v>
      </c>
      <c r="B5197">
        <v>81</v>
      </c>
      <c r="C5197">
        <v>49</v>
      </c>
      <c r="D5197">
        <v>0.38785999999999998</v>
      </c>
      <c r="E5197">
        <v>0.49675000000000002</v>
      </c>
      <c r="F5197">
        <v>-0.146397</v>
      </c>
      <c r="G5197">
        <v>0.10305400000000001</v>
      </c>
    </row>
    <row r="5198" spans="1:7">
      <c r="A5198" t="s">
        <v>144</v>
      </c>
      <c r="B5198" t="s">
        <v>145</v>
      </c>
      <c r="C5198">
        <v>82</v>
      </c>
    </row>
    <row r="5199" spans="1:7">
      <c r="A5199" t="s">
        <v>144</v>
      </c>
      <c r="B5199" t="s">
        <v>146</v>
      </c>
      <c r="C5199">
        <v>14</v>
      </c>
    </row>
    <row r="5200" spans="1:7">
      <c r="A5200" t="s">
        <v>144</v>
      </c>
      <c r="B5200" t="s">
        <v>147</v>
      </c>
      <c r="C5200">
        <v>14</v>
      </c>
    </row>
    <row r="5201" spans="1:7">
      <c r="A5201" t="s">
        <v>144</v>
      </c>
      <c r="B5201" t="s">
        <v>148</v>
      </c>
      <c r="C5201">
        <v>0.65257699999999996</v>
      </c>
    </row>
    <row r="5202" spans="1:7">
      <c r="A5202" t="s">
        <v>144</v>
      </c>
      <c r="B5202" t="s">
        <v>149</v>
      </c>
      <c r="C5202">
        <v>0.65257699999999996</v>
      </c>
    </row>
    <row r="5203" spans="1:7">
      <c r="A5203" t="s">
        <v>144</v>
      </c>
      <c r="B5203" t="s">
        <v>150</v>
      </c>
      <c r="C5203">
        <v>-1</v>
      </c>
    </row>
    <row r="5204" spans="1:7">
      <c r="A5204" t="s">
        <v>144</v>
      </c>
      <c r="B5204" t="s">
        <v>151</v>
      </c>
      <c r="C5204">
        <v>-1</v>
      </c>
    </row>
    <row r="5205" spans="1:7">
      <c r="A5205" t="s">
        <v>144</v>
      </c>
      <c r="B5205" t="s">
        <v>152</v>
      </c>
      <c r="C5205">
        <v>26</v>
      </c>
    </row>
    <row r="5206" spans="1:7">
      <c r="A5206" t="s">
        <v>144</v>
      </c>
      <c r="B5206" t="s">
        <v>153</v>
      </c>
      <c r="C5206">
        <v>26</v>
      </c>
    </row>
    <row r="5207" spans="1:7">
      <c r="A5207" t="s">
        <v>144</v>
      </c>
      <c r="B5207" t="s">
        <v>154</v>
      </c>
      <c r="C5207">
        <v>0</v>
      </c>
    </row>
    <row r="5208" spans="1:7">
      <c r="A5208" t="s">
        <v>144</v>
      </c>
      <c r="B5208" t="s">
        <v>155</v>
      </c>
    </row>
    <row r="5209" spans="1:7">
      <c r="A5209" t="s">
        <v>144</v>
      </c>
      <c r="B5209" t="s">
        <v>150</v>
      </c>
      <c r="C5209">
        <v>0.90169999999999995</v>
      </c>
    </row>
    <row r="5210" spans="1:7">
      <c r="A5210" t="s">
        <v>144</v>
      </c>
      <c r="B5210" t="s">
        <v>151</v>
      </c>
      <c r="C5210">
        <v>0.90169999999999995</v>
      </c>
    </row>
    <row r="5211" spans="1:7">
      <c r="A5211" t="s">
        <v>144</v>
      </c>
      <c r="B5211" t="s">
        <v>156</v>
      </c>
      <c r="C5211" t="s">
        <v>157</v>
      </c>
      <c r="D5211" t="s">
        <v>63</v>
      </c>
      <c r="E5211" t="s">
        <v>158</v>
      </c>
      <c r="F5211" t="s">
        <v>159</v>
      </c>
      <c r="G5211" t="s">
        <v>160</v>
      </c>
    </row>
    <row r="5212" spans="1:7">
      <c r="A5212" t="s">
        <v>144</v>
      </c>
      <c r="B5212">
        <v>82</v>
      </c>
      <c r="C5212">
        <v>0</v>
      </c>
      <c r="D5212">
        <v>0.90169999999999995</v>
      </c>
      <c r="E5212">
        <v>-0.54893599999999998</v>
      </c>
      <c r="F5212">
        <v>-1</v>
      </c>
      <c r="G5212">
        <v>-0.54893599999999998</v>
      </c>
    </row>
    <row r="5213" spans="1:7">
      <c r="A5213" t="s">
        <v>144</v>
      </c>
      <c r="B5213">
        <v>82</v>
      </c>
      <c r="C5213">
        <v>1</v>
      </c>
      <c r="D5213">
        <v>0.90169999999999995</v>
      </c>
      <c r="E5213">
        <v>-9.0950000000000007E-3</v>
      </c>
      <c r="F5213">
        <v>-1</v>
      </c>
      <c r="G5213">
        <v>-9.0950000000000007E-3</v>
      </c>
    </row>
    <row r="5214" spans="1:7">
      <c r="A5214" t="s">
        <v>144</v>
      </c>
      <c r="B5214">
        <v>82</v>
      </c>
      <c r="C5214">
        <v>2</v>
      </c>
      <c r="D5214">
        <v>0.90169999999999995</v>
      </c>
      <c r="E5214">
        <v>0.85372499999999996</v>
      </c>
      <c r="F5214">
        <v>-1</v>
      </c>
      <c r="G5214">
        <v>0.85372499999999996</v>
      </c>
    </row>
    <row r="5215" spans="1:7">
      <c r="A5215" t="s">
        <v>144</v>
      </c>
      <c r="B5215">
        <v>82</v>
      </c>
      <c r="C5215">
        <v>3</v>
      </c>
      <c r="D5215">
        <v>0.90169999999999995</v>
      </c>
      <c r="E5215">
        <v>-0.59666699999999995</v>
      </c>
      <c r="F5215">
        <v>-1</v>
      </c>
      <c r="G5215">
        <v>-0.59666699999999995</v>
      </c>
    </row>
    <row r="5216" spans="1:7">
      <c r="A5216" t="s">
        <v>144</v>
      </c>
      <c r="B5216">
        <v>82</v>
      </c>
      <c r="C5216">
        <v>4</v>
      </c>
      <c r="D5216">
        <v>0.90169999999999995</v>
      </c>
      <c r="E5216">
        <v>-0.90527100000000005</v>
      </c>
      <c r="F5216">
        <v>-1</v>
      </c>
      <c r="G5216">
        <v>-0.90527100000000005</v>
      </c>
    </row>
    <row r="5217" spans="1:7">
      <c r="A5217" t="s">
        <v>144</v>
      </c>
      <c r="B5217">
        <v>82</v>
      </c>
      <c r="C5217">
        <v>5</v>
      </c>
      <c r="D5217">
        <v>0.90169999999999995</v>
      </c>
      <c r="E5217">
        <v>0.409497</v>
      </c>
      <c r="F5217">
        <v>-1</v>
      </c>
      <c r="G5217">
        <v>0.409497</v>
      </c>
    </row>
    <row r="5218" spans="1:7">
      <c r="A5218" t="s">
        <v>144</v>
      </c>
      <c r="B5218">
        <v>82</v>
      </c>
      <c r="C5218">
        <v>6</v>
      </c>
      <c r="D5218">
        <v>0.90169999999999995</v>
      </c>
      <c r="E5218">
        <v>0.65172300000000005</v>
      </c>
      <c r="F5218">
        <v>-1</v>
      </c>
      <c r="G5218">
        <v>0.65172300000000005</v>
      </c>
    </row>
    <row r="5219" spans="1:7">
      <c r="A5219" t="s">
        <v>144</v>
      </c>
      <c r="B5219">
        <v>82</v>
      </c>
      <c r="C5219">
        <v>7</v>
      </c>
      <c r="D5219">
        <v>0.90169999999999995</v>
      </c>
      <c r="E5219">
        <v>0.60756200000000005</v>
      </c>
      <c r="F5219">
        <v>-1</v>
      </c>
      <c r="G5219">
        <v>0.60756200000000005</v>
      </c>
    </row>
    <row r="5220" spans="1:7">
      <c r="A5220" t="s">
        <v>144</v>
      </c>
      <c r="B5220">
        <v>82</v>
      </c>
      <c r="C5220">
        <v>8</v>
      </c>
      <c r="D5220">
        <v>0.90169999999999995</v>
      </c>
      <c r="E5220">
        <v>-0.166051</v>
      </c>
      <c r="F5220">
        <v>-1</v>
      </c>
      <c r="G5220">
        <v>-0.166051</v>
      </c>
    </row>
    <row r="5221" spans="1:7">
      <c r="A5221" t="s">
        <v>144</v>
      </c>
      <c r="B5221">
        <v>82</v>
      </c>
      <c r="C5221">
        <v>9</v>
      </c>
      <c r="D5221">
        <v>0.90169999999999995</v>
      </c>
      <c r="E5221">
        <v>0.55113400000000001</v>
      </c>
      <c r="F5221">
        <v>-1</v>
      </c>
      <c r="G5221">
        <v>0.55113400000000001</v>
      </c>
    </row>
    <row r="5222" spans="1:7">
      <c r="A5222" t="s">
        <v>144</v>
      </c>
      <c r="B5222">
        <v>82</v>
      </c>
      <c r="C5222">
        <v>10</v>
      </c>
      <c r="D5222">
        <v>0.90169999999999995</v>
      </c>
      <c r="E5222">
        <v>2.8320999999999999E-2</v>
      </c>
      <c r="F5222">
        <v>-1</v>
      </c>
      <c r="G5222">
        <v>2.8320999999999999E-2</v>
      </c>
    </row>
    <row r="5223" spans="1:7">
      <c r="A5223" t="s">
        <v>144</v>
      </c>
      <c r="B5223">
        <v>82</v>
      </c>
      <c r="C5223">
        <v>11</v>
      </c>
      <c r="D5223">
        <v>0.90169999999999995</v>
      </c>
      <c r="E5223">
        <v>0.49308800000000003</v>
      </c>
      <c r="F5223">
        <v>-1</v>
      </c>
      <c r="G5223">
        <v>0.49308800000000003</v>
      </c>
    </row>
    <row r="5224" spans="1:7">
      <c r="A5224" t="s">
        <v>144</v>
      </c>
      <c r="B5224">
        <v>82</v>
      </c>
      <c r="C5224">
        <v>12</v>
      </c>
      <c r="D5224">
        <v>0.90169999999999995</v>
      </c>
      <c r="E5224">
        <v>0.80388800000000005</v>
      </c>
      <c r="F5224">
        <v>-1</v>
      </c>
      <c r="G5224">
        <v>0.80388800000000005</v>
      </c>
    </row>
    <row r="5225" spans="1:7">
      <c r="A5225" t="s">
        <v>144</v>
      </c>
      <c r="B5225">
        <v>82</v>
      </c>
      <c r="C5225">
        <v>13</v>
      </c>
      <c r="D5225">
        <v>0.90169999999999995</v>
      </c>
      <c r="E5225">
        <v>-0.131993</v>
      </c>
      <c r="F5225">
        <v>-1</v>
      </c>
      <c r="G5225">
        <v>-0.131993</v>
      </c>
    </row>
    <row r="5226" spans="1:7">
      <c r="A5226" t="s">
        <v>144</v>
      </c>
      <c r="B5226">
        <v>82</v>
      </c>
      <c r="C5226">
        <v>14</v>
      </c>
      <c r="D5226">
        <v>0.90169999999999995</v>
      </c>
      <c r="E5226">
        <v>0.273476</v>
      </c>
      <c r="F5226">
        <v>-1</v>
      </c>
      <c r="G5226">
        <v>0.273476</v>
      </c>
    </row>
    <row r="5227" spans="1:7">
      <c r="A5227" t="s">
        <v>144</v>
      </c>
      <c r="B5227">
        <v>82</v>
      </c>
      <c r="C5227">
        <v>15</v>
      </c>
      <c r="D5227">
        <v>0.90169999999999995</v>
      </c>
      <c r="E5227">
        <v>0.93328699999999998</v>
      </c>
      <c r="F5227">
        <v>-1</v>
      </c>
      <c r="G5227">
        <v>0.93328699999999998</v>
      </c>
    </row>
    <row r="5228" spans="1:7">
      <c r="A5228" t="s">
        <v>144</v>
      </c>
      <c r="B5228">
        <v>82</v>
      </c>
      <c r="C5228">
        <v>16</v>
      </c>
      <c r="D5228">
        <v>0.90169999999999995</v>
      </c>
      <c r="E5228">
        <v>0.57164199999999998</v>
      </c>
      <c r="F5228">
        <v>-1</v>
      </c>
      <c r="G5228">
        <v>0.57164199999999998</v>
      </c>
    </row>
    <row r="5229" spans="1:7">
      <c r="A5229" t="s">
        <v>144</v>
      </c>
      <c r="B5229">
        <v>82</v>
      </c>
      <c r="C5229">
        <v>17</v>
      </c>
      <c r="D5229">
        <v>0.90169999999999995</v>
      </c>
      <c r="E5229">
        <v>0.62370700000000001</v>
      </c>
      <c r="F5229">
        <v>-1</v>
      </c>
      <c r="G5229">
        <v>0.62370700000000001</v>
      </c>
    </row>
    <row r="5230" spans="1:7">
      <c r="A5230" t="s">
        <v>144</v>
      </c>
      <c r="B5230">
        <v>82</v>
      </c>
      <c r="C5230">
        <v>18</v>
      </c>
      <c r="D5230">
        <v>0.90169999999999995</v>
      </c>
      <c r="E5230">
        <v>0.88924800000000004</v>
      </c>
      <c r="F5230">
        <v>-1</v>
      </c>
      <c r="G5230">
        <v>0.88924800000000004</v>
      </c>
    </row>
    <row r="5231" spans="1:7">
      <c r="A5231" t="s">
        <v>144</v>
      </c>
      <c r="B5231">
        <v>82</v>
      </c>
      <c r="C5231">
        <v>19</v>
      </c>
      <c r="D5231">
        <v>0.90169999999999995</v>
      </c>
      <c r="E5231">
        <v>0.76647200000000004</v>
      </c>
      <c r="F5231">
        <v>-1</v>
      </c>
      <c r="G5231">
        <v>0.76647200000000004</v>
      </c>
    </row>
    <row r="5232" spans="1:7">
      <c r="A5232" t="s">
        <v>144</v>
      </c>
      <c r="B5232">
        <v>82</v>
      </c>
      <c r="C5232">
        <v>20</v>
      </c>
      <c r="D5232">
        <v>0.90169999999999995</v>
      </c>
      <c r="E5232">
        <v>-0.89718299999999995</v>
      </c>
      <c r="F5232">
        <v>-1</v>
      </c>
      <c r="G5232">
        <v>-0.89718299999999995</v>
      </c>
    </row>
    <row r="5233" spans="1:7">
      <c r="A5233" t="s">
        <v>144</v>
      </c>
      <c r="B5233">
        <v>82</v>
      </c>
      <c r="C5233">
        <v>21</v>
      </c>
      <c r="D5233">
        <v>0.90169999999999995</v>
      </c>
      <c r="E5233">
        <v>-0.82216900000000004</v>
      </c>
      <c r="F5233">
        <v>-1</v>
      </c>
      <c r="G5233">
        <v>-0.82216900000000004</v>
      </c>
    </row>
    <row r="5234" spans="1:7">
      <c r="A5234" t="s">
        <v>144</v>
      </c>
      <c r="B5234">
        <v>82</v>
      </c>
      <c r="C5234">
        <v>22</v>
      </c>
      <c r="D5234">
        <v>0.90169999999999995</v>
      </c>
      <c r="E5234">
        <v>0.54661700000000002</v>
      </c>
      <c r="F5234">
        <v>-1</v>
      </c>
      <c r="G5234">
        <v>0.54661700000000002</v>
      </c>
    </row>
    <row r="5235" spans="1:7">
      <c r="A5235" t="s">
        <v>144</v>
      </c>
      <c r="B5235">
        <v>82</v>
      </c>
      <c r="C5235">
        <v>23</v>
      </c>
      <c r="D5235">
        <v>0.90169999999999995</v>
      </c>
      <c r="E5235">
        <v>0.60261900000000002</v>
      </c>
      <c r="F5235">
        <v>-1</v>
      </c>
      <c r="G5235">
        <v>0.60261900000000002</v>
      </c>
    </row>
    <row r="5236" spans="1:7">
      <c r="A5236" t="s">
        <v>144</v>
      </c>
      <c r="B5236">
        <v>82</v>
      </c>
      <c r="C5236">
        <v>24</v>
      </c>
      <c r="D5236">
        <v>0.90169999999999995</v>
      </c>
      <c r="E5236">
        <v>-0.402783</v>
      </c>
      <c r="F5236">
        <v>-1</v>
      </c>
      <c r="G5236">
        <v>-0.402783</v>
      </c>
    </row>
    <row r="5237" spans="1:7">
      <c r="A5237" t="s">
        <v>144</v>
      </c>
      <c r="B5237">
        <v>82</v>
      </c>
      <c r="C5237">
        <v>25</v>
      </c>
      <c r="D5237">
        <v>0.90169999999999995</v>
      </c>
      <c r="E5237">
        <v>-0.52342299999999997</v>
      </c>
      <c r="F5237">
        <v>-1</v>
      </c>
      <c r="G5237">
        <v>-0.52342299999999997</v>
      </c>
    </row>
    <row r="5238" spans="1:7">
      <c r="A5238" t="s">
        <v>144</v>
      </c>
      <c r="B5238">
        <v>82</v>
      </c>
      <c r="C5238">
        <v>26</v>
      </c>
      <c r="D5238">
        <v>0.90169999999999995</v>
      </c>
      <c r="E5238">
        <v>0.167821</v>
      </c>
      <c r="F5238">
        <v>-0.51606799999999997</v>
      </c>
      <c r="G5238">
        <v>0.100595</v>
      </c>
    </row>
    <row r="5239" spans="1:7">
      <c r="A5239" t="s">
        <v>144</v>
      </c>
      <c r="B5239">
        <v>82</v>
      </c>
      <c r="C5239">
        <v>27</v>
      </c>
      <c r="D5239">
        <v>0.90169999999999995</v>
      </c>
      <c r="E5239">
        <v>-0.56154099999999996</v>
      </c>
      <c r="F5239">
        <v>7.5899999999999995E-2</v>
      </c>
      <c r="G5239">
        <v>-0.49887999999999999</v>
      </c>
    </row>
    <row r="5240" spans="1:7">
      <c r="A5240" t="s">
        <v>144</v>
      </c>
      <c r="B5240">
        <v>82</v>
      </c>
      <c r="C5240">
        <v>28</v>
      </c>
      <c r="D5240">
        <v>0.90169999999999995</v>
      </c>
      <c r="E5240">
        <v>-0.54976000000000003</v>
      </c>
      <c r="F5240">
        <v>0.13223699999999999</v>
      </c>
      <c r="G5240">
        <v>-0.48271999999999998</v>
      </c>
    </row>
    <row r="5241" spans="1:7">
      <c r="A5241" t="s">
        <v>144</v>
      </c>
      <c r="B5241">
        <v>82</v>
      </c>
      <c r="C5241">
        <v>29</v>
      </c>
      <c r="D5241">
        <v>0.90169999999999995</v>
      </c>
      <c r="E5241">
        <v>0.32438099999999997</v>
      </c>
      <c r="F5241">
        <v>-0.92568700000000004</v>
      </c>
      <c r="G5241">
        <v>0.20149900000000001</v>
      </c>
    </row>
    <row r="5242" spans="1:7">
      <c r="A5242" t="s">
        <v>144</v>
      </c>
      <c r="B5242">
        <v>82</v>
      </c>
      <c r="C5242">
        <v>30</v>
      </c>
      <c r="D5242">
        <v>0.90169999999999995</v>
      </c>
      <c r="E5242">
        <v>0.13312199999999999</v>
      </c>
      <c r="F5242">
        <v>0.80666499999999997</v>
      </c>
      <c r="G5242">
        <v>0.19933100000000001</v>
      </c>
    </row>
    <row r="5243" spans="1:7">
      <c r="A5243" t="s">
        <v>144</v>
      </c>
      <c r="B5243">
        <v>82</v>
      </c>
      <c r="C5243">
        <v>31</v>
      </c>
      <c r="D5243">
        <v>0.90169999999999995</v>
      </c>
      <c r="E5243">
        <v>0.13623499999999999</v>
      </c>
      <c r="F5243">
        <v>0.83657300000000001</v>
      </c>
      <c r="G5243">
        <v>0.20507800000000001</v>
      </c>
    </row>
    <row r="5244" spans="1:7">
      <c r="A5244" t="s">
        <v>144</v>
      </c>
      <c r="B5244">
        <v>82</v>
      </c>
      <c r="C5244">
        <v>32</v>
      </c>
      <c r="D5244">
        <v>0.90169999999999995</v>
      </c>
      <c r="E5244">
        <v>0.40790999999999999</v>
      </c>
      <c r="F5244">
        <v>-0.98846400000000001</v>
      </c>
      <c r="G5244">
        <v>0.27064700000000003</v>
      </c>
    </row>
    <row r="5245" spans="1:7">
      <c r="A5245" t="s">
        <v>144</v>
      </c>
      <c r="B5245">
        <v>82</v>
      </c>
      <c r="C5245">
        <v>33</v>
      </c>
      <c r="D5245">
        <v>0.90169999999999995</v>
      </c>
      <c r="E5245">
        <v>0.54872299999999996</v>
      </c>
      <c r="F5245">
        <v>-5.4871999999999997E-2</v>
      </c>
      <c r="G5245">
        <v>0.48938900000000002</v>
      </c>
    </row>
    <row r="5246" spans="1:7">
      <c r="A5246" t="s">
        <v>144</v>
      </c>
      <c r="B5246">
        <v>82</v>
      </c>
      <c r="C5246">
        <v>34</v>
      </c>
      <c r="D5246">
        <v>0.90169999999999995</v>
      </c>
      <c r="E5246">
        <v>0.61299499999999996</v>
      </c>
      <c r="F5246">
        <v>0.73158999999999996</v>
      </c>
      <c r="G5246">
        <v>0.62465300000000001</v>
      </c>
    </row>
    <row r="5247" spans="1:7">
      <c r="A5247" t="s">
        <v>144</v>
      </c>
      <c r="B5247">
        <v>82</v>
      </c>
      <c r="C5247">
        <v>35</v>
      </c>
      <c r="D5247">
        <v>0.90169999999999995</v>
      </c>
      <c r="E5247">
        <v>0.18115800000000001</v>
      </c>
      <c r="F5247">
        <v>-0.59837600000000002</v>
      </c>
      <c r="G5247">
        <v>0.10453</v>
      </c>
    </row>
    <row r="5248" spans="1:7">
      <c r="A5248" t="s">
        <v>144</v>
      </c>
      <c r="B5248">
        <v>82</v>
      </c>
      <c r="C5248">
        <v>36</v>
      </c>
      <c r="D5248">
        <v>0.90169999999999995</v>
      </c>
      <c r="E5248">
        <v>0.55012700000000003</v>
      </c>
      <c r="F5248">
        <v>-0.98544299999999996</v>
      </c>
      <c r="G5248">
        <v>0.39917999999999998</v>
      </c>
    </row>
    <row r="5249" spans="1:7">
      <c r="A5249" t="s">
        <v>144</v>
      </c>
      <c r="B5249">
        <v>82</v>
      </c>
      <c r="C5249">
        <v>37</v>
      </c>
      <c r="D5249">
        <v>0.90169999999999995</v>
      </c>
      <c r="E5249">
        <v>-0.29749399999999998</v>
      </c>
      <c r="F5249">
        <v>0.121921</v>
      </c>
      <c r="G5249">
        <v>-0.25626599999999999</v>
      </c>
    </row>
    <row r="5250" spans="1:7">
      <c r="A5250" t="s">
        <v>144</v>
      </c>
      <c r="B5250">
        <v>82</v>
      </c>
      <c r="C5250">
        <v>38</v>
      </c>
      <c r="D5250">
        <v>0.90169999999999995</v>
      </c>
      <c r="E5250">
        <v>-2.5055999999999998E-2</v>
      </c>
      <c r="F5250">
        <v>-0.63744000000000001</v>
      </c>
      <c r="G5250">
        <v>-8.5252999999999995E-2</v>
      </c>
    </row>
    <row r="5251" spans="1:7">
      <c r="A5251" t="s">
        <v>144</v>
      </c>
      <c r="B5251">
        <v>82</v>
      </c>
      <c r="C5251">
        <v>39</v>
      </c>
      <c r="D5251">
        <v>0.90169999999999995</v>
      </c>
      <c r="E5251">
        <v>2.5482999999999999E-2</v>
      </c>
      <c r="F5251">
        <v>-0.55113400000000001</v>
      </c>
      <c r="G5251">
        <v>-3.1199000000000001E-2</v>
      </c>
    </row>
    <row r="5252" spans="1:7">
      <c r="A5252" t="s">
        <v>144</v>
      </c>
      <c r="B5252">
        <v>82</v>
      </c>
      <c r="C5252">
        <v>40</v>
      </c>
      <c r="D5252">
        <v>0.90169999999999995</v>
      </c>
      <c r="E5252">
        <v>7.1809999999999999E-2</v>
      </c>
      <c r="F5252">
        <v>-0.46394200000000002</v>
      </c>
      <c r="G5252">
        <v>1.9146E-2</v>
      </c>
    </row>
    <row r="5253" spans="1:7">
      <c r="A5253" t="s">
        <v>144</v>
      </c>
      <c r="B5253">
        <v>82</v>
      </c>
      <c r="C5253">
        <v>41</v>
      </c>
      <c r="D5253">
        <v>0.90169999999999995</v>
      </c>
      <c r="E5253">
        <v>-0.62507999999999997</v>
      </c>
      <c r="F5253">
        <v>0.88943099999999997</v>
      </c>
      <c r="G5253">
        <v>-0.47620299999999999</v>
      </c>
    </row>
    <row r="5254" spans="1:7">
      <c r="A5254" t="s">
        <v>144</v>
      </c>
      <c r="B5254">
        <v>82</v>
      </c>
      <c r="C5254">
        <v>42</v>
      </c>
      <c r="D5254">
        <v>0.90169999999999995</v>
      </c>
      <c r="E5254">
        <v>-0.61629100000000003</v>
      </c>
      <c r="F5254">
        <v>-0.64537500000000003</v>
      </c>
      <c r="G5254">
        <v>-0.61914999999999998</v>
      </c>
    </row>
    <row r="5255" spans="1:7">
      <c r="A5255" t="s">
        <v>144</v>
      </c>
      <c r="B5255">
        <v>82</v>
      </c>
      <c r="C5255">
        <v>43</v>
      </c>
      <c r="D5255">
        <v>0.90169999999999995</v>
      </c>
      <c r="E5255">
        <v>0.71144700000000005</v>
      </c>
      <c r="F5255">
        <v>-0.10544100000000001</v>
      </c>
      <c r="G5255">
        <v>0.63114700000000001</v>
      </c>
    </row>
    <row r="5256" spans="1:7">
      <c r="A5256" t="s">
        <v>144</v>
      </c>
      <c r="B5256">
        <v>82</v>
      </c>
      <c r="C5256">
        <v>44</v>
      </c>
      <c r="D5256">
        <v>0.90169999999999995</v>
      </c>
      <c r="E5256">
        <v>-0.73561799999999999</v>
      </c>
      <c r="F5256">
        <v>2.2279999999999999E-3</v>
      </c>
      <c r="G5256">
        <v>-0.66308800000000001</v>
      </c>
    </row>
    <row r="5257" spans="1:7">
      <c r="A5257" t="s">
        <v>144</v>
      </c>
      <c r="B5257">
        <v>82</v>
      </c>
      <c r="C5257">
        <v>45</v>
      </c>
      <c r="D5257">
        <v>0.90169999999999995</v>
      </c>
      <c r="E5257">
        <v>-0.839839</v>
      </c>
      <c r="F5257">
        <v>0.50678999999999996</v>
      </c>
      <c r="G5257">
        <v>-0.70746500000000001</v>
      </c>
    </row>
    <row r="5258" spans="1:7">
      <c r="A5258" t="s">
        <v>144</v>
      </c>
      <c r="B5258">
        <v>82</v>
      </c>
      <c r="C5258">
        <v>46</v>
      </c>
      <c r="D5258">
        <v>0.90169999999999995</v>
      </c>
      <c r="E5258">
        <v>0.169683</v>
      </c>
      <c r="F5258">
        <v>-0.60808099999999998</v>
      </c>
      <c r="G5258">
        <v>9.3229000000000006E-2</v>
      </c>
    </row>
    <row r="5259" spans="1:7">
      <c r="A5259" t="s">
        <v>144</v>
      </c>
      <c r="B5259">
        <v>82</v>
      </c>
      <c r="C5259">
        <v>47</v>
      </c>
      <c r="D5259">
        <v>0.90169999999999995</v>
      </c>
      <c r="E5259">
        <v>0.35746299999999998</v>
      </c>
      <c r="F5259">
        <v>-0.506027</v>
      </c>
      <c r="G5259">
        <v>0.27258199999999999</v>
      </c>
    </row>
    <row r="5260" spans="1:7">
      <c r="A5260" t="s">
        <v>144</v>
      </c>
      <c r="B5260">
        <v>82</v>
      </c>
      <c r="C5260">
        <v>48</v>
      </c>
      <c r="D5260">
        <v>0.90169999999999995</v>
      </c>
      <c r="E5260">
        <v>-0.24060799999999999</v>
      </c>
      <c r="F5260">
        <v>-0.93554499999999996</v>
      </c>
      <c r="G5260">
        <v>-0.30891999999999997</v>
      </c>
    </row>
    <row r="5261" spans="1:7">
      <c r="A5261" t="s">
        <v>144</v>
      </c>
      <c r="B5261">
        <v>82</v>
      </c>
      <c r="C5261">
        <v>49</v>
      </c>
      <c r="D5261">
        <v>0.90169999999999995</v>
      </c>
      <c r="E5261">
        <v>-0.92989900000000003</v>
      </c>
      <c r="F5261">
        <v>-0.18607099999999999</v>
      </c>
      <c r="G5261">
        <v>-0.85678100000000001</v>
      </c>
    </row>
    <row r="5262" spans="1:7">
      <c r="A5262" t="s">
        <v>144</v>
      </c>
      <c r="B5262" t="s">
        <v>145</v>
      </c>
      <c r="C5262">
        <v>83</v>
      </c>
    </row>
    <row r="5263" spans="1:7">
      <c r="A5263" t="s">
        <v>144</v>
      </c>
      <c r="B5263" t="s">
        <v>146</v>
      </c>
      <c r="C5263">
        <v>46</v>
      </c>
    </row>
    <row r="5264" spans="1:7">
      <c r="A5264" t="s">
        <v>144</v>
      </c>
      <c r="B5264" t="s">
        <v>147</v>
      </c>
      <c r="C5264">
        <v>46</v>
      </c>
    </row>
    <row r="5265" spans="1:7">
      <c r="A5265" t="s">
        <v>144</v>
      </c>
      <c r="B5265" t="s">
        <v>148</v>
      </c>
      <c r="C5265">
        <v>0.12030399999999999</v>
      </c>
    </row>
    <row r="5266" spans="1:7">
      <c r="A5266" t="s">
        <v>144</v>
      </c>
      <c r="B5266" t="s">
        <v>149</v>
      </c>
      <c r="C5266">
        <v>0.12030399999999999</v>
      </c>
    </row>
    <row r="5267" spans="1:7">
      <c r="A5267" t="s">
        <v>144</v>
      </c>
      <c r="B5267" t="s">
        <v>150</v>
      </c>
      <c r="C5267">
        <v>-1</v>
      </c>
    </row>
    <row r="5268" spans="1:7">
      <c r="A5268" t="s">
        <v>144</v>
      </c>
      <c r="B5268" t="s">
        <v>151</v>
      </c>
      <c r="C5268">
        <v>-1</v>
      </c>
    </row>
    <row r="5269" spans="1:7">
      <c r="A5269" t="s">
        <v>144</v>
      </c>
      <c r="B5269" t="s">
        <v>152</v>
      </c>
      <c r="C5269">
        <v>31</v>
      </c>
    </row>
    <row r="5270" spans="1:7">
      <c r="A5270" t="s">
        <v>144</v>
      </c>
      <c r="B5270" t="s">
        <v>153</v>
      </c>
      <c r="C5270">
        <v>31</v>
      </c>
    </row>
    <row r="5271" spans="1:7">
      <c r="A5271" t="s">
        <v>144</v>
      </c>
      <c r="B5271" t="s">
        <v>154</v>
      </c>
      <c r="C5271">
        <v>0</v>
      </c>
    </row>
    <row r="5272" spans="1:7">
      <c r="A5272" t="s">
        <v>144</v>
      </c>
      <c r="B5272" t="s">
        <v>155</v>
      </c>
    </row>
    <row r="5273" spans="1:7">
      <c r="A5273" t="s">
        <v>144</v>
      </c>
      <c r="B5273" t="s">
        <v>150</v>
      </c>
      <c r="C5273">
        <v>0.45985300000000001</v>
      </c>
    </row>
    <row r="5274" spans="1:7">
      <c r="A5274" t="s">
        <v>144</v>
      </c>
      <c r="B5274" t="s">
        <v>151</v>
      </c>
      <c r="C5274">
        <v>0.45985300000000001</v>
      </c>
    </row>
    <row r="5275" spans="1:7">
      <c r="A5275" t="s">
        <v>144</v>
      </c>
      <c r="B5275" t="s">
        <v>156</v>
      </c>
      <c r="C5275" t="s">
        <v>157</v>
      </c>
      <c r="D5275" t="s">
        <v>63</v>
      </c>
      <c r="E5275" t="s">
        <v>158</v>
      </c>
      <c r="F5275" t="s">
        <v>159</v>
      </c>
      <c r="G5275" t="s">
        <v>160</v>
      </c>
    </row>
    <row r="5276" spans="1:7">
      <c r="A5276" t="s">
        <v>144</v>
      </c>
      <c r="B5276">
        <v>83</v>
      </c>
      <c r="C5276">
        <v>0</v>
      </c>
      <c r="D5276">
        <v>0.45985300000000001</v>
      </c>
      <c r="E5276">
        <v>0.99993900000000002</v>
      </c>
      <c r="F5276">
        <v>-1</v>
      </c>
      <c r="G5276">
        <v>0.99993900000000002</v>
      </c>
    </row>
    <row r="5277" spans="1:7">
      <c r="A5277" t="s">
        <v>144</v>
      </c>
      <c r="B5277">
        <v>83</v>
      </c>
      <c r="C5277">
        <v>1</v>
      </c>
      <c r="D5277">
        <v>0.45985300000000001</v>
      </c>
      <c r="E5277">
        <v>-0.36429899999999998</v>
      </c>
      <c r="F5277">
        <v>-1</v>
      </c>
      <c r="G5277">
        <v>-0.36429899999999998</v>
      </c>
    </row>
    <row r="5278" spans="1:7">
      <c r="A5278" t="s">
        <v>144</v>
      </c>
      <c r="B5278">
        <v>83</v>
      </c>
      <c r="C5278">
        <v>2</v>
      </c>
      <c r="D5278">
        <v>0.45985300000000001</v>
      </c>
      <c r="E5278">
        <v>0.57411400000000001</v>
      </c>
      <c r="F5278">
        <v>-1</v>
      </c>
      <c r="G5278">
        <v>0.57411400000000001</v>
      </c>
    </row>
    <row r="5279" spans="1:7">
      <c r="A5279" t="s">
        <v>144</v>
      </c>
      <c r="B5279">
        <v>83</v>
      </c>
      <c r="C5279">
        <v>3</v>
      </c>
      <c r="D5279">
        <v>0.45985300000000001</v>
      </c>
      <c r="E5279">
        <v>0.52836700000000003</v>
      </c>
      <c r="F5279">
        <v>-1</v>
      </c>
      <c r="G5279">
        <v>0.52836700000000003</v>
      </c>
    </row>
    <row r="5280" spans="1:7">
      <c r="A5280" t="s">
        <v>144</v>
      </c>
      <c r="B5280">
        <v>83</v>
      </c>
      <c r="C5280">
        <v>4</v>
      </c>
      <c r="D5280">
        <v>0.45985300000000001</v>
      </c>
      <c r="E5280">
        <v>-0.93420199999999998</v>
      </c>
      <c r="F5280">
        <v>-1</v>
      </c>
      <c r="G5280">
        <v>-0.93420199999999998</v>
      </c>
    </row>
    <row r="5281" spans="1:7">
      <c r="A5281" t="s">
        <v>144</v>
      </c>
      <c r="B5281">
        <v>83</v>
      </c>
      <c r="C5281">
        <v>5</v>
      </c>
      <c r="D5281">
        <v>0.45985300000000001</v>
      </c>
      <c r="E5281">
        <v>-0.94818000000000002</v>
      </c>
      <c r="F5281">
        <v>-1</v>
      </c>
      <c r="G5281">
        <v>-0.94818000000000002</v>
      </c>
    </row>
    <row r="5282" spans="1:7">
      <c r="A5282" t="s">
        <v>144</v>
      </c>
      <c r="B5282">
        <v>83</v>
      </c>
      <c r="C5282">
        <v>6</v>
      </c>
      <c r="D5282">
        <v>0.45985300000000001</v>
      </c>
      <c r="E5282">
        <v>-0.36292600000000003</v>
      </c>
      <c r="F5282">
        <v>-1</v>
      </c>
      <c r="G5282">
        <v>-0.36292600000000003</v>
      </c>
    </row>
    <row r="5283" spans="1:7">
      <c r="A5283" t="s">
        <v>144</v>
      </c>
      <c r="B5283">
        <v>83</v>
      </c>
      <c r="C5283">
        <v>7</v>
      </c>
      <c r="D5283">
        <v>0.45985300000000001</v>
      </c>
      <c r="E5283">
        <v>-1.3001E-2</v>
      </c>
      <c r="F5283">
        <v>-1</v>
      </c>
      <c r="G5283">
        <v>-1.3001E-2</v>
      </c>
    </row>
    <row r="5284" spans="1:7">
      <c r="A5284" t="s">
        <v>144</v>
      </c>
      <c r="B5284">
        <v>83</v>
      </c>
      <c r="C5284">
        <v>8</v>
      </c>
      <c r="D5284">
        <v>0.45985300000000001</v>
      </c>
      <c r="E5284">
        <v>0.96673500000000001</v>
      </c>
      <c r="F5284">
        <v>-1</v>
      </c>
      <c r="G5284">
        <v>0.96673500000000001</v>
      </c>
    </row>
    <row r="5285" spans="1:7">
      <c r="A5285" t="s">
        <v>144</v>
      </c>
      <c r="B5285">
        <v>83</v>
      </c>
      <c r="C5285">
        <v>9</v>
      </c>
      <c r="D5285">
        <v>0.45985300000000001</v>
      </c>
      <c r="E5285">
        <v>0.103488</v>
      </c>
      <c r="F5285">
        <v>-1</v>
      </c>
      <c r="G5285">
        <v>0.103488</v>
      </c>
    </row>
    <row r="5286" spans="1:7">
      <c r="A5286" t="s">
        <v>144</v>
      </c>
      <c r="B5286">
        <v>83</v>
      </c>
      <c r="C5286">
        <v>10</v>
      </c>
      <c r="D5286">
        <v>0.45985300000000001</v>
      </c>
      <c r="E5286">
        <v>-0.97610399999999997</v>
      </c>
      <c r="F5286">
        <v>-1</v>
      </c>
      <c r="G5286">
        <v>-0.97610399999999997</v>
      </c>
    </row>
    <row r="5287" spans="1:7">
      <c r="A5287" t="s">
        <v>144</v>
      </c>
      <c r="B5287">
        <v>83</v>
      </c>
      <c r="C5287">
        <v>11</v>
      </c>
      <c r="D5287">
        <v>0.45985300000000001</v>
      </c>
      <c r="E5287">
        <v>0.54509099999999999</v>
      </c>
      <c r="F5287">
        <v>-1</v>
      </c>
      <c r="G5287">
        <v>0.54509099999999999</v>
      </c>
    </row>
    <row r="5288" spans="1:7">
      <c r="A5288" t="s">
        <v>144</v>
      </c>
      <c r="B5288">
        <v>83</v>
      </c>
      <c r="C5288">
        <v>12</v>
      </c>
      <c r="D5288">
        <v>0.45985300000000001</v>
      </c>
      <c r="E5288">
        <v>-0.57927200000000001</v>
      </c>
      <c r="F5288">
        <v>-1</v>
      </c>
      <c r="G5288">
        <v>-0.57927200000000001</v>
      </c>
    </row>
    <row r="5289" spans="1:7">
      <c r="A5289" t="s">
        <v>144</v>
      </c>
      <c r="B5289">
        <v>83</v>
      </c>
      <c r="C5289">
        <v>13</v>
      </c>
      <c r="D5289">
        <v>0.45985300000000001</v>
      </c>
      <c r="E5289">
        <v>-0.360759</v>
      </c>
      <c r="F5289">
        <v>-1</v>
      </c>
      <c r="G5289">
        <v>-0.360759</v>
      </c>
    </row>
    <row r="5290" spans="1:7">
      <c r="A5290" t="s">
        <v>144</v>
      </c>
      <c r="B5290">
        <v>83</v>
      </c>
      <c r="C5290">
        <v>14</v>
      </c>
      <c r="D5290">
        <v>0.45985300000000001</v>
      </c>
      <c r="E5290">
        <v>0.94518899999999995</v>
      </c>
      <c r="F5290">
        <v>-1</v>
      </c>
      <c r="G5290">
        <v>0.94518899999999995</v>
      </c>
    </row>
    <row r="5291" spans="1:7">
      <c r="A5291" t="s">
        <v>144</v>
      </c>
      <c r="B5291">
        <v>83</v>
      </c>
      <c r="C5291">
        <v>15</v>
      </c>
      <c r="D5291">
        <v>0.45985300000000001</v>
      </c>
      <c r="E5291">
        <v>-0.72872099999999995</v>
      </c>
      <c r="F5291">
        <v>-1</v>
      </c>
      <c r="G5291">
        <v>-0.72872099999999995</v>
      </c>
    </row>
    <row r="5292" spans="1:7">
      <c r="A5292" t="s">
        <v>144</v>
      </c>
      <c r="B5292">
        <v>83</v>
      </c>
      <c r="C5292">
        <v>16</v>
      </c>
      <c r="D5292">
        <v>0.45985300000000001</v>
      </c>
      <c r="E5292">
        <v>-0.59242499999999998</v>
      </c>
      <c r="F5292">
        <v>-1</v>
      </c>
      <c r="G5292">
        <v>-0.59242499999999998</v>
      </c>
    </row>
    <row r="5293" spans="1:7">
      <c r="A5293" t="s">
        <v>144</v>
      </c>
      <c r="B5293">
        <v>83</v>
      </c>
      <c r="C5293">
        <v>17</v>
      </c>
      <c r="D5293">
        <v>0.45985300000000001</v>
      </c>
      <c r="E5293">
        <v>-0.55125599999999997</v>
      </c>
      <c r="F5293">
        <v>-1</v>
      </c>
      <c r="G5293">
        <v>-0.55125599999999997</v>
      </c>
    </row>
    <row r="5294" spans="1:7">
      <c r="A5294" t="s">
        <v>144</v>
      </c>
      <c r="B5294">
        <v>83</v>
      </c>
      <c r="C5294">
        <v>18</v>
      </c>
      <c r="D5294">
        <v>0.45985300000000001</v>
      </c>
      <c r="E5294">
        <v>-0.75985000000000003</v>
      </c>
      <c r="F5294">
        <v>-1</v>
      </c>
      <c r="G5294">
        <v>-0.75985000000000003</v>
      </c>
    </row>
    <row r="5295" spans="1:7">
      <c r="A5295" t="s">
        <v>144</v>
      </c>
      <c r="B5295">
        <v>83</v>
      </c>
      <c r="C5295">
        <v>19</v>
      </c>
      <c r="D5295">
        <v>0.45985300000000001</v>
      </c>
      <c r="E5295">
        <v>4.1321999999999998E-2</v>
      </c>
      <c r="F5295">
        <v>-1</v>
      </c>
      <c r="G5295">
        <v>4.1321999999999998E-2</v>
      </c>
    </row>
    <row r="5296" spans="1:7">
      <c r="A5296" t="s">
        <v>144</v>
      </c>
      <c r="B5296">
        <v>83</v>
      </c>
      <c r="C5296">
        <v>20</v>
      </c>
      <c r="D5296">
        <v>0.45985300000000001</v>
      </c>
      <c r="E5296">
        <v>0.93545299999999998</v>
      </c>
      <c r="F5296">
        <v>-1</v>
      </c>
      <c r="G5296">
        <v>0.93545299999999998</v>
      </c>
    </row>
    <row r="5297" spans="1:7">
      <c r="A5297" t="s">
        <v>144</v>
      </c>
      <c r="B5297">
        <v>83</v>
      </c>
      <c r="C5297">
        <v>21</v>
      </c>
      <c r="D5297">
        <v>0.45985300000000001</v>
      </c>
      <c r="E5297">
        <v>-0.73296300000000003</v>
      </c>
      <c r="F5297">
        <v>-1</v>
      </c>
      <c r="G5297">
        <v>-0.73296300000000003</v>
      </c>
    </row>
    <row r="5298" spans="1:7">
      <c r="A5298" t="s">
        <v>144</v>
      </c>
      <c r="B5298">
        <v>83</v>
      </c>
      <c r="C5298">
        <v>22</v>
      </c>
      <c r="D5298">
        <v>0.45985300000000001</v>
      </c>
      <c r="E5298">
        <v>-0.19989599999999999</v>
      </c>
      <c r="F5298">
        <v>-1</v>
      </c>
      <c r="G5298">
        <v>-0.19989599999999999</v>
      </c>
    </row>
    <row r="5299" spans="1:7">
      <c r="A5299" t="s">
        <v>144</v>
      </c>
      <c r="B5299">
        <v>83</v>
      </c>
      <c r="C5299">
        <v>23</v>
      </c>
      <c r="D5299">
        <v>0.45985300000000001</v>
      </c>
      <c r="E5299">
        <v>0.82171099999999997</v>
      </c>
      <c r="F5299">
        <v>-1</v>
      </c>
      <c r="G5299">
        <v>0.82171099999999997</v>
      </c>
    </row>
    <row r="5300" spans="1:7">
      <c r="A5300" t="s">
        <v>144</v>
      </c>
      <c r="B5300">
        <v>83</v>
      </c>
      <c r="C5300">
        <v>24</v>
      </c>
      <c r="D5300">
        <v>0.45985300000000001</v>
      </c>
      <c r="E5300">
        <v>0.54054400000000002</v>
      </c>
      <c r="F5300">
        <v>-1</v>
      </c>
      <c r="G5300">
        <v>0.54054400000000002</v>
      </c>
    </row>
    <row r="5301" spans="1:7">
      <c r="A5301" t="s">
        <v>144</v>
      </c>
      <c r="B5301">
        <v>83</v>
      </c>
      <c r="C5301">
        <v>25</v>
      </c>
      <c r="D5301">
        <v>0.45985300000000001</v>
      </c>
      <c r="E5301">
        <v>-0.241371</v>
      </c>
      <c r="F5301">
        <v>-1</v>
      </c>
      <c r="G5301">
        <v>-0.241371</v>
      </c>
    </row>
    <row r="5302" spans="1:7">
      <c r="A5302" t="s">
        <v>144</v>
      </c>
      <c r="B5302">
        <v>83</v>
      </c>
      <c r="C5302">
        <v>26</v>
      </c>
      <c r="D5302">
        <v>0.45985300000000001</v>
      </c>
      <c r="E5302">
        <v>0.79241300000000003</v>
      </c>
      <c r="F5302">
        <v>-1</v>
      </c>
      <c r="G5302">
        <v>0.79241300000000003</v>
      </c>
    </row>
    <row r="5303" spans="1:7">
      <c r="A5303" t="s">
        <v>144</v>
      </c>
      <c r="B5303">
        <v>83</v>
      </c>
      <c r="C5303">
        <v>27</v>
      </c>
      <c r="D5303">
        <v>0.45985300000000001</v>
      </c>
      <c r="E5303">
        <v>0.38343500000000003</v>
      </c>
      <c r="F5303">
        <v>-1</v>
      </c>
      <c r="G5303">
        <v>0.38343500000000003</v>
      </c>
    </row>
    <row r="5304" spans="1:7">
      <c r="A5304" t="s">
        <v>144</v>
      </c>
      <c r="B5304">
        <v>83</v>
      </c>
      <c r="C5304">
        <v>28</v>
      </c>
      <c r="D5304">
        <v>0.45985300000000001</v>
      </c>
      <c r="E5304">
        <v>0.36249900000000002</v>
      </c>
      <c r="F5304">
        <v>-1</v>
      </c>
      <c r="G5304">
        <v>0.36249900000000002</v>
      </c>
    </row>
    <row r="5305" spans="1:7">
      <c r="A5305" t="s">
        <v>144</v>
      </c>
      <c r="B5305">
        <v>83</v>
      </c>
      <c r="C5305">
        <v>29</v>
      </c>
      <c r="D5305">
        <v>0.45985300000000001</v>
      </c>
      <c r="E5305">
        <v>0.86519999999999997</v>
      </c>
      <c r="F5305">
        <v>-1</v>
      </c>
      <c r="G5305">
        <v>0.86519999999999997</v>
      </c>
    </row>
    <row r="5306" spans="1:7">
      <c r="A5306" t="s">
        <v>144</v>
      </c>
      <c r="B5306">
        <v>83</v>
      </c>
      <c r="C5306">
        <v>30</v>
      </c>
      <c r="D5306">
        <v>0.45985300000000001</v>
      </c>
      <c r="E5306">
        <v>0.393567</v>
      </c>
      <c r="F5306">
        <v>-1</v>
      </c>
      <c r="G5306">
        <v>0.393567</v>
      </c>
    </row>
    <row r="5307" spans="1:7">
      <c r="A5307" t="s">
        <v>144</v>
      </c>
      <c r="B5307">
        <v>83</v>
      </c>
      <c r="C5307">
        <v>31</v>
      </c>
      <c r="D5307">
        <v>0.45985300000000001</v>
      </c>
      <c r="E5307">
        <v>0.25305899999999998</v>
      </c>
      <c r="F5307">
        <v>-0.22592899999999999</v>
      </c>
      <c r="G5307">
        <v>-5.6649999999999999E-3</v>
      </c>
    </row>
    <row r="5308" spans="1:7">
      <c r="A5308" t="s">
        <v>144</v>
      </c>
      <c r="B5308">
        <v>83</v>
      </c>
      <c r="C5308">
        <v>32</v>
      </c>
      <c r="D5308">
        <v>0.45985300000000001</v>
      </c>
      <c r="E5308">
        <v>-0.52333099999999999</v>
      </c>
      <c r="F5308">
        <v>0.60029900000000003</v>
      </c>
      <c r="G5308">
        <v>8.3594000000000002E-2</v>
      </c>
    </row>
    <row r="5309" spans="1:7">
      <c r="A5309" t="s">
        <v>144</v>
      </c>
      <c r="B5309">
        <v>83</v>
      </c>
      <c r="C5309">
        <v>33</v>
      </c>
      <c r="D5309">
        <v>0.45985300000000001</v>
      </c>
      <c r="E5309">
        <v>-0.14716000000000001</v>
      </c>
      <c r="F5309">
        <v>0.97235000000000005</v>
      </c>
      <c r="G5309">
        <v>0.45754</v>
      </c>
    </row>
    <row r="5310" spans="1:7">
      <c r="A5310" t="s">
        <v>144</v>
      </c>
      <c r="B5310">
        <v>83</v>
      </c>
      <c r="C5310">
        <v>34</v>
      </c>
      <c r="D5310">
        <v>0.45985300000000001</v>
      </c>
      <c r="E5310">
        <v>-0.89596200000000004</v>
      </c>
      <c r="F5310">
        <v>-0.69472299999999998</v>
      </c>
      <c r="G5310">
        <v>-0.78726399999999996</v>
      </c>
    </row>
    <row r="5311" spans="1:7">
      <c r="A5311" t="s">
        <v>144</v>
      </c>
      <c r="B5311">
        <v>83</v>
      </c>
      <c r="C5311">
        <v>35</v>
      </c>
      <c r="D5311">
        <v>0.45985300000000001</v>
      </c>
      <c r="E5311">
        <v>0.53349400000000002</v>
      </c>
      <c r="F5311">
        <v>-0.69075600000000004</v>
      </c>
      <c r="G5311">
        <v>-0.12778100000000001</v>
      </c>
    </row>
    <row r="5312" spans="1:7">
      <c r="A5312" t="s">
        <v>144</v>
      </c>
      <c r="B5312">
        <v>83</v>
      </c>
      <c r="C5312">
        <v>36</v>
      </c>
      <c r="D5312">
        <v>0.45985300000000001</v>
      </c>
      <c r="E5312">
        <v>-0.58156099999999999</v>
      </c>
      <c r="F5312">
        <v>0.26718999999999998</v>
      </c>
      <c r="G5312">
        <v>-0.123111</v>
      </c>
    </row>
    <row r="5313" spans="1:7">
      <c r="A5313" t="s">
        <v>144</v>
      </c>
      <c r="B5313">
        <v>83</v>
      </c>
      <c r="C5313">
        <v>37</v>
      </c>
      <c r="D5313">
        <v>0.45985300000000001</v>
      </c>
      <c r="E5313">
        <v>0.80986999999999998</v>
      </c>
      <c r="F5313">
        <v>-0.404889</v>
      </c>
      <c r="G5313">
        <v>0.153721</v>
      </c>
    </row>
    <row r="5314" spans="1:7">
      <c r="A5314" t="s">
        <v>144</v>
      </c>
      <c r="B5314">
        <v>83</v>
      </c>
      <c r="C5314">
        <v>38</v>
      </c>
      <c r="D5314">
        <v>0.45985300000000001</v>
      </c>
      <c r="E5314">
        <v>6.0304999999999997E-2</v>
      </c>
      <c r="F5314">
        <v>-0.16455600000000001</v>
      </c>
      <c r="G5314">
        <v>-6.1152999999999999E-2</v>
      </c>
    </row>
    <row r="5315" spans="1:7">
      <c r="A5315" t="s">
        <v>144</v>
      </c>
      <c r="B5315">
        <v>83</v>
      </c>
      <c r="C5315">
        <v>39</v>
      </c>
      <c r="D5315">
        <v>0.45985300000000001</v>
      </c>
      <c r="E5315">
        <v>-0.39213199999999998</v>
      </c>
      <c r="F5315">
        <v>0.440382</v>
      </c>
      <c r="G5315">
        <v>5.7548000000000002E-2</v>
      </c>
    </row>
    <row r="5316" spans="1:7">
      <c r="A5316" t="s">
        <v>144</v>
      </c>
      <c r="B5316">
        <v>83</v>
      </c>
      <c r="C5316">
        <v>40</v>
      </c>
      <c r="D5316">
        <v>0.45985300000000001</v>
      </c>
      <c r="E5316">
        <v>-0.92700000000000005</v>
      </c>
      <c r="F5316">
        <v>0.65492700000000004</v>
      </c>
      <c r="G5316">
        <v>-7.2526999999999994E-2</v>
      </c>
    </row>
    <row r="5317" spans="1:7">
      <c r="A5317" t="s">
        <v>144</v>
      </c>
      <c r="B5317">
        <v>83</v>
      </c>
      <c r="C5317">
        <v>41</v>
      </c>
      <c r="D5317">
        <v>0.45985300000000001</v>
      </c>
      <c r="E5317">
        <v>0.30640600000000001</v>
      </c>
      <c r="F5317">
        <v>0.241981</v>
      </c>
      <c r="G5317">
        <v>0.27160699999999999</v>
      </c>
    </row>
    <row r="5318" spans="1:7">
      <c r="A5318" t="s">
        <v>144</v>
      </c>
      <c r="B5318">
        <v>83</v>
      </c>
      <c r="C5318">
        <v>42</v>
      </c>
      <c r="D5318">
        <v>0.45985300000000001</v>
      </c>
      <c r="E5318">
        <v>0.47276200000000002</v>
      </c>
      <c r="F5318">
        <v>-3.0609999999999998E-2</v>
      </c>
      <c r="G5318">
        <v>0.20086699999999999</v>
      </c>
    </row>
    <row r="5319" spans="1:7">
      <c r="A5319" t="s">
        <v>144</v>
      </c>
      <c r="B5319">
        <v>83</v>
      </c>
      <c r="C5319">
        <v>43</v>
      </c>
      <c r="D5319">
        <v>0.45985300000000001</v>
      </c>
      <c r="E5319">
        <v>-0.67427599999999999</v>
      </c>
      <c r="F5319">
        <v>-5.1728999999999997E-2</v>
      </c>
      <c r="G5319">
        <v>-0.338009</v>
      </c>
    </row>
    <row r="5320" spans="1:7">
      <c r="A5320" t="s">
        <v>144</v>
      </c>
      <c r="B5320">
        <v>83</v>
      </c>
      <c r="C5320">
        <v>44</v>
      </c>
      <c r="D5320">
        <v>0.45985300000000001</v>
      </c>
      <c r="E5320">
        <v>-0.30002699999999999</v>
      </c>
      <c r="F5320">
        <v>0.963561</v>
      </c>
      <c r="G5320">
        <v>0.382496</v>
      </c>
    </row>
    <row r="5321" spans="1:7">
      <c r="A5321" t="s">
        <v>144</v>
      </c>
      <c r="B5321">
        <v>83</v>
      </c>
      <c r="C5321">
        <v>45</v>
      </c>
      <c r="D5321">
        <v>0.45985300000000001</v>
      </c>
      <c r="E5321">
        <v>0.49632300000000001</v>
      </c>
      <c r="F5321">
        <v>-0.35505199999999998</v>
      </c>
      <c r="G5321">
        <v>3.6455000000000001E-2</v>
      </c>
    </row>
    <row r="5322" spans="1:7">
      <c r="A5322" t="s">
        <v>144</v>
      </c>
      <c r="B5322">
        <v>83</v>
      </c>
      <c r="C5322">
        <v>46</v>
      </c>
      <c r="D5322">
        <v>0.45985300000000001</v>
      </c>
      <c r="E5322">
        <v>0.62675899999999996</v>
      </c>
      <c r="F5322">
        <v>0.76842600000000005</v>
      </c>
      <c r="G5322">
        <v>0.70328000000000002</v>
      </c>
    </row>
    <row r="5323" spans="1:7">
      <c r="A5323" t="s">
        <v>144</v>
      </c>
      <c r="B5323">
        <v>83</v>
      </c>
      <c r="C5323">
        <v>47</v>
      </c>
      <c r="D5323">
        <v>0.45985300000000001</v>
      </c>
      <c r="E5323">
        <v>0.64134599999999997</v>
      </c>
      <c r="F5323">
        <v>0.50035099999999999</v>
      </c>
      <c r="G5323">
        <v>0.56518800000000002</v>
      </c>
    </row>
    <row r="5324" spans="1:7">
      <c r="A5324" t="s">
        <v>144</v>
      </c>
      <c r="B5324">
        <v>83</v>
      </c>
      <c r="C5324">
        <v>48</v>
      </c>
      <c r="D5324">
        <v>0.45985300000000001</v>
      </c>
      <c r="E5324">
        <v>-0.43644500000000003</v>
      </c>
      <c r="F5324">
        <v>0.230293</v>
      </c>
      <c r="G5324">
        <v>-7.6309000000000002E-2</v>
      </c>
    </row>
    <row r="5325" spans="1:7">
      <c r="A5325" t="s">
        <v>144</v>
      </c>
      <c r="B5325">
        <v>83</v>
      </c>
      <c r="C5325">
        <v>49</v>
      </c>
      <c r="D5325">
        <v>0.45985300000000001</v>
      </c>
      <c r="E5325">
        <v>0.446272</v>
      </c>
      <c r="F5325">
        <v>0.39887699999999998</v>
      </c>
      <c r="G5325">
        <v>0.42067199999999999</v>
      </c>
    </row>
    <row r="5326" spans="1:7">
      <c r="A5326" t="s">
        <v>144</v>
      </c>
      <c r="B5326" t="s">
        <v>145</v>
      </c>
      <c r="C5326">
        <v>84</v>
      </c>
    </row>
    <row r="5327" spans="1:7">
      <c r="A5327" t="s">
        <v>144</v>
      </c>
      <c r="B5327" t="s">
        <v>146</v>
      </c>
      <c r="C5327">
        <v>78</v>
      </c>
    </row>
    <row r="5328" spans="1:7">
      <c r="A5328" t="s">
        <v>144</v>
      </c>
      <c r="B5328" t="s">
        <v>147</v>
      </c>
      <c r="C5328">
        <v>78</v>
      </c>
    </row>
    <row r="5329" spans="1:7">
      <c r="A5329" t="s">
        <v>144</v>
      </c>
      <c r="B5329" t="s">
        <v>148</v>
      </c>
      <c r="C5329">
        <v>0.10007000000000001</v>
      </c>
    </row>
    <row r="5330" spans="1:7">
      <c r="A5330" t="s">
        <v>144</v>
      </c>
      <c r="B5330" t="s">
        <v>149</v>
      </c>
      <c r="C5330">
        <v>0.10007000000000001</v>
      </c>
    </row>
    <row r="5331" spans="1:7">
      <c r="A5331" t="s">
        <v>144</v>
      </c>
      <c r="B5331" t="s">
        <v>150</v>
      </c>
      <c r="C5331">
        <v>-1</v>
      </c>
    </row>
    <row r="5332" spans="1:7">
      <c r="A5332" t="s">
        <v>144</v>
      </c>
      <c r="B5332" t="s">
        <v>151</v>
      </c>
      <c r="C5332">
        <v>-1</v>
      </c>
    </row>
    <row r="5333" spans="1:7">
      <c r="A5333" t="s">
        <v>144</v>
      </c>
      <c r="B5333" t="s">
        <v>152</v>
      </c>
      <c r="C5333">
        <v>48</v>
      </c>
    </row>
    <row r="5334" spans="1:7">
      <c r="A5334" t="s">
        <v>144</v>
      </c>
      <c r="B5334" t="s">
        <v>153</v>
      </c>
      <c r="C5334">
        <v>48</v>
      </c>
    </row>
    <row r="5335" spans="1:7">
      <c r="A5335" t="s">
        <v>144</v>
      </c>
      <c r="B5335" t="s">
        <v>154</v>
      </c>
      <c r="C5335">
        <v>0</v>
      </c>
    </row>
    <row r="5336" spans="1:7">
      <c r="A5336" t="s">
        <v>144</v>
      </c>
      <c r="B5336" t="s">
        <v>155</v>
      </c>
    </row>
    <row r="5337" spans="1:7">
      <c r="A5337" t="s">
        <v>144</v>
      </c>
      <c r="B5337" t="s">
        <v>150</v>
      </c>
      <c r="C5337">
        <v>0.26691500000000001</v>
      </c>
    </row>
    <row r="5338" spans="1:7">
      <c r="A5338" t="s">
        <v>144</v>
      </c>
      <c r="B5338" t="s">
        <v>151</v>
      </c>
      <c r="C5338">
        <v>0.26691500000000001</v>
      </c>
    </row>
    <row r="5339" spans="1:7">
      <c r="A5339" t="s">
        <v>144</v>
      </c>
      <c r="B5339" t="s">
        <v>156</v>
      </c>
      <c r="C5339" t="s">
        <v>157</v>
      </c>
      <c r="D5339" t="s">
        <v>63</v>
      </c>
      <c r="E5339" t="s">
        <v>158</v>
      </c>
      <c r="F5339" t="s">
        <v>159</v>
      </c>
      <c r="G5339" t="s">
        <v>160</v>
      </c>
    </row>
    <row r="5340" spans="1:7">
      <c r="A5340" t="s">
        <v>144</v>
      </c>
      <c r="B5340">
        <v>84</v>
      </c>
      <c r="C5340">
        <v>0</v>
      </c>
      <c r="D5340">
        <v>0.26691500000000001</v>
      </c>
      <c r="E5340">
        <v>0.51042200000000004</v>
      </c>
      <c r="F5340">
        <v>-1</v>
      </c>
      <c r="G5340">
        <v>0.51042200000000004</v>
      </c>
    </row>
    <row r="5341" spans="1:7">
      <c r="A5341" t="s">
        <v>144</v>
      </c>
      <c r="B5341">
        <v>84</v>
      </c>
      <c r="C5341">
        <v>1</v>
      </c>
      <c r="D5341">
        <v>0.26691500000000001</v>
      </c>
      <c r="E5341">
        <v>-0.70445899999999995</v>
      </c>
      <c r="F5341">
        <v>-1</v>
      </c>
      <c r="G5341">
        <v>-0.70445899999999995</v>
      </c>
    </row>
    <row r="5342" spans="1:7">
      <c r="A5342" t="s">
        <v>144</v>
      </c>
      <c r="B5342">
        <v>84</v>
      </c>
      <c r="C5342">
        <v>2</v>
      </c>
      <c r="D5342">
        <v>0.26691500000000001</v>
      </c>
      <c r="E5342">
        <v>-0.97137399999999996</v>
      </c>
      <c r="F5342">
        <v>-1</v>
      </c>
      <c r="G5342">
        <v>-0.97137399999999996</v>
      </c>
    </row>
    <row r="5343" spans="1:7">
      <c r="A5343" t="s">
        <v>144</v>
      </c>
      <c r="B5343">
        <v>84</v>
      </c>
      <c r="C5343">
        <v>3</v>
      </c>
      <c r="D5343">
        <v>0.26691500000000001</v>
      </c>
      <c r="E5343">
        <v>-0.75264699999999995</v>
      </c>
      <c r="F5343">
        <v>-1</v>
      </c>
      <c r="G5343">
        <v>-0.75264699999999995</v>
      </c>
    </row>
    <row r="5344" spans="1:7">
      <c r="A5344" t="s">
        <v>144</v>
      </c>
      <c r="B5344">
        <v>84</v>
      </c>
      <c r="C5344">
        <v>4</v>
      </c>
      <c r="D5344">
        <v>0.26691500000000001</v>
      </c>
      <c r="E5344">
        <v>-0.41853099999999999</v>
      </c>
      <c r="F5344">
        <v>-1</v>
      </c>
      <c r="G5344">
        <v>-0.41853099999999999</v>
      </c>
    </row>
    <row r="5345" spans="1:7">
      <c r="A5345" t="s">
        <v>144</v>
      </c>
      <c r="B5345">
        <v>84</v>
      </c>
      <c r="C5345">
        <v>5</v>
      </c>
      <c r="D5345">
        <v>0.26691500000000001</v>
      </c>
      <c r="E5345">
        <v>-0.12537000000000001</v>
      </c>
      <c r="F5345">
        <v>-1</v>
      </c>
      <c r="G5345">
        <v>-0.12537000000000001</v>
      </c>
    </row>
    <row r="5346" spans="1:7">
      <c r="A5346" t="s">
        <v>144</v>
      </c>
      <c r="B5346">
        <v>84</v>
      </c>
      <c r="C5346">
        <v>6</v>
      </c>
      <c r="D5346">
        <v>0.26691500000000001</v>
      </c>
      <c r="E5346">
        <v>0.94445599999999996</v>
      </c>
      <c r="F5346">
        <v>-1</v>
      </c>
      <c r="G5346">
        <v>0.94445599999999996</v>
      </c>
    </row>
    <row r="5347" spans="1:7">
      <c r="A5347" t="s">
        <v>144</v>
      </c>
      <c r="B5347">
        <v>84</v>
      </c>
      <c r="C5347">
        <v>7</v>
      </c>
      <c r="D5347">
        <v>0.26691500000000001</v>
      </c>
      <c r="E5347">
        <v>0.74929000000000001</v>
      </c>
      <c r="F5347">
        <v>-1</v>
      </c>
      <c r="G5347">
        <v>0.74929000000000001</v>
      </c>
    </row>
    <row r="5348" spans="1:7">
      <c r="A5348" t="s">
        <v>144</v>
      </c>
      <c r="B5348">
        <v>84</v>
      </c>
      <c r="C5348">
        <v>8</v>
      </c>
      <c r="D5348">
        <v>0.26691500000000001</v>
      </c>
      <c r="E5348">
        <v>0.74056200000000005</v>
      </c>
      <c r="F5348">
        <v>-1</v>
      </c>
      <c r="G5348">
        <v>0.74056200000000005</v>
      </c>
    </row>
    <row r="5349" spans="1:7">
      <c r="A5349" t="s">
        <v>144</v>
      </c>
      <c r="B5349">
        <v>84</v>
      </c>
      <c r="C5349">
        <v>9</v>
      </c>
      <c r="D5349">
        <v>0.26691500000000001</v>
      </c>
      <c r="E5349">
        <v>-2.0569E-2</v>
      </c>
      <c r="F5349">
        <v>-1</v>
      </c>
      <c r="G5349">
        <v>-2.0569E-2</v>
      </c>
    </row>
    <row r="5350" spans="1:7">
      <c r="A5350" t="s">
        <v>144</v>
      </c>
      <c r="B5350">
        <v>84</v>
      </c>
      <c r="C5350">
        <v>10</v>
      </c>
      <c r="D5350">
        <v>0.26691500000000001</v>
      </c>
      <c r="E5350">
        <v>-0.42906</v>
      </c>
      <c r="F5350">
        <v>-1</v>
      </c>
      <c r="G5350">
        <v>-0.42906</v>
      </c>
    </row>
    <row r="5351" spans="1:7">
      <c r="A5351" t="s">
        <v>144</v>
      </c>
      <c r="B5351">
        <v>84</v>
      </c>
      <c r="C5351">
        <v>11</v>
      </c>
      <c r="D5351">
        <v>0.26691500000000001</v>
      </c>
      <c r="E5351">
        <v>-4.0284E-2</v>
      </c>
      <c r="F5351">
        <v>-1</v>
      </c>
      <c r="G5351">
        <v>-4.0284E-2</v>
      </c>
    </row>
    <row r="5352" spans="1:7">
      <c r="A5352" t="s">
        <v>144</v>
      </c>
      <c r="B5352">
        <v>84</v>
      </c>
      <c r="C5352">
        <v>12</v>
      </c>
      <c r="D5352">
        <v>0.26691500000000001</v>
      </c>
      <c r="E5352">
        <v>-0.42783900000000002</v>
      </c>
      <c r="F5352">
        <v>-1</v>
      </c>
      <c r="G5352">
        <v>-0.42783900000000002</v>
      </c>
    </row>
    <row r="5353" spans="1:7">
      <c r="A5353" t="s">
        <v>144</v>
      </c>
      <c r="B5353">
        <v>84</v>
      </c>
      <c r="C5353">
        <v>13</v>
      </c>
      <c r="D5353">
        <v>0.26691500000000001</v>
      </c>
      <c r="E5353">
        <v>0.147954</v>
      </c>
      <c r="F5353">
        <v>-1</v>
      </c>
      <c r="G5353">
        <v>0.147954</v>
      </c>
    </row>
    <row r="5354" spans="1:7">
      <c r="A5354" t="s">
        <v>144</v>
      </c>
      <c r="B5354">
        <v>84</v>
      </c>
      <c r="C5354">
        <v>14</v>
      </c>
      <c r="D5354">
        <v>0.26691500000000001</v>
      </c>
      <c r="E5354">
        <v>4.5779999999999996E-3</v>
      </c>
      <c r="F5354">
        <v>-1</v>
      </c>
      <c r="G5354">
        <v>4.5779999999999996E-3</v>
      </c>
    </row>
    <row r="5355" spans="1:7">
      <c r="A5355" t="s">
        <v>144</v>
      </c>
      <c r="B5355">
        <v>84</v>
      </c>
      <c r="C5355">
        <v>15</v>
      </c>
      <c r="D5355">
        <v>0.26691500000000001</v>
      </c>
      <c r="E5355">
        <v>-0.66054299999999999</v>
      </c>
      <c r="F5355">
        <v>-1</v>
      </c>
      <c r="G5355">
        <v>-0.66054299999999999</v>
      </c>
    </row>
    <row r="5356" spans="1:7">
      <c r="A5356" t="s">
        <v>144</v>
      </c>
      <c r="B5356">
        <v>84</v>
      </c>
      <c r="C5356">
        <v>16</v>
      </c>
      <c r="D5356">
        <v>0.26691500000000001</v>
      </c>
      <c r="E5356">
        <v>0.177038</v>
      </c>
      <c r="F5356">
        <v>-1</v>
      </c>
      <c r="G5356">
        <v>0.177038</v>
      </c>
    </row>
    <row r="5357" spans="1:7">
      <c r="A5357" t="s">
        <v>144</v>
      </c>
      <c r="B5357">
        <v>84</v>
      </c>
      <c r="C5357">
        <v>17</v>
      </c>
      <c r="D5357">
        <v>0.26691500000000001</v>
      </c>
      <c r="E5357">
        <v>-0.222633</v>
      </c>
      <c r="F5357">
        <v>-1</v>
      </c>
      <c r="G5357">
        <v>-0.222633</v>
      </c>
    </row>
    <row r="5358" spans="1:7">
      <c r="A5358" t="s">
        <v>144</v>
      </c>
      <c r="B5358">
        <v>84</v>
      </c>
      <c r="C5358">
        <v>18</v>
      </c>
      <c r="D5358">
        <v>0.26691500000000001</v>
      </c>
      <c r="E5358">
        <v>-0.114811</v>
      </c>
      <c r="F5358">
        <v>-1</v>
      </c>
      <c r="G5358">
        <v>-0.114811</v>
      </c>
    </row>
    <row r="5359" spans="1:7">
      <c r="A5359" t="s">
        <v>144</v>
      </c>
      <c r="B5359">
        <v>84</v>
      </c>
      <c r="C5359">
        <v>19</v>
      </c>
      <c r="D5359">
        <v>0.26691500000000001</v>
      </c>
      <c r="E5359">
        <v>0.67430599999999996</v>
      </c>
      <c r="F5359">
        <v>-1</v>
      </c>
      <c r="G5359">
        <v>0.67430599999999996</v>
      </c>
    </row>
    <row r="5360" spans="1:7">
      <c r="A5360" t="s">
        <v>144</v>
      </c>
      <c r="B5360">
        <v>84</v>
      </c>
      <c r="C5360">
        <v>20</v>
      </c>
      <c r="D5360">
        <v>0.26691500000000001</v>
      </c>
      <c r="E5360">
        <v>-0.19962199999999999</v>
      </c>
      <c r="F5360">
        <v>-1</v>
      </c>
      <c r="G5360">
        <v>-0.19962199999999999</v>
      </c>
    </row>
    <row r="5361" spans="1:7">
      <c r="A5361" t="s">
        <v>144</v>
      </c>
      <c r="B5361">
        <v>84</v>
      </c>
      <c r="C5361">
        <v>21</v>
      </c>
      <c r="D5361">
        <v>0.26691500000000001</v>
      </c>
      <c r="E5361">
        <v>-0.84264700000000003</v>
      </c>
      <c r="F5361">
        <v>-1</v>
      </c>
      <c r="G5361">
        <v>-0.84264700000000003</v>
      </c>
    </row>
    <row r="5362" spans="1:7">
      <c r="A5362" t="s">
        <v>144</v>
      </c>
      <c r="B5362">
        <v>84</v>
      </c>
      <c r="C5362">
        <v>22</v>
      </c>
      <c r="D5362">
        <v>0.26691500000000001</v>
      </c>
      <c r="E5362">
        <v>-0.39991500000000002</v>
      </c>
      <c r="F5362">
        <v>-1</v>
      </c>
      <c r="G5362">
        <v>-0.39991500000000002</v>
      </c>
    </row>
    <row r="5363" spans="1:7">
      <c r="A5363" t="s">
        <v>144</v>
      </c>
      <c r="B5363">
        <v>84</v>
      </c>
      <c r="C5363">
        <v>23</v>
      </c>
      <c r="D5363">
        <v>0.26691500000000001</v>
      </c>
      <c r="E5363">
        <v>-0.163549</v>
      </c>
      <c r="F5363">
        <v>-1</v>
      </c>
      <c r="G5363">
        <v>-0.163549</v>
      </c>
    </row>
    <row r="5364" spans="1:7">
      <c r="A5364" t="s">
        <v>144</v>
      </c>
      <c r="B5364">
        <v>84</v>
      </c>
      <c r="C5364">
        <v>24</v>
      </c>
      <c r="D5364">
        <v>0.26691500000000001</v>
      </c>
      <c r="E5364">
        <v>-0.116245</v>
      </c>
      <c r="F5364">
        <v>-1</v>
      </c>
      <c r="G5364">
        <v>-0.116245</v>
      </c>
    </row>
    <row r="5365" spans="1:7">
      <c r="A5365" t="s">
        <v>144</v>
      </c>
      <c r="B5365">
        <v>84</v>
      </c>
      <c r="C5365">
        <v>25</v>
      </c>
      <c r="D5365">
        <v>0.26691500000000001</v>
      </c>
      <c r="E5365">
        <v>-0.53974999999999995</v>
      </c>
      <c r="F5365">
        <v>-1</v>
      </c>
      <c r="G5365">
        <v>-0.53974999999999995</v>
      </c>
    </row>
    <row r="5366" spans="1:7">
      <c r="A5366" t="s">
        <v>144</v>
      </c>
      <c r="B5366">
        <v>84</v>
      </c>
      <c r="C5366">
        <v>26</v>
      </c>
      <c r="D5366">
        <v>0.26691500000000001</v>
      </c>
      <c r="E5366">
        <v>-0.15353900000000001</v>
      </c>
      <c r="F5366">
        <v>-1</v>
      </c>
      <c r="G5366">
        <v>-0.15353900000000001</v>
      </c>
    </row>
    <row r="5367" spans="1:7">
      <c r="A5367" t="s">
        <v>144</v>
      </c>
      <c r="B5367">
        <v>84</v>
      </c>
      <c r="C5367">
        <v>27</v>
      </c>
      <c r="D5367">
        <v>0.26691500000000001</v>
      </c>
      <c r="E5367">
        <v>0.34128799999999998</v>
      </c>
      <c r="F5367">
        <v>-1</v>
      </c>
      <c r="G5367">
        <v>0.34128799999999998</v>
      </c>
    </row>
    <row r="5368" spans="1:7">
      <c r="A5368" t="s">
        <v>144</v>
      </c>
      <c r="B5368">
        <v>84</v>
      </c>
      <c r="C5368">
        <v>28</v>
      </c>
      <c r="D5368">
        <v>0.26691500000000001</v>
      </c>
      <c r="E5368">
        <v>-0.97653100000000004</v>
      </c>
      <c r="F5368">
        <v>-1</v>
      </c>
      <c r="G5368">
        <v>-0.97653100000000004</v>
      </c>
    </row>
    <row r="5369" spans="1:7">
      <c r="A5369" t="s">
        <v>144</v>
      </c>
      <c r="B5369">
        <v>84</v>
      </c>
      <c r="C5369">
        <v>29</v>
      </c>
      <c r="D5369">
        <v>0.26691500000000001</v>
      </c>
      <c r="E5369">
        <v>-0.95519900000000002</v>
      </c>
      <c r="F5369">
        <v>-1</v>
      </c>
      <c r="G5369">
        <v>-0.95519900000000002</v>
      </c>
    </row>
    <row r="5370" spans="1:7">
      <c r="A5370" t="s">
        <v>144</v>
      </c>
      <c r="B5370">
        <v>84</v>
      </c>
      <c r="C5370">
        <v>30</v>
      </c>
      <c r="D5370">
        <v>0.26691500000000001</v>
      </c>
      <c r="E5370">
        <v>-0.904752</v>
      </c>
      <c r="F5370">
        <v>-1</v>
      </c>
      <c r="G5370">
        <v>-0.904752</v>
      </c>
    </row>
    <row r="5371" spans="1:7">
      <c r="A5371" t="s">
        <v>144</v>
      </c>
      <c r="B5371">
        <v>84</v>
      </c>
      <c r="C5371">
        <v>31</v>
      </c>
      <c r="D5371">
        <v>0.26691500000000001</v>
      </c>
      <c r="E5371">
        <v>-0.78975799999999996</v>
      </c>
      <c r="F5371">
        <v>-1</v>
      </c>
      <c r="G5371">
        <v>-0.78975799999999996</v>
      </c>
    </row>
    <row r="5372" spans="1:7">
      <c r="A5372" t="s">
        <v>144</v>
      </c>
      <c r="B5372">
        <v>84</v>
      </c>
      <c r="C5372">
        <v>32</v>
      </c>
      <c r="D5372">
        <v>0.26691500000000001</v>
      </c>
      <c r="E5372">
        <v>-0.40327200000000002</v>
      </c>
      <c r="F5372">
        <v>-1</v>
      </c>
      <c r="G5372">
        <v>-0.40327200000000002</v>
      </c>
    </row>
    <row r="5373" spans="1:7">
      <c r="A5373" t="s">
        <v>144</v>
      </c>
      <c r="B5373">
        <v>84</v>
      </c>
      <c r="C5373">
        <v>33</v>
      </c>
      <c r="D5373">
        <v>0.26691500000000001</v>
      </c>
      <c r="E5373">
        <v>-0.14050699999999999</v>
      </c>
      <c r="F5373">
        <v>-1</v>
      </c>
      <c r="G5373">
        <v>-0.14050699999999999</v>
      </c>
    </row>
    <row r="5374" spans="1:7">
      <c r="A5374" t="s">
        <v>144</v>
      </c>
      <c r="B5374">
        <v>84</v>
      </c>
      <c r="C5374">
        <v>34</v>
      </c>
      <c r="D5374">
        <v>0.26691500000000001</v>
      </c>
      <c r="E5374">
        <v>0.12515599999999999</v>
      </c>
      <c r="F5374">
        <v>-1</v>
      </c>
      <c r="G5374">
        <v>0.12515599999999999</v>
      </c>
    </row>
    <row r="5375" spans="1:7">
      <c r="A5375" t="s">
        <v>144</v>
      </c>
      <c r="B5375">
        <v>84</v>
      </c>
      <c r="C5375">
        <v>35</v>
      </c>
      <c r="D5375">
        <v>0.26691500000000001</v>
      </c>
      <c r="E5375">
        <v>-0.82369499999999995</v>
      </c>
      <c r="F5375">
        <v>-1</v>
      </c>
      <c r="G5375">
        <v>-0.82369499999999995</v>
      </c>
    </row>
    <row r="5376" spans="1:7">
      <c r="A5376" t="s">
        <v>144</v>
      </c>
      <c r="B5376">
        <v>84</v>
      </c>
      <c r="C5376">
        <v>36</v>
      </c>
      <c r="D5376">
        <v>0.26691500000000001</v>
      </c>
      <c r="E5376">
        <v>-0.86239200000000005</v>
      </c>
      <c r="F5376">
        <v>-1</v>
      </c>
      <c r="G5376">
        <v>-0.86239200000000005</v>
      </c>
    </row>
    <row r="5377" spans="1:7">
      <c r="A5377" t="s">
        <v>144</v>
      </c>
      <c r="B5377">
        <v>84</v>
      </c>
      <c r="C5377">
        <v>37</v>
      </c>
      <c r="D5377">
        <v>0.26691500000000001</v>
      </c>
      <c r="E5377">
        <v>0.98333700000000002</v>
      </c>
      <c r="F5377">
        <v>-1</v>
      </c>
      <c r="G5377">
        <v>0.98333700000000002</v>
      </c>
    </row>
    <row r="5378" spans="1:7">
      <c r="A5378" t="s">
        <v>144</v>
      </c>
      <c r="B5378">
        <v>84</v>
      </c>
      <c r="C5378">
        <v>38</v>
      </c>
      <c r="D5378">
        <v>0.26691500000000001</v>
      </c>
      <c r="E5378">
        <v>6.0944999999999999E-2</v>
      </c>
      <c r="F5378">
        <v>-1</v>
      </c>
      <c r="G5378">
        <v>6.0944999999999999E-2</v>
      </c>
    </row>
    <row r="5379" spans="1:7">
      <c r="A5379" t="s">
        <v>144</v>
      </c>
      <c r="B5379">
        <v>84</v>
      </c>
      <c r="C5379">
        <v>39</v>
      </c>
      <c r="D5379">
        <v>0.26691500000000001</v>
      </c>
      <c r="E5379">
        <v>0.97872899999999996</v>
      </c>
      <c r="F5379">
        <v>-1</v>
      </c>
      <c r="G5379">
        <v>0.97872899999999996</v>
      </c>
    </row>
    <row r="5380" spans="1:7">
      <c r="A5380" t="s">
        <v>144</v>
      </c>
      <c r="B5380">
        <v>84</v>
      </c>
      <c r="C5380">
        <v>40</v>
      </c>
      <c r="D5380">
        <v>0.26691500000000001</v>
      </c>
      <c r="E5380">
        <v>-5.7070000000000003E-2</v>
      </c>
      <c r="F5380">
        <v>-1</v>
      </c>
      <c r="G5380">
        <v>-5.7070000000000003E-2</v>
      </c>
    </row>
    <row r="5381" spans="1:7">
      <c r="A5381" t="s">
        <v>144</v>
      </c>
      <c r="B5381">
        <v>84</v>
      </c>
      <c r="C5381">
        <v>41</v>
      </c>
      <c r="D5381">
        <v>0.26691500000000001</v>
      </c>
      <c r="E5381">
        <v>0.75804899999999997</v>
      </c>
      <c r="F5381">
        <v>-1</v>
      </c>
      <c r="G5381">
        <v>0.75804899999999997</v>
      </c>
    </row>
    <row r="5382" spans="1:7">
      <c r="A5382" t="s">
        <v>144</v>
      </c>
      <c r="B5382">
        <v>84</v>
      </c>
      <c r="C5382">
        <v>42</v>
      </c>
      <c r="D5382">
        <v>0.26691500000000001</v>
      </c>
      <c r="E5382">
        <v>-0.68984000000000001</v>
      </c>
      <c r="F5382">
        <v>-1</v>
      </c>
      <c r="G5382">
        <v>-0.68984000000000001</v>
      </c>
    </row>
    <row r="5383" spans="1:7">
      <c r="A5383" t="s">
        <v>144</v>
      </c>
      <c r="B5383">
        <v>84</v>
      </c>
      <c r="C5383">
        <v>43</v>
      </c>
      <c r="D5383">
        <v>0.26691500000000001</v>
      </c>
      <c r="E5383">
        <v>0.62456100000000003</v>
      </c>
      <c r="F5383">
        <v>-1</v>
      </c>
      <c r="G5383">
        <v>0.62456100000000003</v>
      </c>
    </row>
    <row r="5384" spans="1:7">
      <c r="A5384" t="s">
        <v>144</v>
      </c>
      <c r="B5384">
        <v>84</v>
      </c>
      <c r="C5384">
        <v>44</v>
      </c>
      <c r="D5384">
        <v>0.26691500000000001</v>
      </c>
      <c r="E5384">
        <v>0.447523</v>
      </c>
      <c r="F5384">
        <v>-1</v>
      </c>
      <c r="G5384">
        <v>0.447523</v>
      </c>
    </row>
    <row r="5385" spans="1:7">
      <c r="A5385" t="s">
        <v>144</v>
      </c>
      <c r="B5385">
        <v>84</v>
      </c>
      <c r="C5385">
        <v>45</v>
      </c>
      <c r="D5385">
        <v>0.26691500000000001</v>
      </c>
      <c r="E5385">
        <v>-0.80172100000000002</v>
      </c>
      <c r="F5385">
        <v>-1</v>
      </c>
      <c r="G5385">
        <v>-0.80172100000000002</v>
      </c>
    </row>
    <row r="5386" spans="1:7">
      <c r="A5386" t="s">
        <v>144</v>
      </c>
      <c r="B5386">
        <v>84</v>
      </c>
      <c r="C5386">
        <v>46</v>
      </c>
      <c r="D5386">
        <v>0.26691500000000001</v>
      </c>
      <c r="E5386">
        <v>-0.803095</v>
      </c>
      <c r="F5386">
        <v>-1</v>
      </c>
      <c r="G5386">
        <v>-0.803095</v>
      </c>
    </row>
    <row r="5387" spans="1:7">
      <c r="A5387" t="s">
        <v>144</v>
      </c>
      <c r="B5387">
        <v>84</v>
      </c>
      <c r="C5387">
        <v>47</v>
      </c>
      <c r="D5387">
        <v>0.26691500000000001</v>
      </c>
      <c r="E5387">
        <v>-0.70329900000000001</v>
      </c>
      <c r="F5387">
        <v>-1</v>
      </c>
      <c r="G5387">
        <v>-0.70329900000000001</v>
      </c>
    </row>
    <row r="5388" spans="1:7">
      <c r="A5388" t="s">
        <v>144</v>
      </c>
      <c r="B5388">
        <v>84</v>
      </c>
      <c r="C5388">
        <v>48</v>
      </c>
      <c r="D5388">
        <v>0.26691500000000001</v>
      </c>
      <c r="E5388">
        <v>0.89541300000000001</v>
      </c>
      <c r="F5388">
        <v>-0.76433600000000002</v>
      </c>
      <c r="G5388">
        <v>-0.321324</v>
      </c>
    </row>
    <row r="5389" spans="1:7">
      <c r="A5389" t="s">
        <v>144</v>
      </c>
      <c r="B5389">
        <v>84</v>
      </c>
      <c r="C5389">
        <v>49</v>
      </c>
      <c r="D5389">
        <v>0.26691500000000001</v>
      </c>
      <c r="E5389">
        <v>0.31479800000000002</v>
      </c>
      <c r="F5389">
        <v>0.847804</v>
      </c>
      <c r="G5389">
        <v>0.70553699999999997</v>
      </c>
    </row>
    <row r="5390" spans="1:7">
      <c r="A5390" t="s">
        <v>144</v>
      </c>
      <c r="B5390" t="s">
        <v>145</v>
      </c>
      <c r="C5390">
        <v>85</v>
      </c>
    </row>
    <row r="5391" spans="1:7">
      <c r="A5391" t="s">
        <v>144</v>
      </c>
      <c r="B5391" t="s">
        <v>146</v>
      </c>
      <c r="C5391">
        <v>20</v>
      </c>
    </row>
    <row r="5392" spans="1:7">
      <c r="A5392" t="s">
        <v>144</v>
      </c>
      <c r="B5392" t="s">
        <v>147</v>
      </c>
      <c r="C5392">
        <v>20</v>
      </c>
    </row>
    <row r="5393" spans="1:7">
      <c r="A5393" t="s">
        <v>144</v>
      </c>
      <c r="B5393" t="s">
        <v>148</v>
      </c>
      <c r="C5393">
        <v>0.71132499999999999</v>
      </c>
    </row>
    <row r="5394" spans="1:7">
      <c r="A5394" t="s">
        <v>144</v>
      </c>
      <c r="B5394" t="s">
        <v>149</v>
      </c>
      <c r="C5394">
        <v>0.71132499999999999</v>
      </c>
    </row>
    <row r="5395" spans="1:7">
      <c r="A5395" t="s">
        <v>144</v>
      </c>
      <c r="B5395" t="s">
        <v>150</v>
      </c>
      <c r="C5395">
        <v>-1</v>
      </c>
    </row>
    <row r="5396" spans="1:7">
      <c r="A5396" t="s">
        <v>144</v>
      </c>
      <c r="B5396" t="s">
        <v>151</v>
      </c>
      <c r="C5396">
        <v>-1</v>
      </c>
    </row>
    <row r="5397" spans="1:7">
      <c r="A5397" t="s">
        <v>144</v>
      </c>
      <c r="B5397" t="s">
        <v>152</v>
      </c>
      <c r="C5397">
        <v>24</v>
      </c>
    </row>
    <row r="5398" spans="1:7">
      <c r="A5398" t="s">
        <v>144</v>
      </c>
      <c r="B5398" t="s">
        <v>153</v>
      </c>
      <c r="C5398">
        <v>24</v>
      </c>
    </row>
    <row r="5399" spans="1:7">
      <c r="A5399" t="s">
        <v>144</v>
      </c>
      <c r="B5399" t="s">
        <v>154</v>
      </c>
      <c r="C5399">
        <v>0</v>
      </c>
    </row>
    <row r="5400" spans="1:7">
      <c r="A5400" t="s">
        <v>144</v>
      </c>
      <c r="B5400" t="s">
        <v>155</v>
      </c>
    </row>
    <row r="5401" spans="1:7">
      <c r="A5401" t="s">
        <v>144</v>
      </c>
      <c r="B5401" t="s">
        <v>150</v>
      </c>
      <c r="C5401">
        <v>0.90267600000000003</v>
      </c>
    </row>
    <row r="5402" spans="1:7">
      <c r="A5402" t="s">
        <v>144</v>
      </c>
      <c r="B5402" t="s">
        <v>151</v>
      </c>
      <c r="C5402">
        <v>0.90267600000000003</v>
      </c>
    </row>
    <row r="5403" spans="1:7">
      <c r="A5403" t="s">
        <v>144</v>
      </c>
      <c r="B5403" t="s">
        <v>156</v>
      </c>
      <c r="C5403" t="s">
        <v>157</v>
      </c>
      <c r="D5403" t="s">
        <v>63</v>
      </c>
      <c r="E5403" t="s">
        <v>158</v>
      </c>
      <c r="F5403" t="s">
        <v>159</v>
      </c>
      <c r="G5403" t="s">
        <v>160</v>
      </c>
    </row>
    <row r="5404" spans="1:7">
      <c r="A5404" t="s">
        <v>144</v>
      </c>
      <c r="B5404">
        <v>85</v>
      </c>
      <c r="C5404">
        <v>0</v>
      </c>
      <c r="D5404">
        <v>0.90267600000000003</v>
      </c>
      <c r="E5404">
        <v>-0.78780499999999998</v>
      </c>
      <c r="F5404">
        <v>-1</v>
      </c>
      <c r="G5404">
        <v>-0.78780499999999998</v>
      </c>
    </row>
    <row r="5405" spans="1:7">
      <c r="A5405" t="s">
        <v>144</v>
      </c>
      <c r="B5405">
        <v>85</v>
      </c>
      <c r="C5405">
        <v>1</v>
      </c>
      <c r="D5405">
        <v>0.90267600000000003</v>
      </c>
      <c r="E5405">
        <v>-0.74898500000000001</v>
      </c>
      <c r="F5405">
        <v>-1</v>
      </c>
      <c r="G5405">
        <v>-0.74898500000000001</v>
      </c>
    </row>
    <row r="5406" spans="1:7">
      <c r="A5406" t="s">
        <v>144</v>
      </c>
      <c r="B5406">
        <v>85</v>
      </c>
      <c r="C5406">
        <v>2</v>
      </c>
      <c r="D5406">
        <v>0.90267600000000003</v>
      </c>
      <c r="E5406">
        <v>-0.85305299999999995</v>
      </c>
      <c r="F5406">
        <v>-1</v>
      </c>
      <c r="G5406">
        <v>-0.85305299999999995</v>
      </c>
    </row>
    <row r="5407" spans="1:7">
      <c r="A5407" t="s">
        <v>144</v>
      </c>
      <c r="B5407">
        <v>85</v>
      </c>
      <c r="C5407">
        <v>3</v>
      </c>
      <c r="D5407">
        <v>0.90267600000000003</v>
      </c>
      <c r="E5407">
        <v>0.93652100000000005</v>
      </c>
      <c r="F5407">
        <v>-1</v>
      </c>
      <c r="G5407">
        <v>0.93652100000000005</v>
      </c>
    </row>
    <row r="5408" spans="1:7">
      <c r="A5408" t="s">
        <v>144</v>
      </c>
      <c r="B5408">
        <v>85</v>
      </c>
      <c r="C5408">
        <v>4</v>
      </c>
      <c r="D5408">
        <v>0.90267600000000003</v>
      </c>
      <c r="E5408">
        <v>-0.60918000000000005</v>
      </c>
      <c r="F5408">
        <v>-1</v>
      </c>
      <c r="G5408">
        <v>-0.60918000000000005</v>
      </c>
    </row>
    <row r="5409" spans="1:7">
      <c r="A5409" t="s">
        <v>144</v>
      </c>
      <c r="B5409">
        <v>85</v>
      </c>
      <c r="C5409">
        <v>5</v>
      </c>
      <c r="D5409">
        <v>0.90267600000000003</v>
      </c>
      <c r="E5409">
        <v>0.33524599999999999</v>
      </c>
      <c r="F5409">
        <v>-1</v>
      </c>
      <c r="G5409">
        <v>0.33524599999999999</v>
      </c>
    </row>
    <row r="5410" spans="1:7">
      <c r="A5410" t="s">
        <v>144</v>
      </c>
      <c r="B5410">
        <v>85</v>
      </c>
      <c r="C5410">
        <v>6</v>
      </c>
      <c r="D5410">
        <v>0.90267600000000003</v>
      </c>
      <c r="E5410">
        <v>0.328318</v>
      </c>
      <c r="F5410">
        <v>-1</v>
      </c>
      <c r="G5410">
        <v>0.328318</v>
      </c>
    </row>
    <row r="5411" spans="1:7">
      <c r="A5411" t="s">
        <v>144</v>
      </c>
      <c r="B5411">
        <v>85</v>
      </c>
      <c r="C5411">
        <v>7</v>
      </c>
      <c r="D5411">
        <v>0.90267600000000003</v>
      </c>
      <c r="E5411">
        <v>8.2583000000000004E-2</v>
      </c>
      <c r="F5411">
        <v>-1</v>
      </c>
      <c r="G5411">
        <v>8.2583000000000004E-2</v>
      </c>
    </row>
    <row r="5412" spans="1:7">
      <c r="A5412" t="s">
        <v>144</v>
      </c>
      <c r="B5412">
        <v>85</v>
      </c>
      <c r="C5412">
        <v>8</v>
      </c>
      <c r="D5412">
        <v>0.90267600000000003</v>
      </c>
      <c r="E5412">
        <v>0.44294600000000001</v>
      </c>
      <c r="F5412">
        <v>-1</v>
      </c>
      <c r="G5412">
        <v>0.44294600000000001</v>
      </c>
    </row>
    <row r="5413" spans="1:7">
      <c r="A5413" t="s">
        <v>144</v>
      </c>
      <c r="B5413">
        <v>85</v>
      </c>
      <c r="C5413">
        <v>9</v>
      </c>
      <c r="D5413">
        <v>0.90267600000000003</v>
      </c>
      <c r="E5413">
        <v>-0.83715300000000004</v>
      </c>
      <c r="F5413">
        <v>-1</v>
      </c>
      <c r="G5413">
        <v>-0.83715300000000004</v>
      </c>
    </row>
    <row r="5414" spans="1:7">
      <c r="A5414" t="s">
        <v>144</v>
      </c>
      <c r="B5414">
        <v>85</v>
      </c>
      <c r="C5414">
        <v>10</v>
      </c>
      <c r="D5414">
        <v>0.90267600000000003</v>
      </c>
      <c r="E5414">
        <v>0.77983899999999995</v>
      </c>
      <c r="F5414">
        <v>-1</v>
      </c>
      <c r="G5414">
        <v>0.77983899999999995</v>
      </c>
    </row>
    <row r="5415" spans="1:7">
      <c r="A5415" t="s">
        <v>144</v>
      </c>
      <c r="B5415">
        <v>85</v>
      </c>
      <c r="C5415">
        <v>11</v>
      </c>
      <c r="D5415">
        <v>0.90267600000000003</v>
      </c>
      <c r="E5415">
        <v>0.13477</v>
      </c>
      <c r="F5415">
        <v>-1</v>
      </c>
      <c r="G5415">
        <v>0.13477</v>
      </c>
    </row>
    <row r="5416" spans="1:7">
      <c r="A5416" t="s">
        <v>144</v>
      </c>
      <c r="B5416">
        <v>85</v>
      </c>
      <c r="C5416">
        <v>12</v>
      </c>
      <c r="D5416">
        <v>0.90267600000000003</v>
      </c>
      <c r="E5416">
        <v>-1.4801E-2</v>
      </c>
      <c r="F5416">
        <v>-1</v>
      </c>
      <c r="G5416">
        <v>-1.4801E-2</v>
      </c>
    </row>
    <row r="5417" spans="1:7">
      <c r="A5417" t="s">
        <v>144</v>
      </c>
      <c r="B5417">
        <v>85</v>
      </c>
      <c r="C5417">
        <v>13</v>
      </c>
      <c r="D5417">
        <v>0.90267600000000003</v>
      </c>
      <c r="E5417">
        <v>-0.73122299999999996</v>
      </c>
      <c r="F5417">
        <v>-1</v>
      </c>
      <c r="G5417">
        <v>-0.73122299999999996</v>
      </c>
    </row>
    <row r="5418" spans="1:7">
      <c r="A5418" t="s">
        <v>144</v>
      </c>
      <c r="B5418">
        <v>85</v>
      </c>
      <c r="C5418">
        <v>14</v>
      </c>
      <c r="D5418">
        <v>0.90267600000000003</v>
      </c>
      <c r="E5418">
        <v>-4.5469999999999998E-3</v>
      </c>
      <c r="F5418">
        <v>-1</v>
      </c>
      <c r="G5418">
        <v>-4.5469999999999998E-3</v>
      </c>
    </row>
    <row r="5419" spans="1:7">
      <c r="A5419" t="s">
        <v>144</v>
      </c>
      <c r="B5419">
        <v>85</v>
      </c>
      <c r="C5419">
        <v>15</v>
      </c>
      <c r="D5419">
        <v>0.90267600000000003</v>
      </c>
      <c r="E5419">
        <v>0.83681799999999995</v>
      </c>
      <c r="F5419">
        <v>-1</v>
      </c>
      <c r="G5419">
        <v>0.83681799999999995</v>
      </c>
    </row>
    <row r="5420" spans="1:7">
      <c r="A5420" t="s">
        <v>144</v>
      </c>
      <c r="B5420">
        <v>85</v>
      </c>
      <c r="C5420">
        <v>16</v>
      </c>
      <c r="D5420">
        <v>0.90267600000000003</v>
      </c>
      <c r="E5420">
        <v>0.15118899999999999</v>
      </c>
      <c r="F5420">
        <v>-1</v>
      </c>
      <c r="G5420">
        <v>0.15118899999999999</v>
      </c>
    </row>
    <row r="5421" spans="1:7">
      <c r="A5421" t="s">
        <v>144</v>
      </c>
      <c r="B5421">
        <v>85</v>
      </c>
      <c r="C5421">
        <v>17</v>
      </c>
      <c r="D5421">
        <v>0.90267600000000003</v>
      </c>
      <c r="E5421">
        <v>-0.65047200000000005</v>
      </c>
      <c r="F5421">
        <v>-1</v>
      </c>
      <c r="G5421">
        <v>-0.65047200000000005</v>
      </c>
    </row>
    <row r="5422" spans="1:7">
      <c r="A5422" t="s">
        <v>144</v>
      </c>
      <c r="B5422">
        <v>85</v>
      </c>
      <c r="C5422">
        <v>18</v>
      </c>
      <c r="D5422">
        <v>0.90267600000000003</v>
      </c>
      <c r="E5422">
        <v>-0.45692300000000002</v>
      </c>
      <c r="F5422">
        <v>-1</v>
      </c>
      <c r="G5422">
        <v>-0.45692300000000002</v>
      </c>
    </row>
    <row r="5423" spans="1:7">
      <c r="A5423" t="s">
        <v>144</v>
      </c>
      <c r="B5423">
        <v>85</v>
      </c>
      <c r="C5423">
        <v>19</v>
      </c>
      <c r="D5423">
        <v>0.90267600000000003</v>
      </c>
      <c r="E5423">
        <v>9.8514000000000004E-2</v>
      </c>
      <c r="F5423">
        <v>-1</v>
      </c>
      <c r="G5423">
        <v>9.8514000000000004E-2</v>
      </c>
    </row>
    <row r="5424" spans="1:7">
      <c r="A5424" t="s">
        <v>144</v>
      </c>
      <c r="B5424">
        <v>85</v>
      </c>
      <c r="C5424">
        <v>20</v>
      </c>
      <c r="D5424">
        <v>0.90267600000000003</v>
      </c>
      <c r="E5424">
        <v>-0.42375000000000002</v>
      </c>
      <c r="F5424">
        <v>-1</v>
      </c>
      <c r="G5424">
        <v>-0.42375000000000002</v>
      </c>
    </row>
    <row r="5425" spans="1:7">
      <c r="A5425" t="s">
        <v>144</v>
      </c>
      <c r="B5425">
        <v>85</v>
      </c>
      <c r="C5425">
        <v>21</v>
      </c>
      <c r="D5425">
        <v>0.90267600000000003</v>
      </c>
      <c r="E5425">
        <v>0.184973</v>
      </c>
      <c r="F5425">
        <v>-1</v>
      </c>
      <c r="G5425">
        <v>0.184973</v>
      </c>
    </row>
    <row r="5426" spans="1:7">
      <c r="A5426" t="s">
        <v>144</v>
      </c>
      <c r="B5426">
        <v>85</v>
      </c>
      <c r="C5426">
        <v>22</v>
      </c>
      <c r="D5426">
        <v>0.90267600000000003</v>
      </c>
      <c r="E5426">
        <v>-0.45567200000000002</v>
      </c>
      <c r="F5426">
        <v>-1</v>
      </c>
      <c r="G5426">
        <v>-0.45567200000000002</v>
      </c>
    </row>
    <row r="5427" spans="1:7">
      <c r="A5427" t="s">
        <v>144</v>
      </c>
      <c r="B5427">
        <v>85</v>
      </c>
      <c r="C5427">
        <v>23</v>
      </c>
      <c r="D5427">
        <v>0.90267600000000003</v>
      </c>
      <c r="E5427">
        <v>0.85924900000000004</v>
      </c>
      <c r="F5427">
        <v>-1</v>
      </c>
      <c r="G5427">
        <v>0.85924900000000004</v>
      </c>
    </row>
    <row r="5428" spans="1:7">
      <c r="A5428" t="s">
        <v>144</v>
      </c>
      <c r="B5428">
        <v>85</v>
      </c>
      <c r="C5428">
        <v>24</v>
      </c>
      <c r="D5428">
        <v>0.90267600000000003</v>
      </c>
      <c r="E5428">
        <v>-0.91885099999999997</v>
      </c>
      <c r="F5428">
        <v>0.63310599999999995</v>
      </c>
      <c r="G5428">
        <v>-0.76780899999999996</v>
      </c>
    </row>
    <row r="5429" spans="1:7">
      <c r="A5429" t="s">
        <v>144</v>
      </c>
      <c r="B5429">
        <v>85</v>
      </c>
      <c r="C5429">
        <v>25</v>
      </c>
      <c r="D5429">
        <v>0.90267600000000003</v>
      </c>
      <c r="E5429">
        <v>0.80779400000000001</v>
      </c>
      <c r="F5429">
        <v>0.72457000000000005</v>
      </c>
      <c r="G5429">
        <v>0.79969500000000004</v>
      </c>
    </row>
    <row r="5430" spans="1:7">
      <c r="A5430" t="s">
        <v>144</v>
      </c>
      <c r="B5430">
        <v>85</v>
      </c>
      <c r="C5430">
        <v>26</v>
      </c>
      <c r="D5430">
        <v>0.90267600000000003</v>
      </c>
      <c r="E5430">
        <v>-0.51606799999999997</v>
      </c>
      <c r="F5430">
        <v>8.5971000000000006E-2</v>
      </c>
      <c r="G5430">
        <v>-0.45747500000000002</v>
      </c>
    </row>
    <row r="5431" spans="1:7">
      <c r="A5431" t="s">
        <v>144</v>
      </c>
      <c r="B5431">
        <v>85</v>
      </c>
      <c r="C5431">
        <v>27</v>
      </c>
      <c r="D5431">
        <v>0.90267600000000003</v>
      </c>
      <c r="E5431">
        <v>7.5899999999999995E-2</v>
      </c>
      <c r="F5431">
        <v>0.37394300000000003</v>
      </c>
      <c r="G5431">
        <v>0.104906</v>
      </c>
    </row>
    <row r="5432" spans="1:7">
      <c r="A5432" t="s">
        <v>144</v>
      </c>
      <c r="B5432">
        <v>85</v>
      </c>
      <c r="C5432">
        <v>28</v>
      </c>
      <c r="D5432">
        <v>0.90267600000000003</v>
      </c>
      <c r="E5432">
        <v>0.13223699999999999</v>
      </c>
      <c r="F5432">
        <v>4.0889999999999998E-3</v>
      </c>
      <c r="G5432">
        <v>0.119765</v>
      </c>
    </row>
    <row r="5433" spans="1:7">
      <c r="A5433" t="s">
        <v>144</v>
      </c>
      <c r="B5433">
        <v>85</v>
      </c>
      <c r="C5433">
        <v>29</v>
      </c>
      <c r="D5433">
        <v>0.90267600000000003</v>
      </c>
      <c r="E5433">
        <v>-0.92568700000000004</v>
      </c>
      <c r="F5433">
        <v>-0.52543700000000004</v>
      </c>
      <c r="G5433">
        <v>-0.88673400000000002</v>
      </c>
    </row>
    <row r="5434" spans="1:7">
      <c r="A5434" t="s">
        <v>144</v>
      </c>
      <c r="B5434">
        <v>85</v>
      </c>
      <c r="C5434">
        <v>30</v>
      </c>
      <c r="D5434">
        <v>0.90267600000000003</v>
      </c>
      <c r="E5434">
        <v>0.80666499999999997</v>
      </c>
      <c r="F5434">
        <v>0.40311900000000001</v>
      </c>
      <c r="G5434">
        <v>0.76739100000000005</v>
      </c>
    </row>
    <row r="5435" spans="1:7">
      <c r="A5435" t="s">
        <v>144</v>
      </c>
      <c r="B5435">
        <v>85</v>
      </c>
      <c r="C5435">
        <v>31</v>
      </c>
      <c r="D5435">
        <v>0.90267600000000003</v>
      </c>
      <c r="E5435">
        <v>0.83657300000000001</v>
      </c>
      <c r="F5435">
        <v>-0.79003299999999999</v>
      </c>
      <c r="G5435">
        <v>0.67826600000000004</v>
      </c>
    </row>
    <row r="5436" spans="1:7">
      <c r="A5436" t="s">
        <v>144</v>
      </c>
      <c r="B5436">
        <v>85</v>
      </c>
      <c r="C5436">
        <v>32</v>
      </c>
      <c r="D5436">
        <v>0.90267600000000003</v>
      </c>
      <c r="E5436">
        <v>-0.98846400000000001</v>
      </c>
      <c r="F5436">
        <v>-1.0102E-2</v>
      </c>
      <c r="G5436">
        <v>-0.89324599999999998</v>
      </c>
    </row>
    <row r="5437" spans="1:7">
      <c r="A5437" t="s">
        <v>144</v>
      </c>
      <c r="B5437">
        <v>85</v>
      </c>
      <c r="C5437">
        <v>33</v>
      </c>
      <c r="D5437">
        <v>0.90267600000000003</v>
      </c>
      <c r="E5437">
        <v>-5.4871999999999997E-2</v>
      </c>
      <c r="F5437">
        <v>0.75933099999999998</v>
      </c>
      <c r="G5437">
        <v>2.4368999999999998E-2</v>
      </c>
    </row>
    <row r="5438" spans="1:7">
      <c r="A5438" t="s">
        <v>144</v>
      </c>
      <c r="B5438">
        <v>85</v>
      </c>
      <c r="C5438">
        <v>34</v>
      </c>
      <c r="D5438">
        <v>0.90267600000000003</v>
      </c>
      <c r="E5438">
        <v>0.73158999999999996</v>
      </c>
      <c r="F5438">
        <v>0.57957700000000001</v>
      </c>
      <c r="G5438">
        <v>0.71679499999999996</v>
      </c>
    </row>
    <row r="5439" spans="1:7">
      <c r="A5439" t="s">
        <v>144</v>
      </c>
      <c r="B5439">
        <v>85</v>
      </c>
      <c r="C5439">
        <v>35</v>
      </c>
      <c r="D5439">
        <v>0.90267600000000003</v>
      </c>
      <c r="E5439">
        <v>-0.59837600000000002</v>
      </c>
      <c r="F5439">
        <v>-9.9612000000000006E-2</v>
      </c>
      <c r="G5439">
        <v>-0.54983499999999996</v>
      </c>
    </row>
    <row r="5440" spans="1:7">
      <c r="A5440" t="s">
        <v>144</v>
      </c>
      <c r="B5440">
        <v>85</v>
      </c>
      <c r="C5440">
        <v>36</v>
      </c>
      <c r="D5440">
        <v>0.90267600000000003</v>
      </c>
      <c r="E5440">
        <v>-0.98544299999999996</v>
      </c>
      <c r="F5440">
        <v>-0.992676</v>
      </c>
      <c r="G5440">
        <v>-0.986147</v>
      </c>
    </row>
    <row r="5441" spans="1:7">
      <c r="A5441" t="s">
        <v>144</v>
      </c>
      <c r="B5441">
        <v>85</v>
      </c>
      <c r="C5441">
        <v>37</v>
      </c>
      <c r="D5441">
        <v>0.90267600000000003</v>
      </c>
      <c r="E5441">
        <v>0.121921</v>
      </c>
      <c r="F5441">
        <v>-0.69542499999999996</v>
      </c>
      <c r="G5441">
        <v>4.2374000000000002E-2</v>
      </c>
    </row>
    <row r="5442" spans="1:7">
      <c r="A5442" t="s">
        <v>144</v>
      </c>
      <c r="B5442">
        <v>85</v>
      </c>
      <c r="C5442">
        <v>38</v>
      </c>
      <c r="D5442">
        <v>0.90267600000000003</v>
      </c>
      <c r="E5442">
        <v>-0.63744000000000001</v>
      </c>
      <c r="F5442">
        <v>-0.79586199999999996</v>
      </c>
      <c r="G5442">
        <v>-0.65285800000000005</v>
      </c>
    </row>
    <row r="5443" spans="1:7">
      <c r="A5443" t="s">
        <v>144</v>
      </c>
      <c r="B5443">
        <v>85</v>
      </c>
      <c r="C5443">
        <v>39</v>
      </c>
      <c r="D5443">
        <v>0.90267600000000003</v>
      </c>
      <c r="E5443">
        <v>-0.55113400000000001</v>
      </c>
      <c r="F5443">
        <v>-0.74730700000000005</v>
      </c>
      <c r="G5443">
        <v>-0.57022600000000001</v>
      </c>
    </row>
    <row r="5444" spans="1:7">
      <c r="A5444" t="s">
        <v>144</v>
      </c>
      <c r="B5444">
        <v>85</v>
      </c>
      <c r="C5444">
        <v>40</v>
      </c>
      <c r="D5444">
        <v>0.90267600000000003</v>
      </c>
      <c r="E5444">
        <v>-0.46394200000000002</v>
      </c>
      <c r="F5444">
        <v>0.33539799999999997</v>
      </c>
      <c r="G5444">
        <v>-0.38614799999999999</v>
      </c>
    </row>
    <row r="5445" spans="1:7">
      <c r="A5445" t="s">
        <v>144</v>
      </c>
      <c r="B5445">
        <v>85</v>
      </c>
      <c r="C5445">
        <v>41</v>
      </c>
      <c r="D5445">
        <v>0.90267600000000003</v>
      </c>
      <c r="E5445">
        <v>0.88943099999999997</v>
      </c>
      <c r="F5445">
        <v>0.23191000000000001</v>
      </c>
      <c r="G5445">
        <v>0.82543900000000003</v>
      </c>
    </row>
    <row r="5446" spans="1:7">
      <c r="A5446" t="s">
        <v>144</v>
      </c>
      <c r="B5446">
        <v>85</v>
      </c>
      <c r="C5446">
        <v>42</v>
      </c>
      <c r="D5446">
        <v>0.90267600000000003</v>
      </c>
      <c r="E5446">
        <v>-0.64537500000000003</v>
      </c>
      <c r="F5446">
        <v>-0.143651</v>
      </c>
      <c r="G5446">
        <v>-0.59654499999999999</v>
      </c>
    </row>
    <row r="5447" spans="1:7">
      <c r="A5447" t="s">
        <v>144</v>
      </c>
      <c r="B5447">
        <v>85</v>
      </c>
      <c r="C5447">
        <v>43</v>
      </c>
      <c r="D5447">
        <v>0.90267600000000003</v>
      </c>
      <c r="E5447">
        <v>-0.10544100000000001</v>
      </c>
      <c r="F5447">
        <v>-0.62886399999999998</v>
      </c>
      <c r="G5447">
        <v>-0.15638299999999999</v>
      </c>
    </row>
    <row r="5448" spans="1:7">
      <c r="A5448" t="s">
        <v>144</v>
      </c>
      <c r="B5448">
        <v>85</v>
      </c>
      <c r="C5448">
        <v>44</v>
      </c>
      <c r="D5448">
        <v>0.90267600000000003</v>
      </c>
      <c r="E5448">
        <v>2.2279999999999999E-3</v>
      </c>
      <c r="F5448">
        <v>0.73366500000000001</v>
      </c>
      <c r="G5448">
        <v>7.3413999999999993E-2</v>
      </c>
    </row>
    <row r="5449" spans="1:7">
      <c r="A5449" t="s">
        <v>144</v>
      </c>
      <c r="B5449">
        <v>85</v>
      </c>
      <c r="C5449">
        <v>45</v>
      </c>
      <c r="D5449">
        <v>0.90267600000000003</v>
      </c>
      <c r="E5449">
        <v>0.50678999999999996</v>
      </c>
      <c r="F5449">
        <v>-0.32184800000000002</v>
      </c>
      <c r="G5449">
        <v>0.42614400000000002</v>
      </c>
    </row>
    <row r="5450" spans="1:7">
      <c r="A5450" t="s">
        <v>144</v>
      </c>
      <c r="B5450">
        <v>85</v>
      </c>
      <c r="C5450">
        <v>46</v>
      </c>
      <c r="D5450">
        <v>0.90267600000000003</v>
      </c>
      <c r="E5450">
        <v>-0.60808099999999998</v>
      </c>
      <c r="F5450">
        <v>-0.45802199999999998</v>
      </c>
      <c r="G5450">
        <v>-0.59347700000000003</v>
      </c>
    </row>
    <row r="5451" spans="1:7">
      <c r="A5451" t="s">
        <v>144</v>
      </c>
      <c r="B5451">
        <v>85</v>
      </c>
      <c r="C5451">
        <v>47</v>
      </c>
      <c r="D5451">
        <v>0.90267600000000003</v>
      </c>
      <c r="E5451">
        <v>-0.506027</v>
      </c>
      <c r="F5451">
        <v>-0.57972999999999997</v>
      </c>
      <c r="G5451">
        <v>-0.51319999999999999</v>
      </c>
    </row>
    <row r="5452" spans="1:7">
      <c r="A5452" t="s">
        <v>144</v>
      </c>
      <c r="B5452">
        <v>85</v>
      </c>
      <c r="C5452">
        <v>48</v>
      </c>
      <c r="D5452">
        <v>0.90267600000000003</v>
      </c>
      <c r="E5452">
        <v>-0.93554499999999996</v>
      </c>
      <c r="F5452">
        <v>-0.58885500000000002</v>
      </c>
      <c r="G5452">
        <v>-0.90180400000000005</v>
      </c>
    </row>
    <row r="5453" spans="1:7">
      <c r="A5453" t="s">
        <v>144</v>
      </c>
      <c r="B5453">
        <v>85</v>
      </c>
      <c r="C5453">
        <v>49</v>
      </c>
      <c r="D5453">
        <v>0.90267600000000003</v>
      </c>
      <c r="E5453">
        <v>-0.18607099999999999</v>
      </c>
      <c r="F5453">
        <v>0.52385000000000004</v>
      </c>
      <c r="G5453">
        <v>-0.116979</v>
      </c>
    </row>
    <row r="5454" spans="1:7">
      <c r="A5454" t="s">
        <v>144</v>
      </c>
      <c r="B5454" t="s">
        <v>145</v>
      </c>
      <c r="C5454">
        <v>86</v>
      </c>
    </row>
    <row r="5455" spans="1:7">
      <c r="A5455" t="s">
        <v>144</v>
      </c>
      <c r="B5455" t="s">
        <v>146</v>
      </c>
      <c r="C5455">
        <v>95</v>
      </c>
    </row>
    <row r="5456" spans="1:7">
      <c r="A5456" t="s">
        <v>144</v>
      </c>
      <c r="B5456" t="s">
        <v>147</v>
      </c>
      <c r="C5456">
        <v>95</v>
      </c>
    </row>
    <row r="5457" spans="1:7">
      <c r="A5457" t="s">
        <v>144</v>
      </c>
      <c r="B5457" t="s">
        <v>148</v>
      </c>
      <c r="C5457">
        <v>0.71550599999999998</v>
      </c>
    </row>
    <row r="5458" spans="1:7">
      <c r="A5458" t="s">
        <v>144</v>
      </c>
      <c r="B5458" t="s">
        <v>149</v>
      </c>
      <c r="C5458">
        <v>0.71550599999999998</v>
      </c>
    </row>
    <row r="5459" spans="1:7">
      <c r="A5459" t="s">
        <v>144</v>
      </c>
      <c r="B5459" t="s">
        <v>150</v>
      </c>
      <c r="C5459">
        <v>-1</v>
      </c>
    </row>
    <row r="5460" spans="1:7">
      <c r="A5460" t="s">
        <v>144</v>
      </c>
      <c r="B5460" t="s">
        <v>151</v>
      </c>
      <c r="C5460">
        <v>-1</v>
      </c>
    </row>
    <row r="5461" spans="1:7">
      <c r="A5461" t="s">
        <v>144</v>
      </c>
      <c r="B5461" t="s">
        <v>152</v>
      </c>
      <c r="C5461">
        <v>42</v>
      </c>
    </row>
    <row r="5462" spans="1:7">
      <c r="A5462" t="s">
        <v>144</v>
      </c>
      <c r="B5462" t="s">
        <v>153</v>
      </c>
      <c r="C5462">
        <v>42</v>
      </c>
    </row>
    <row r="5463" spans="1:7">
      <c r="A5463" t="s">
        <v>144</v>
      </c>
      <c r="B5463" t="s">
        <v>154</v>
      </c>
      <c r="C5463">
        <v>0</v>
      </c>
    </row>
    <row r="5464" spans="1:7">
      <c r="A5464" t="s">
        <v>144</v>
      </c>
      <c r="B5464" t="s">
        <v>155</v>
      </c>
    </row>
    <row r="5465" spans="1:7">
      <c r="A5465" t="s">
        <v>144</v>
      </c>
      <c r="B5465" t="s">
        <v>150</v>
      </c>
      <c r="C5465">
        <v>0.11600100000000001</v>
      </c>
    </row>
    <row r="5466" spans="1:7">
      <c r="A5466" t="s">
        <v>144</v>
      </c>
      <c r="B5466" t="s">
        <v>151</v>
      </c>
      <c r="C5466">
        <v>0.11600100000000001</v>
      </c>
    </row>
    <row r="5467" spans="1:7">
      <c r="A5467" t="s">
        <v>144</v>
      </c>
      <c r="B5467" t="s">
        <v>156</v>
      </c>
      <c r="C5467" t="s">
        <v>157</v>
      </c>
      <c r="D5467" t="s">
        <v>63</v>
      </c>
      <c r="E5467" t="s">
        <v>158</v>
      </c>
      <c r="F5467" t="s">
        <v>159</v>
      </c>
      <c r="G5467" t="s">
        <v>160</v>
      </c>
    </row>
    <row r="5468" spans="1:7">
      <c r="A5468" t="s">
        <v>144</v>
      </c>
      <c r="B5468">
        <v>86</v>
      </c>
      <c r="C5468">
        <v>0</v>
      </c>
      <c r="D5468">
        <v>0.11600100000000001</v>
      </c>
      <c r="E5468">
        <v>0.72530300000000003</v>
      </c>
      <c r="F5468">
        <v>-1</v>
      </c>
      <c r="G5468">
        <v>0.72530300000000003</v>
      </c>
    </row>
    <row r="5469" spans="1:7">
      <c r="A5469" t="s">
        <v>144</v>
      </c>
      <c r="B5469">
        <v>86</v>
      </c>
      <c r="C5469">
        <v>1</v>
      </c>
      <c r="D5469">
        <v>0.11600100000000001</v>
      </c>
      <c r="E5469">
        <v>0.742363</v>
      </c>
      <c r="F5469">
        <v>-1</v>
      </c>
      <c r="G5469">
        <v>0.742363</v>
      </c>
    </row>
    <row r="5470" spans="1:7">
      <c r="A5470" t="s">
        <v>144</v>
      </c>
      <c r="B5470">
        <v>86</v>
      </c>
      <c r="C5470">
        <v>2</v>
      </c>
      <c r="D5470">
        <v>0.11600100000000001</v>
      </c>
      <c r="E5470">
        <v>0.17902199999999999</v>
      </c>
      <c r="F5470">
        <v>-1</v>
      </c>
      <c r="G5470">
        <v>0.17902199999999999</v>
      </c>
    </row>
    <row r="5471" spans="1:7">
      <c r="A5471" t="s">
        <v>144</v>
      </c>
      <c r="B5471">
        <v>86</v>
      </c>
      <c r="C5471">
        <v>3</v>
      </c>
      <c r="D5471">
        <v>0.11600100000000001</v>
      </c>
      <c r="E5471">
        <v>0.78624799999999995</v>
      </c>
      <c r="F5471">
        <v>-1</v>
      </c>
      <c r="G5471">
        <v>0.78624799999999995</v>
      </c>
    </row>
    <row r="5472" spans="1:7">
      <c r="A5472" t="s">
        <v>144</v>
      </c>
      <c r="B5472">
        <v>86</v>
      </c>
      <c r="C5472">
        <v>4</v>
      </c>
      <c r="D5472">
        <v>0.11600100000000001</v>
      </c>
      <c r="E5472">
        <v>-0.50666800000000001</v>
      </c>
      <c r="F5472">
        <v>-1</v>
      </c>
      <c r="G5472">
        <v>-0.50666800000000001</v>
      </c>
    </row>
    <row r="5473" spans="1:7">
      <c r="A5473" t="s">
        <v>144</v>
      </c>
      <c r="B5473">
        <v>86</v>
      </c>
      <c r="C5473">
        <v>5</v>
      </c>
      <c r="D5473">
        <v>0.11600100000000001</v>
      </c>
      <c r="E5473">
        <v>-0.73229200000000005</v>
      </c>
      <c r="F5473">
        <v>-1</v>
      </c>
      <c r="G5473">
        <v>-0.73229200000000005</v>
      </c>
    </row>
    <row r="5474" spans="1:7">
      <c r="A5474" t="s">
        <v>144</v>
      </c>
      <c r="B5474">
        <v>86</v>
      </c>
      <c r="C5474">
        <v>6</v>
      </c>
      <c r="D5474">
        <v>0.11600100000000001</v>
      </c>
      <c r="E5474">
        <v>0.41123700000000002</v>
      </c>
      <c r="F5474">
        <v>-1</v>
      </c>
      <c r="G5474">
        <v>0.41123700000000002</v>
      </c>
    </row>
    <row r="5475" spans="1:7">
      <c r="A5475" t="s">
        <v>144</v>
      </c>
      <c r="B5475">
        <v>86</v>
      </c>
      <c r="C5475">
        <v>7</v>
      </c>
      <c r="D5475">
        <v>0.11600100000000001</v>
      </c>
      <c r="E5475">
        <v>0.111972</v>
      </c>
      <c r="F5475">
        <v>-1</v>
      </c>
      <c r="G5475">
        <v>0.111972</v>
      </c>
    </row>
    <row r="5476" spans="1:7">
      <c r="A5476" t="s">
        <v>144</v>
      </c>
      <c r="B5476">
        <v>86</v>
      </c>
      <c r="C5476">
        <v>8</v>
      </c>
      <c r="D5476">
        <v>0.11600100000000001</v>
      </c>
      <c r="E5476">
        <v>-0.51313799999999998</v>
      </c>
      <c r="F5476">
        <v>-1</v>
      </c>
      <c r="G5476">
        <v>-0.51313799999999998</v>
      </c>
    </row>
    <row r="5477" spans="1:7">
      <c r="A5477" t="s">
        <v>144</v>
      </c>
      <c r="B5477">
        <v>86</v>
      </c>
      <c r="C5477">
        <v>9</v>
      </c>
      <c r="D5477">
        <v>0.11600100000000001</v>
      </c>
      <c r="E5477">
        <v>-4.0711999999999998E-2</v>
      </c>
      <c r="F5477">
        <v>-1</v>
      </c>
      <c r="G5477">
        <v>-4.0711999999999998E-2</v>
      </c>
    </row>
    <row r="5478" spans="1:7">
      <c r="A5478" t="s">
        <v>144</v>
      </c>
      <c r="B5478">
        <v>86</v>
      </c>
      <c r="C5478">
        <v>10</v>
      </c>
      <c r="D5478">
        <v>0.11600100000000001</v>
      </c>
      <c r="E5478">
        <v>-0.64067499999999999</v>
      </c>
      <c r="F5478">
        <v>-1</v>
      </c>
      <c r="G5478">
        <v>-0.64067499999999999</v>
      </c>
    </row>
    <row r="5479" spans="1:7">
      <c r="A5479" t="s">
        <v>144</v>
      </c>
      <c r="B5479">
        <v>86</v>
      </c>
      <c r="C5479">
        <v>11</v>
      </c>
      <c r="D5479">
        <v>0.11600100000000001</v>
      </c>
      <c r="E5479">
        <v>-8.3589999999999998E-2</v>
      </c>
      <c r="F5479">
        <v>-1</v>
      </c>
      <c r="G5479">
        <v>-8.3589999999999998E-2</v>
      </c>
    </row>
    <row r="5480" spans="1:7">
      <c r="A5480" t="s">
        <v>144</v>
      </c>
      <c r="B5480">
        <v>86</v>
      </c>
      <c r="C5480">
        <v>12</v>
      </c>
      <c r="D5480">
        <v>0.11600100000000001</v>
      </c>
      <c r="E5480">
        <v>0.87267700000000004</v>
      </c>
      <c r="F5480">
        <v>-1</v>
      </c>
      <c r="G5480">
        <v>0.87267700000000004</v>
      </c>
    </row>
    <row r="5481" spans="1:7">
      <c r="A5481" t="s">
        <v>144</v>
      </c>
      <c r="B5481">
        <v>86</v>
      </c>
      <c r="C5481">
        <v>13</v>
      </c>
      <c r="D5481">
        <v>0.11600100000000001</v>
      </c>
      <c r="E5481">
        <v>-0.88882099999999997</v>
      </c>
      <c r="F5481">
        <v>-1</v>
      </c>
      <c r="G5481">
        <v>-0.88882099999999997</v>
      </c>
    </row>
    <row r="5482" spans="1:7">
      <c r="A5482" t="s">
        <v>144</v>
      </c>
      <c r="B5482">
        <v>86</v>
      </c>
      <c r="C5482">
        <v>14</v>
      </c>
      <c r="D5482">
        <v>0.11600100000000001</v>
      </c>
      <c r="E5482">
        <v>0.48933399999999999</v>
      </c>
      <c r="F5482">
        <v>-1</v>
      </c>
      <c r="G5482">
        <v>0.48933399999999999</v>
      </c>
    </row>
    <row r="5483" spans="1:7">
      <c r="A5483" t="s">
        <v>144</v>
      </c>
      <c r="B5483">
        <v>86</v>
      </c>
      <c r="C5483">
        <v>15</v>
      </c>
      <c r="D5483">
        <v>0.11600100000000001</v>
      </c>
      <c r="E5483">
        <v>0.99493399999999999</v>
      </c>
      <c r="F5483">
        <v>-1</v>
      </c>
      <c r="G5483">
        <v>0.99493399999999999</v>
      </c>
    </row>
    <row r="5484" spans="1:7">
      <c r="A5484" t="s">
        <v>144</v>
      </c>
      <c r="B5484">
        <v>86</v>
      </c>
      <c r="C5484">
        <v>16</v>
      </c>
      <c r="D5484">
        <v>0.11600100000000001</v>
      </c>
      <c r="E5484">
        <v>0.487564</v>
      </c>
      <c r="F5484">
        <v>-1</v>
      </c>
      <c r="G5484">
        <v>0.487564</v>
      </c>
    </row>
    <row r="5485" spans="1:7">
      <c r="A5485" t="s">
        <v>144</v>
      </c>
      <c r="B5485">
        <v>86</v>
      </c>
      <c r="C5485">
        <v>17</v>
      </c>
      <c r="D5485">
        <v>0.11600100000000001</v>
      </c>
      <c r="E5485">
        <v>-0.71831400000000001</v>
      </c>
      <c r="F5485">
        <v>-1</v>
      </c>
      <c r="G5485">
        <v>-0.71831400000000001</v>
      </c>
    </row>
    <row r="5486" spans="1:7">
      <c r="A5486" t="s">
        <v>144</v>
      </c>
      <c r="B5486">
        <v>86</v>
      </c>
      <c r="C5486">
        <v>18</v>
      </c>
      <c r="D5486">
        <v>0.11600100000000001</v>
      </c>
      <c r="E5486">
        <v>0.81673600000000002</v>
      </c>
      <c r="F5486">
        <v>-1</v>
      </c>
      <c r="G5486">
        <v>0.81673600000000002</v>
      </c>
    </row>
    <row r="5487" spans="1:7">
      <c r="A5487" t="s">
        <v>144</v>
      </c>
      <c r="B5487">
        <v>86</v>
      </c>
      <c r="C5487">
        <v>19</v>
      </c>
      <c r="D5487">
        <v>0.11600100000000001</v>
      </c>
      <c r="E5487">
        <v>0.52662699999999996</v>
      </c>
      <c r="F5487">
        <v>-1</v>
      </c>
      <c r="G5487">
        <v>0.52662699999999996</v>
      </c>
    </row>
    <row r="5488" spans="1:7">
      <c r="A5488" t="s">
        <v>144</v>
      </c>
      <c r="B5488">
        <v>86</v>
      </c>
      <c r="C5488">
        <v>20</v>
      </c>
      <c r="D5488">
        <v>0.11600100000000001</v>
      </c>
      <c r="E5488">
        <v>-0.99182099999999995</v>
      </c>
      <c r="F5488">
        <v>-1</v>
      </c>
      <c r="G5488">
        <v>-0.99182099999999995</v>
      </c>
    </row>
    <row r="5489" spans="1:7">
      <c r="A5489" t="s">
        <v>144</v>
      </c>
      <c r="B5489">
        <v>86</v>
      </c>
      <c r="C5489">
        <v>21</v>
      </c>
      <c r="D5489">
        <v>0.11600100000000001</v>
      </c>
      <c r="E5489">
        <v>0.80520000000000003</v>
      </c>
      <c r="F5489">
        <v>-1</v>
      </c>
      <c r="G5489">
        <v>0.80520000000000003</v>
      </c>
    </row>
    <row r="5490" spans="1:7">
      <c r="A5490" t="s">
        <v>144</v>
      </c>
      <c r="B5490">
        <v>86</v>
      </c>
      <c r="C5490">
        <v>22</v>
      </c>
      <c r="D5490">
        <v>0.11600100000000001</v>
      </c>
      <c r="E5490">
        <v>-0.23929600000000001</v>
      </c>
      <c r="F5490">
        <v>-1</v>
      </c>
      <c r="G5490">
        <v>-0.23929600000000001</v>
      </c>
    </row>
    <row r="5491" spans="1:7">
      <c r="A5491" t="s">
        <v>144</v>
      </c>
      <c r="B5491">
        <v>86</v>
      </c>
      <c r="C5491">
        <v>23</v>
      </c>
      <c r="D5491">
        <v>0.11600100000000001</v>
      </c>
      <c r="E5491">
        <v>-0.42201</v>
      </c>
      <c r="F5491">
        <v>-1</v>
      </c>
      <c r="G5491">
        <v>-0.42201</v>
      </c>
    </row>
    <row r="5492" spans="1:7">
      <c r="A5492" t="s">
        <v>144</v>
      </c>
      <c r="B5492">
        <v>86</v>
      </c>
      <c r="C5492">
        <v>24</v>
      </c>
      <c r="D5492">
        <v>0.11600100000000001</v>
      </c>
      <c r="E5492">
        <v>-0.83300300000000005</v>
      </c>
      <c r="F5492">
        <v>-1</v>
      </c>
      <c r="G5492">
        <v>-0.83300300000000005</v>
      </c>
    </row>
    <row r="5493" spans="1:7">
      <c r="A5493" t="s">
        <v>144</v>
      </c>
      <c r="B5493">
        <v>86</v>
      </c>
      <c r="C5493">
        <v>25</v>
      </c>
      <c r="D5493">
        <v>0.11600100000000001</v>
      </c>
      <c r="E5493">
        <v>-0.99786399999999997</v>
      </c>
      <c r="F5493">
        <v>-1</v>
      </c>
      <c r="G5493">
        <v>-0.99786399999999997</v>
      </c>
    </row>
    <row r="5494" spans="1:7">
      <c r="A5494" t="s">
        <v>144</v>
      </c>
      <c r="B5494">
        <v>86</v>
      </c>
      <c r="C5494">
        <v>26</v>
      </c>
      <c r="D5494">
        <v>0.11600100000000001</v>
      </c>
      <c r="E5494">
        <v>-0.77501799999999998</v>
      </c>
      <c r="F5494">
        <v>-1</v>
      </c>
      <c r="G5494">
        <v>-0.77501799999999998</v>
      </c>
    </row>
    <row r="5495" spans="1:7">
      <c r="A5495" t="s">
        <v>144</v>
      </c>
      <c r="B5495">
        <v>86</v>
      </c>
      <c r="C5495">
        <v>27</v>
      </c>
      <c r="D5495">
        <v>0.11600100000000001</v>
      </c>
      <c r="E5495">
        <v>-0.28778999999999999</v>
      </c>
      <c r="F5495">
        <v>-1</v>
      </c>
      <c r="G5495">
        <v>-0.28778999999999999</v>
      </c>
    </row>
    <row r="5496" spans="1:7">
      <c r="A5496" t="s">
        <v>144</v>
      </c>
      <c r="B5496">
        <v>86</v>
      </c>
      <c r="C5496">
        <v>28</v>
      </c>
      <c r="D5496">
        <v>0.11600100000000001</v>
      </c>
      <c r="E5496">
        <v>0.47926299999999999</v>
      </c>
      <c r="F5496">
        <v>-1</v>
      </c>
      <c r="G5496">
        <v>0.47926299999999999</v>
      </c>
    </row>
    <row r="5497" spans="1:7">
      <c r="A5497" t="s">
        <v>144</v>
      </c>
      <c r="B5497">
        <v>86</v>
      </c>
      <c r="C5497">
        <v>29</v>
      </c>
      <c r="D5497">
        <v>0.11600100000000001</v>
      </c>
      <c r="E5497">
        <v>-0.58027899999999999</v>
      </c>
      <c r="F5497">
        <v>-1</v>
      </c>
      <c r="G5497">
        <v>-0.58027899999999999</v>
      </c>
    </row>
    <row r="5498" spans="1:7">
      <c r="A5498" t="s">
        <v>144</v>
      </c>
      <c r="B5498">
        <v>86</v>
      </c>
      <c r="C5498">
        <v>30</v>
      </c>
      <c r="D5498">
        <v>0.11600100000000001</v>
      </c>
      <c r="E5498">
        <v>0.61275100000000005</v>
      </c>
      <c r="F5498">
        <v>-1</v>
      </c>
      <c r="G5498">
        <v>0.61275100000000005</v>
      </c>
    </row>
    <row r="5499" spans="1:7">
      <c r="A5499" t="s">
        <v>144</v>
      </c>
      <c r="B5499">
        <v>86</v>
      </c>
      <c r="C5499">
        <v>31</v>
      </c>
      <c r="D5499">
        <v>0.11600100000000001</v>
      </c>
      <c r="E5499">
        <v>-0.51988299999999998</v>
      </c>
      <c r="F5499">
        <v>-1</v>
      </c>
      <c r="G5499">
        <v>-0.51988299999999998</v>
      </c>
    </row>
    <row r="5500" spans="1:7">
      <c r="A5500" t="s">
        <v>144</v>
      </c>
      <c r="B5500">
        <v>86</v>
      </c>
      <c r="C5500">
        <v>32</v>
      </c>
      <c r="D5500">
        <v>0.11600100000000001</v>
      </c>
      <c r="E5500">
        <v>0.75151800000000002</v>
      </c>
      <c r="F5500">
        <v>-1</v>
      </c>
      <c r="G5500">
        <v>0.75151800000000002</v>
      </c>
    </row>
    <row r="5501" spans="1:7">
      <c r="A5501" t="s">
        <v>144</v>
      </c>
      <c r="B5501">
        <v>86</v>
      </c>
      <c r="C5501">
        <v>33</v>
      </c>
      <c r="D5501">
        <v>0.11600100000000001</v>
      </c>
      <c r="E5501">
        <v>0.26041399999999998</v>
      </c>
      <c r="F5501">
        <v>-1</v>
      </c>
      <c r="G5501">
        <v>0.26041399999999998</v>
      </c>
    </row>
    <row r="5502" spans="1:7">
      <c r="A5502" t="s">
        <v>144</v>
      </c>
      <c r="B5502">
        <v>86</v>
      </c>
      <c r="C5502">
        <v>34</v>
      </c>
      <c r="D5502">
        <v>0.11600100000000001</v>
      </c>
      <c r="E5502">
        <v>7.0800000000000004E-3</v>
      </c>
      <c r="F5502">
        <v>-1</v>
      </c>
      <c r="G5502">
        <v>7.0800000000000004E-3</v>
      </c>
    </row>
    <row r="5503" spans="1:7">
      <c r="A5503" t="s">
        <v>144</v>
      </c>
      <c r="B5503">
        <v>86</v>
      </c>
      <c r="C5503">
        <v>35</v>
      </c>
      <c r="D5503">
        <v>0.11600100000000001</v>
      </c>
      <c r="E5503">
        <v>-0.35410599999999998</v>
      </c>
      <c r="F5503">
        <v>-1</v>
      </c>
      <c r="G5503">
        <v>-0.35410599999999998</v>
      </c>
    </row>
    <row r="5504" spans="1:7">
      <c r="A5504" t="s">
        <v>144</v>
      </c>
      <c r="B5504">
        <v>86</v>
      </c>
      <c r="C5504">
        <v>36</v>
      </c>
      <c r="D5504">
        <v>0.11600100000000001</v>
      </c>
      <c r="E5504">
        <v>-0.280221</v>
      </c>
      <c r="F5504">
        <v>-1</v>
      </c>
      <c r="G5504">
        <v>-0.280221</v>
      </c>
    </row>
    <row r="5505" spans="1:7">
      <c r="A5505" t="s">
        <v>144</v>
      </c>
      <c r="B5505">
        <v>86</v>
      </c>
      <c r="C5505">
        <v>37</v>
      </c>
      <c r="D5505">
        <v>0.11600100000000001</v>
      </c>
      <c r="E5505">
        <v>-0.28348600000000002</v>
      </c>
      <c r="F5505">
        <v>-1</v>
      </c>
      <c r="G5505">
        <v>-0.28348600000000002</v>
      </c>
    </row>
    <row r="5506" spans="1:7">
      <c r="A5506" t="s">
        <v>144</v>
      </c>
      <c r="B5506">
        <v>86</v>
      </c>
      <c r="C5506">
        <v>38</v>
      </c>
      <c r="D5506">
        <v>0.11600100000000001</v>
      </c>
      <c r="E5506">
        <v>0.29755500000000001</v>
      </c>
      <c r="F5506">
        <v>-1</v>
      </c>
      <c r="G5506">
        <v>0.29755500000000001</v>
      </c>
    </row>
    <row r="5507" spans="1:7">
      <c r="A5507" t="s">
        <v>144</v>
      </c>
      <c r="B5507">
        <v>86</v>
      </c>
      <c r="C5507">
        <v>39</v>
      </c>
      <c r="D5507">
        <v>0.11600100000000001</v>
      </c>
      <c r="E5507">
        <v>4.2084999999999997E-2</v>
      </c>
      <c r="F5507">
        <v>-1</v>
      </c>
      <c r="G5507">
        <v>4.2084999999999997E-2</v>
      </c>
    </row>
    <row r="5508" spans="1:7">
      <c r="A5508" t="s">
        <v>144</v>
      </c>
      <c r="B5508">
        <v>86</v>
      </c>
      <c r="C5508">
        <v>40</v>
      </c>
      <c r="D5508">
        <v>0.11600100000000001</v>
      </c>
      <c r="E5508">
        <v>-8.7741E-2</v>
      </c>
      <c r="F5508">
        <v>-1</v>
      </c>
      <c r="G5508">
        <v>-8.7741E-2</v>
      </c>
    </row>
    <row r="5509" spans="1:7">
      <c r="A5509" t="s">
        <v>144</v>
      </c>
      <c r="B5509">
        <v>86</v>
      </c>
      <c r="C5509">
        <v>41</v>
      </c>
      <c r="D5509">
        <v>0.11600100000000001</v>
      </c>
      <c r="E5509">
        <v>-0.67021699999999995</v>
      </c>
      <c r="F5509">
        <v>-1</v>
      </c>
      <c r="G5509">
        <v>-0.67021699999999995</v>
      </c>
    </row>
    <row r="5510" spans="1:7">
      <c r="A5510" t="s">
        <v>144</v>
      </c>
      <c r="B5510">
        <v>86</v>
      </c>
      <c r="C5510">
        <v>42</v>
      </c>
      <c r="D5510">
        <v>0.11600100000000001</v>
      </c>
      <c r="E5510">
        <v>5.3407000000000003E-2</v>
      </c>
      <c r="F5510">
        <v>-0.16888900000000001</v>
      </c>
      <c r="G5510">
        <v>-0.14310300000000001</v>
      </c>
    </row>
    <row r="5511" spans="1:7">
      <c r="A5511" t="s">
        <v>144</v>
      </c>
      <c r="B5511">
        <v>86</v>
      </c>
      <c r="C5511">
        <v>43</v>
      </c>
      <c r="D5511">
        <v>0.11600100000000001</v>
      </c>
      <c r="E5511">
        <v>0.151952</v>
      </c>
      <c r="F5511">
        <v>0.329905</v>
      </c>
      <c r="G5511">
        <v>0.30926199999999998</v>
      </c>
    </row>
    <row r="5512" spans="1:7">
      <c r="A5512" t="s">
        <v>144</v>
      </c>
      <c r="B5512">
        <v>86</v>
      </c>
      <c r="C5512">
        <v>44</v>
      </c>
      <c r="D5512">
        <v>0.11600100000000001</v>
      </c>
      <c r="E5512">
        <v>0.29505300000000001</v>
      </c>
      <c r="F5512">
        <v>0.18243999999999999</v>
      </c>
      <c r="G5512">
        <v>0.19550300000000001</v>
      </c>
    </row>
    <row r="5513" spans="1:7">
      <c r="A5513" t="s">
        <v>144</v>
      </c>
      <c r="B5513">
        <v>86</v>
      </c>
      <c r="C5513">
        <v>45</v>
      </c>
      <c r="D5513">
        <v>0.11600100000000001</v>
      </c>
      <c r="E5513">
        <v>0.58006500000000005</v>
      </c>
      <c r="F5513">
        <v>-0.49027999999999999</v>
      </c>
      <c r="G5513">
        <v>-0.36611900000000003</v>
      </c>
    </row>
    <row r="5514" spans="1:7">
      <c r="A5514" t="s">
        <v>144</v>
      </c>
      <c r="B5514">
        <v>86</v>
      </c>
      <c r="C5514">
        <v>46</v>
      </c>
      <c r="D5514">
        <v>0.11600100000000001</v>
      </c>
      <c r="E5514">
        <v>-0.34296700000000002</v>
      </c>
      <c r="F5514">
        <v>-1.0619999999999999E-2</v>
      </c>
      <c r="G5514">
        <v>-4.9173000000000001E-2</v>
      </c>
    </row>
    <row r="5515" spans="1:7">
      <c r="A5515" t="s">
        <v>144</v>
      </c>
      <c r="B5515">
        <v>86</v>
      </c>
      <c r="C5515">
        <v>47</v>
      </c>
      <c r="D5515">
        <v>0.11600100000000001</v>
      </c>
      <c r="E5515">
        <v>-0.99417100000000003</v>
      </c>
      <c r="F5515">
        <v>0.75948400000000005</v>
      </c>
      <c r="G5515">
        <v>0.55605800000000005</v>
      </c>
    </row>
    <row r="5516" spans="1:7">
      <c r="A5516" t="s">
        <v>144</v>
      </c>
      <c r="B5516">
        <v>86</v>
      </c>
      <c r="C5516">
        <v>48</v>
      </c>
      <c r="D5516">
        <v>0.11600100000000001</v>
      </c>
      <c r="E5516">
        <v>0.95394800000000002</v>
      </c>
      <c r="F5516">
        <v>0.93759000000000003</v>
      </c>
      <c r="G5516">
        <v>0.93948699999999996</v>
      </c>
    </row>
    <row r="5517" spans="1:7">
      <c r="A5517" t="s">
        <v>144</v>
      </c>
      <c r="B5517">
        <v>86</v>
      </c>
      <c r="C5517">
        <v>49</v>
      </c>
      <c r="D5517">
        <v>0.11600100000000001</v>
      </c>
      <c r="E5517">
        <v>0.79961499999999996</v>
      </c>
      <c r="F5517">
        <v>-0.117588</v>
      </c>
      <c r="G5517">
        <v>-1.1191E-2</v>
      </c>
    </row>
    <row r="5518" spans="1:7">
      <c r="A5518" t="s">
        <v>144</v>
      </c>
      <c r="B5518" t="s">
        <v>145</v>
      </c>
      <c r="C5518">
        <v>87</v>
      </c>
    </row>
    <row r="5519" spans="1:7">
      <c r="A5519" t="s">
        <v>144</v>
      </c>
      <c r="B5519" t="s">
        <v>146</v>
      </c>
      <c r="C5519">
        <v>22</v>
      </c>
    </row>
    <row r="5520" spans="1:7">
      <c r="A5520" t="s">
        <v>144</v>
      </c>
      <c r="B5520" t="s">
        <v>147</v>
      </c>
      <c r="C5520">
        <v>22</v>
      </c>
    </row>
    <row r="5521" spans="1:7">
      <c r="A5521" t="s">
        <v>144</v>
      </c>
      <c r="B5521" t="s">
        <v>148</v>
      </c>
      <c r="C5521">
        <v>0.91277799999999998</v>
      </c>
    </row>
    <row r="5522" spans="1:7">
      <c r="A5522" t="s">
        <v>144</v>
      </c>
      <c r="B5522" t="s">
        <v>149</v>
      </c>
      <c r="C5522">
        <v>0.91277799999999998</v>
      </c>
    </row>
    <row r="5523" spans="1:7">
      <c r="A5523" t="s">
        <v>144</v>
      </c>
      <c r="B5523" t="s">
        <v>150</v>
      </c>
      <c r="C5523">
        <v>-1</v>
      </c>
    </row>
    <row r="5524" spans="1:7">
      <c r="A5524" t="s">
        <v>144</v>
      </c>
      <c r="B5524" t="s">
        <v>151</v>
      </c>
      <c r="C5524">
        <v>-1</v>
      </c>
    </row>
    <row r="5525" spans="1:7">
      <c r="A5525" t="s">
        <v>144</v>
      </c>
      <c r="B5525" t="s">
        <v>152</v>
      </c>
      <c r="C5525">
        <v>15</v>
      </c>
    </row>
    <row r="5526" spans="1:7">
      <c r="A5526" t="s">
        <v>144</v>
      </c>
      <c r="B5526" t="s">
        <v>153</v>
      </c>
      <c r="C5526">
        <v>15</v>
      </c>
    </row>
    <row r="5527" spans="1:7">
      <c r="A5527" t="s">
        <v>144</v>
      </c>
      <c r="B5527" t="s">
        <v>154</v>
      </c>
      <c r="C5527">
        <v>0</v>
      </c>
    </row>
    <row r="5528" spans="1:7">
      <c r="A5528" t="s">
        <v>144</v>
      </c>
      <c r="B5528" t="s">
        <v>161</v>
      </c>
    </row>
    <row r="5529" spans="1:7">
      <c r="A5529" t="s">
        <v>144</v>
      </c>
      <c r="B5529">
        <v>87</v>
      </c>
      <c r="C5529">
        <v>0</v>
      </c>
      <c r="D5529">
        <v>-1</v>
      </c>
      <c r="E5529">
        <v>0.562944</v>
      </c>
      <c r="F5529">
        <v>-1</v>
      </c>
      <c r="G5529">
        <v>0.562944</v>
      </c>
    </row>
    <row r="5530" spans="1:7">
      <c r="A5530" t="s">
        <v>144</v>
      </c>
      <c r="B5530">
        <v>87</v>
      </c>
      <c r="C5530">
        <v>1</v>
      </c>
      <c r="D5530">
        <v>-1</v>
      </c>
      <c r="E5530">
        <v>-0.54945500000000003</v>
      </c>
      <c r="F5530">
        <v>-1</v>
      </c>
      <c r="G5530">
        <v>-0.54945500000000003</v>
      </c>
    </row>
    <row r="5531" spans="1:7">
      <c r="A5531" t="s">
        <v>144</v>
      </c>
      <c r="B5531">
        <v>87</v>
      </c>
      <c r="C5531">
        <v>2</v>
      </c>
      <c r="D5531">
        <v>-1</v>
      </c>
      <c r="E5531">
        <v>5.2919000000000001E-2</v>
      </c>
      <c r="F5531">
        <v>-1</v>
      </c>
      <c r="G5531">
        <v>5.2919000000000001E-2</v>
      </c>
    </row>
    <row r="5532" spans="1:7">
      <c r="A5532" t="s">
        <v>144</v>
      </c>
      <c r="B5532">
        <v>87</v>
      </c>
      <c r="C5532">
        <v>3</v>
      </c>
      <c r="D5532">
        <v>-1</v>
      </c>
      <c r="E5532">
        <v>0.89922800000000003</v>
      </c>
      <c r="F5532">
        <v>-1</v>
      </c>
      <c r="G5532">
        <v>0.89922800000000003</v>
      </c>
    </row>
    <row r="5533" spans="1:7">
      <c r="A5533" t="s">
        <v>144</v>
      </c>
      <c r="B5533">
        <v>87</v>
      </c>
      <c r="C5533">
        <v>4</v>
      </c>
      <c r="D5533">
        <v>-1</v>
      </c>
      <c r="E5533">
        <v>0.57460199999999995</v>
      </c>
      <c r="F5533">
        <v>-1</v>
      </c>
      <c r="G5533">
        <v>0.57460199999999995</v>
      </c>
    </row>
    <row r="5534" spans="1:7">
      <c r="A5534" t="s">
        <v>144</v>
      </c>
      <c r="B5534">
        <v>87</v>
      </c>
      <c r="C5534">
        <v>5</v>
      </c>
      <c r="D5534">
        <v>-1</v>
      </c>
      <c r="E5534">
        <v>-0.18543000000000001</v>
      </c>
      <c r="F5534">
        <v>-1</v>
      </c>
      <c r="G5534">
        <v>-0.18543000000000001</v>
      </c>
    </row>
    <row r="5535" spans="1:7">
      <c r="A5535" t="s">
        <v>144</v>
      </c>
      <c r="B5535">
        <v>87</v>
      </c>
      <c r="C5535">
        <v>6</v>
      </c>
      <c r="D5535">
        <v>-1</v>
      </c>
      <c r="E5535">
        <v>-0.51005599999999995</v>
      </c>
      <c r="F5535">
        <v>-1</v>
      </c>
      <c r="G5535">
        <v>-0.51005599999999995</v>
      </c>
    </row>
    <row r="5536" spans="1:7">
      <c r="A5536" t="s">
        <v>144</v>
      </c>
      <c r="B5536">
        <v>87</v>
      </c>
      <c r="C5536">
        <v>7</v>
      </c>
      <c r="D5536">
        <v>-1</v>
      </c>
      <c r="E5536">
        <v>0.191717</v>
      </c>
      <c r="F5536">
        <v>-1</v>
      </c>
      <c r="G5536">
        <v>0.191717</v>
      </c>
    </row>
    <row r="5537" spans="1:7">
      <c r="A5537" t="s">
        <v>144</v>
      </c>
      <c r="B5537">
        <v>87</v>
      </c>
      <c r="C5537">
        <v>8</v>
      </c>
      <c r="D5537">
        <v>-1</v>
      </c>
      <c r="E5537">
        <v>-1.4312999999999999E-2</v>
      </c>
      <c r="F5537">
        <v>-1</v>
      </c>
      <c r="G5537">
        <v>-1.4312999999999999E-2</v>
      </c>
    </row>
    <row r="5538" spans="1:7">
      <c r="A5538" t="s">
        <v>144</v>
      </c>
      <c r="B5538">
        <v>87</v>
      </c>
      <c r="C5538">
        <v>9</v>
      </c>
      <c r="D5538">
        <v>-1</v>
      </c>
      <c r="E5538">
        <v>-0.235847</v>
      </c>
      <c r="F5538">
        <v>-1</v>
      </c>
      <c r="G5538">
        <v>-0.235847</v>
      </c>
    </row>
    <row r="5539" spans="1:7">
      <c r="A5539" t="s">
        <v>144</v>
      </c>
      <c r="B5539">
        <v>87</v>
      </c>
      <c r="C5539">
        <v>10</v>
      </c>
      <c r="D5539">
        <v>-1</v>
      </c>
      <c r="E5539">
        <v>-0.25318200000000002</v>
      </c>
      <c r="F5539">
        <v>-1</v>
      </c>
      <c r="G5539">
        <v>-0.25318200000000002</v>
      </c>
    </row>
    <row r="5540" spans="1:7">
      <c r="A5540" t="s">
        <v>144</v>
      </c>
      <c r="B5540">
        <v>87</v>
      </c>
      <c r="C5540">
        <v>11</v>
      </c>
      <c r="D5540">
        <v>-1</v>
      </c>
      <c r="E5540">
        <v>-0.561083</v>
      </c>
      <c r="F5540">
        <v>-1</v>
      </c>
      <c r="G5540">
        <v>-0.561083</v>
      </c>
    </row>
    <row r="5541" spans="1:7">
      <c r="A5541" t="s">
        <v>144</v>
      </c>
      <c r="B5541">
        <v>87</v>
      </c>
      <c r="C5541">
        <v>12</v>
      </c>
      <c r="D5541">
        <v>-1</v>
      </c>
      <c r="E5541">
        <v>0.17435200000000001</v>
      </c>
      <c r="F5541">
        <v>-1</v>
      </c>
      <c r="G5541">
        <v>0.17435200000000001</v>
      </c>
    </row>
    <row r="5542" spans="1:7">
      <c r="A5542" t="s">
        <v>144</v>
      </c>
      <c r="B5542">
        <v>87</v>
      </c>
      <c r="C5542">
        <v>13</v>
      </c>
      <c r="D5542">
        <v>-1</v>
      </c>
      <c r="E5542">
        <v>0.52607800000000005</v>
      </c>
      <c r="F5542">
        <v>-1</v>
      </c>
      <c r="G5542">
        <v>0.52607800000000005</v>
      </c>
    </row>
    <row r="5543" spans="1:7">
      <c r="A5543" t="s">
        <v>144</v>
      </c>
      <c r="B5543">
        <v>87</v>
      </c>
      <c r="C5543">
        <v>14</v>
      </c>
      <c r="D5543">
        <v>-1</v>
      </c>
      <c r="E5543">
        <v>-0.46809299999999998</v>
      </c>
      <c r="F5543">
        <v>-1</v>
      </c>
      <c r="G5543">
        <v>-0.46809299999999998</v>
      </c>
    </row>
    <row r="5544" spans="1:7">
      <c r="A5544" t="s">
        <v>144</v>
      </c>
      <c r="B5544">
        <v>87</v>
      </c>
      <c r="C5544">
        <v>15</v>
      </c>
      <c r="D5544">
        <v>-1</v>
      </c>
      <c r="E5544">
        <v>-0.50019800000000003</v>
      </c>
      <c r="F5544">
        <v>-1</v>
      </c>
      <c r="G5544">
        <v>-0.50019800000000003</v>
      </c>
    </row>
    <row r="5545" spans="1:7">
      <c r="A5545" t="s">
        <v>144</v>
      </c>
      <c r="B5545">
        <v>87</v>
      </c>
      <c r="C5545">
        <v>16</v>
      </c>
      <c r="D5545">
        <v>-1</v>
      </c>
      <c r="E5545">
        <v>-0.87340899999999999</v>
      </c>
      <c r="F5545">
        <v>-1</v>
      </c>
      <c r="G5545">
        <v>-0.87340899999999999</v>
      </c>
    </row>
    <row r="5546" spans="1:7">
      <c r="A5546" t="s">
        <v>144</v>
      </c>
      <c r="B5546">
        <v>87</v>
      </c>
      <c r="C5546">
        <v>17</v>
      </c>
      <c r="D5546">
        <v>-1</v>
      </c>
      <c r="E5546">
        <v>0.86983900000000003</v>
      </c>
      <c r="F5546">
        <v>-1</v>
      </c>
      <c r="G5546">
        <v>0.86983900000000003</v>
      </c>
    </row>
    <row r="5547" spans="1:7">
      <c r="A5547" t="s">
        <v>144</v>
      </c>
      <c r="B5547">
        <v>87</v>
      </c>
      <c r="C5547">
        <v>18</v>
      </c>
      <c r="D5547">
        <v>-1</v>
      </c>
      <c r="E5547">
        <v>0.48628199999999999</v>
      </c>
      <c r="F5547">
        <v>-1</v>
      </c>
      <c r="G5547">
        <v>0.48628199999999999</v>
      </c>
    </row>
    <row r="5548" spans="1:7">
      <c r="A5548" t="s">
        <v>144</v>
      </c>
      <c r="B5548">
        <v>87</v>
      </c>
      <c r="C5548">
        <v>19</v>
      </c>
      <c r="D5548">
        <v>-1</v>
      </c>
      <c r="E5548">
        <v>6.2562999999999994E-2</v>
      </c>
      <c r="F5548">
        <v>-1</v>
      </c>
      <c r="G5548">
        <v>6.2562999999999994E-2</v>
      </c>
    </row>
    <row r="5549" spans="1:7">
      <c r="A5549" t="s">
        <v>144</v>
      </c>
      <c r="B5549">
        <v>87</v>
      </c>
      <c r="C5549">
        <v>20</v>
      </c>
      <c r="D5549">
        <v>-1</v>
      </c>
      <c r="E5549">
        <v>0.22617300000000001</v>
      </c>
      <c r="F5549">
        <v>-1</v>
      </c>
      <c r="G5549">
        <v>0.22617300000000001</v>
      </c>
    </row>
    <row r="5550" spans="1:7">
      <c r="A5550" t="s">
        <v>144</v>
      </c>
      <c r="B5550">
        <v>87</v>
      </c>
      <c r="C5550">
        <v>21</v>
      </c>
      <c r="D5550">
        <v>-1</v>
      </c>
      <c r="E5550">
        <v>-0.99502500000000005</v>
      </c>
      <c r="F5550">
        <v>-1</v>
      </c>
      <c r="G5550">
        <v>-0.99502500000000005</v>
      </c>
    </row>
    <row r="5551" spans="1:7">
      <c r="A5551" t="s">
        <v>144</v>
      </c>
      <c r="B5551">
        <v>87</v>
      </c>
      <c r="C5551">
        <v>22</v>
      </c>
      <c r="D5551">
        <v>-1</v>
      </c>
      <c r="E5551">
        <v>0.116855</v>
      </c>
      <c r="F5551">
        <v>-1</v>
      </c>
      <c r="G5551">
        <v>0.116855</v>
      </c>
    </row>
    <row r="5552" spans="1:7">
      <c r="A5552" t="s">
        <v>144</v>
      </c>
      <c r="B5552">
        <v>87</v>
      </c>
      <c r="C5552">
        <v>23</v>
      </c>
      <c r="D5552">
        <v>-1</v>
      </c>
      <c r="E5552">
        <v>0.85073399999999999</v>
      </c>
      <c r="F5552">
        <v>-1</v>
      </c>
      <c r="G5552">
        <v>0.85073399999999999</v>
      </c>
    </row>
    <row r="5553" spans="1:7">
      <c r="A5553" t="s">
        <v>144</v>
      </c>
      <c r="B5553">
        <v>87</v>
      </c>
      <c r="C5553">
        <v>24</v>
      </c>
      <c r="D5553">
        <v>-1</v>
      </c>
      <c r="E5553">
        <v>0.53801100000000002</v>
      </c>
      <c r="F5553">
        <v>-1</v>
      </c>
      <c r="G5553">
        <v>0.53801100000000002</v>
      </c>
    </row>
    <row r="5554" spans="1:7">
      <c r="A5554" t="s">
        <v>144</v>
      </c>
      <c r="B5554">
        <v>87</v>
      </c>
      <c r="C5554">
        <v>25</v>
      </c>
      <c r="D5554">
        <v>-1</v>
      </c>
      <c r="E5554">
        <v>-0.59456200000000003</v>
      </c>
      <c r="F5554">
        <v>-1</v>
      </c>
      <c r="G5554">
        <v>-0.59456200000000003</v>
      </c>
    </row>
    <row r="5555" spans="1:7">
      <c r="A5555" t="s">
        <v>144</v>
      </c>
      <c r="B5555">
        <v>87</v>
      </c>
      <c r="C5555">
        <v>26</v>
      </c>
      <c r="D5555">
        <v>-1</v>
      </c>
      <c r="E5555">
        <v>-0.103702</v>
      </c>
      <c r="F5555">
        <v>-1</v>
      </c>
      <c r="G5555">
        <v>-0.103702</v>
      </c>
    </row>
    <row r="5556" spans="1:7">
      <c r="A5556" t="s">
        <v>144</v>
      </c>
      <c r="B5556">
        <v>87</v>
      </c>
      <c r="C5556">
        <v>27</v>
      </c>
      <c r="D5556">
        <v>-1</v>
      </c>
      <c r="E5556">
        <v>0.12939800000000001</v>
      </c>
      <c r="F5556">
        <v>-1</v>
      </c>
      <c r="G5556">
        <v>0.12939800000000001</v>
      </c>
    </row>
    <row r="5557" spans="1:7">
      <c r="A5557" t="s">
        <v>144</v>
      </c>
      <c r="B5557">
        <v>87</v>
      </c>
      <c r="C5557">
        <v>28</v>
      </c>
      <c r="D5557">
        <v>-1</v>
      </c>
      <c r="E5557">
        <v>0.32422899999999999</v>
      </c>
      <c r="F5557">
        <v>-1</v>
      </c>
      <c r="G5557">
        <v>0.32422899999999999</v>
      </c>
    </row>
    <row r="5558" spans="1:7">
      <c r="A5558" t="s">
        <v>144</v>
      </c>
      <c r="B5558">
        <v>87</v>
      </c>
      <c r="C5558">
        <v>29</v>
      </c>
      <c r="D5558">
        <v>-1</v>
      </c>
      <c r="E5558">
        <v>-0.50205999999999995</v>
      </c>
      <c r="F5558">
        <v>-1</v>
      </c>
      <c r="G5558">
        <v>-0.50205999999999995</v>
      </c>
    </row>
    <row r="5559" spans="1:7">
      <c r="A5559" t="s">
        <v>144</v>
      </c>
      <c r="B5559">
        <v>87</v>
      </c>
      <c r="C5559">
        <v>30</v>
      </c>
      <c r="D5559">
        <v>-1</v>
      </c>
      <c r="E5559">
        <v>0.70732700000000004</v>
      </c>
      <c r="F5559">
        <v>-1</v>
      </c>
      <c r="G5559">
        <v>0.70732700000000004</v>
      </c>
    </row>
    <row r="5560" spans="1:7">
      <c r="A5560" t="s">
        <v>144</v>
      </c>
      <c r="B5560">
        <v>87</v>
      </c>
      <c r="C5560">
        <v>31</v>
      </c>
      <c r="D5560">
        <v>-1</v>
      </c>
      <c r="E5560">
        <v>-6.3813999999999996E-2</v>
      </c>
      <c r="F5560">
        <v>-1</v>
      </c>
      <c r="G5560">
        <v>-6.3813999999999996E-2</v>
      </c>
    </row>
    <row r="5561" spans="1:7">
      <c r="A5561" t="s">
        <v>144</v>
      </c>
      <c r="B5561">
        <v>87</v>
      </c>
      <c r="C5561">
        <v>32</v>
      </c>
      <c r="D5561">
        <v>-1</v>
      </c>
      <c r="E5561">
        <v>0.45484799999999997</v>
      </c>
      <c r="F5561">
        <v>-1</v>
      </c>
      <c r="G5561">
        <v>0.45484799999999997</v>
      </c>
    </row>
    <row r="5562" spans="1:7">
      <c r="A5562" t="s">
        <v>144</v>
      </c>
      <c r="B5562">
        <v>87</v>
      </c>
      <c r="C5562">
        <v>33</v>
      </c>
      <c r="D5562">
        <v>-1</v>
      </c>
      <c r="E5562">
        <v>0.99273699999999998</v>
      </c>
      <c r="F5562">
        <v>-1</v>
      </c>
      <c r="G5562">
        <v>0.99273699999999998</v>
      </c>
    </row>
    <row r="5563" spans="1:7">
      <c r="A5563" t="s">
        <v>144</v>
      </c>
      <c r="B5563">
        <v>87</v>
      </c>
      <c r="C5563">
        <v>34</v>
      </c>
      <c r="D5563">
        <v>-1</v>
      </c>
      <c r="E5563">
        <v>-0.41199999999999998</v>
      </c>
      <c r="F5563">
        <v>-1</v>
      </c>
      <c r="G5563">
        <v>-0.41199999999999998</v>
      </c>
    </row>
    <row r="5564" spans="1:7">
      <c r="A5564" t="s">
        <v>144</v>
      </c>
      <c r="B5564">
        <v>87</v>
      </c>
      <c r="C5564">
        <v>35</v>
      </c>
      <c r="D5564">
        <v>-1</v>
      </c>
      <c r="E5564">
        <v>-8.3041000000000004E-2</v>
      </c>
      <c r="F5564">
        <v>-1</v>
      </c>
      <c r="G5564">
        <v>-8.3041000000000004E-2</v>
      </c>
    </row>
    <row r="5565" spans="1:7">
      <c r="A5565" t="s">
        <v>144</v>
      </c>
      <c r="B5565">
        <v>87</v>
      </c>
      <c r="C5565">
        <v>36</v>
      </c>
      <c r="D5565">
        <v>-1</v>
      </c>
      <c r="E5565">
        <v>0.42399399999999998</v>
      </c>
      <c r="F5565">
        <v>-1</v>
      </c>
      <c r="G5565">
        <v>0.42399399999999998</v>
      </c>
    </row>
    <row r="5566" spans="1:7">
      <c r="A5566" t="s">
        <v>144</v>
      </c>
      <c r="B5566">
        <v>87</v>
      </c>
      <c r="C5566">
        <v>37</v>
      </c>
      <c r="D5566">
        <v>-1</v>
      </c>
      <c r="E5566">
        <v>0.20899100000000001</v>
      </c>
      <c r="F5566">
        <v>-1</v>
      </c>
      <c r="G5566">
        <v>0.20899100000000001</v>
      </c>
    </row>
    <row r="5567" spans="1:7">
      <c r="A5567" t="s">
        <v>144</v>
      </c>
      <c r="B5567">
        <v>87</v>
      </c>
      <c r="C5567">
        <v>38</v>
      </c>
      <c r="D5567">
        <v>-1</v>
      </c>
      <c r="E5567">
        <v>-0.75786600000000004</v>
      </c>
      <c r="F5567">
        <v>-1</v>
      </c>
      <c r="G5567">
        <v>-0.75786600000000004</v>
      </c>
    </row>
    <row r="5568" spans="1:7">
      <c r="A5568" t="s">
        <v>144</v>
      </c>
      <c r="B5568">
        <v>87</v>
      </c>
      <c r="C5568">
        <v>39</v>
      </c>
      <c r="D5568">
        <v>-1</v>
      </c>
      <c r="E5568">
        <v>0.36817499999999997</v>
      </c>
      <c r="F5568">
        <v>-1</v>
      </c>
      <c r="G5568">
        <v>0.36817499999999997</v>
      </c>
    </row>
    <row r="5569" spans="1:7">
      <c r="A5569" t="s">
        <v>144</v>
      </c>
      <c r="B5569">
        <v>87</v>
      </c>
      <c r="C5569">
        <v>40</v>
      </c>
      <c r="D5569">
        <v>-1</v>
      </c>
      <c r="E5569">
        <v>-0.74446900000000005</v>
      </c>
      <c r="F5569">
        <v>-1</v>
      </c>
      <c r="G5569">
        <v>-0.74446900000000005</v>
      </c>
    </row>
    <row r="5570" spans="1:7">
      <c r="A5570" t="s">
        <v>144</v>
      </c>
      <c r="B5570">
        <v>87</v>
      </c>
      <c r="C5570">
        <v>41</v>
      </c>
      <c r="D5570">
        <v>-1</v>
      </c>
      <c r="E5570">
        <v>-0.71147800000000005</v>
      </c>
      <c r="F5570">
        <v>-1</v>
      </c>
      <c r="G5570">
        <v>-0.71147800000000005</v>
      </c>
    </row>
    <row r="5571" spans="1:7">
      <c r="A5571" t="s">
        <v>144</v>
      </c>
      <c r="B5571">
        <v>87</v>
      </c>
      <c r="C5571">
        <v>42</v>
      </c>
      <c r="D5571">
        <v>-1</v>
      </c>
      <c r="E5571">
        <v>0.29780000000000001</v>
      </c>
      <c r="F5571">
        <v>-1</v>
      </c>
      <c r="G5571">
        <v>0.29780000000000001</v>
      </c>
    </row>
    <row r="5572" spans="1:7">
      <c r="A5572" t="s">
        <v>144</v>
      </c>
      <c r="B5572">
        <v>87</v>
      </c>
      <c r="C5572">
        <v>43</v>
      </c>
      <c r="D5572">
        <v>-1</v>
      </c>
      <c r="E5572">
        <v>-0.46565099999999998</v>
      </c>
      <c r="F5572">
        <v>-1</v>
      </c>
      <c r="G5572">
        <v>-0.46565099999999998</v>
      </c>
    </row>
    <row r="5573" spans="1:7">
      <c r="A5573" t="s">
        <v>144</v>
      </c>
      <c r="B5573">
        <v>87</v>
      </c>
      <c r="C5573">
        <v>44</v>
      </c>
      <c r="D5573">
        <v>-1</v>
      </c>
      <c r="E5573">
        <v>-0.46726899999999999</v>
      </c>
      <c r="F5573">
        <v>-1</v>
      </c>
      <c r="G5573">
        <v>-0.46726899999999999</v>
      </c>
    </row>
    <row r="5574" spans="1:7">
      <c r="A5574" t="s">
        <v>144</v>
      </c>
      <c r="B5574">
        <v>87</v>
      </c>
      <c r="C5574">
        <v>45</v>
      </c>
      <c r="D5574">
        <v>-1</v>
      </c>
      <c r="E5574">
        <v>-0.15454599999999999</v>
      </c>
      <c r="F5574">
        <v>-1</v>
      </c>
      <c r="G5574">
        <v>-0.15454599999999999</v>
      </c>
    </row>
    <row r="5575" spans="1:7">
      <c r="A5575" t="s">
        <v>144</v>
      </c>
      <c r="B5575">
        <v>87</v>
      </c>
      <c r="C5575">
        <v>46</v>
      </c>
      <c r="D5575">
        <v>-1</v>
      </c>
      <c r="E5575">
        <v>-0.67955600000000005</v>
      </c>
      <c r="F5575">
        <v>-1</v>
      </c>
      <c r="G5575">
        <v>-0.67955600000000005</v>
      </c>
    </row>
    <row r="5576" spans="1:7">
      <c r="A5576" t="s">
        <v>144</v>
      </c>
      <c r="B5576">
        <v>87</v>
      </c>
      <c r="C5576">
        <v>47</v>
      </c>
      <c r="D5576">
        <v>-1</v>
      </c>
      <c r="E5576">
        <v>-2.5575000000000001E-2</v>
      </c>
      <c r="F5576">
        <v>-1</v>
      </c>
      <c r="G5576">
        <v>-2.5575000000000001E-2</v>
      </c>
    </row>
    <row r="5577" spans="1:7">
      <c r="A5577" t="s">
        <v>144</v>
      </c>
      <c r="B5577">
        <v>87</v>
      </c>
      <c r="C5577">
        <v>48</v>
      </c>
      <c r="D5577">
        <v>-1</v>
      </c>
      <c r="E5577">
        <v>-0.82616699999999998</v>
      </c>
      <c r="F5577">
        <v>-1</v>
      </c>
      <c r="G5577">
        <v>-0.82616699999999998</v>
      </c>
    </row>
    <row r="5578" spans="1:7">
      <c r="A5578" t="s">
        <v>144</v>
      </c>
      <c r="B5578">
        <v>87</v>
      </c>
      <c r="C5578">
        <v>49</v>
      </c>
      <c r="D5578">
        <v>-1</v>
      </c>
      <c r="E5578">
        <v>8.7344000000000005E-2</v>
      </c>
      <c r="F5578">
        <v>-1</v>
      </c>
      <c r="G5578">
        <v>8.7344000000000005E-2</v>
      </c>
    </row>
    <row r="5579" spans="1:7">
      <c r="A5579" t="s">
        <v>144</v>
      </c>
      <c r="B5579" t="s">
        <v>145</v>
      </c>
      <c r="C5579">
        <v>88</v>
      </c>
    </row>
    <row r="5580" spans="1:7">
      <c r="A5580" t="s">
        <v>144</v>
      </c>
      <c r="B5580" t="s">
        <v>146</v>
      </c>
      <c r="C5580">
        <v>63</v>
      </c>
    </row>
    <row r="5581" spans="1:7">
      <c r="A5581" t="s">
        <v>144</v>
      </c>
      <c r="B5581" t="s">
        <v>147</v>
      </c>
      <c r="C5581">
        <v>63</v>
      </c>
    </row>
    <row r="5582" spans="1:7">
      <c r="A5582" t="s">
        <v>144</v>
      </c>
      <c r="B5582" t="s">
        <v>148</v>
      </c>
      <c r="C5582">
        <v>0.72191499999999997</v>
      </c>
    </row>
    <row r="5583" spans="1:7">
      <c r="A5583" t="s">
        <v>144</v>
      </c>
      <c r="B5583" t="s">
        <v>149</v>
      </c>
      <c r="C5583">
        <v>0.72191499999999997</v>
      </c>
    </row>
    <row r="5584" spans="1:7">
      <c r="A5584" t="s">
        <v>144</v>
      </c>
      <c r="B5584" t="s">
        <v>150</v>
      </c>
      <c r="C5584">
        <v>-1</v>
      </c>
    </row>
    <row r="5585" spans="1:7">
      <c r="A5585" t="s">
        <v>144</v>
      </c>
      <c r="B5585" t="s">
        <v>151</v>
      </c>
      <c r="C5585">
        <v>-1</v>
      </c>
    </row>
    <row r="5586" spans="1:7">
      <c r="A5586" t="s">
        <v>144</v>
      </c>
      <c r="B5586" t="s">
        <v>152</v>
      </c>
      <c r="C5586">
        <v>37</v>
      </c>
    </row>
    <row r="5587" spans="1:7">
      <c r="A5587" t="s">
        <v>144</v>
      </c>
      <c r="B5587" t="s">
        <v>153</v>
      </c>
      <c r="C5587">
        <v>37</v>
      </c>
    </row>
    <row r="5588" spans="1:7">
      <c r="A5588" t="s">
        <v>144</v>
      </c>
      <c r="B5588" t="s">
        <v>154</v>
      </c>
      <c r="C5588">
        <v>0</v>
      </c>
    </row>
    <row r="5589" spans="1:7">
      <c r="A5589" t="s">
        <v>144</v>
      </c>
      <c r="B5589" t="s">
        <v>155</v>
      </c>
    </row>
    <row r="5590" spans="1:7">
      <c r="A5590" t="s">
        <v>144</v>
      </c>
      <c r="B5590" t="s">
        <v>150</v>
      </c>
      <c r="C5590">
        <v>5.4900000000000001E-4</v>
      </c>
    </row>
    <row r="5591" spans="1:7">
      <c r="A5591" t="s">
        <v>144</v>
      </c>
      <c r="B5591" t="s">
        <v>151</v>
      </c>
      <c r="C5591">
        <v>5.4900000000000001E-4</v>
      </c>
    </row>
    <row r="5592" spans="1:7">
      <c r="A5592" t="s">
        <v>144</v>
      </c>
      <c r="B5592" t="s">
        <v>156</v>
      </c>
      <c r="C5592" t="s">
        <v>157</v>
      </c>
      <c r="D5592" t="s">
        <v>63</v>
      </c>
      <c r="E5592" t="s">
        <v>158</v>
      </c>
      <c r="F5592" t="s">
        <v>159</v>
      </c>
      <c r="G5592" t="s">
        <v>160</v>
      </c>
    </row>
    <row r="5593" spans="1:7">
      <c r="A5593" t="s">
        <v>144</v>
      </c>
      <c r="B5593">
        <v>88</v>
      </c>
      <c r="C5593">
        <v>0</v>
      </c>
      <c r="D5593">
        <v>5.4900000000000001E-4</v>
      </c>
      <c r="E5593">
        <v>0.61006499999999997</v>
      </c>
      <c r="F5593">
        <v>-1</v>
      </c>
      <c r="G5593">
        <v>0.61006499999999997</v>
      </c>
    </row>
    <row r="5594" spans="1:7">
      <c r="A5594" t="s">
        <v>144</v>
      </c>
      <c r="B5594">
        <v>88</v>
      </c>
      <c r="C5594">
        <v>1</v>
      </c>
      <c r="D5594">
        <v>5.4900000000000001E-4</v>
      </c>
      <c r="E5594">
        <v>-0.36103400000000002</v>
      </c>
      <c r="F5594">
        <v>-1</v>
      </c>
      <c r="G5594">
        <v>-0.36103400000000002</v>
      </c>
    </row>
    <row r="5595" spans="1:7">
      <c r="A5595" t="s">
        <v>144</v>
      </c>
      <c r="B5595">
        <v>88</v>
      </c>
      <c r="C5595">
        <v>2</v>
      </c>
      <c r="D5595">
        <v>5.4900000000000001E-4</v>
      </c>
      <c r="E5595">
        <v>-0.98568699999999998</v>
      </c>
      <c r="F5595">
        <v>-1</v>
      </c>
      <c r="G5595">
        <v>-0.98568699999999998</v>
      </c>
    </row>
    <row r="5596" spans="1:7">
      <c r="A5596" t="s">
        <v>144</v>
      </c>
      <c r="B5596">
        <v>88</v>
      </c>
      <c r="C5596">
        <v>3</v>
      </c>
      <c r="D5596">
        <v>5.4900000000000001E-4</v>
      </c>
      <c r="E5596">
        <v>0.21677299999999999</v>
      </c>
      <c r="F5596">
        <v>-1</v>
      </c>
      <c r="G5596">
        <v>0.21677299999999999</v>
      </c>
    </row>
    <row r="5597" spans="1:7">
      <c r="A5597" t="s">
        <v>144</v>
      </c>
      <c r="B5597">
        <v>88</v>
      </c>
      <c r="C5597">
        <v>4</v>
      </c>
      <c r="D5597">
        <v>5.4900000000000001E-4</v>
      </c>
      <c r="E5597">
        <v>0.128666</v>
      </c>
      <c r="F5597">
        <v>-1</v>
      </c>
      <c r="G5597">
        <v>0.128666</v>
      </c>
    </row>
    <row r="5598" spans="1:7">
      <c r="A5598" t="s">
        <v>144</v>
      </c>
      <c r="B5598">
        <v>88</v>
      </c>
      <c r="C5598">
        <v>5</v>
      </c>
      <c r="D5598">
        <v>5.4900000000000001E-4</v>
      </c>
      <c r="E5598">
        <v>-0.95266600000000001</v>
      </c>
      <c r="F5598">
        <v>-1</v>
      </c>
      <c r="G5598">
        <v>-0.95266600000000001</v>
      </c>
    </row>
    <row r="5599" spans="1:7">
      <c r="A5599" t="s">
        <v>144</v>
      </c>
      <c r="B5599">
        <v>88</v>
      </c>
      <c r="C5599">
        <v>6</v>
      </c>
      <c r="D5599">
        <v>5.4900000000000001E-4</v>
      </c>
      <c r="E5599">
        <v>7.886E-2</v>
      </c>
      <c r="F5599">
        <v>-1</v>
      </c>
      <c r="G5599">
        <v>7.886E-2</v>
      </c>
    </row>
    <row r="5600" spans="1:7">
      <c r="A5600" t="s">
        <v>144</v>
      </c>
      <c r="B5600">
        <v>88</v>
      </c>
      <c r="C5600">
        <v>7</v>
      </c>
      <c r="D5600">
        <v>5.4900000000000001E-4</v>
      </c>
      <c r="E5600">
        <v>-5.2491999999999997E-2</v>
      </c>
      <c r="F5600">
        <v>-1</v>
      </c>
      <c r="G5600">
        <v>-5.2491999999999997E-2</v>
      </c>
    </row>
    <row r="5601" spans="1:7">
      <c r="A5601" t="s">
        <v>144</v>
      </c>
      <c r="B5601">
        <v>88</v>
      </c>
      <c r="C5601">
        <v>8</v>
      </c>
      <c r="D5601">
        <v>5.4900000000000001E-4</v>
      </c>
      <c r="E5601">
        <v>-0.32493100000000003</v>
      </c>
      <c r="F5601">
        <v>-1</v>
      </c>
      <c r="G5601">
        <v>-0.32493100000000003</v>
      </c>
    </row>
    <row r="5602" spans="1:7">
      <c r="A5602" t="s">
        <v>144</v>
      </c>
      <c r="B5602">
        <v>88</v>
      </c>
      <c r="C5602">
        <v>9</v>
      </c>
      <c r="D5602">
        <v>5.4900000000000001E-4</v>
      </c>
      <c r="E5602">
        <v>-0.118656</v>
      </c>
      <c r="F5602">
        <v>-1</v>
      </c>
      <c r="G5602">
        <v>-0.118656</v>
      </c>
    </row>
    <row r="5603" spans="1:7">
      <c r="A5603" t="s">
        <v>144</v>
      </c>
      <c r="B5603">
        <v>88</v>
      </c>
      <c r="C5603">
        <v>10</v>
      </c>
      <c r="D5603">
        <v>5.4900000000000001E-4</v>
      </c>
      <c r="E5603">
        <v>0.124393</v>
      </c>
      <c r="F5603">
        <v>-1</v>
      </c>
      <c r="G5603">
        <v>0.124393</v>
      </c>
    </row>
    <row r="5604" spans="1:7">
      <c r="A5604" t="s">
        <v>144</v>
      </c>
      <c r="B5604">
        <v>88</v>
      </c>
      <c r="C5604">
        <v>11</v>
      </c>
      <c r="D5604">
        <v>5.4900000000000001E-4</v>
      </c>
      <c r="E5604">
        <v>-1.343E-3</v>
      </c>
      <c r="F5604">
        <v>-1</v>
      </c>
      <c r="G5604">
        <v>-1.343E-3</v>
      </c>
    </row>
    <row r="5605" spans="1:7">
      <c r="A5605" t="s">
        <v>144</v>
      </c>
      <c r="B5605">
        <v>88</v>
      </c>
      <c r="C5605">
        <v>12</v>
      </c>
      <c r="D5605">
        <v>5.4900000000000001E-4</v>
      </c>
      <c r="E5605">
        <v>-0.91940100000000002</v>
      </c>
      <c r="F5605">
        <v>-1</v>
      </c>
      <c r="G5605">
        <v>-0.91940100000000002</v>
      </c>
    </row>
    <row r="5606" spans="1:7">
      <c r="A5606" t="s">
        <v>144</v>
      </c>
      <c r="B5606">
        <v>88</v>
      </c>
      <c r="C5606">
        <v>13</v>
      </c>
      <c r="D5606">
        <v>5.4900000000000001E-4</v>
      </c>
      <c r="E5606">
        <v>0.789605</v>
      </c>
      <c r="F5606">
        <v>-1</v>
      </c>
      <c r="G5606">
        <v>0.789605</v>
      </c>
    </row>
    <row r="5607" spans="1:7">
      <c r="A5607" t="s">
        <v>144</v>
      </c>
      <c r="B5607">
        <v>88</v>
      </c>
      <c r="C5607">
        <v>14</v>
      </c>
      <c r="D5607">
        <v>5.4900000000000001E-4</v>
      </c>
      <c r="E5607">
        <v>-0.50404400000000005</v>
      </c>
      <c r="F5607">
        <v>-1</v>
      </c>
      <c r="G5607">
        <v>-0.50404400000000005</v>
      </c>
    </row>
    <row r="5608" spans="1:7">
      <c r="A5608" t="s">
        <v>144</v>
      </c>
      <c r="B5608">
        <v>88</v>
      </c>
      <c r="C5608">
        <v>15</v>
      </c>
      <c r="D5608">
        <v>5.4900000000000001E-4</v>
      </c>
      <c r="E5608">
        <v>-0.56953600000000004</v>
      </c>
      <c r="F5608">
        <v>-1</v>
      </c>
      <c r="G5608">
        <v>-0.56953600000000004</v>
      </c>
    </row>
    <row r="5609" spans="1:7">
      <c r="A5609" t="s">
        <v>144</v>
      </c>
      <c r="B5609">
        <v>88</v>
      </c>
      <c r="C5609">
        <v>16</v>
      </c>
      <c r="D5609">
        <v>5.4900000000000001E-4</v>
      </c>
      <c r="E5609">
        <v>0.100467</v>
      </c>
      <c r="F5609">
        <v>-1</v>
      </c>
      <c r="G5609">
        <v>0.100467</v>
      </c>
    </row>
    <row r="5610" spans="1:7">
      <c r="A5610" t="s">
        <v>144</v>
      </c>
      <c r="B5610">
        <v>88</v>
      </c>
      <c r="C5610">
        <v>17</v>
      </c>
      <c r="D5610">
        <v>5.4900000000000001E-4</v>
      </c>
      <c r="E5610">
        <v>0.35685299999999998</v>
      </c>
      <c r="F5610">
        <v>-1</v>
      </c>
      <c r="G5610">
        <v>0.35685299999999998</v>
      </c>
    </row>
    <row r="5611" spans="1:7">
      <c r="A5611" t="s">
        <v>144</v>
      </c>
      <c r="B5611">
        <v>88</v>
      </c>
      <c r="C5611">
        <v>18</v>
      </c>
      <c r="D5611">
        <v>5.4900000000000001E-4</v>
      </c>
      <c r="E5611">
        <v>0.999054</v>
      </c>
      <c r="F5611">
        <v>-1</v>
      </c>
      <c r="G5611">
        <v>0.999054</v>
      </c>
    </row>
    <row r="5612" spans="1:7">
      <c r="A5612" t="s">
        <v>144</v>
      </c>
      <c r="B5612">
        <v>88</v>
      </c>
      <c r="C5612">
        <v>19</v>
      </c>
      <c r="D5612">
        <v>5.4900000000000001E-4</v>
      </c>
      <c r="E5612">
        <v>-0.108982</v>
      </c>
      <c r="F5612">
        <v>-1</v>
      </c>
      <c r="G5612">
        <v>-0.108982</v>
      </c>
    </row>
    <row r="5613" spans="1:7">
      <c r="A5613" t="s">
        <v>144</v>
      </c>
      <c r="B5613">
        <v>88</v>
      </c>
      <c r="C5613">
        <v>20</v>
      </c>
      <c r="D5613">
        <v>5.4900000000000001E-4</v>
      </c>
      <c r="E5613">
        <v>0.919126</v>
      </c>
      <c r="F5613">
        <v>-1</v>
      </c>
      <c r="G5613">
        <v>0.919126</v>
      </c>
    </row>
    <row r="5614" spans="1:7">
      <c r="A5614" t="s">
        <v>144</v>
      </c>
      <c r="B5614">
        <v>88</v>
      </c>
      <c r="C5614">
        <v>21</v>
      </c>
      <c r="D5614">
        <v>5.4900000000000001E-4</v>
      </c>
      <c r="E5614">
        <v>0.22382299999999999</v>
      </c>
      <c r="F5614">
        <v>-1</v>
      </c>
      <c r="G5614">
        <v>0.22382299999999999</v>
      </c>
    </row>
    <row r="5615" spans="1:7">
      <c r="A5615" t="s">
        <v>144</v>
      </c>
      <c r="B5615">
        <v>88</v>
      </c>
      <c r="C5615">
        <v>22</v>
      </c>
      <c r="D5615">
        <v>5.4900000000000001E-4</v>
      </c>
      <c r="E5615">
        <v>0.74727600000000005</v>
      </c>
      <c r="F5615">
        <v>-1</v>
      </c>
      <c r="G5615">
        <v>0.74727600000000005</v>
      </c>
    </row>
    <row r="5616" spans="1:7">
      <c r="A5616" t="s">
        <v>144</v>
      </c>
      <c r="B5616">
        <v>88</v>
      </c>
      <c r="C5616">
        <v>23</v>
      </c>
      <c r="D5616">
        <v>5.4900000000000001E-4</v>
      </c>
      <c r="E5616">
        <v>-0.43089100000000002</v>
      </c>
      <c r="F5616">
        <v>-1</v>
      </c>
      <c r="G5616">
        <v>-0.43089100000000002</v>
      </c>
    </row>
    <row r="5617" spans="1:7">
      <c r="A5617" t="s">
        <v>144</v>
      </c>
      <c r="B5617">
        <v>88</v>
      </c>
      <c r="C5617">
        <v>24</v>
      </c>
      <c r="D5617">
        <v>5.4900000000000001E-4</v>
      </c>
      <c r="E5617">
        <v>-0.80819099999999999</v>
      </c>
      <c r="F5617">
        <v>-1</v>
      </c>
      <c r="G5617">
        <v>-0.80819099999999999</v>
      </c>
    </row>
    <row r="5618" spans="1:7">
      <c r="A5618" t="s">
        <v>144</v>
      </c>
      <c r="B5618">
        <v>88</v>
      </c>
      <c r="C5618">
        <v>25</v>
      </c>
      <c r="D5618">
        <v>5.4900000000000001E-4</v>
      </c>
      <c r="E5618">
        <v>-0.48146</v>
      </c>
      <c r="F5618">
        <v>-1</v>
      </c>
      <c r="G5618">
        <v>-0.48146</v>
      </c>
    </row>
    <row r="5619" spans="1:7">
      <c r="A5619" t="s">
        <v>144</v>
      </c>
      <c r="B5619">
        <v>88</v>
      </c>
      <c r="C5619">
        <v>26</v>
      </c>
      <c r="D5619">
        <v>5.4900000000000001E-4</v>
      </c>
      <c r="E5619">
        <v>0.32523600000000003</v>
      </c>
      <c r="F5619">
        <v>-1</v>
      </c>
      <c r="G5619">
        <v>0.32523600000000003</v>
      </c>
    </row>
    <row r="5620" spans="1:7">
      <c r="A5620" t="s">
        <v>144</v>
      </c>
      <c r="B5620">
        <v>88</v>
      </c>
      <c r="C5620">
        <v>27</v>
      </c>
      <c r="D5620">
        <v>5.4900000000000001E-4</v>
      </c>
      <c r="E5620">
        <v>-0.54371800000000003</v>
      </c>
      <c r="F5620">
        <v>-1</v>
      </c>
      <c r="G5620">
        <v>-0.54371800000000003</v>
      </c>
    </row>
    <row r="5621" spans="1:7">
      <c r="A5621" t="s">
        <v>144</v>
      </c>
      <c r="B5621">
        <v>88</v>
      </c>
      <c r="C5621">
        <v>28</v>
      </c>
      <c r="D5621">
        <v>5.4900000000000001E-4</v>
      </c>
      <c r="E5621">
        <v>-0.226936</v>
      </c>
      <c r="F5621">
        <v>-1</v>
      </c>
      <c r="G5621">
        <v>-0.226936</v>
      </c>
    </row>
    <row r="5622" spans="1:7">
      <c r="A5622" t="s">
        <v>144</v>
      </c>
      <c r="B5622">
        <v>88</v>
      </c>
      <c r="C5622">
        <v>29</v>
      </c>
      <c r="D5622">
        <v>5.4900000000000001E-4</v>
      </c>
      <c r="E5622">
        <v>0.70912799999999998</v>
      </c>
      <c r="F5622">
        <v>-1</v>
      </c>
      <c r="G5622">
        <v>0.70912799999999998</v>
      </c>
    </row>
    <row r="5623" spans="1:7">
      <c r="A5623" t="s">
        <v>144</v>
      </c>
      <c r="B5623">
        <v>88</v>
      </c>
      <c r="C5623">
        <v>30</v>
      </c>
      <c r="D5623">
        <v>5.4900000000000001E-4</v>
      </c>
      <c r="E5623">
        <v>0.95504599999999995</v>
      </c>
      <c r="F5623">
        <v>-1</v>
      </c>
      <c r="G5623">
        <v>0.95504599999999995</v>
      </c>
    </row>
    <row r="5624" spans="1:7">
      <c r="A5624" t="s">
        <v>144</v>
      </c>
      <c r="B5624">
        <v>88</v>
      </c>
      <c r="C5624">
        <v>31</v>
      </c>
      <c r="D5624">
        <v>5.4900000000000001E-4</v>
      </c>
      <c r="E5624">
        <v>-0.51661699999999999</v>
      </c>
      <c r="F5624">
        <v>-1</v>
      </c>
      <c r="G5624">
        <v>-0.51661699999999999</v>
      </c>
    </row>
    <row r="5625" spans="1:7">
      <c r="A5625" t="s">
        <v>144</v>
      </c>
      <c r="B5625">
        <v>88</v>
      </c>
      <c r="C5625">
        <v>32</v>
      </c>
      <c r="D5625">
        <v>5.4900000000000001E-4</v>
      </c>
      <c r="E5625">
        <v>-0.43082999999999999</v>
      </c>
      <c r="F5625">
        <v>-1</v>
      </c>
      <c r="G5625">
        <v>-0.43082999999999999</v>
      </c>
    </row>
    <row r="5626" spans="1:7">
      <c r="A5626" t="s">
        <v>144</v>
      </c>
      <c r="B5626">
        <v>88</v>
      </c>
      <c r="C5626">
        <v>33</v>
      </c>
      <c r="D5626">
        <v>5.4900000000000001E-4</v>
      </c>
      <c r="E5626">
        <v>0.90038799999999997</v>
      </c>
      <c r="F5626">
        <v>-1</v>
      </c>
      <c r="G5626">
        <v>0.90038799999999997</v>
      </c>
    </row>
    <row r="5627" spans="1:7">
      <c r="A5627" t="s">
        <v>144</v>
      </c>
      <c r="B5627">
        <v>88</v>
      </c>
      <c r="C5627">
        <v>34</v>
      </c>
      <c r="D5627">
        <v>5.4900000000000001E-4</v>
      </c>
      <c r="E5627">
        <v>0.83635999999999999</v>
      </c>
      <c r="F5627">
        <v>-1</v>
      </c>
      <c r="G5627">
        <v>0.83635999999999999</v>
      </c>
    </row>
    <row r="5628" spans="1:7">
      <c r="A5628" t="s">
        <v>144</v>
      </c>
      <c r="B5628">
        <v>88</v>
      </c>
      <c r="C5628">
        <v>35</v>
      </c>
      <c r="D5628">
        <v>5.4900000000000001E-4</v>
      </c>
      <c r="E5628">
        <v>-0.46775699999999998</v>
      </c>
      <c r="F5628">
        <v>-1</v>
      </c>
      <c r="G5628">
        <v>-0.46775699999999998</v>
      </c>
    </row>
    <row r="5629" spans="1:7">
      <c r="A5629" t="s">
        <v>144</v>
      </c>
      <c r="B5629">
        <v>88</v>
      </c>
      <c r="C5629">
        <v>36</v>
      </c>
      <c r="D5629">
        <v>5.4900000000000001E-4</v>
      </c>
      <c r="E5629">
        <v>0.365734</v>
      </c>
      <c r="F5629">
        <v>-1</v>
      </c>
      <c r="G5629">
        <v>0.365734</v>
      </c>
    </row>
    <row r="5630" spans="1:7">
      <c r="A5630" t="s">
        <v>144</v>
      </c>
      <c r="B5630">
        <v>88</v>
      </c>
      <c r="C5630">
        <v>37</v>
      </c>
      <c r="D5630">
        <v>5.4900000000000001E-4</v>
      </c>
      <c r="E5630">
        <v>-0.51371800000000001</v>
      </c>
      <c r="F5630">
        <v>0.64146899999999996</v>
      </c>
      <c r="G5630">
        <v>0.64083400000000001</v>
      </c>
    </row>
    <row r="5631" spans="1:7">
      <c r="A5631" t="s">
        <v>144</v>
      </c>
      <c r="B5631">
        <v>88</v>
      </c>
      <c r="C5631">
        <v>38</v>
      </c>
      <c r="D5631">
        <v>5.4900000000000001E-4</v>
      </c>
      <c r="E5631">
        <v>-0.60371699999999995</v>
      </c>
      <c r="F5631">
        <v>-0.14749599999999999</v>
      </c>
      <c r="G5631">
        <v>-0.14774699999999999</v>
      </c>
    </row>
    <row r="5632" spans="1:7">
      <c r="A5632" t="s">
        <v>144</v>
      </c>
      <c r="B5632">
        <v>88</v>
      </c>
      <c r="C5632">
        <v>39</v>
      </c>
      <c r="D5632">
        <v>5.4900000000000001E-4</v>
      </c>
      <c r="E5632">
        <v>-0.67751099999999997</v>
      </c>
      <c r="F5632">
        <v>-0.57786800000000005</v>
      </c>
      <c r="G5632">
        <v>-0.57792299999999996</v>
      </c>
    </row>
    <row r="5633" spans="1:7">
      <c r="A5633" t="s">
        <v>144</v>
      </c>
      <c r="B5633">
        <v>88</v>
      </c>
      <c r="C5633">
        <v>40</v>
      </c>
      <c r="D5633">
        <v>5.4900000000000001E-4</v>
      </c>
      <c r="E5633">
        <v>0.68761300000000003</v>
      </c>
      <c r="F5633">
        <v>-0.99774200000000002</v>
      </c>
      <c r="G5633">
        <v>-0.99681600000000004</v>
      </c>
    </row>
    <row r="5634" spans="1:7">
      <c r="A5634" t="s">
        <v>144</v>
      </c>
      <c r="B5634">
        <v>88</v>
      </c>
      <c r="C5634">
        <v>41</v>
      </c>
      <c r="D5634">
        <v>5.4900000000000001E-4</v>
      </c>
      <c r="E5634">
        <v>-0.64842699999999998</v>
      </c>
      <c r="F5634">
        <v>-0.634907</v>
      </c>
      <c r="G5634">
        <v>-0.63491500000000001</v>
      </c>
    </row>
    <row r="5635" spans="1:7">
      <c r="A5635" t="s">
        <v>144</v>
      </c>
      <c r="B5635">
        <v>88</v>
      </c>
      <c r="C5635">
        <v>42</v>
      </c>
      <c r="D5635">
        <v>5.4900000000000001E-4</v>
      </c>
      <c r="E5635">
        <v>-0.90829199999999999</v>
      </c>
      <c r="F5635">
        <v>0.57069599999999998</v>
      </c>
      <c r="G5635">
        <v>0.56988399999999995</v>
      </c>
    </row>
    <row r="5636" spans="1:7">
      <c r="A5636" t="s">
        <v>144</v>
      </c>
      <c r="B5636">
        <v>88</v>
      </c>
      <c r="C5636">
        <v>43</v>
      </c>
      <c r="D5636">
        <v>5.4900000000000001E-4</v>
      </c>
      <c r="E5636">
        <v>-0.82665500000000003</v>
      </c>
      <c r="F5636">
        <v>5.4933000000000003E-2</v>
      </c>
      <c r="G5636">
        <v>5.4448999999999997E-2</v>
      </c>
    </row>
    <row r="5637" spans="1:7">
      <c r="A5637" t="s">
        <v>144</v>
      </c>
      <c r="B5637">
        <v>88</v>
      </c>
      <c r="C5637">
        <v>44</v>
      </c>
      <c r="D5637">
        <v>5.4900000000000001E-4</v>
      </c>
      <c r="E5637">
        <v>-0.90713200000000005</v>
      </c>
      <c r="F5637">
        <v>0.25965100000000002</v>
      </c>
      <c r="G5637">
        <v>0.25901099999999999</v>
      </c>
    </row>
    <row r="5638" spans="1:7">
      <c r="A5638" t="s">
        <v>144</v>
      </c>
      <c r="B5638">
        <v>88</v>
      </c>
      <c r="C5638">
        <v>45</v>
      </c>
      <c r="D5638">
        <v>5.4900000000000001E-4</v>
      </c>
      <c r="E5638">
        <v>0.34525600000000001</v>
      </c>
      <c r="F5638">
        <v>-0.28437099999999998</v>
      </c>
      <c r="G5638">
        <v>-0.284026</v>
      </c>
    </row>
    <row r="5639" spans="1:7">
      <c r="A5639" t="s">
        <v>144</v>
      </c>
      <c r="B5639">
        <v>88</v>
      </c>
      <c r="C5639">
        <v>46</v>
      </c>
      <c r="D5639">
        <v>5.4900000000000001E-4</v>
      </c>
      <c r="E5639">
        <v>-0.124943</v>
      </c>
      <c r="F5639">
        <v>0.246834</v>
      </c>
      <c r="G5639">
        <v>0.24662899999999999</v>
      </c>
    </row>
    <row r="5640" spans="1:7">
      <c r="A5640" t="s">
        <v>144</v>
      </c>
      <c r="B5640">
        <v>88</v>
      </c>
      <c r="C5640">
        <v>47</v>
      </c>
      <c r="D5640">
        <v>5.4900000000000001E-4</v>
      </c>
      <c r="E5640">
        <v>0.359935</v>
      </c>
      <c r="F5640">
        <v>-0.448683</v>
      </c>
      <c r="G5640">
        <v>-0.448239</v>
      </c>
    </row>
    <row r="5641" spans="1:7">
      <c r="A5641" t="s">
        <v>144</v>
      </c>
      <c r="B5641">
        <v>88</v>
      </c>
      <c r="C5641">
        <v>48</v>
      </c>
      <c r="D5641">
        <v>5.4900000000000001E-4</v>
      </c>
      <c r="E5641">
        <v>-0.65898599999999996</v>
      </c>
      <c r="F5641">
        <v>3.0519000000000001E-2</v>
      </c>
      <c r="G5641">
        <v>3.014E-2</v>
      </c>
    </row>
    <row r="5642" spans="1:7">
      <c r="A5642" t="s">
        <v>144</v>
      </c>
      <c r="B5642">
        <v>88</v>
      </c>
      <c r="C5642">
        <v>49</v>
      </c>
      <c r="D5642">
        <v>5.4900000000000001E-4</v>
      </c>
      <c r="E5642">
        <v>-1.2359999999999999E-2</v>
      </c>
      <c r="F5642">
        <v>-0.34553099999999998</v>
      </c>
      <c r="G5642">
        <v>-0.34534799999999999</v>
      </c>
    </row>
    <row r="5643" spans="1:7">
      <c r="A5643" t="s">
        <v>144</v>
      </c>
      <c r="B5643" t="s">
        <v>145</v>
      </c>
      <c r="C5643">
        <v>89</v>
      </c>
    </row>
    <row r="5644" spans="1:7">
      <c r="A5644" t="s">
        <v>144</v>
      </c>
      <c r="B5644" t="s">
        <v>146</v>
      </c>
      <c r="C5644">
        <v>8</v>
      </c>
    </row>
    <row r="5645" spans="1:7">
      <c r="A5645" t="s">
        <v>144</v>
      </c>
      <c r="B5645" t="s">
        <v>147</v>
      </c>
      <c r="C5645">
        <v>8</v>
      </c>
    </row>
    <row r="5646" spans="1:7">
      <c r="A5646" t="s">
        <v>144</v>
      </c>
      <c r="B5646" t="s">
        <v>148</v>
      </c>
      <c r="C5646">
        <v>0.25455499999999998</v>
      </c>
    </row>
    <row r="5647" spans="1:7">
      <c r="A5647" t="s">
        <v>144</v>
      </c>
      <c r="B5647" t="s">
        <v>149</v>
      </c>
      <c r="C5647">
        <v>0.25455499999999998</v>
      </c>
    </row>
    <row r="5648" spans="1:7">
      <c r="A5648" t="s">
        <v>144</v>
      </c>
      <c r="B5648" t="s">
        <v>150</v>
      </c>
      <c r="C5648">
        <v>-1</v>
      </c>
    </row>
    <row r="5649" spans="1:7">
      <c r="A5649" t="s">
        <v>144</v>
      </c>
      <c r="B5649" t="s">
        <v>151</v>
      </c>
      <c r="C5649">
        <v>-1</v>
      </c>
    </row>
    <row r="5650" spans="1:7">
      <c r="A5650" t="s">
        <v>144</v>
      </c>
      <c r="B5650" t="s">
        <v>152</v>
      </c>
      <c r="C5650">
        <v>26</v>
      </c>
    </row>
    <row r="5651" spans="1:7">
      <c r="A5651" t="s">
        <v>144</v>
      </c>
      <c r="B5651" t="s">
        <v>153</v>
      </c>
      <c r="C5651">
        <v>26</v>
      </c>
    </row>
    <row r="5652" spans="1:7">
      <c r="A5652" t="s">
        <v>144</v>
      </c>
      <c r="B5652" t="s">
        <v>154</v>
      </c>
      <c r="C5652">
        <v>0</v>
      </c>
    </row>
    <row r="5653" spans="1:7">
      <c r="A5653" t="s">
        <v>144</v>
      </c>
      <c r="B5653" t="s">
        <v>155</v>
      </c>
    </row>
    <row r="5654" spans="1:7">
      <c r="A5654" t="s">
        <v>144</v>
      </c>
      <c r="B5654" t="s">
        <v>150</v>
      </c>
      <c r="C5654">
        <v>0.60307599999999995</v>
      </c>
    </row>
    <row r="5655" spans="1:7">
      <c r="A5655" t="s">
        <v>144</v>
      </c>
      <c r="B5655" t="s">
        <v>151</v>
      </c>
      <c r="C5655">
        <v>0.60307599999999995</v>
      </c>
    </row>
    <row r="5656" spans="1:7">
      <c r="A5656" t="s">
        <v>144</v>
      </c>
      <c r="B5656" t="s">
        <v>156</v>
      </c>
      <c r="C5656" t="s">
        <v>157</v>
      </c>
      <c r="D5656" t="s">
        <v>63</v>
      </c>
      <c r="E5656" t="s">
        <v>158</v>
      </c>
      <c r="F5656" t="s">
        <v>159</v>
      </c>
      <c r="G5656" t="s">
        <v>160</v>
      </c>
    </row>
    <row r="5657" spans="1:7">
      <c r="A5657" t="s">
        <v>144</v>
      </c>
      <c r="B5657">
        <v>89</v>
      </c>
      <c r="C5657">
        <v>0</v>
      </c>
      <c r="D5657">
        <v>0.60307599999999995</v>
      </c>
      <c r="E5657">
        <v>0.76235200000000003</v>
      </c>
      <c r="F5657">
        <v>-1</v>
      </c>
      <c r="G5657">
        <v>0.76235200000000003</v>
      </c>
    </row>
    <row r="5658" spans="1:7">
      <c r="A5658" t="s">
        <v>144</v>
      </c>
      <c r="B5658">
        <v>89</v>
      </c>
      <c r="C5658">
        <v>1</v>
      </c>
      <c r="D5658">
        <v>0.60307599999999995</v>
      </c>
      <c r="E5658">
        <v>-3.4058999999999999E-2</v>
      </c>
      <c r="F5658">
        <v>-1</v>
      </c>
      <c r="G5658">
        <v>-3.4058999999999999E-2</v>
      </c>
    </row>
    <row r="5659" spans="1:7">
      <c r="A5659" t="s">
        <v>144</v>
      </c>
      <c r="B5659">
        <v>89</v>
      </c>
      <c r="C5659">
        <v>2</v>
      </c>
      <c r="D5659">
        <v>0.60307599999999995</v>
      </c>
      <c r="E5659">
        <v>-0.80520000000000003</v>
      </c>
      <c r="F5659">
        <v>-1</v>
      </c>
      <c r="G5659">
        <v>-0.80520000000000003</v>
      </c>
    </row>
    <row r="5660" spans="1:7">
      <c r="A5660" t="s">
        <v>144</v>
      </c>
      <c r="B5660">
        <v>89</v>
      </c>
      <c r="C5660">
        <v>3</v>
      </c>
      <c r="D5660">
        <v>0.60307599999999995</v>
      </c>
      <c r="E5660">
        <v>-0.80501699999999998</v>
      </c>
      <c r="F5660">
        <v>-1</v>
      </c>
      <c r="G5660">
        <v>-0.80501699999999998</v>
      </c>
    </row>
    <row r="5661" spans="1:7">
      <c r="A5661" t="s">
        <v>144</v>
      </c>
      <c r="B5661">
        <v>89</v>
      </c>
      <c r="C5661">
        <v>4</v>
      </c>
      <c r="D5661">
        <v>0.60307599999999995</v>
      </c>
      <c r="E5661">
        <v>0.49977100000000002</v>
      </c>
      <c r="F5661">
        <v>-1</v>
      </c>
      <c r="G5661">
        <v>0.49977100000000002</v>
      </c>
    </row>
    <row r="5662" spans="1:7">
      <c r="A5662" t="s">
        <v>144</v>
      </c>
      <c r="B5662">
        <v>89</v>
      </c>
      <c r="C5662">
        <v>5</v>
      </c>
      <c r="D5662">
        <v>0.60307599999999995</v>
      </c>
      <c r="E5662">
        <v>0.46262999999999999</v>
      </c>
      <c r="F5662">
        <v>-1</v>
      </c>
      <c r="G5662">
        <v>0.46262999999999999</v>
      </c>
    </row>
    <row r="5663" spans="1:7">
      <c r="A5663" t="s">
        <v>144</v>
      </c>
      <c r="B5663">
        <v>89</v>
      </c>
      <c r="C5663">
        <v>6</v>
      </c>
      <c r="D5663">
        <v>0.60307599999999995</v>
      </c>
      <c r="E5663">
        <v>-0.49134800000000001</v>
      </c>
      <c r="F5663">
        <v>-1</v>
      </c>
      <c r="G5663">
        <v>-0.49134800000000001</v>
      </c>
    </row>
    <row r="5664" spans="1:7">
      <c r="A5664" t="s">
        <v>144</v>
      </c>
      <c r="B5664">
        <v>89</v>
      </c>
      <c r="C5664">
        <v>7</v>
      </c>
      <c r="D5664">
        <v>0.60307599999999995</v>
      </c>
      <c r="E5664">
        <v>-0.76882200000000001</v>
      </c>
      <c r="F5664">
        <v>-1</v>
      </c>
      <c r="G5664">
        <v>-0.76882200000000001</v>
      </c>
    </row>
    <row r="5665" spans="1:7">
      <c r="A5665" t="s">
        <v>144</v>
      </c>
      <c r="B5665">
        <v>89</v>
      </c>
      <c r="C5665">
        <v>8</v>
      </c>
      <c r="D5665">
        <v>0.60307599999999995</v>
      </c>
      <c r="E5665">
        <v>0.22339500000000001</v>
      </c>
      <c r="F5665">
        <v>-1</v>
      </c>
      <c r="G5665">
        <v>0.22339500000000001</v>
      </c>
    </row>
    <row r="5666" spans="1:7">
      <c r="A5666" t="s">
        <v>144</v>
      </c>
      <c r="B5666">
        <v>89</v>
      </c>
      <c r="C5666">
        <v>9</v>
      </c>
      <c r="D5666">
        <v>0.60307599999999995</v>
      </c>
      <c r="E5666">
        <v>-0.99700900000000003</v>
      </c>
      <c r="F5666">
        <v>-1</v>
      </c>
      <c r="G5666">
        <v>-0.99700900000000003</v>
      </c>
    </row>
    <row r="5667" spans="1:7">
      <c r="A5667" t="s">
        <v>144</v>
      </c>
      <c r="B5667">
        <v>89</v>
      </c>
      <c r="C5667">
        <v>10</v>
      </c>
      <c r="D5667">
        <v>0.60307599999999995</v>
      </c>
      <c r="E5667">
        <v>0.69701199999999996</v>
      </c>
      <c r="F5667">
        <v>-1</v>
      </c>
      <c r="G5667">
        <v>0.69701199999999996</v>
      </c>
    </row>
    <row r="5668" spans="1:7">
      <c r="A5668" t="s">
        <v>144</v>
      </c>
      <c r="B5668">
        <v>89</v>
      </c>
      <c r="C5668">
        <v>11</v>
      </c>
      <c r="D5668">
        <v>0.60307599999999995</v>
      </c>
      <c r="E5668">
        <v>-1.6754999999999999E-2</v>
      </c>
      <c r="F5668">
        <v>-1</v>
      </c>
      <c r="G5668">
        <v>-1.6754999999999999E-2</v>
      </c>
    </row>
    <row r="5669" spans="1:7">
      <c r="A5669" t="s">
        <v>144</v>
      </c>
      <c r="B5669">
        <v>89</v>
      </c>
      <c r="C5669">
        <v>12</v>
      </c>
      <c r="D5669">
        <v>0.60307599999999995</v>
      </c>
      <c r="E5669">
        <v>-0.48204000000000002</v>
      </c>
      <c r="F5669">
        <v>-1</v>
      </c>
      <c r="G5669">
        <v>-0.48204000000000002</v>
      </c>
    </row>
    <row r="5670" spans="1:7">
      <c r="A5670" t="s">
        <v>144</v>
      </c>
      <c r="B5670">
        <v>89</v>
      </c>
      <c r="C5670">
        <v>13</v>
      </c>
      <c r="D5670">
        <v>0.60307599999999995</v>
      </c>
      <c r="E5670">
        <v>0.64619899999999997</v>
      </c>
      <c r="F5670">
        <v>-1</v>
      </c>
      <c r="G5670">
        <v>0.64619899999999997</v>
      </c>
    </row>
    <row r="5671" spans="1:7">
      <c r="A5671" t="s">
        <v>144</v>
      </c>
      <c r="B5671">
        <v>89</v>
      </c>
      <c r="C5671">
        <v>14</v>
      </c>
      <c r="D5671">
        <v>0.60307599999999995</v>
      </c>
      <c r="E5671">
        <v>-0.13696700000000001</v>
      </c>
      <c r="F5671">
        <v>-1</v>
      </c>
      <c r="G5671">
        <v>-0.13696700000000001</v>
      </c>
    </row>
    <row r="5672" spans="1:7">
      <c r="A5672" t="s">
        <v>144</v>
      </c>
      <c r="B5672">
        <v>89</v>
      </c>
      <c r="C5672">
        <v>15</v>
      </c>
      <c r="D5672">
        <v>0.60307599999999995</v>
      </c>
      <c r="E5672">
        <v>0.67766400000000004</v>
      </c>
      <c r="F5672">
        <v>-1</v>
      </c>
      <c r="G5672">
        <v>0.67766400000000004</v>
      </c>
    </row>
    <row r="5673" spans="1:7">
      <c r="A5673" t="s">
        <v>144</v>
      </c>
      <c r="B5673">
        <v>89</v>
      </c>
      <c r="C5673">
        <v>16</v>
      </c>
      <c r="D5673">
        <v>0.60307599999999995</v>
      </c>
      <c r="E5673">
        <v>-0.69270900000000002</v>
      </c>
      <c r="F5673">
        <v>-1</v>
      </c>
      <c r="G5673">
        <v>-0.69270900000000002</v>
      </c>
    </row>
    <row r="5674" spans="1:7">
      <c r="A5674" t="s">
        <v>144</v>
      </c>
      <c r="B5674">
        <v>89</v>
      </c>
      <c r="C5674">
        <v>17</v>
      </c>
      <c r="D5674">
        <v>0.60307599999999995</v>
      </c>
      <c r="E5674">
        <v>-0.48399300000000001</v>
      </c>
      <c r="F5674">
        <v>-1</v>
      </c>
      <c r="G5674">
        <v>-0.48399300000000001</v>
      </c>
    </row>
    <row r="5675" spans="1:7">
      <c r="A5675" t="s">
        <v>144</v>
      </c>
      <c r="B5675">
        <v>89</v>
      </c>
      <c r="C5675">
        <v>18</v>
      </c>
      <c r="D5675">
        <v>0.60307599999999995</v>
      </c>
      <c r="E5675">
        <v>0.35727999999999999</v>
      </c>
      <c r="F5675">
        <v>-1</v>
      </c>
      <c r="G5675">
        <v>0.35727999999999999</v>
      </c>
    </row>
    <row r="5676" spans="1:7">
      <c r="A5676" t="s">
        <v>144</v>
      </c>
      <c r="B5676">
        <v>89</v>
      </c>
      <c r="C5676">
        <v>19</v>
      </c>
      <c r="D5676">
        <v>0.60307599999999995</v>
      </c>
      <c r="E5676">
        <v>0.61088900000000002</v>
      </c>
      <c r="F5676">
        <v>-1</v>
      </c>
      <c r="G5676">
        <v>0.61088900000000002</v>
      </c>
    </row>
    <row r="5677" spans="1:7">
      <c r="A5677" t="s">
        <v>144</v>
      </c>
      <c r="B5677">
        <v>89</v>
      </c>
      <c r="C5677">
        <v>20</v>
      </c>
      <c r="D5677">
        <v>0.60307599999999995</v>
      </c>
      <c r="E5677">
        <v>9.7720000000000001E-2</v>
      </c>
      <c r="F5677">
        <v>-1</v>
      </c>
      <c r="G5677">
        <v>9.7720000000000001E-2</v>
      </c>
    </row>
    <row r="5678" spans="1:7">
      <c r="A5678" t="s">
        <v>144</v>
      </c>
      <c r="B5678">
        <v>89</v>
      </c>
      <c r="C5678">
        <v>21</v>
      </c>
      <c r="D5678">
        <v>0.60307599999999995</v>
      </c>
      <c r="E5678">
        <v>-0.26187899999999997</v>
      </c>
      <c r="F5678">
        <v>-1</v>
      </c>
      <c r="G5678">
        <v>-0.26187899999999997</v>
      </c>
    </row>
    <row r="5679" spans="1:7">
      <c r="A5679" t="s">
        <v>144</v>
      </c>
      <c r="B5679">
        <v>89</v>
      </c>
      <c r="C5679">
        <v>22</v>
      </c>
      <c r="D5679">
        <v>0.60307599999999995</v>
      </c>
      <c r="E5679">
        <v>0.25467699999999999</v>
      </c>
      <c r="F5679">
        <v>-1</v>
      </c>
      <c r="G5679">
        <v>0.25467699999999999</v>
      </c>
    </row>
    <row r="5680" spans="1:7">
      <c r="A5680" t="s">
        <v>144</v>
      </c>
      <c r="B5680">
        <v>89</v>
      </c>
      <c r="C5680">
        <v>23</v>
      </c>
      <c r="D5680">
        <v>0.60307599999999995</v>
      </c>
      <c r="E5680">
        <v>-8.2185999999999995E-2</v>
      </c>
      <c r="F5680">
        <v>-1</v>
      </c>
      <c r="G5680">
        <v>-8.2185999999999995E-2</v>
      </c>
    </row>
    <row r="5681" spans="1:7">
      <c r="A5681" t="s">
        <v>144</v>
      </c>
      <c r="B5681">
        <v>89</v>
      </c>
      <c r="C5681">
        <v>24</v>
      </c>
      <c r="D5681">
        <v>0.60307599999999995</v>
      </c>
      <c r="E5681">
        <v>0.846858</v>
      </c>
      <c r="F5681">
        <v>-1</v>
      </c>
      <c r="G5681">
        <v>0.846858</v>
      </c>
    </row>
    <row r="5682" spans="1:7">
      <c r="A5682" t="s">
        <v>144</v>
      </c>
      <c r="B5682">
        <v>89</v>
      </c>
      <c r="C5682">
        <v>25</v>
      </c>
      <c r="D5682">
        <v>0.60307599999999995</v>
      </c>
      <c r="E5682">
        <v>0.14755699999999999</v>
      </c>
      <c r="F5682">
        <v>-1</v>
      </c>
      <c r="G5682">
        <v>0.14755699999999999</v>
      </c>
    </row>
    <row r="5683" spans="1:7">
      <c r="A5683" t="s">
        <v>144</v>
      </c>
      <c r="B5683">
        <v>89</v>
      </c>
      <c r="C5683">
        <v>26</v>
      </c>
      <c r="D5683">
        <v>0.60307599999999995</v>
      </c>
      <c r="E5683">
        <v>0.72106099999999995</v>
      </c>
      <c r="F5683">
        <v>0.72160999999999997</v>
      </c>
      <c r="G5683">
        <v>0.721279</v>
      </c>
    </row>
    <row r="5684" spans="1:7">
      <c r="A5684" t="s">
        <v>144</v>
      </c>
      <c r="B5684">
        <v>89</v>
      </c>
      <c r="C5684">
        <v>27</v>
      </c>
      <c r="D5684">
        <v>0.60307599999999995</v>
      </c>
      <c r="E5684">
        <v>0.56453100000000001</v>
      </c>
      <c r="F5684">
        <v>0.34839900000000001</v>
      </c>
      <c r="G5684">
        <v>0.47874299999999997</v>
      </c>
    </row>
    <row r="5685" spans="1:7">
      <c r="A5685" t="s">
        <v>144</v>
      </c>
      <c r="B5685">
        <v>89</v>
      </c>
      <c r="C5685">
        <v>28</v>
      </c>
      <c r="D5685">
        <v>0.60307599999999995</v>
      </c>
      <c r="E5685">
        <v>-0.20413799999999999</v>
      </c>
      <c r="F5685">
        <v>0.87200500000000003</v>
      </c>
      <c r="G5685">
        <v>0.22300900000000001</v>
      </c>
    </row>
    <row r="5686" spans="1:7">
      <c r="A5686" t="s">
        <v>144</v>
      </c>
      <c r="B5686">
        <v>89</v>
      </c>
      <c r="C5686">
        <v>29</v>
      </c>
      <c r="D5686">
        <v>0.60307599999999995</v>
      </c>
      <c r="E5686">
        <v>-0.58815300000000004</v>
      </c>
      <c r="F5686">
        <v>0.53041199999999999</v>
      </c>
      <c r="G5686">
        <v>-0.14416799999999999</v>
      </c>
    </row>
    <row r="5687" spans="1:7">
      <c r="A5687" t="s">
        <v>144</v>
      </c>
      <c r="B5687">
        <v>89</v>
      </c>
      <c r="C5687">
        <v>30</v>
      </c>
      <c r="D5687">
        <v>0.60307599999999995</v>
      </c>
      <c r="E5687">
        <v>0.41319</v>
      </c>
      <c r="F5687">
        <v>-5.463E-3</v>
      </c>
      <c r="G5687">
        <v>0.24701699999999999</v>
      </c>
    </row>
    <row r="5688" spans="1:7">
      <c r="A5688" t="s">
        <v>144</v>
      </c>
      <c r="B5688">
        <v>89</v>
      </c>
      <c r="C5688">
        <v>31</v>
      </c>
      <c r="D5688">
        <v>0.60307599999999995</v>
      </c>
      <c r="E5688">
        <v>-0.66374699999999998</v>
      </c>
      <c r="F5688">
        <v>0.540574</v>
      </c>
      <c r="G5688">
        <v>-0.185723</v>
      </c>
    </row>
    <row r="5689" spans="1:7">
      <c r="A5689" t="s">
        <v>144</v>
      </c>
      <c r="B5689">
        <v>89</v>
      </c>
      <c r="C5689">
        <v>32</v>
      </c>
      <c r="D5689">
        <v>0.60307599999999995</v>
      </c>
      <c r="E5689">
        <v>0.88015399999999999</v>
      </c>
      <c r="F5689">
        <v>-0.539628</v>
      </c>
      <c r="G5689">
        <v>0.31660899999999997</v>
      </c>
    </row>
    <row r="5690" spans="1:7">
      <c r="A5690" t="s">
        <v>144</v>
      </c>
      <c r="B5690">
        <v>89</v>
      </c>
      <c r="C5690">
        <v>33</v>
      </c>
      <c r="D5690">
        <v>0.60307599999999995</v>
      </c>
      <c r="E5690">
        <v>-0.29844100000000001</v>
      </c>
      <c r="F5690">
        <v>0.809809</v>
      </c>
      <c r="G5690">
        <v>0.14144999999999999</v>
      </c>
    </row>
    <row r="5691" spans="1:7">
      <c r="A5691" t="s">
        <v>144</v>
      </c>
      <c r="B5691">
        <v>89</v>
      </c>
      <c r="C5691">
        <v>34</v>
      </c>
      <c r="D5691">
        <v>0.60307599999999995</v>
      </c>
      <c r="E5691">
        <v>0.64711399999999997</v>
      </c>
      <c r="F5691">
        <v>-0.40867300000000001</v>
      </c>
      <c r="G5691">
        <v>0.228047</v>
      </c>
    </row>
    <row r="5692" spans="1:7">
      <c r="A5692" t="s">
        <v>144</v>
      </c>
      <c r="B5692">
        <v>89</v>
      </c>
      <c r="C5692">
        <v>35</v>
      </c>
      <c r="D5692">
        <v>0.60307599999999995</v>
      </c>
      <c r="E5692">
        <v>-0.169378</v>
      </c>
      <c r="F5692">
        <v>-0.2472</v>
      </c>
      <c r="G5692">
        <v>-0.200267</v>
      </c>
    </row>
    <row r="5693" spans="1:7">
      <c r="A5693" t="s">
        <v>144</v>
      </c>
      <c r="B5693">
        <v>89</v>
      </c>
      <c r="C5693">
        <v>36</v>
      </c>
      <c r="D5693">
        <v>0.60307599999999995</v>
      </c>
      <c r="E5693">
        <v>-0.48872300000000002</v>
      </c>
      <c r="F5693">
        <v>-0.30338500000000002</v>
      </c>
      <c r="G5693">
        <v>-0.41515800000000003</v>
      </c>
    </row>
    <row r="5694" spans="1:7">
      <c r="A5694" t="s">
        <v>144</v>
      </c>
      <c r="B5694">
        <v>89</v>
      </c>
      <c r="C5694">
        <v>37</v>
      </c>
      <c r="D5694">
        <v>0.60307599999999995</v>
      </c>
      <c r="E5694">
        <v>0.37418699999999999</v>
      </c>
      <c r="F5694">
        <v>0.64888500000000005</v>
      </c>
      <c r="G5694">
        <v>0.48322100000000001</v>
      </c>
    </row>
    <row r="5695" spans="1:7">
      <c r="A5695" t="s">
        <v>144</v>
      </c>
      <c r="B5695">
        <v>89</v>
      </c>
      <c r="C5695">
        <v>38</v>
      </c>
      <c r="D5695">
        <v>0.60307599999999995</v>
      </c>
      <c r="E5695">
        <v>-0.41764600000000002</v>
      </c>
      <c r="F5695">
        <v>0.60042099999999998</v>
      </c>
      <c r="G5695">
        <v>-1.3551000000000001E-2</v>
      </c>
    </row>
    <row r="5696" spans="1:7">
      <c r="A5696" t="s">
        <v>144</v>
      </c>
      <c r="B5696">
        <v>89</v>
      </c>
      <c r="C5696">
        <v>39</v>
      </c>
      <c r="D5696">
        <v>0.60307599999999995</v>
      </c>
      <c r="E5696">
        <v>-0.23053699999999999</v>
      </c>
      <c r="F5696">
        <v>-0.311747</v>
      </c>
      <c r="G5696">
        <v>-0.26277099999999998</v>
      </c>
    </row>
    <row r="5697" spans="1:7">
      <c r="A5697" t="s">
        <v>144</v>
      </c>
      <c r="B5697">
        <v>89</v>
      </c>
      <c r="C5697">
        <v>40</v>
      </c>
      <c r="D5697">
        <v>0.60307599999999995</v>
      </c>
      <c r="E5697">
        <v>0.12933700000000001</v>
      </c>
      <c r="F5697">
        <v>-0.13727200000000001</v>
      </c>
      <c r="G5697">
        <v>2.3514E-2</v>
      </c>
    </row>
    <row r="5698" spans="1:7">
      <c r="A5698" t="s">
        <v>144</v>
      </c>
      <c r="B5698">
        <v>89</v>
      </c>
      <c r="C5698">
        <v>41</v>
      </c>
      <c r="D5698">
        <v>0.60307599999999995</v>
      </c>
      <c r="E5698">
        <v>0.53047299999999997</v>
      </c>
      <c r="F5698">
        <v>-0.25882699999999997</v>
      </c>
      <c r="G5698">
        <v>0.21718100000000001</v>
      </c>
    </row>
    <row r="5699" spans="1:7">
      <c r="A5699" t="s">
        <v>144</v>
      </c>
      <c r="B5699">
        <v>89</v>
      </c>
      <c r="C5699">
        <v>42</v>
      </c>
      <c r="D5699">
        <v>0.60307599999999995</v>
      </c>
      <c r="E5699">
        <v>0.54301600000000005</v>
      </c>
      <c r="F5699">
        <v>0.48933399999999999</v>
      </c>
      <c r="G5699">
        <v>0.52170799999999995</v>
      </c>
    </row>
    <row r="5700" spans="1:7">
      <c r="A5700" t="s">
        <v>144</v>
      </c>
      <c r="B5700">
        <v>89</v>
      </c>
      <c r="C5700">
        <v>43</v>
      </c>
      <c r="D5700">
        <v>0.60307599999999995</v>
      </c>
      <c r="E5700">
        <v>0.65654500000000005</v>
      </c>
      <c r="F5700">
        <v>-0.98208600000000001</v>
      </c>
      <c r="G5700">
        <v>6.1330000000000004E-3</v>
      </c>
    </row>
    <row r="5701" spans="1:7">
      <c r="A5701" t="s">
        <v>144</v>
      </c>
      <c r="B5701">
        <v>89</v>
      </c>
      <c r="C5701">
        <v>44</v>
      </c>
      <c r="D5701">
        <v>0.60307599999999995</v>
      </c>
      <c r="E5701">
        <v>9.3936000000000006E-2</v>
      </c>
      <c r="F5701">
        <v>0.905026</v>
      </c>
      <c r="G5701">
        <v>0.415877</v>
      </c>
    </row>
    <row r="5702" spans="1:7">
      <c r="A5702" t="s">
        <v>144</v>
      </c>
      <c r="B5702">
        <v>89</v>
      </c>
      <c r="C5702">
        <v>45</v>
      </c>
      <c r="D5702">
        <v>0.60307599999999995</v>
      </c>
      <c r="E5702">
        <v>-0.46488800000000002</v>
      </c>
      <c r="F5702">
        <v>0.10886</v>
      </c>
      <c r="G5702">
        <v>-0.237154</v>
      </c>
    </row>
    <row r="5703" spans="1:7">
      <c r="A5703" t="s">
        <v>144</v>
      </c>
      <c r="B5703">
        <v>89</v>
      </c>
      <c r="C5703">
        <v>46</v>
      </c>
      <c r="D5703">
        <v>0.60307599999999995</v>
      </c>
      <c r="E5703">
        <v>0.93441600000000002</v>
      </c>
      <c r="F5703">
        <v>0.55543699999999996</v>
      </c>
      <c r="G5703">
        <v>0.78398999999999996</v>
      </c>
    </row>
    <row r="5704" spans="1:7">
      <c r="A5704" t="s">
        <v>144</v>
      </c>
      <c r="B5704">
        <v>89</v>
      </c>
      <c r="C5704">
        <v>47</v>
      </c>
      <c r="D5704">
        <v>0.60307599999999995</v>
      </c>
      <c r="E5704">
        <v>-0.34278399999999998</v>
      </c>
      <c r="F5704">
        <v>-0.89880099999999996</v>
      </c>
      <c r="G5704">
        <v>-0.56347999999999998</v>
      </c>
    </row>
    <row r="5705" spans="1:7">
      <c r="A5705" t="s">
        <v>144</v>
      </c>
      <c r="B5705">
        <v>89</v>
      </c>
      <c r="C5705">
        <v>48</v>
      </c>
      <c r="D5705">
        <v>0.60307599999999995</v>
      </c>
      <c r="E5705">
        <v>-0.69893499999999997</v>
      </c>
      <c r="F5705">
        <v>0.25467699999999999</v>
      </c>
      <c r="G5705">
        <v>-0.32042399999999999</v>
      </c>
    </row>
    <row r="5706" spans="1:7">
      <c r="A5706" t="s">
        <v>144</v>
      </c>
      <c r="B5706">
        <v>89</v>
      </c>
      <c r="C5706">
        <v>49</v>
      </c>
      <c r="D5706">
        <v>0.60307599999999995</v>
      </c>
      <c r="E5706">
        <v>-0.34580499999999997</v>
      </c>
      <c r="F5706">
        <v>0.97677499999999995</v>
      </c>
      <c r="G5706">
        <v>0.17915800000000001</v>
      </c>
    </row>
    <row r="5707" spans="1:7">
      <c r="A5707" t="s">
        <v>144</v>
      </c>
      <c r="B5707" t="s">
        <v>145</v>
      </c>
      <c r="C5707">
        <v>90</v>
      </c>
    </row>
    <row r="5708" spans="1:7">
      <c r="A5708" t="s">
        <v>144</v>
      </c>
      <c r="B5708" t="s">
        <v>146</v>
      </c>
      <c r="C5708">
        <v>38</v>
      </c>
    </row>
    <row r="5709" spans="1:7">
      <c r="A5709" t="s">
        <v>144</v>
      </c>
      <c r="B5709" t="s">
        <v>147</v>
      </c>
      <c r="C5709">
        <v>38</v>
      </c>
    </row>
    <row r="5710" spans="1:7">
      <c r="A5710" t="s">
        <v>144</v>
      </c>
      <c r="B5710" t="s">
        <v>148</v>
      </c>
      <c r="C5710">
        <v>0.43046400000000001</v>
      </c>
    </row>
    <row r="5711" spans="1:7">
      <c r="A5711" t="s">
        <v>144</v>
      </c>
      <c r="B5711" t="s">
        <v>149</v>
      </c>
      <c r="C5711">
        <v>0.43046400000000001</v>
      </c>
    </row>
    <row r="5712" spans="1:7">
      <c r="A5712" t="s">
        <v>144</v>
      </c>
      <c r="B5712" t="s">
        <v>150</v>
      </c>
      <c r="C5712">
        <v>-1</v>
      </c>
    </row>
    <row r="5713" spans="1:7">
      <c r="A5713" t="s">
        <v>144</v>
      </c>
      <c r="B5713" t="s">
        <v>151</v>
      </c>
      <c r="C5713">
        <v>-1</v>
      </c>
    </row>
    <row r="5714" spans="1:7">
      <c r="A5714" t="s">
        <v>144</v>
      </c>
      <c r="B5714" t="s">
        <v>152</v>
      </c>
      <c r="C5714">
        <v>35</v>
      </c>
    </row>
    <row r="5715" spans="1:7">
      <c r="A5715" t="s">
        <v>144</v>
      </c>
      <c r="B5715" t="s">
        <v>153</v>
      </c>
      <c r="C5715">
        <v>35</v>
      </c>
    </row>
    <row r="5716" spans="1:7">
      <c r="A5716" t="s">
        <v>144</v>
      </c>
      <c r="B5716" t="s">
        <v>154</v>
      </c>
      <c r="C5716">
        <v>0</v>
      </c>
    </row>
    <row r="5717" spans="1:7">
      <c r="A5717" t="s">
        <v>144</v>
      </c>
      <c r="B5717" t="s">
        <v>155</v>
      </c>
    </row>
    <row r="5718" spans="1:7">
      <c r="A5718" t="s">
        <v>144</v>
      </c>
      <c r="B5718" t="s">
        <v>150</v>
      </c>
      <c r="C5718">
        <v>0.25583699999999998</v>
      </c>
    </row>
    <row r="5719" spans="1:7">
      <c r="A5719" t="s">
        <v>144</v>
      </c>
      <c r="B5719" t="s">
        <v>151</v>
      </c>
      <c r="C5719">
        <v>0.25583699999999998</v>
      </c>
    </row>
    <row r="5720" spans="1:7">
      <c r="A5720" t="s">
        <v>144</v>
      </c>
      <c r="B5720" t="s">
        <v>156</v>
      </c>
      <c r="C5720" t="s">
        <v>157</v>
      </c>
      <c r="D5720" t="s">
        <v>63</v>
      </c>
      <c r="E5720" t="s">
        <v>158</v>
      </c>
      <c r="F5720" t="s">
        <v>159</v>
      </c>
      <c r="G5720" t="s">
        <v>160</v>
      </c>
    </row>
    <row r="5721" spans="1:7">
      <c r="A5721" t="s">
        <v>144</v>
      </c>
      <c r="B5721">
        <v>90</v>
      </c>
      <c r="C5721">
        <v>0</v>
      </c>
      <c r="D5721">
        <v>0.25583699999999998</v>
      </c>
      <c r="E5721">
        <v>-0.17041500000000001</v>
      </c>
      <c r="F5721">
        <v>-1</v>
      </c>
      <c r="G5721">
        <v>-0.17041500000000001</v>
      </c>
    </row>
    <row r="5722" spans="1:7">
      <c r="A5722" t="s">
        <v>144</v>
      </c>
      <c r="B5722">
        <v>90</v>
      </c>
      <c r="C5722">
        <v>1</v>
      </c>
      <c r="D5722">
        <v>0.25583699999999998</v>
      </c>
      <c r="E5722">
        <v>-0.80849599999999999</v>
      </c>
      <c r="F5722">
        <v>-1</v>
      </c>
      <c r="G5722">
        <v>-0.80849599999999999</v>
      </c>
    </row>
    <row r="5723" spans="1:7">
      <c r="A5723" t="s">
        <v>144</v>
      </c>
      <c r="B5723">
        <v>90</v>
      </c>
      <c r="C5723">
        <v>2</v>
      </c>
      <c r="D5723">
        <v>0.25583699999999998</v>
      </c>
      <c r="E5723">
        <v>-0.53370799999999996</v>
      </c>
      <c r="F5723">
        <v>-1</v>
      </c>
      <c r="G5723">
        <v>-0.53370799999999996</v>
      </c>
    </row>
    <row r="5724" spans="1:7">
      <c r="A5724" t="s">
        <v>144</v>
      </c>
      <c r="B5724">
        <v>90</v>
      </c>
      <c r="C5724">
        <v>3</v>
      </c>
      <c r="D5724">
        <v>0.25583699999999998</v>
      </c>
      <c r="E5724">
        <v>0.78423399999999999</v>
      </c>
      <c r="F5724">
        <v>-1</v>
      </c>
      <c r="G5724">
        <v>0.78423399999999999</v>
      </c>
    </row>
    <row r="5725" spans="1:7">
      <c r="A5725" t="s">
        <v>144</v>
      </c>
      <c r="B5725">
        <v>90</v>
      </c>
      <c r="C5725">
        <v>4</v>
      </c>
      <c r="D5725">
        <v>0.25583699999999998</v>
      </c>
      <c r="E5725">
        <v>-0.46085999999999999</v>
      </c>
      <c r="F5725">
        <v>-1</v>
      </c>
      <c r="G5725">
        <v>-0.46085999999999999</v>
      </c>
    </row>
    <row r="5726" spans="1:7">
      <c r="A5726" t="s">
        <v>144</v>
      </c>
      <c r="B5726">
        <v>90</v>
      </c>
      <c r="C5726">
        <v>5</v>
      </c>
      <c r="D5726">
        <v>0.25583699999999998</v>
      </c>
      <c r="E5726">
        <v>-0.539964</v>
      </c>
      <c r="F5726">
        <v>-1</v>
      </c>
      <c r="G5726">
        <v>-0.539964</v>
      </c>
    </row>
    <row r="5727" spans="1:7">
      <c r="A5727" t="s">
        <v>144</v>
      </c>
      <c r="B5727">
        <v>90</v>
      </c>
      <c r="C5727">
        <v>6</v>
      </c>
      <c r="D5727">
        <v>0.25583699999999998</v>
      </c>
      <c r="E5727">
        <v>-0.87725500000000001</v>
      </c>
      <c r="F5727">
        <v>-1</v>
      </c>
      <c r="G5727">
        <v>-0.87725500000000001</v>
      </c>
    </row>
    <row r="5728" spans="1:7">
      <c r="A5728" t="s">
        <v>144</v>
      </c>
      <c r="B5728">
        <v>90</v>
      </c>
      <c r="C5728">
        <v>7</v>
      </c>
      <c r="D5728">
        <v>0.25583699999999998</v>
      </c>
      <c r="E5728">
        <v>4.5045000000000002E-2</v>
      </c>
      <c r="F5728">
        <v>-1</v>
      </c>
      <c r="G5728">
        <v>4.5045000000000002E-2</v>
      </c>
    </row>
    <row r="5729" spans="1:7">
      <c r="A5729" t="s">
        <v>144</v>
      </c>
      <c r="B5729">
        <v>90</v>
      </c>
      <c r="C5729">
        <v>8</v>
      </c>
      <c r="D5729">
        <v>0.25583699999999998</v>
      </c>
      <c r="E5729">
        <v>0.281198</v>
      </c>
      <c r="F5729">
        <v>-1</v>
      </c>
      <c r="G5729">
        <v>0.281198</v>
      </c>
    </row>
    <row r="5730" spans="1:7">
      <c r="A5730" t="s">
        <v>144</v>
      </c>
      <c r="B5730">
        <v>90</v>
      </c>
      <c r="C5730">
        <v>9</v>
      </c>
      <c r="D5730">
        <v>0.25583699999999998</v>
      </c>
      <c r="E5730">
        <v>0.75456999999999996</v>
      </c>
      <c r="F5730">
        <v>-1</v>
      </c>
      <c r="G5730">
        <v>0.75456999999999996</v>
      </c>
    </row>
    <row r="5731" spans="1:7">
      <c r="A5731" t="s">
        <v>144</v>
      </c>
      <c r="B5731">
        <v>90</v>
      </c>
      <c r="C5731">
        <v>10</v>
      </c>
      <c r="D5731">
        <v>0.25583699999999998</v>
      </c>
      <c r="E5731">
        <v>-0.49577300000000002</v>
      </c>
      <c r="F5731">
        <v>-1</v>
      </c>
      <c r="G5731">
        <v>-0.49577300000000002</v>
      </c>
    </row>
    <row r="5732" spans="1:7">
      <c r="A5732" t="s">
        <v>144</v>
      </c>
      <c r="B5732">
        <v>90</v>
      </c>
      <c r="C5732">
        <v>11</v>
      </c>
      <c r="D5732">
        <v>0.25583699999999998</v>
      </c>
      <c r="E5732">
        <v>-0.62352399999999997</v>
      </c>
      <c r="F5732">
        <v>-1</v>
      </c>
      <c r="G5732">
        <v>-0.62352399999999997</v>
      </c>
    </row>
    <row r="5733" spans="1:7">
      <c r="A5733" t="s">
        <v>144</v>
      </c>
      <c r="B5733">
        <v>90</v>
      </c>
      <c r="C5733">
        <v>12</v>
      </c>
      <c r="D5733">
        <v>0.25583699999999998</v>
      </c>
      <c r="E5733">
        <v>-4.7121000000000003E-2</v>
      </c>
      <c r="F5733">
        <v>-1</v>
      </c>
      <c r="G5733">
        <v>-4.7121000000000003E-2</v>
      </c>
    </row>
    <row r="5734" spans="1:7">
      <c r="A5734" t="s">
        <v>144</v>
      </c>
      <c r="B5734">
        <v>90</v>
      </c>
      <c r="C5734">
        <v>13</v>
      </c>
      <c r="D5734">
        <v>0.25583699999999998</v>
      </c>
      <c r="E5734">
        <v>0.76390899999999995</v>
      </c>
      <c r="F5734">
        <v>-1</v>
      </c>
      <c r="G5734">
        <v>0.76390899999999995</v>
      </c>
    </row>
    <row r="5735" spans="1:7">
      <c r="A5735" t="s">
        <v>144</v>
      </c>
      <c r="B5735">
        <v>90</v>
      </c>
      <c r="C5735">
        <v>14</v>
      </c>
      <c r="D5735">
        <v>0.25583699999999998</v>
      </c>
      <c r="E5735">
        <v>-0.32645600000000002</v>
      </c>
      <c r="F5735">
        <v>-1</v>
      </c>
      <c r="G5735">
        <v>-0.32645600000000002</v>
      </c>
    </row>
    <row r="5736" spans="1:7">
      <c r="A5736" t="s">
        <v>144</v>
      </c>
      <c r="B5736">
        <v>90</v>
      </c>
      <c r="C5736">
        <v>15</v>
      </c>
      <c r="D5736">
        <v>0.25583699999999998</v>
      </c>
      <c r="E5736">
        <v>-0.15009</v>
      </c>
      <c r="F5736">
        <v>-1</v>
      </c>
      <c r="G5736">
        <v>-0.15009</v>
      </c>
    </row>
    <row r="5737" spans="1:7">
      <c r="A5737" t="s">
        <v>144</v>
      </c>
      <c r="B5737">
        <v>90</v>
      </c>
      <c r="C5737">
        <v>16</v>
      </c>
      <c r="D5737">
        <v>0.25583699999999998</v>
      </c>
      <c r="E5737">
        <v>0.191076</v>
      </c>
      <c r="F5737">
        <v>-1</v>
      </c>
      <c r="G5737">
        <v>0.191076</v>
      </c>
    </row>
    <row r="5738" spans="1:7">
      <c r="A5738" t="s">
        <v>144</v>
      </c>
      <c r="B5738">
        <v>90</v>
      </c>
      <c r="C5738">
        <v>17</v>
      </c>
      <c r="D5738">
        <v>0.25583699999999998</v>
      </c>
      <c r="E5738">
        <v>-0.28000700000000001</v>
      </c>
      <c r="F5738">
        <v>-1</v>
      </c>
      <c r="G5738">
        <v>-0.28000700000000001</v>
      </c>
    </row>
    <row r="5739" spans="1:7">
      <c r="A5739" t="s">
        <v>144</v>
      </c>
      <c r="B5739">
        <v>90</v>
      </c>
      <c r="C5739">
        <v>18</v>
      </c>
      <c r="D5739">
        <v>0.25583699999999998</v>
      </c>
      <c r="E5739">
        <v>-0.16122900000000001</v>
      </c>
      <c r="F5739">
        <v>-1</v>
      </c>
      <c r="G5739">
        <v>-0.16122900000000001</v>
      </c>
    </row>
    <row r="5740" spans="1:7">
      <c r="A5740" t="s">
        <v>144</v>
      </c>
      <c r="B5740">
        <v>90</v>
      </c>
      <c r="C5740">
        <v>19</v>
      </c>
      <c r="D5740">
        <v>0.25583699999999998</v>
      </c>
      <c r="E5740">
        <v>0.19684399999999999</v>
      </c>
      <c r="F5740">
        <v>-1</v>
      </c>
      <c r="G5740">
        <v>0.19684399999999999</v>
      </c>
    </row>
    <row r="5741" spans="1:7">
      <c r="A5741" t="s">
        <v>144</v>
      </c>
      <c r="B5741">
        <v>90</v>
      </c>
      <c r="C5741">
        <v>20</v>
      </c>
      <c r="D5741">
        <v>0.25583699999999998</v>
      </c>
      <c r="E5741">
        <v>-0.86919800000000003</v>
      </c>
      <c r="F5741">
        <v>-1</v>
      </c>
      <c r="G5741">
        <v>-0.86919800000000003</v>
      </c>
    </row>
    <row r="5742" spans="1:7">
      <c r="A5742" t="s">
        <v>144</v>
      </c>
      <c r="B5742">
        <v>90</v>
      </c>
      <c r="C5742">
        <v>21</v>
      </c>
      <c r="D5742">
        <v>0.25583699999999998</v>
      </c>
      <c r="E5742">
        <v>0.77889299999999995</v>
      </c>
      <c r="F5742">
        <v>-1</v>
      </c>
      <c r="G5742">
        <v>0.77889299999999995</v>
      </c>
    </row>
    <row r="5743" spans="1:7">
      <c r="A5743" t="s">
        <v>144</v>
      </c>
      <c r="B5743">
        <v>90</v>
      </c>
      <c r="C5743">
        <v>22</v>
      </c>
      <c r="D5743">
        <v>0.25583699999999998</v>
      </c>
      <c r="E5743">
        <v>-0.91607400000000005</v>
      </c>
      <c r="F5743">
        <v>-1</v>
      </c>
      <c r="G5743">
        <v>-0.91607400000000005</v>
      </c>
    </row>
    <row r="5744" spans="1:7">
      <c r="A5744" t="s">
        <v>144</v>
      </c>
      <c r="B5744">
        <v>90</v>
      </c>
      <c r="C5744">
        <v>23</v>
      </c>
      <c r="D5744">
        <v>0.25583699999999998</v>
      </c>
      <c r="E5744">
        <v>0.70308499999999996</v>
      </c>
      <c r="F5744">
        <v>-1</v>
      </c>
      <c r="G5744">
        <v>0.70308499999999996</v>
      </c>
    </row>
    <row r="5745" spans="1:7">
      <c r="A5745" t="s">
        <v>144</v>
      </c>
      <c r="B5745">
        <v>90</v>
      </c>
      <c r="C5745">
        <v>24</v>
      </c>
      <c r="D5745">
        <v>0.25583699999999998</v>
      </c>
      <c r="E5745">
        <v>-0.79348099999999999</v>
      </c>
      <c r="F5745">
        <v>-1</v>
      </c>
      <c r="G5745">
        <v>-0.79348099999999999</v>
      </c>
    </row>
    <row r="5746" spans="1:7">
      <c r="A5746" t="s">
        <v>144</v>
      </c>
      <c r="B5746">
        <v>90</v>
      </c>
      <c r="C5746">
        <v>25</v>
      </c>
      <c r="D5746">
        <v>0.25583699999999998</v>
      </c>
      <c r="E5746">
        <v>-0.98849500000000001</v>
      </c>
      <c r="F5746">
        <v>-1</v>
      </c>
      <c r="G5746">
        <v>-0.98849500000000001</v>
      </c>
    </row>
    <row r="5747" spans="1:7">
      <c r="A5747" t="s">
        <v>144</v>
      </c>
      <c r="B5747">
        <v>90</v>
      </c>
      <c r="C5747">
        <v>26</v>
      </c>
      <c r="D5747">
        <v>0.25583699999999998</v>
      </c>
      <c r="E5747">
        <v>-2.5635999999999999E-2</v>
      </c>
      <c r="F5747">
        <v>-1</v>
      </c>
      <c r="G5747">
        <v>-2.5635999999999999E-2</v>
      </c>
    </row>
    <row r="5748" spans="1:7">
      <c r="A5748" t="s">
        <v>144</v>
      </c>
      <c r="B5748">
        <v>90</v>
      </c>
      <c r="C5748">
        <v>27</v>
      </c>
      <c r="D5748">
        <v>0.25583699999999998</v>
      </c>
      <c r="E5748">
        <v>0.52626099999999998</v>
      </c>
      <c r="F5748">
        <v>-1</v>
      </c>
      <c r="G5748">
        <v>0.52626099999999998</v>
      </c>
    </row>
    <row r="5749" spans="1:7">
      <c r="A5749" t="s">
        <v>144</v>
      </c>
      <c r="B5749">
        <v>90</v>
      </c>
      <c r="C5749">
        <v>28</v>
      </c>
      <c r="D5749">
        <v>0.25583699999999998</v>
      </c>
      <c r="E5749">
        <v>-0.188665</v>
      </c>
      <c r="F5749">
        <v>-1</v>
      </c>
      <c r="G5749">
        <v>-0.188665</v>
      </c>
    </row>
    <row r="5750" spans="1:7">
      <c r="A5750" t="s">
        <v>144</v>
      </c>
      <c r="B5750">
        <v>90</v>
      </c>
      <c r="C5750">
        <v>29</v>
      </c>
      <c r="D5750">
        <v>0.25583699999999998</v>
      </c>
      <c r="E5750">
        <v>0.50215200000000004</v>
      </c>
      <c r="F5750">
        <v>-1</v>
      </c>
      <c r="G5750">
        <v>0.50215200000000004</v>
      </c>
    </row>
    <row r="5751" spans="1:7">
      <c r="A5751" t="s">
        <v>144</v>
      </c>
      <c r="B5751">
        <v>90</v>
      </c>
      <c r="C5751">
        <v>30</v>
      </c>
      <c r="D5751">
        <v>0.25583699999999998</v>
      </c>
      <c r="E5751">
        <v>0.96285900000000002</v>
      </c>
      <c r="F5751">
        <v>-1</v>
      </c>
      <c r="G5751">
        <v>0.96285900000000002</v>
      </c>
    </row>
    <row r="5752" spans="1:7">
      <c r="A5752" t="s">
        <v>144</v>
      </c>
      <c r="B5752">
        <v>90</v>
      </c>
      <c r="C5752">
        <v>31</v>
      </c>
      <c r="D5752">
        <v>0.25583699999999998</v>
      </c>
      <c r="E5752">
        <v>-0.11771</v>
      </c>
      <c r="F5752">
        <v>-1</v>
      </c>
      <c r="G5752">
        <v>-0.11771</v>
      </c>
    </row>
    <row r="5753" spans="1:7">
      <c r="A5753" t="s">
        <v>144</v>
      </c>
      <c r="B5753">
        <v>90</v>
      </c>
      <c r="C5753">
        <v>32</v>
      </c>
      <c r="D5753">
        <v>0.25583699999999998</v>
      </c>
      <c r="E5753">
        <v>0.87444699999999997</v>
      </c>
      <c r="F5753">
        <v>-1</v>
      </c>
      <c r="G5753">
        <v>0.87444699999999997</v>
      </c>
    </row>
    <row r="5754" spans="1:7">
      <c r="A5754" t="s">
        <v>144</v>
      </c>
      <c r="B5754">
        <v>90</v>
      </c>
      <c r="C5754">
        <v>33</v>
      </c>
      <c r="D5754">
        <v>0.25583699999999998</v>
      </c>
      <c r="E5754">
        <v>-0.51686100000000001</v>
      </c>
      <c r="F5754">
        <v>-1</v>
      </c>
      <c r="G5754">
        <v>-0.51686100000000001</v>
      </c>
    </row>
    <row r="5755" spans="1:7">
      <c r="A5755" t="s">
        <v>144</v>
      </c>
      <c r="B5755">
        <v>90</v>
      </c>
      <c r="C5755">
        <v>34</v>
      </c>
      <c r="D5755">
        <v>0.25583699999999998</v>
      </c>
      <c r="E5755">
        <v>0.883328</v>
      </c>
      <c r="F5755">
        <v>-1</v>
      </c>
      <c r="G5755">
        <v>0.883328</v>
      </c>
    </row>
    <row r="5756" spans="1:7">
      <c r="A5756" t="s">
        <v>144</v>
      </c>
      <c r="B5756">
        <v>90</v>
      </c>
      <c r="C5756">
        <v>35</v>
      </c>
      <c r="D5756">
        <v>0.25583699999999998</v>
      </c>
      <c r="E5756">
        <v>-0.323405</v>
      </c>
      <c r="F5756">
        <v>-4.6387999999999999E-2</v>
      </c>
      <c r="G5756">
        <v>-0.117259</v>
      </c>
    </row>
    <row r="5757" spans="1:7">
      <c r="A5757" t="s">
        <v>144</v>
      </c>
      <c r="B5757">
        <v>90</v>
      </c>
      <c r="C5757">
        <v>36</v>
      </c>
      <c r="D5757">
        <v>0.25583699999999998</v>
      </c>
      <c r="E5757">
        <v>0.47227400000000003</v>
      </c>
      <c r="F5757">
        <v>0.86651199999999995</v>
      </c>
      <c r="G5757">
        <v>0.765652</v>
      </c>
    </row>
    <row r="5758" spans="1:7">
      <c r="A5758" t="s">
        <v>144</v>
      </c>
      <c r="B5758">
        <v>90</v>
      </c>
      <c r="C5758">
        <v>37</v>
      </c>
      <c r="D5758">
        <v>0.25583699999999998</v>
      </c>
      <c r="E5758">
        <v>0.69649300000000003</v>
      </c>
      <c r="F5758">
        <v>0.635548</v>
      </c>
      <c r="G5758">
        <v>0.65114000000000005</v>
      </c>
    </row>
    <row r="5759" spans="1:7">
      <c r="A5759" t="s">
        <v>144</v>
      </c>
      <c r="B5759">
        <v>90</v>
      </c>
      <c r="C5759">
        <v>38</v>
      </c>
      <c r="D5759">
        <v>0.25583699999999998</v>
      </c>
      <c r="E5759">
        <v>0.39494000000000001</v>
      </c>
      <c r="F5759">
        <v>2.3834999999999999E-2</v>
      </c>
      <c r="G5759">
        <v>0.11877699999999999</v>
      </c>
    </row>
    <row r="5760" spans="1:7">
      <c r="A5760" t="s">
        <v>144</v>
      </c>
      <c r="B5760">
        <v>90</v>
      </c>
      <c r="C5760">
        <v>39</v>
      </c>
      <c r="D5760">
        <v>0.25583699999999998</v>
      </c>
      <c r="E5760">
        <v>-0.30970199999999998</v>
      </c>
      <c r="F5760">
        <v>0.473769</v>
      </c>
      <c r="G5760">
        <v>0.27332899999999999</v>
      </c>
    </row>
    <row r="5761" spans="1:7">
      <c r="A5761" t="s">
        <v>144</v>
      </c>
      <c r="B5761">
        <v>90</v>
      </c>
      <c r="C5761">
        <v>40</v>
      </c>
      <c r="D5761">
        <v>0.25583699999999998</v>
      </c>
      <c r="E5761">
        <v>-0.73763199999999995</v>
      </c>
      <c r="F5761">
        <v>-0.90463000000000005</v>
      </c>
      <c r="G5761">
        <v>-0.86190599999999995</v>
      </c>
    </row>
    <row r="5762" spans="1:7">
      <c r="A5762" t="s">
        <v>144</v>
      </c>
      <c r="B5762">
        <v>90</v>
      </c>
      <c r="C5762">
        <v>41</v>
      </c>
      <c r="D5762">
        <v>0.25583699999999998</v>
      </c>
      <c r="E5762">
        <v>-0.160161</v>
      </c>
      <c r="F5762">
        <v>0.28333399999999997</v>
      </c>
      <c r="G5762">
        <v>0.169872</v>
      </c>
    </row>
    <row r="5763" spans="1:7">
      <c r="A5763" t="s">
        <v>144</v>
      </c>
      <c r="B5763">
        <v>90</v>
      </c>
      <c r="C5763">
        <v>42</v>
      </c>
      <c r="D5763">
        <v>0.25583699999999998</v>
      </c>
      <c r="E5763">
        <v>-0.45240599999999997</v>
      </c>
      <c r="F5763">
        <v>-0.79949300000000001</v>
      </c>
      <c r="G5763">
        <v>-0.71069599999999999</v>
      </c>
    </row>
    <row r="5764" spans="1:7">
      <c r="A5764" t="s">
        <v>144</v>
      </c>
      <c r="B5764">
        <v>90</v>
      </c>
      <c r="C5764">
        <v>43</v>
      </c>
      <c r="D5764">
        <v>0.25583699999999998</v>
      </c>
      <c r="E5764">
        <v>0.61424599999999996</v>
      </c>
      <c r="F5764">
        <v>-0.79100899999999996</v>
      </c>
      <c r="G5764">
        <v>-0.43149300000000002</v>
      </c>
    </row>
    <row r="5765" spans="1:7">
      <c r="A5765" t="s">
        <v>144</v>
      </c>
      <c r="B5765">
        <v>90</v>
      </c>
      <c r="C5765">
        <v>44</v>
      </c>
      <c r="D5765">
        <v>0.25583699999999998</v>
      </c>
      <c r="E5765">
        <v>1.6785000000000001E-2</v>
      </c>
      <c r="F5765">
        <v>0.24188999999999999</v>
      </c>
      <c r="G5765">
        <v>0.18429999999999999</v>
      </c>
    </row>
    <row r="5766" spans="1:7">
      <c r="A5766" t="s">
        <v>144</v>
      </c>
      <c r="B5766">
        <v>90</v>
      </c>
      <c r="C5766">
        <v>45</v>
      </c>
      <c r="D5766">
        <v>0.25583699999999998</v>
      </c>
      <c r="E5766">
        <v>-0.59547700000000003</v>
      </c>
      <c r="F5766">
        <v>-0.736259</v>
      </c>
      <c r="G5766">
        <v>-0.70024200000000003</v>
      </c>
    </row>
    <row r="5767" spans="1:7">
      <c r="A5767" t="s">
        <v>144</v>
      </c>
      <c r="B5767">
        <v>90</v>
      </c>
      <c r="C5767">
        <v>46</v>
      </c>
      <c r="D5767">
        <v>0.25583699999999998</v>
      </c>
      <c r="E5767">
        <v>-0.37678200000000001</v>
      </c>
      <c r="F5767">
        <v>0.333872</v>
      </c>
      <c r="G5767">
        <v>0.152061</v>
      </c>
    </row>
    <row r="5768" spans="1:7">
      <c r="A5768" t="s">
        <v>144</v>
      </c>
      <c r="B5768">
        <v>90</v>
      </c>
      <c r="C5768">
        <v>47</v>
      </c>
      <c r="D5768">
        <v>0.25583699999999998</v>
      </c>
      <c r="E5768">
        <v>0.321635</v>
      </c>
      <c r="F5768">
        <v>-5.3651999999999998E-2</v>
      </c>
      <c r="G5768">
        <v>4.2360000000000002E-2</v>
      </c>
    </row>
    <row r="5769" spans="1:7">
      <c r="A5769" t="s">
        <v>144</v>
      </c>
      <c r="B5769">
        <v>90</v>
      </c>
      <c r="C5769">
        <v>48</v>
      </c>
      <c r="D5769">
        <v>0.25583699999999998</v>
      </c>
      <c r="E5769">
        <v>-0.82918800000000004</v>
      </c>
      <c r="F5769">
        <v>0.63624999999999998</v>
      </c>
      <c r="G5769">
        <v>0.26133699999999999</v>
      </c>
    </row>
    <row r="5770" spans="1:7">
      <c r="A5770" t="s">
        <v>144</v>
      </c>
      <c r="B5770">
        <v>90</v>
      </c>
      <c r="C5770">
        <v>49</v>
      </c>
      <c r="D5770">
        <v>0.25583699999999998</v>
      </c>
      <c r="E5770">
        <v>0.49675000000000002</v>
      </c>
      <c r="F5770">
        <v>0.13528899999999999</v>
      </c>
      <c r="G5770">
        <v>0.22776399999999999</v>
      </c>
    </row>
    <row r="5771" spans="1:7">
      <c r="A5771" t="s">
        <v>144</v>
      </c>
      <c r="B5771" t="s">
        <v>145</v>
      </c>
      <c r="C5771">
        <v>91</v>
      </c>
    </row>
    <row r="5772" spans="1:7">
      <c r="A5772" t="s">
        <v>144</v>
      </c>
      <c r="B5772" t="s">
        <v>146</v>
      </c>
      <c r="C5772">
        <v>86</v>
      </c>
    </row>
    <row r="5773" spans="1:7">
      <c r="A5773" t="s">
        <v>144</v>
      </c>
      <c r="B5773" t="s">
        <v>147</v>
      </c>
      <c r="C5773">
        <v>86</v>
      </c>
    </row>
    <row r="5774" spans="1:7">
      <c r="A5774" t="s">
        <v>144</v>
      </c>
      <c r="B5774" t="s">
        <v>148</v>
      </c>
      <c r="C5774">
        <v>0.53331099999999998</v>
      </c>
    </row>
    <row r="5775" spans="1:7">
      <c r="A5775" t="s">
        <v>144</v>
      </c>
      <c r="B5775" t="s">
        <v>149</v>
      </c>
      <c r="C5775">
        <v>0.53331099999999998</v>
      </c>
    </row>
    <row r="5776" spans="1:7">
      <c r="A5776" t="s">
        <v>144</v>
      </c>
      <c r="B5776" t="s">
        <v>150</v>
      </c>
      <c r="C5776">
        <v>-1</v>
      </c>
    </row>
    <row r="5777" spans="1:7">
      <c r="A5777" t="s">
        <v>144</v>
      </c>
      <c r="B5777" t="s">
        <v>151</v>
      </c>
      <c r="C5777">
        <v>-1</v>
      </c>
    </row>
    <row r="5778" spans="1:7">
      <c r="A5778" t="s">
        <v>144</v>
      </c>
      <c r="B5778" t="s">
        <v>152</v>
      </c>
      <c r="C5778">
        <v>0</v>
      </c>
    </row>
    <row r="5779" spans="1:7">
      <c r="A5779" t="s">
        <v>144</v>
      </c>
      <c r="B5779" t="s">
        <v>153</v>
      </c>
      <c r="C5779">
        <v>0</v>
      </c>
    </row>
    <row r="5780" spans="1:7">
      <c r="A5780" t="s">
        <v>144</v>
      </c>
      <c r="B5780" t="s">
        <v>154</v>
      </c>
      <c r="C5780">
        <v>0</v>
      </c>
    </row>
    <row r="5781" spans="1:7">
      <c r="A5781" t="s">
        <v>144</v>
      </c>
      <c r="B5781" t="s">
        <v>155</v>
      </c>
    </row>
    <row r="5782" spans="1:7">
      <c r="A5782" t="s">
        <v>144</v>
      </c>
      <c r="B5782" t="s">
        <v>150</v>
      </c>
      <c r="C5782">
        <v>0.64583299999999999</v>
      </c>
    </row>
    <row r="5783" spans="1:7">
      <c r="A5783" t="s">
        <v>144</v>
      </c>
      <c r="B5783" t="s">
        <v>151</v>
      </c>
      <c r="C5783">
        <v>0.64583299999999999</v>
      </c>
    </row>
    <row r="5784" spans="1:7">
      <c r="A5784" t="s">
        <v>144</v>
      </c>
      <c r="B5784" t="s">
        <v>156</v>
      </c>
      <c r="C5784" t="s">
        <v>157</v>
      </c>
      <c r="D5784" t="s">
        <v>63</v>
      </c>
      <c r="E5784" t="s">
        <v>158</v>
      </c>
      <c r="F5784" t="s">
        <v>159</v>
      </c>
      <c r="G5784" t="s">
        <v>160</v>
      </c>
    </row>
    <row r="5785" spans="1:7">
      <c r="A5785" t="s">
        <v>144</v>
      </c>
      <c r="B5785">
        <v>91</v>
      </c>
      <c r="C5785">
        <v>0</v>
      </c>
      <c r="D5785">
        <v>0.64583299999999999</v>
      </c>
      <c r="E5785">
        <v>0.426954</v>
      </c>
      <c r="F5785">
        <v>0.72530300000000003</v>
      </c>
      <c r="G5785">
        <v>0.53261899999999995</v>
      </c>
    </row>
    <row r="5786" spans="1:7">
      <c r="A5786" t="s">
        <v>144</v>
      </c>
      <c r="B5786">
        <v>91</v>
      </c>
      <c r="C5786">
        <v>1</v>
      </c>
      <c r="D5786">
        <v>0.64583299999999999</v>
      </c>
      <c r="E5786">
        <v>-0.66484600000000005</v>
      </c>
      <c r="F5786">
        <v>0.742363</v>
      </c>
      <c r="G5786">
        <v>-0.166459</v>
      </c>
    </row>
    <row r="5787" spans="1:7">
      <c r="A5787" t="s">
        <v>144</v>
      </c>
      <c r="B5787">
        <v>91</v>
      </c>
      <c r="C5787">
        <v>2</v>
      </c>
      <c r="D5787">
        <v>0.64583299999999999</v>
      </c>
      <c r="E5787">
        <v>-0.77123299999999995</v>
      </c>
      <c r="F5787">
        <v>0.17902199999999999</v>
      </c>
      <c r="G5787">
        <v>-0.43468400000000001</v>
      </c>
    </row>
    <row r="5788" spans="1:7">
      <c r="A5788" t="s">
        <v>144</v>
      </c>
      <c r="B5788">
        <v>91</v>
      </c>
      <c r="C5788">
        <v>3</v>
      </c>
      <c r="D5788">
        <v>0.64583299999999999</v>
      </c>
      <c r="E5788">
        <v>0.10650999999999999</v>
      </c>
      <c r="F5788">
        <v>0.78624799999999995</v>
      </c>
      <c r="G5788">
        <v>0.34725099999999998</v>
      </c>
    </row>
    <row r="5789" spans="1:7">
      <c r="A5789" t="s">
        <v>144</v>
      </c>
      <c r="B5789">
        <v>91</v>
      </c>
      <c r="C5789">
        <v>4</v>
      </c>
      <c r="D5789">
        <v>0.64583299999999999</v>
      </c>
      <c r="E5789">
        <v>-0.74987000000000004</v>
      </c>
      <c r="F5789">
        <v>-0.50666800000000001</v>
      </c>
      <c r="G5789">
        <v>-0.66373599999999999</v>
      </c>
    </row>
    <row r="5790" spans="1:7">
      <c r="A5790" t="s">
        <v>144</v>
      </c>
      <c r="B5790">
        <v>91</v>
      </c>
      <c r="C5790">
        <v>5</v>
      </c>
      <c r="D5790">
        <v>0.64583299999999999</v>
      </c>
      <c r="E5790">
        <v>-0.174535</v>
      </c>
      <c r="F5790">
        <v>-0.73229200000000005</v>
      </c>
      <c r="G5790">
        <v>-0.37207400000000002</v>
      </c>
    </row>
    <row r="5791" spans="1:7">
      <c r="A5791" t="s">
        <v>144</v>
      </c>
      <c r="B5791">
        <v>91</v>
      </c>
      <c r="C5791">
        <v>6</v>
      </c>
      <c r="D5791">
        <v>0.64583299999999999</v>
      </c>
      <c r="E5791">
        <v>0.74221000000000004</v>
      </c>
      <c r="F5791">
        <v>0.41123700000000002</v>
      </c>
      <c r="G5791">
        <v>0.62499000000000005</v>
      </c>
    </row>
    <row r="5792" spans="1:7">
      <c r="A5792" t="s">
        <v>144</v>
      </c>
      <c r="B5792">
        <v>91</v>
      </c>
      <c r="C5792">
        <v>7</v>
      </c>
      <c r="D5792">
        <v>0.64583299999999999</v>
      </c>
      <c r="E5792">
        <v>-0.87731599999999998</v>
      </c>
      <c r="F5792">
        <v>0.111972</v>
      </c>
      <c r="G5792">
        <v>-0.52694200000000002</v>
      </c>
    </row>
    <row r="5793" spans="1:7">
      <c r="A5793" t="s">
        <v>144</v>
      </c>
      <c r="B5793">
        <v>91</v>
      </c>
      <c r="C5793">
        <v>8</v>
      </c>
      <c r="D5793">
        <v>0.64583299999999999</v>
      </c>
      <c r="E5793">
        <v>-0.175817</v>
      </c>
      <c r="F5793">
        <v>-0.51313799999999998</v>
      </c>
      <c r="G5793">
        <v>-0.29528500000000002</v>
      </c>
    </row>
    <row r="5794" spans="1:7">
      <c r="A5794" t="s">
        <v>144</v>
      </c>
      <c r="B5794">
        <v>91</v>
      </c>
      <c r="C5794">
        <v>9</v>
      </c>
      <c r="D5794">
        <v>0.64583299999999999</v>
      </c>
      <c r="E5794">
        <v>-0.235817</v>
      </c>
      <c r="F5794">
        <v>-4.0711999999999998E-2</v>
      </c>
      <c r="G5794">
        <v>-0.166717</v>
      </c>
    </row>
    <row r="5795" spans="1:7">
      <c r="A5795" t="s">
        <v>144</v>
      </c>
      <c r="B5795">
        <v>91</v>
      </c>
      <c r="C5795">
        <v>10</v>
      </c>
      <c r="D5795">
        <v>0.64583299999999999</v>
      </c>
      <c r="E5795">
        <v>-0.79574</v>
      </c>
      <c r="F5795">
        <v>-0.64067499999999999</v>
      </c>
      <c r="G5795">
        <v>-0.74082099999999995</v>
      </c>
    </row>
    <row r="5796" spans="1:7">
      <c r="A5796" t="s">
        <v>144</v>
      </c>
      <c r="B5796">
        <v>91</v>
      </c>
      <c r="C5796">
        <v>11</v>
      </c>
      <c r="D5796">
        <v>0.64583299999999999</v>
      </c>
      <c r="E5796">
        <v>-0.95632799999999996</v>
      </c>
      <c r="F5796">
        <v>-8.3589999999999998E-2</v>
      </c>
      <c r="G5796">
        <v>-0.64723299999999995</v>
      </c>
    </row>
    <row r="5797" spans="1:7">
      <c r="A5797" t="s">
        <v>144</v>
      </c>
      <c r="B5797">
        <v>91</v>
      </c>
      <c r="C5797">
        <v>12</v>
      </c>
      <c r="D5797">
        <v>0.64583299999999999</v>
      </c>
      <c r="E5797">
        <v>-0.96676499999999999</v>
      </c>
      <c r="F5797">
        <v>0.87267700000000004</v>
      </c>
      <c r="G5797">
        <v>-0.31529499999999999</v>
      </c>
    </row>
    <row r="5798" spans="1:7">
      <c r="A5798" t="s">
        <v>144</v>
      </c>
      <c r="B5798">
        <v>91</v>
      </c>
      <c r="C5798">
        <v>13</v>
      </c>
      <c r="D5798">
        <v>0.64583299999999999</v>
      </c>
      <c r="E5798">
        <v>0.401532</v>
      </c>
      <c r="F5798">
        <v>-0.88882099999999997</v>
      </c>
      <c r="G5798">
        <v>-5.5468999999999997E-2</v>
      </c>
    </row>
    <row r="5799" spans="1:7">
      <c r="A5799" t="s">
        <v>144</v>
      </c>
      <c r="B5799">
        <v>91</v>
      </c>
      <c r="C5799">
        <v>14</v>
      </c>
      <c r="D5799">
        <v>0.64583299999999999</v>
      </c>
      <c r="E5799">
        <v>0.66542599999999996</v>
      </c>
      <c r="F5799">
        <v>0.48933399999999999</v>
      </c>
      <c r="G5799">
        <v>0.60306000000000004</v>
      </c>
    </row>
    <row r="5800" spans="1:7">
      <c r="A5800" t="s">
        <v>144</v>
      </c>
      <c r="B5800">
        <v>91</v>
      </c>
      <c r="C5800">
        <v>15</v>
      </c>
      <c r="D5800">
        <v>0.64583299999999999</v>
      </c>
      <c r="E5800">
        <v>-0.76708299999999996</v>
      </c>
      <c r="F5800">
        <v>0.99493399999999999</v>
      </c>
      <c r="G5800">
        <v>-0.14303399999999999</v>
      </c>
    </row>
    <row r="5801" spans="1:7">
      <c r="A5801" t="s">
        <v>144</v>
      </c>
      <c r="B5801">
        <v>91</v>
      </c>
      <c r="C5801">
        <v>16</v>
      </c>
      <c r="D5801">
        <v>0.64583299999999999</v>
      </c>
      <c r="E5801">
        <v>-0.31736199999999998</v>
      </c>
      <c r="F5801">
        <v>0.487564</v>
      </c>
      <c r="G5801">
        <v>-3.2284E-2</v>
      </c>
    </row>
    <row r="5802" spans="1:7">
      <c r="A5802" t="s">
        <v>144</v>
      </c>
      <c r="B5802">
        <v>91</v>
      </c>
      <c r="C5802">
        <v>17</v>
      </c>
      <c r="D5802">
        <v>0.64583299999999999</v>
      </c>
      <c r="E5802">
        <v>0.86919800000000003</v>
      </c>
      <c r="F5802">
        <v>-0.71831400000000001</v>
      </c>
      <c r="G5802">
        <v>0.30695299999999998</v>
      </c>
    </row>
    <row r="5803" spans="1:7">
      <c r="A5803" t="s">
        <v>144</v>
      </c>
      <c r="B5803">
        <v>91</v>
      </c>
      <c r="C5803">
        <v>18</v>
      </c>
      <c r="D5803">
        <v>0.64583299999999999</v>
      </c>
      <c r="E5803">
        <v>0.136906</v>
      </c>
      <c r="F5803">
        <v>0.81673600000000002</v>
      </c>
      <c r="G5803">
        <v>0.37768000000000002</v>
      </c>
    </row>
    <row r="5804" spans="1:7">
      <c r="A5804" t="s">
        <v>144</v>
      </c>
      <c r="B5804">
        <v>91</v>
      </c>
      <c r="C5804">
        <v>19</v>
      </c>
      <c r="D5804">
        <v>0.64583299999999999</v>
      </c>
      <c r="E5804">
        <v>-0.45005600000000001</v>
      </c>
      <c r="F5804">
        <v>0.52662699999999996</v>
      </c>
      <c r="G5804">
        <v>-0.104147</v>
      </c>
    </row>
    <row r="5805" spans="1:7">
      <c r="A5805" t="s">
        <v>144</v>
      </c>
      <c r="B5805">
        <v>91</v>
      </c>
      <c r="C5805">
        <v>20</v>
      </c>
      <c r="D5805">
        <v>0.64583299999999999</v>
      </c>
      <c r="E5805">
        <v>0.124607</v>
      </c>
      <c r="F5805">
        <v>-0.99182099999999995</v>
      </c>
      <c r="G5805">
        <v>-0.27079500000000001</v>
      </c>
    </row>
    <row r="5806" spans="1:7">
      <c r="A5806" t="s">
        <v>144</v>
      </c>
      <c r="B5806">
        <v>91</v>
      </c>
      <c r="C5806">
        <v>21</v>
      </c>
      <c r="D5806">
        <v>0.64583299999999999</v>
      </c>
      <c r="E5806">
        <v>-0.40681200000000001</v>
      </c>
      <c r="F5806">
        <v>0.80520000000000003</v>
      </c>
      <c r="G5806">
        <v>2.2443000000000001E-2</v>
      </c>
    </row>
    <row r="5807" spans="1:7">
      <c r="A5807" t="s">
        <v>144</v>
      </c>
      <c r="B5807">
        <v>91</v>
      </c>
      <c r="C5807">
        <v>22</v>
      </c>
      <c r="D5807">
        <v>0.64583299999999999</v>
      </c>
      <c r="E5807">
        <v>0.37962000000000001</v>
      </c>
      <c r="F5807">
        <v>-0.23929600000000001</v>
      </c>
      <c r="G5807">
        <v>0.16042000000000001</v>
      </c>
    </row>
    <row r="5808" spans="1:7">
      <c r="A5808" t="s">
        <v>144</v>
      </c>
      <c r="B5808">
        <v>91</v>
      </c>
      <c r="C5808">
        <v>23</v>
      </c>
      <c r="D5808">
        <v>0.64583299999999999</v>
      </c>
      <c r="E5808">
        <v>0.85091700000000003</v>
      </c>
      <c r="F5808">
        <v>-0.42201</v>
      </c>
      <c r="G5808">
        <v>0.400088</v>
      </c>
    </row>
    <row r="5809" spans="1:7">
      <c r="A5809" t="s">
        <v>144</v>
      </c>
      <c r="B5809">
        <v>91</v>
      </c>
      <c r="C5809">
        <v>24</v>
      </c>
      <c r="D5809">
        <v>0.64583299999999999</v>
      </c>
      <c r="E5809">
        <v>0.88229000000000002</v>
      </c>
      <c r="F5809">
        <v>-0.83300300000000005</v>
      </c>
      <c r="G5809">
        <v>0.27478999999999998</v>
      </c>
    </row>
    <row r="5810" spans="1:7">
      <c r="A5810" t="s">
        <v>144</v>
      </c>
      <c r="B5810">
        <v>91</v>
      </c>
      <c r="C5810">
        <v>25</v>
      </c>
      <c r="D5810">
        <v>0.64583299999999999</v>
      </c>
      <c r="E5810">
        <v>-0.40351599999999999</v>
      </c>
      <c r="F5810">
        <v>-0.99786399999999997</v>
      </c>
      <c r="G5810">
        <v>-0.61401399999999995</v>
      </c>
    </row>
    <row r="5811" spans="1:7">
      <c r="A5811" t="s">
        <v>144</v>
      </c>
      <c r="B5811">
        <v>91</v>
      </c>
      <c r="C5811">
        <v>26</v>
      </c>
      <c r="D5811">
        <v>0.64583299999999999</v>
      </c>
      <c r="E5811">
        <v>-0.40403499999999998</v>
      </c>
      <c r="F5811">
        <v>-0.77501799999999998</v>
      </c>
      <c r="G5811">
        <v>-0.53542500000000004</v>
      </c>
    </row>
    <row r="5812" spans="1:7">
      <c r="A5812" t="s">
        <v>144</v>
      </c>
      <c r="B5812">
        <v>91</v>
      </c>
      <c r="C5812">
        <v>27</v>
      </c>
      <c r="D5812">
        <v>0.64583299999999999</v>
      </c>
      <c r="E5812">
        <v>-0.63377799999999995</v>
      </c>
      <c r="F5812">
        <v>-0.28778999999999999</v>
      </c>
      <c r="G5812">
        <v>-0.51124000000000003</v>
      </c>
    </row>
    <row r="5813" spans="1:7">
      <c r="A5813" t="s">
        <v>144</v>
      </c>
      <c r="B5813">
        <v>91</v>
      </c>
      <c r="C5813">
        <v>28</v>
      </c>
      <c r="D5813">
        <v>0.64583299999999999</v>
      </c>
      <c r="E5813">
        <v>0.70043</v>
      </c>
      <c r="F5813">
        <v>0.47926299999999999</v>
      </c>
      <c r="G5813">
        <v>0.62209999999999999</v>
      </c>
    </row>
    <row r="5814" spans="1:7">
      <c r="A5814" t="s">
        <v>144</v>
      </c>
      <c r="B5814">
        <v>91</v>
      </c>
      <c r="C5814">
        <v>29</v>
      </c>
      <c r="D5814">
        <v>0.64583299999999999</v>
      </c>
      <c r="E5814">
        <v>-4.5533999999999998E-2</v>
      </c>
      <c r="F5814">
        <v>-0.58027899999999999</v>
      </c>
      <c r="G5814">
        <v>-0.23492299999999999</v>
      </c>
    </row>
    <row r="5815" spans="1:7">
      <c r="A5815" t="s">
        <v>144</v>
      </c>
      <c r="B5815">
        <v>91</v>
      </c>
      <c r="C5815">
        <v>30</v>
      </c>
      <c r="D5815">
        <v>0.64583299999999999</v>
      </c>
      <c r="E5815">
        <v>-0.643513</v>
      </c>
      <c r="F5815">
        <v>0.61275100000000005</v>
      </c>
      <c r="G5815">
        <v>-0.19858600000000001</v>
      </c>
    </row>
    <row r="5816" spans="1:7">
      <c r="A5816" t="s">
        <v>144</v>
      </c>
      <c r="B5816">
        <v>91</v>
      </c>
      <c r="C5816">
        <v>31</v>
      </c>
      <c r="D5816">
        <v>0.64583299999999999</v>
      </c>
      <c r="E5816">
        <v>-0.51957799999999998</v>
      </c>
      <c r="F5816">
        <v>-0.51988299999999998</v>
      </c>
      <c r="G5816">
        <v>-0.51968599999999998</v>
      </c>
    </row>
    <row r="5817" spans="1:7">
      <c r="A5817" t="s">
        <v>144</v>
      </c>
      <c r="B5817">
        <v>91</v>
      </c>
      <c r="C5817">
        <v>32</v>
      </c>
      <c r="D5817">
        <v>0.64583299999999999</v>
      </c>
      <c r="E5817">
        <v>-0.45002599999999998</v>
      </c>
      <c r="F5817">
        <v>0.75151800000000002</v>
      </c>
      <c r="G5817">
        <v>-2.4478E-2</v>
      </c>
    </row>
    <row r="5818" spans="1:7">
      <c r="A5818" t="s">
        <v>144</v>
      </c>
      <c r="B5818">
        <v>91</v>
      </c>
      <c r="C5818">
        <v>33</v>
      </c>
      <c r="D5818">
        <v>0.64583299999999999</v>
      </c>
      <c r="E5818">
        <v>0.61680999999999997</v>
      </c>
      <c r="F5818">
        <v>0.26041399999999998</v>
      </c>
      <c r="G5818">
        <v>0.49058600000000002</v>
      </c>
    </row>
    <row r="5819" spans="1:7">
      <c r="A5819" t="s">
        <v>144</v>
      </c>
      <c r="B5819">
        <v>91</v>
      </c>
      <c r="C5819">
        <v>34</v>
      </c>
      <c r="D5819">
        <v>0.64583299999999999</v>
      </c>
      <c r="E5819">
        <v>0.66148899999999999</v>
      </c>
      <c r="F5819">
        <v>7.0800000000000004E-3</v>
      </c>
      <c r="G5819">
        <v>0.42971900000000002</v>
      </c>
    </row>
    <row r="5820" spans="1:7">
      <c r="A5820" t="s">
        <v>144</v>
      </c>
      <c r="B5820">
        <v>91</v>
      </c>
      <c r="C5820">
        <v>35</v>
      </c>
      <c r="D5820">
        <v>0.64583299999999999</v>
      </c>
      <c r="E5820">
        <v>-0.64925100000000002</v>
      </c>
      <c r="F5820">
        <v>-0.35410599999999998</v>
      </c>
      <c r="G5820">
        <v>-0.54471999999999998</v>
      </c>
    </row>
    <row r="5821" spans="1:7">
      <c r="A5821" t="s">
        <v>144</v>
      </c>
      <c r="B5821">
        <v>91</v>
      </c>
      <c r="C5821">
        <v>36</v>
      </c>
      <c r="D5821">
        <v>0.64583299999999999</v>
      </c>
      <c r="E5821">
        <v>-3.2440999999999998E-2</v>
      </c>
      <c r="F5821">
        <v>-0.280221</v>
      </c>
      <c r="G5821">
        <v>-0.120197</v>
      </c>
    </row>
    <row r="5822" spans="1:7">
      <c r="A5822" t="s">
        <v>144</v>
      </c>
      <c r="B5822">
        <v>91</v>
      </c>
      <c r="C5822">
        <v>37</v>
      </c>
      <c r="D5822">
        <v>0.64583299999999999</v>
      </c>
      <c r="E5822">
        <v>0.92483300000000002</v>
      </c>
      <c r="F5822">
        <v>-0.28348600000000002</v>
      </c>
      <c r="G5822">
        <v>0.49688599999999999</v>
      </c>
    </row>
    <row r="5823" spans="1:7">
      <c r="A5823" t="s">
        <v>144</v>
      </c>
      <c r="B5823">
        <v>91</v>
      </c>
      <c r="C5823">
        <v>38</v>
      </c>
      <c r="D5823">
        <v>0.64583299999999999</v>
      </c>
      <c r="E5823">
        <v>0.98336699999999999</v>
      </c>
      <c r="F5823">
        <v>0.29755500000000001</v>
      </c>
      <c r="G5823">
        <v>0.74047499999999999</v>
      </c>
    </row>
    <row r="5824" spans="1:7">
      <c r="A5824" t="s">
        <v>144</v>
      </c>
      <c r="B5824">
        <v>91</v>
      </c>
      <c r="C5824">
        <v>39</v>
      </c>
      <c r="D5824">
        <v>0.64583299999999999</v>
      </c>
      <c r="E5824">
        <v>-7.2054000000000007E-2</v>
      </c>
      <c r="F5824">
        <v>4.2084999999999997E-2</v>
      </c>
      <c r="G5824">
        <v>-3.1629999999999998E-2</v>
      </c>
    </row>
    <row r="5825" spans="1:7">
      <c r="A5825" t="s">
        <v>144</v>
      </c>
      <c r="B5825">
        <v>91</v>
      </c>
      <c r="C5825">
        <v>40</v>
      </c>
      <c r="D5825">
        <v>0.64583299999999999</v>
      </c>
      <c r="E5825">
        <v>0.773949</v>
      </c>
      <c r="F5825">
        <v>-8.7741E-2</v>
      </c>
      <c r="G5825">
        <v>0.46876699999999999</v>
      </c>
    </row>
    <row r="5826" spans="1:7">
      <c r="A5826" t="s">
        <v>144</v>
      </c>
      <c r="B5826">
        <v>91</v>
      </c>
      <c r="C5826">
        <v>41</v>
      </c>
      <c r="D5826">
        <v>0.64583299999999999</v>
      </c>
      <c r="E5826">
        <v>-0.85143599999999997</v>
      </c>
      <c r="F5826">
        <v>-0.67021699999999995</v>
      </c>
      <c r="G5826">
        <v>-0.78725400000000001</v>
      </c>
    </row>
    <row r="5827" spans="1:7">
      <c r="A5827" t="s">
        <v>144</v>
      </c>
      <c r="B5827">
        <v>91</v>
      </c>
      <c r="C5827">
        <v>42</v>
      </c>
      <c r="D5827">
        <v>0.64583299999999999</v>
      </c>
      <c r="E5827">
        <v>-5.3651999999999998E-2</v>
      </c>
      <c r="F5827">
        <v>5.3407000000000003E-2</v>
      </c>
      <c r="G5827">
        <v>-1.5734999999999999E-2</v>
      </c>
    </row>
    <row r="5828" spans="1:7">
      <c r="A5828" t="s">
        <v>144</v>
      </c>
      <c r="B5828">
        <v>91</v>
      </c>
      <c r="C5828">
        <v>43</v>
      </c>
      <c r="D5828">
        <v>0.64583299999999999</v>
      </c>
      <c r="E5828">
        <v>-0.35892800000000002</v>
      </c>
      <c r="F5828">
        <v>0.151952</v>
      </c>
      <c r="G5828">
        <v>-0.17799100000000001</v>
      </c>
    </row>
    <row r="5829" spans="1:7">
      <c r="A5829" t="s">
        <v>144</v>
      </c>
      <c r="B5829">
        <v>91</v>
      </c>
      <c r="C5829">
        <v>44</v>
      </c>
      <c r="D5829">
        <v>0.64583299999999999</v>
      </c>
      <c r="E5829">
        <v>0.94531100000000001</v>
      </c>
      <c r="F5829">
        <v>0.29505300000000001</v>
      </c>
      <c r="G5829">
        <v>0.71501099999999995</v>
      </c>
    </row>
    <row r="5830" spans="1:7">
      <c r="A5830" t="s">
        <v>144</v>
      </c>
      <c r="B5830">
        <v>91</v>
      </c>
      <c r="C5830">
        <v>45</v>
      </c>
      <c r="D5830">
        <v>0.64583299999999999</v>
      </c>
      <c r="E5830">
        <v>2.8625999999999999E-2</v>
      </c>
      <c r="F5830">
        <v>0.58006500000000005</v>
      </c>
      <c r="G5830">
        <v>0.22392799999999999</v>
      </c>
    </row>
    <row r="5831" spans="1:7">
      <c r="A5831" t="s">
        <v>144</v>
      </c>
      <c r="B5831">
        <v>91</v>
      </c>
      <c r="C5831">
        <v>46</v>
      </c>
      <c r="D5831">
        <v>0.64583299999999999</v>
      </c>
      <c r="E5831">
        <v>-0.31800299999999998</v>
      </c>
      <c r="F5831">
        <v>-0.34296700000000002</v>
      </c>
      <c r="G5831">
        <v>-0.32684400000000002</v>
      </c>
    </row>
    <row r="5832" spans="1:7">
      <c r="A5832" t="s">
        <v>144</v>
      </c>
      <c r="B5832">
        <v>91</v>
      </c>
      <c r="C5832">
        <v>47</v>
      </c>
      <c r="D5832">
        <v>0.64583299999999999</v>
      </c>
      <c r="E5832">
        <v>0.34055600000000003</v>
      </c>
      <c r="F5832">
        <v>-0.99417100000000003</v>
      </c>
      <c r="G5832">
        <v>-0.132161</v>
      </c>
    </row>
    <row r="5833" spans="1:7">
      <c r="A5833" t="s">
        <v>144</v>
      </c>
      <c r="B5833">
        <v>91</v>
      </c>
      <c r="C5833">
        <v>48</v>
      </c>
      <c r="D5833">
        <v>0.64583299999999999</v>
      </c>
      <c r="E5833">
        <v>-0.40620099999999998</v>
      </c>
      <c r="F5833">
        <v>0.95394800000000002</v>
      </c>
      <c r="G5833">
        <v>7.5519000000000003E-2</v>
      </c>
    </row>
    <row r="5834" spans="1:7">
      <c r="A5834" t="s">
        <v>144</v>
      </c>
      <c r="B5834">
        <v>91</v>
      </c>
      <c r="C5834">
        <v>49</v>
      </c>
      <c r="D5834">
        <v>0.64583299999999999</v>
      </c>
      <c r="E5834">
        <v>0.63936300000000001</v>
      </c>
      <c r="F5834">
        <v>0.79961499999999996</v>
      </c>
      <c r="G5834">
        <v>0.69611900000000004</v>
      </c>
    </row>
    <row r="5835" spans="1:7">
      <c r="A5835" t="s">
        <v>144</v>
      </c>
      <c r="B5835" t="s">
        <v>145</v>
      </c>
      <c r="C5835">
        <v>92</v>
      </c>
    </row>
    <row r="5836" spans="1:7">
      <c r="A5836" t="s">
        <v>144</v>
      </c>
      <c r="B5836" t="s">
        <v>146</v>
      </c>
      <c r="C5836">
        <v>53</v>
      </c>
    </row>
    <row r="5837" spans="1:7">
      <c r="A5837" t="s">
        <v>144</v>
      </c>
      <c r="B5837" t="s">
        <v>147</v>
      </c>
      <c r="C5837">
        <v>53</v>
      </c>
    </row>
    <row r="5838" spans="1:7">
      <c r="A5838" t="s">
        <v>144</v>
      </c>
      <c r="B5838" t="s">
        <v>148</v>
      </c>
      <c r="C5838">
        <v>0.94958299999999995</v>
      </c>
    </row>
    <row r="5839" spans="1:7">
      <c r="A5839" t="s">
        <v>144</v>
      </c>
      <c r="B5839" t="s">
        <v>149</v>
      </c>
      <c r="C5839">
        <v>0.94958299999999995</v>
      </c>
    </row>
    <row r="5840" spans="1:7">
      <c r="A5840" t="s">
        <v>144</v>
      </c>
      <c r="B5840" t="s">
        <v>150</v>
      </c>
      <c r="C5840">
        <v>-1</v>
      </c>
    </row>
    <row r="5841" spans="1:7">
      <c r="A5841" t="s">
        <v>144</v>
      </c>
      <c r="B5841" t="s">
        <v>151</v>
      </c>
      <c r="C5841">
        <v>-1</v>
      </c>
    </row>
    <row r="5842" spans="1:7">
      <c r="A5842" t="s">
        <v>144</v>
      </c>
      <c r="B5842" t="s">
        <v>152</v>
      </c>
      <c r="C5842">
        <v>35</v>
      </c>
    </row>
    <row r="5843" spans="1:7">
      <c r="A5843" t="s">
        <v>144</v>
      </c>
      <c r="B5843" t="s">
        <v>153</v>
      </c>
      <c r="C5843">
        <v>35</v>
      </c>
    </row>
    <row r="5844" spans="1:7">
      <c r="A5844" t="s">
        <v>144</v>
      </c>
      <c r="B5844" t="s">
        <v>154</v>
      </c>
      <c r="C5844">
        <v>0</v>
      </c>
    </row>
    <row r="5845" spans="1:7">
      <c r="A5845" t="s">
        <v>144</v>
      </c>
      <c r="B5845" t="s">
        <v>161</v>
      </c>
    </row>
    <row r="5846" spans="1:7">
      <c r="A5846" t="s">
        <v>144</v>
      </c>
      <c r="B5846">
        <v>92</v>
      </c>
      <c r="C5846">
        <v>0</v>
      </c>
      <c r="D5846">
        <v>-1</v>
      </c>
      <c r="E5846">
        <v>0.76235200000000003</v>
      </c>
      <c r="F5846">
        <v>-1</v>
      </c>
      <c r="G5846">
        <v>0.76235200000000003</v>
      </c>
    </row>
    <row r="5847" spans="1:7">
      <c r="A5847" t="s">
        <v>144</v>
      </c>
      <c r="B5847">
        <v>92</v>
      </c>
      <c r="C5847">
        <v>1</v>
      </c>
      <c r="D5847">
        <v>-1</v>
      </c>
      <c r="E5847">
        <v>-3.4058999999999999E-2</v>
      </c>
      <c r="F5847">
        <v>-1</v>
      </c>
      <c r="G5847">
        <v>-3.4058999999999999E-2</v>
      </c>
    </row>
    <row r="5848" spans="1:7">
      <c r="A5848" t="s">
        <v>144</v>
      </c>
      <c r="B5848">
        <v>92</v>
      </c>
      <c r="C5848">
        <v>2</v>
      </c>
      <c r="D5848">
        <v>-1</v>
      </c>
      <c r="E5848">
        <v>-0.80520000000000003</v>
      </c>
      <c r="F5848">
        <v>-1</v>
      </c>
      <c r="G5848">
        <v>-0.80520000000000003</v>
      </c>
    </row>
    <row r="5849" spans="1:7">
      <c r="A5849" t="s">
        <v>144</v>
      </c>
      <c r="B5849">
        <v>92</v>
      </c>
      <c r="C5849">
        <v>3</v>
      </c>
      <c r="D5849">
        <v>-1</v>
      </c>
      <c r="E5849">
        <v>-0.80501699999999998</v>
      </c>
      <c r="F5849">
        <v>-1</v>
      </c>
      <c r="G5849">
        <v>-0.80501699999999998</v>
      </c>
    </row>
    <row r="5850" spans="1:7">
      <c r="A5850" t="s">
        <v>144</v>
      </c>
      <c r="B5850">
        <v>92</v>
      </c>
      <c r="C5850">
        <v>4</v>
      </c>
      <c r="D5850">
        <v>-1</v>
      </c>
      <c r="E5850">
        <v>0.49977100000000002</v>
      </c>
      <c r="F5850">
        <v>-1</v>
      </c>
      <c r="G5850">
        <v>0.49977100000000002</v>
      </c>
    </row>
    <row r="5851" spans="1:7">
      <c r="A5851" t="s">
        <v>144</v>
      </c>
      <c r="B5851">
        <v>92</v>
      </c>
      <c r="C5851">
        <v>5</v>
      </c>
      <c r="D5851">
        <v>-1</v>
      </c>
      <c r="E5851">
        <v>0.46262999999999999</v>
      </c>
      <c r="F5851">
        <v>-1</v>
      </c>
      <c r="G5851">
        <v>0.46262999999999999</v>
      </c>
    </row>
    <row r="5852" spans="1:7">
      <c r="A5852" t="s">
        <v>144</v>
      </c>
      <c r="B5852">
        <v>92</v>
      </c>
      <c r="C5852">
        <v>6</v>
      </c>
      <c r="D5852">
        <v>-1</v>
      </c>
      <c r="E5852">
        <v>-0.49134800000000001</v>
      </c>
      <c r="F5852">
        <v>-1</v>
      </c>
      <c r="G5852">
        <v>-0.49134800000000001</v>
      </c>
    </row>
    <row r="5853" spans="1:7">
      <c r="A5853" t="s">
        <v>144</v>
      </c>
      <c r="B5853">
        <v>92</v>
      </c>
      <c r="C5853">
        <v>7</v>
      </c>
      <c r="D5853">
        <v>-1</v>
      </c>
      <c r="E5853">
        <v>-0.76882200000000001</v>
      </c>
      <c r="F5853">
        <v>-1</v>
      </c>
      <c r="G5853">
        <v>-0.76882200000000001</v>
      </c>
    </row>
    <row r="5854" spans="1:7">
      <c r="A5854" t="s">
        <v>144</v>
      </c>
      <c r="B5854">
        <v>92</v>
      </c>
      <c r="C5854">
        <v>8</v>
      </c>
      <c r="D5854">
        <v>-1</v>
      </c>
      <c r="E5854">
        <v>0.22339500000000001</v>
      </c>
      <c r="F5854">
        <v>-1</v>
      </c>
      <c r="G5854">
        <v>0.22339500000000001</v>
      </c>
    </row>
    <row r="5855" spans="1:7">
      <c r="A5855" t="s">
        <v>144</v>
      </c>
      <c r="B5855">
        <v>92</v>
      </c>
      <c r="C5855">
        <v>9</v>
      </c>
      <c r="D5855">
        <v>-1</v>
      </c>
      <c r="E5855">
        <v>-0.99700900000000003</v>
      </c>
      <c r="F5855">
        <v>-1</v>
      </c>
      <c r="G5855">
        <v>-0.99700900000000003</v>
      </c>
    </row>
    <row r="5856" spans="1:7">
      <c r="A5856" t="s">
        <v>144</v>
      </c>
      <c r="B5856">
        <v>92</v>
      </c>
      <c r="C5856">
        <v>10</v>
      </c>
      <c r="D5856">
        <v>-1</v>
      </c>
      <c r="E5856">
        <v>0.69701199999999996</v>
      </c>
      <c r="F5856">
        <v>-1</v>
      </c>
      <c r="G5856">
        <v>0.69701199999999996</v>
      </c>
    </row>
    <row r="5857" spans="1:7">
      <c r="A5857" t="s">
        <v>144</v>
      </c>
      <c r="B5857">
        <v>92</v>
      </c>
      <c r="C5857">
        <v>11</v>
      </c>
      <c r="D5857">
        <v>-1</v>
      </c>
      <c r="E5857">
        <v>-1.6754999999999999E-2</v>
      </c>
      <c r="F5857">
        <v>-1</v>
      </c>
      <c r="G5857">
        <v>-1.6754999999999999E-2</v>
      </c>
    </row>
    <row r="5858" spans="1:7">
      <c r="A5858" t="s">
        <v>144</v>
      </c>
      <c r="B5858">
        <v>92</v>
      </c>
      <c r="C5858">
        <v>12</v>
      </c>
      <c r="D5858">
        <v>-1</v>
      </c>
      <c r="E5858">
        <v>-0.48204000000000002</v>
      </c>
      <c r="F5858">
        <v>-1</v>
      </c>
      <c r="G5858">
        <v>-0.48204000000000002</v>
      </c>
    </row>
    <row r="5859" spans="1:7">
      <c r="A5859" t="s">
        <v>144</v>
      </c>
      <c r="B5859">
        <v>92</v>
      </c>
      <c r="C5859">
        <v>13</v>
      </c>
      <c r="D5859">
        <v>-1</v>
      </c>
      <c r="E5859">
        <v>0.64619899999999997</v>
      </c>
      <c r="F5859">
        <v>-1</v>
      </c>
      <c r="G5859">
        <v>0.64619899999999997</v>
      </c>
    </row>
    <row r="5860" spans="1:7">
      <c r="A5860" t="s">
        <v>144</v>
      </c>
      <c r="B5860">
        <v>92</v>
      </c>
      <c r="C5860">
        <v>14</v>
      </c>
      <c r="D5860">
        <v>-1</v>
      </c>
      <c r="E5860">
        <v>-0.13696700000000001</v>
      </c>
      <c r="F5860">
        <v>-1</v>
      </c>
      <c r="G5860">
        <v>-0.13696700000000001</v>
      </c>
    </row>
    <row r="5861" spans="1:7">
      <c r="A5861" t="s">
        <v>144</v>
      </c>
      <c r="B5861">
        <v>92</v>
      </c>
      <c r="C5861">
        <v>15</v>
      </c>
      <c r="D5861">
        <v>-1</v>
      </c>
      <c r="E5861">
        <v>0.67766400000000004</v>
      </c>
      <c r="F5861">
        <v>-1</v>
      </c>
      <c r="G5861">
        <v>0.67766400000000004</v>
      </c>
    </row>
    <row r="5862" spans="1:7">
      <c r="A5862" t="s">
        <v>144</v>
      </c>
      <c r="B5862">
        <v>92</v>
      </c>
      <c r="C5862">
        <v>16</v>
      </c>
      <c r="D5862">
        <v>-1</v>
      </c>
      <c r="E5862">
        <v>-0.69270900000000002</v>
      </c>
      <c r="F5862">
        <v>-1</v>
      </c>
      <c r="G5862">
        <v>-0.69270900000000002</v>
      </c>
    </row>
    <row r="5863" spans="1:7">
      <c r="A5863" t="s">
        <v>144</v>
      </c>
      <c r="B5863">
        <v>92</v>
      </c>
      <c r="C5863">
        <v>17</v>
      </c>
      <c r="D5863">
        <v>-1</v>
      </c>
      <c r="E5863">
        <v>-0.48399300000000001</v>
      </c>
      <c r="F5863">
        <v>-1</v>
      </c>
      <c r="G5863">
        <v>-0.48399300000000001</v>
      </c>
    </row>
    <row r="5864" spans="1:7">
      <c r="A5864" t="s">
        <v>144</v>
      </c>
      <c r="B5864">
        <v>92</v>
      </c>
      <c r="C5864">
        <v>18</v>
      </c>
      <c r="D5864">
        <v>-1</v>
      </c>
      <c r="E5864">
        <v>0.35727999999999999</v>
      </c>
      <c r="F5864">
        <v>-1</v>
      </c>
      <c r="G5864">
        <v>0.35727999999999999</v>
      </c>
    </row>
    <row r="5865" spans="1:7">
      <c r="A5865" t="s">
        <v>144</v>
      </c>
      <c r="B5865">
        <v>92</v>
      </c>
      <c r="C5865">
        <v>19</v>
      </c>
      <c r="D5865">
        <v>-1</v>
      </c>
      <c r="E5865">
        <v>0.61088900000000002</v>
      </c>
      <c r="F5865">
        <v>-1</v>
      </c>
      <c r="G5865">
        <v>0.61088900000000002</v>
      </c>
    </row>
    <row r="5866" spans="1:7">
      <c r="A5866" t="s">
        <v>144</v>
      </c>
      <c r="B5866">
        <v>92</v>
      </c>
      <c r="C5866">
        <v>20</v>
      </c>
      <c r="D5866">
        <v>-1</v>
      </c>
      <c r="E5866">
        <v>9.7720000000000001E-2</v>
      </c>
      <c r="F5866">
        <v>-1</v>
      </c>
      <c r="G5866">
        <v>9.7720000000000001E-2</v>
      </c>
    </row>
    <row r="5867" spans="1:7">
      <c r="A5867" t="s">
        <v>144</v>
      </c>
      <c r="B5867">
        <v>92</v>
      </c>
      <c r="C5867">
        <v>21</v>
      </c>
      <c r="D5867">
        <v>-1</v>
      </c>
      <c r="E5867">
        <v>-0.26187899999999997</v>
      </c>
      <c r="F5867">
        <v>-1</v>
      </c>
      <c r="G5867">
        <v>-0.26187899999999997</v>
      </c>
    </row>
    <row r="5868" spans="1:7">
      <c r="A5868" t="s">
        <v>144</v>
      </c>
      <c r="B5868">
        <v>92</v>
      </c>
      <c r="C5868">
        <v>22</v>
      </c>
      <c r="D5868">
        <v>-1</v>
      </c>
      <c r="E5868">
        <v>0.25467699999999999</v>
      </c>
      <c r="F5868">
        <v>-1</v>
      </c>
      <c r="G5868">
        <v>0.25467699999999999</v>
      </c>
    </row>
    <row r="5869" spans="1:7">
      <c r="A5869" t="s">
        <v>144</v>
      </c>
      <c r="B5869">
        <v>92</v>
      </c>
      <c r="C5869">
        <v>23</v>
      </c>
      <c r="D5869">
        <v>-1</v>
      </c>
      <c r="E5869">
        <v>-8.2185999999999995E-2</v>
      </c>
      <c r="F5869">
        <v>-1</v>
      </c>
      <c r="G5869">
        <v>-8.2185999999999995E-2</v>
      </c>
    </row>
    <row r="5870" spans="1:7">
      <c r="A5870" t="s">
        <v>144</v>
      </c>
      <c r="B5870">
        <v>92</v>
      </c>
      <c r="C5870">
        <v>24</v>
      </c>
      <c r="D5870">
        <v>-1</v>
      </c>
      <c r="E5870">
        <v>0.846858</v>
      </c>
      <c r="F5870">
        <v>-1</v>
      </c>
      <c r="G5870">
        <v>0.846858</v>
      </c>
    </row>
    <row r="5871" spans="1:7">
      <c r="A5871" t="s">
        <v>144</v>
      </c>
      <c r="B5871">
        <v>92</v>
      </c>
      <c r="C5871">
        <v>25</v>
      </c>
      <c r="D5871">
        <v>-1</v>
      </c>
      <c r="E5871">
        <v>0.14755699999999999</v>
      </c>
      <c r="F5871">
        <v>-1</v>
      </c>
      <c r="G5871">
        <v>0.14755699999999999</v>
      </c>
    </row>
    <row r="5872" spans="1:7">
      <c r="A5872" t="s">
        <v>144</v>
      </c>
      <c r="B5872">
        <v>92</v>
      </c>
      <c r="C5872">
        <v>26</v>
      </c>
      <c r="D5872">
        <v>-1</v>
      </c>
      <c r="E5872">
        <v>0.72106099999999995</v>
      </c>
      <c r="F5872">
        <v>-1</v>
      </c>
      <c r="G5872">
        <v>0.72106099999999995</v>
      </c>
    </row>
    <row r="5873" spans="1:7">
      <c r="A5873" t="s">
        <v>144</v>
      </c>
      <c r="B5873">
        <v>92</v>
      </c>
      <c r="C5873">
        <v>27</v>
      </c>
      <c r="D5873">
        <v>-1</v>
      </c>
      <c r="E5873">
        <v>0.56453100000000001</v>
      </c>
      <c r="F5873">
        <v>-1</v>
      </c>
      <c r="G5873">
        <v>0.56453100000000001</v>
      </c>
    </row>
    <row r="5874" spans="1:7">
      <c r="A5874" t="s">
        <v>144</v>
      </c>
      <c r="B5874">
        <v>92</v>
      </c>
      <c r="C5874">
        <v>28</v>
      </c>
      <c r="D5874">
        <v>-1</v>
      </c>
      <c r="E5874">
        <v>-0.20413799999999999</v>
      </c>
      <c r="F5874">
        <v>-1</v>
      </c>
      <c r="G5874">
        <v>-0.20413799999999999</v>
      </c>
    </row>
    <row r="5875" spans="1:7">
      <c r="A5875" t="s">
        <v>144</v>
      </c>
      <c r="B5875">
        <v>92</v>
      </c>
      <c r="C5875">
        <v>29</v>
      </c>
      <c r="D5875">
        <v>-1</v>
      </c>
      <c r="E5875">
        <v>-0.58815300000000004</v>
      </c>
      <c r="F5875">
        <v>-1</v>
      </c>
      <c r="G5875">
        <v>-0.58815300000000004</v>
      </c>
    </row>
    <row r="5876" spans="1:7">
      <c r="A5876" t="s">
        <v>144</v>
      </c>
      <c r="B5876">
        <v>92</v>
      </c>
      <c r="C5876">
        <v>30</v>
      </c>
      <c r="D5876">
        <v>-1</v>
      </c>
      <c r="E5876">
        <v>0.41319</v>
      </c>
      <c r="F5876">
        <v>-1</v>
      </c>
      <c r="G5876">
        <v>0.41319</v>
      </c>
    </row>
    <row r="5877" spans="1:7">
      <c r="A5877" t="s">
        <v>144</v>
      </c>
      <c r="B5877">
        <v>92</v>
      </c>
      <c r="C5877">
        <v>31</v>
      </c>
      <c r="D5877">
        <v>-1</v>
      </c>
      <c r="E5877">
        <v>-0.66374699999999998</v>
      </c>
      <c r="F5877">
        <v>-1</v>
      </c>
      <c r="G5877">
        <v>-0.66374699999999998</v>
      </c>
    </row>
    <row r="5878" spans="1:7">
      <c r="A5878" t="s">
        <v>144</v>
      </c>
      <c r="B5878">
        <v>92</v>
      </c>
      <c r="C5878">
        <v>32</v>
      </c>
      <c r="D5878">
        <v>-1</v>
      </c>
      <c r="E5878">
        <v>0.88015399999999999</v>
      </c>
      <c r="F5878">
        <v>-1</v>
      </c>
      <c r="G5878">
        <v>0.88015399999999999</v>
      </c>
    </row>
    <row r="5879" spans="1:7">
      <c r="A5879" t="s">
        <v>144</v>
      </c>
      <c r="B5879">
        <v>92</v>
      </c>
      <c r="C5879">
        <v>33</v>
      </c>
      <c r="D5879">
        <v>-1</v>
      </c>
      <c r="E5879">
        <v>-0.29844100000000001</v>
      </c>
      <c r="F5879">
        <v>-1</v>
      </c>
      <c r="G5879">
        <v>-0.29844100000000001</v>
      </c>
    </row>
    <row r="5880" spans="1:7">
      <c r="A5880" t="s">
        <v>144</v>
      </c>
      <c r="B5880">
        <v>92</v>
      </c>
      <c r="C5880">
        <v>34</v>
      </c>
      <c r="D5880">
        <v>-1</v>
      </c>
      <c r="E5880">
        <v>0.64711399999999997</v>
      </c>
      <c r="F5880">
        <v>-1</v>
      </c>
      <c r="G5880">
        <v>0.64711399999999997</v>
      </c>
    </row>
    <row r="5881" spans="1:7">
      <c r="A5881" t="s">
        <v>144</v>
      </c>
      <c r="B5881">
        <v>92</v>
      </c>
      <c r="C5881">
        <v>35</v>
      </c>
      <c r="D5881">
        <v>-1</v>
      </c>
      <c r="E5881">
        <v>-0.169378</v>
      </c>
      <c r="F5881">
        <v>-1</v>
      </c>
      <c r="G5881">
        <v>-0.169378</v>
      </c>
    </row>
    <row r="5882" spans="1:7">
      <c r="A5882" t="s">
        <v>144</v>
      </c>
      <c r="B5882">
        <v>92</v>
      </c>
      <c r="C5882">
        <v>36</v>
      </c>
      <c r="D5882">
        <v>-1</v>
      </c>
      <c r="E5882">
        <v>-0.48872300000000002</v>
      </c>
      <c r="F5882">
        <v>-1</v>
      </c>
      <c r="G5882">
        <v>-0.48872300000000002</v>
      </c>
    </row>
    <row r="5883" spans="1:7">
      <c r="A5883" t="s">
        <v>144</v>
      </c>
      <c r="B5883">
        <v>92</v>
      </c>
      <c r="C5883">
        <v>37</v>
      </c>
      <c r="D5883">
        <v>-1</v>
      </c>
      <c r="E5883">
        <v>0.37418699999999999</v>
      </c>
      <c r="F5883">
        <v>-1</v>
      </c>
      <c r="G5883">
        <v>0.37418699999999999</v>
      </c>
    </row>
    <row r="5884" spans="1:7">
      <c r="A5884" t="s">
        <v>144</v>
      </c>
      <c r="B5884">
        <v>92</v>
      </c>
      <c r="C5884">
        <v>38</v>
      </c>
      <c r="D5884">
        <v>-1</v>
      </c>
      <c r="E5884">
        <v>-0.41764600000000002</v>
      </c>
      <c r="F5884">
        <v>-1</v>
      </c>
      <c r="G5884">
        <v>-0.41764600000000002</v>
      </c>
    </row>
    <row r="5885" spans="1:7">
      <c r="A5885" t="s">
        <v>144</v>
      </c>
      <c r="B5885">
        <v>92</v>
      </c>
      <c r="C5885">
        <v>39</v>
      </c>
      <c r="D5885">
        <v>-1</v>
      </c>
      <c r="E5885">
        <v>-0.23053699999999999</v>
      </c>
      <c r="F5885">
        <v>-1</v>
      </c>
      <c r="G5885">
        <v>-0.23053699999999999</v>
      </c>
    </row>
    <row r="5886" spans="1:7">
      <c r="A5886" t="s">
        <v>144</v>
      </c>
      <c r="B5886">
        <v>92</v>
      </c>
      <c r="C5886">
        <v>40</v>
      </c>
      <c r="D5886">
        <v>-1</v>
      </c>
      <c r="E5886">
        <v>0.12933700000000001</v>
      </c>
      <c r="F5886">
        <v>-1</v>
      </c>
      <c r="G5886">
        <v>0.12933700000000001</v>
      </c>
    </row>
    <row r="5887" spans="1:7">
      <c r="A5887" t="s">
        <v>144</v>
      </c>
      <c r="B5887">
        <v>92</v>
      </c>
      <c r="C5887">
        <v>41</v>
      </c>
      <c r="D5887">
        <v>-1</v>
      </c>
      <c r="E5887">
        <v>0.53047299999999997</v>
      </c>
      <c r="F5887">
        <v>-1</v>
      </c>
      <c r="G5887">
        <v>0.53047299999999997</v>
      </c>
    </row>
    <row r="5888" spans="1:7">
      <c r="A5888" t="s">
        <v>144</v>
      </c>
      <c r="B5888">
        <v>92</v>
      </c>
      <c r="C5888">
        <v>42</v>
      </c>
      <c r="D5888">
        <v>-1</v>
      </c>
      <c r="E5888">
        <v>0.54301600000000005</v>
      </c>
      <c r="F5888">
        <v>-1</v>
      </c>
      <c r="G5888">
        <v>0.54301600000000005</v>
      </c>
    </row>
    <row r="5889" spans="1:7">
      <c r="A5889" t="s">
        <v>144</v>
      </c>
      <c r="B5889">
        <v>92</v>
      </c>
      <c r="C5889">
        <v>43</v>
      </c>
      <c r="D5889">
        <v>-1</v>
      </c>
      <c r="E5889">
        <v>0.65654500000000005</v>
      </c>
      <c r="F5889">
        <v>-1</v>
      </c>
      <c r="G5889">
        <v>0.65654500000000005</v>
      </c>
    </row>
    <row r="5890" spans="1:7">
      <c r="A5890" t="s">
        <v>144</v>
      </c>
      <c r="B5890">
        <v>92</v>
      </c>
      <c r="C5890">
        <v>44</v>
      </c>
      <c r="D5890">
        <v>-1</v>
      </c>
      <c r="E5890">
        <v>9.3936000000000006E-2</v>
      </c>
      <c r="F5890">
        <v>-1</v>
      </c>
      <c r="G5890">
        <v>9.3936000000000006E-2</v>
      </c>
    </row>
    <row r="5891" spans="1:7">
      <c r="A5891" t="s">
        <v>144</v>
      </c>
      <c r="B5891">
        <v>92</v>
      </c>
      <c r="C5891">
        <v>45</v>
      </c>
      <c r="D5891">
        <v>-1</v>
      </c>
      <c r="E5891">
        <v>-0.46488800000000002</v>
      </c>
      <c r="F5891">
        <v>-1</v>
      </c>
      <c r="G5891">
        <v>-0.46488800000000002</v>
      </c>
    </row>
    <row r="5892" spans="1:7">
      <c r="A5892" t="s">
        <v>144</v>
      </c>
      <c r="B5892">
        <v>92</v>
      </c>
      <c r="C5892">
        <v>46</v>
      </c>
      <c r="D5892">
        <v>-1</v>
      </c>
      <c r="E5892">
        <v>0.93441600000000002</v>
      </c>
      <c r="F5892">
        <v>-1</v>
      </c>
      <c r="G5892">
        <v>0.93441600000000002</v>
      </c>
    </row>
    <row r="5893" spans="1:7">
      <c r="A5893" t="s">
        <v>144</v>
      </c>
      <c r="B5893">
        <v>92</v>
      </c>
      <c r="C5893">
        <v>47</v>
      </c>
      <c r="D5893">
        <v>-1</v>
      </c>
      <c r="E5893">
        <v>-0.34278399999999998</v>
      </c>
      <c r="F5893">
        <v>-1</v>
      </c>
      <c r="G5893">
        <v>-0.34278399999999998</v>
      </c>
    </row>
    <row r="5894" spans="1:7">
      <c r="A5894" t="s">
        <v>144</v>
      </c>
      <c r="B5894">
        <v>92</v>
      </c>
      <c r="C5894">
        <v>48</v>
      </c>
      <c r="D5894">
        <v>-1</v>
      </c>
      <c r="E5894">
        <v>-0.69893499999999997</v>
      </c>
      <c r="F5894">
        <v>-1</v>
      </c>
      <c r="G5894">
        <v>-0.69893499999999997</v>
      </c>
    </row>
    <row r="5895" spans="1:7">
      <c r="A5895" t="s">
        <v>144</v>
      </c>
      <c r="B5895">
        <v>92</v>
      </c>
      <c r="C5895">
        <v>49</v>
      </c>
      <c r="D5895">
        <v>-1</v>
      </c>
      <c r="E5895">
        <v>-0.34580499999999997</v>
      </c>
      <c r="F5895">
        <v>-1</v>
      </c>
      <c r="G5895">
        <v>-0.34580499999999997</v>
      </c>
    </row>
    <row r="5896" spans="1:7">
      <c r="A5896" t="s">
        <v>144</v>
      </c>
      <c r="B5896" t="s">
        <v>145</v>
      </c>
      <c r="C5896">
        <v>93</v>
      </c>
    </row>
    <row r="5897" spans="1:7">
      <c r="A5897" t="s">
        <v>144</v>
      </c>
      <c r="B5897" t="s">
        <v>146</v>
      </c>
      <c r="C5897">
        <v>8</v>
      </c>
    </row>
    <row r="5898" spans="1:7">
      <c r="A5898" t="s">
        <v>144</v>
      </c>
      <c r="B5898" t="s">
        <v>147</v>
      </c>
      <c r="C5898">
        <v>8</v>
      </c>
    </row>
    <row r="5899" spans="1:7">
      <c r="A5899" t="s">
        <v>144</v>
      </c>
      <c r="B5899" t="s">
        <v>148</v>
      </c>
      <c r="C5899">
        <v>0.43781900000000001</v>
      </c>
    </row>
    <row r="5900" spans="1:7">
      <c r="A5900" t="s">
        <v>144</v>
      </c>
      <c r="B5900" t="s">
        <v>149</v>
      </c>
      <c r="C5900">
        <v>0.43781900000000001</v>
      </c>
    </row>
    <row r="5901" spans="1:7">
      <c r="A5901" t="s">
        <v>144</v>
      </c>
      <c r="B5901" t="s">
        <v>150</v>
      </c>
      <c r="C5901">
        <v>-1</v>
      </c>
    </row>
    <row r="5902" spans="1:7">
      <c r="A5902" t="s">
        <v>144</v>
      </c>
      <c r="B5902" t="s">
        <v>151</v>
      </c>
      <c r="C5902">
        <v>-1</v>
      </c>
    </row>
    <row r="5903" spans="1:7">
      <c r="A5903" t="s">
        <v>144</v>
      </c>
      <c r="B5903" t="s">
        <v>152</v>
      </c>
      <c r="C5903">
        <v>2</v>
      </c>
    </row>
    <row r="5904" spans="1:7">
      <c r="A5904" t="s">
        <v>144</v>
      </c>
      <c r="B5904" t="s">
        <v>153</v>
      </c>
      <c r="C5904">
        <v>2</v>
      </c>
    </row>
    <row r="5905" spans="1:7">
      <c r="A5905" t="s">
        <v>144</v>
      </c>
      <c r="B5905" t="s">
        <v>154</v>
      </c>
      <c r="C5905">
        <v>0</v>
      </c>
    </row>
    <row r="5906" spans="1:7">
      <c r="A5906" t="s">
        <v>144</v>
      </c>
      <c r="B5906" t="s">
        <v>155</v>
      </c>
    </row>
    <row r="5907" spans="1:7">
      <c r="A5907" t="s">
        <v>144</v>
      </c>
      <c r="B5907" t="s">
        <v>150</v>
      </c>
      <c r="C5907">
        <v>0.66569999999999996</v>
      </c>
    </row>
    <row r="5908" spans="1:7">
      <c r="A5908" t="s">
        <v>144</v>
      </c>
      <c r="B5908" t="s">
        <v>151</v>
      </c>
      <c r="C5908">
        <v>0.66569999999999996</v>
      </c>
    </row>
    <row r="5909" spans="1:7">
      <c r="A5909" t="s">
        <v>144</v>
      </c>
      <c r="B5909" t="s">
        <v>156</v>
      </c>
      <c r="C5909" t="s">
        <v>157</v>
      </c>
      <c r="D5909" t="s">
        <v>63</v>
      </c>
      <c r="E5909" t="s">
        <v>158</v>
      </c>
      <c r="F5909" t="s">
        <v>159</v>
      </c>
      <c r="G5909" t="s">
        <v>160</v>
      </c>
    </row>
    <row r="5910" spans="1:7">
      <c r="A5910" t="s">
        <v>144</v>
      </c>
      <c r="B5910">
        <v>93</v>
      </c>
      <c r="C5910">
        <v>0</v>
      </c>
      <c r="D5910">
        <v>0.66569999999999996</v>
      </c>
      <c r="E5910">
        <v>-0.745201</v>
      </c>
      <c r="F5910">
        <v>-1</v>
      </c>
      <c r="G5910">
        <v>-0.745201</v>
      </c>
    </row>
    <row r="5911" spans="1:7">
      <c r="A5911" t="s">
        <v>144</v>
      </c>
      <c r="B5911">
        <v>93</v>
      </c>
      <c r="C5911">
        <v>1</v>
      </c>
      <c r="D5911">
        <v>0.66569999999999996</v>
      </c>
      <c r="E5911">
        <v>-0.613147</v>
      </c>
      <c r="F5911">
        <v>-1</v>
      </c>
      <c r="G5911">
        <v>-0.613147</v>
      </c>
    </row>
    <row r="5912" spans="1:7">
      <c r="A5912" t="s">
        <v>144</v>
      </c>
      <c r="B5912">
        <v>93</v>
      </c>
      <c r="C5912">
        <v>2</v>
      </c>
      <c r="D5912">
        <v>0.66569999999999996</v>
      </c>
      <c r="E5912">
        <v>0.89046899999999996</v>
      </c>
      <c r="F5912">
        <v>-0.28638599999999997</v>
      </c>
      <c r="G5912">
        <v>0.49704700000000002</v>
      </c>
    </row>
    <row r="5913" spans="1:7">
      <c r="A5913" t="s">
        <v>144</v>
      </c>
      <c r="B5913">
        <v>93</v>
      </c>
      <c r="C5913">
        <v>3</v>
      </c>
      <c r="D5913">
        <v>0.66569999999999996</v>
      </c>
      <c r="E5913">
        <v>-0.89443600000000001</v>
      </c>
      <c r="F5913">
        <v>0.424757</v>
      </c>
      <c r="G5913">
        <v>-0.45343099999999997</v>
      </c>
    </row>
    <row r="5914" spans="1:7">
      <c r="A5914" t="s">
        <v>144</v>
      </c>
      <c r="B5914">
        <v>93</v>
      </c>
      <c r="C5914">
        <v>4</v>
      </c>
      <c r="D5914">
        <v>0.66569999999999996</v>
      </c>
      <c r="E5914">
        <v>-0.34998600000000002</v>
      </c>
      <c r="F5914">
        <v>0.780725</v>
      </c>
      <c r="G5914">
        <v>2.801E-2</v>
      </c>
    </row>
    <row r="5915" spans="1:7">
      <c r="A5915" t="s">
        <v>144</v>
      </c>
      <c r="B5915">
        <v>93</v>
      </c>
      <c r="C5915">
        <v>5</v>
      </c>
      <c r="D5915">
        <v>0.66569999999999996</v>
      </c>
      <c r="E5915">
        <v>0.86013399999999995</v>
      </c>
      <c r="F5915">
        <v>0.23358899999999999</v>
      </c>
      <c r="G5915">
        <v>0.65068000000000004</v>
      </c>
    </row>
    <row r="5916" spans="1:7">
      <c r="A5916" t="s">
        <v>144</v>
      </c>
      <c r="B5916">
        <v>93</v>
      </c>
      <c r="C5916">
        <v>6</v>
      </c>
      <c r="D5916">
        <v>0.66569999999999996</v>
      </c>
      <c r="E5916">
        <v>0.80077500000000001</v>
      </c>
      <c r="F5916">
        <v>0.83910600000000002</v>
      </c>
      <c r="G5916">
        <v>0.81358900000000001</v>
      </c>
    </row>
    <row r="5917" spans="1:7">
      <c r="A5917" t="s">
        <v>144</v>
      </c>
      <c r="B5917">
        <v>93</v>
      </c>
      <c r="C5917">
        <v>7</v>
      </c>
      <c r="D5917">
        <v>0.66569999999999996</v>
      </c>
      <c r="E5917">
        <v>0.35453400000000002</v>
      </c>
      <c r="F5917">
        <v>-0.618946</v>
      </c>
      <c r="G5917">
        <v>2.9100000000000001E-2</v>
      </c>
    </row>
    <row r="5918" spans="1:7">
      <c r="A5918" t="s">
        <v>144</v>
      </c>
      <c r="B5918">
        <v>93</v>
      </c>
      <c r="C5918">
        <v>8</v>
      </c>
      <c r="D5918">
        <v>0.66569999999999996</v>
      </c>
      <c r="E5918">
        <v>0.60026900000000005</v>
      </c>
      <c r="F5918">
        <v>-0.70912799999999998</v>
      </c>
      <c r="G5918">
        <v>0.16253799999999999</v>
      </c>
    </row>
    <row r="5919" spans="1:7">
      <c r="A5919" t="s">
        <v>144</v>
      </c>
      <c r="B5919">
        <v>93</v>
      </c>
      <c r="C5919">
        <v>9</v>
      </c>
      <c r="D5919">
        <v>0.66569999999999996</v>
      </c>
      <c r="E5919">
        <v>0.42338300000000001</v>
      </c>
      <c r="F5919">
        <v>-4.4068999999999997E-2</v>
      </c>
      <c r="G5919">
        <v>0.26711400000000002</v>
      </c>
    </row>
    <row r="5920" spans="1:7">
      <c r="A5920" t="s">
        <v>144</v>
      </c>
      <c r="B5920">
        <v>93</v>
      </c>
      <c r="C5920">
        <v>10</v>
      </c>
      <c r="D5920">
        <v>0.66569999999999996</v>
      </c>
      <c r="E5920">
        <v>0.62175400000000003</v>
      </c>
      <c r="F5920">
        <v>-0.67891500000000005</v>
      </c>
      <c r="G5920">
        <v>0.18694</v>
      </c>
    </row>
    <row r="5921" spans="1:7">
      <c r="A5921" t="s">
        <v>144</v>
      </c>
      <c r="B5921">
        <v>93</v>
      </c>
      <c r="C5921">
        <v>11</v>
      </c>
      <c r="D5921">
        <v>0.66569999999999996</v>
      </c>
      <c r="E5921">
        <v>-8.3956000000000003E-2</v>
      </c>
      <c r="F5921">
        <v>-0.16583800000000001</v>
      </c>
      <c r="G5921">
        <v>-0.111329</v>
      </c>
    </row>
    <row r="5922" spans="1:7">
      <c r="A5922" t="s">
        <v>144</v>
      </c>
      <c r="B5922">
        <v>93</v>
      </c>
      <c r="C5922">
        <v>12</v>
      </c>
      <c r="D5922">
        <v>0.66569999999999996</v>
      </c>
      <c r="E5922">
        <v>-0.43580400000000002</v>
      </c>
      <c r="F5922">
        <v>0.23114699999999999</v>
      </c>
      <c r="G5922">
        <v>-0.212843</v>
      </c>
    </row>
    <row r="5923" spans="1:7">
      <c r="A5923" t="s">
        <v>144</v>
      </c>
      <c r="B5923">
        <v>93</v>
      </c>
      <c r="C5923">
        <v>13</v>
      </c>
      <c r="D5923">
        <v>0.66569999999999996</v>
      </c>
      <c r="E5923">
        <v>0.20658000000000001</v>
      </c>
      <c r="F5923">
        <v>0.46992400000000001</v>
      </c>
      <c r="G5923">
        <v>0.29461599999999999</v>
      </c>
    </row>
    <row r="5924" spans="1:7">
      <c r="A5924" t="s">
        <v>144</v>
      </c>
      <c r="B5924">
        <v>93</v>
      </c>
      <c r="C5924">
        <v>14</v>
      </c>
      <c r="D5924">
        <v>0.66569999999999996</v>
      </c>
      <c r="E5924">
        <v>-0.49339300000000003</v>
      </c>
      <c r="F5924">
        <v>-1.1443999999999999E-2</v>
      </c>
      <c r="G5924">
        <v>-0.33227800000000002</v>
      </c>
    </row>
    <row r="5925" spans="1:7">
      <c r="A5925" t="s">
        <v>144</v>
      </c>
      <c r="B5925">
        <v>93</v>
      </c>
      <c r="C5925">
        <v>15</v>
      </c>
      <c r="D5925">
        <v>0.66569999999999996</v>
      </c>
      <c r="E5925">
        <v>-0.41361700000000001</v>
      </c>
      <c r="F5925">
        <v>-0.23630499999999999</v>
      </c>
      <c r="G5925">
        <v>-0.35434199999999999</v>
      </c>
    </row>
    <row r="5926" spans="1:7">
      <c r="A5926" t="s">
        <v>144</v>
      </c>
      <c r="B5926">
        <v>93</v>
      </c>
      <c r="C5926">
        <v>16</v>
      </c>
      <c r="D5926">
        <v>0.66569999999999996</v>
      </c>
      <c r="E5926">
        <v>0.46745199999999998</v>
      </c>
      <c r="F5926">
        <v>-0.76735699999999996</v>
      </c>
      <c r="G5926">
        <v>5.4656000000000003E-2</v>
      </c>
    </row>
    <row r="5927" spans="1:7">
      <c r="A5927" t="s">
        <v>144</v>
      </c>
      <c r="B5927">
        <v>93</v>
      </c>
      <c r="C5927">
        <v>17</v>
      </c>
      <c r="D5927">
        <v>0.66569999999999996</v>
      </c>
      <c r="E5927">
        <v>-0.40244799999999997</v>
      </c>
      <c r="F5927">
        <v>0.24112700000000001</v>
      </c>
      <c r="G5927">
        <v>-0.187301</v>
      </c>
    </row>
    <row r="5928" spans="1:7">
      <c r="A5928" t="s">
        <v>144</v>
      </c>
      <c r="B5928">
        <v>93</v>
      </c>
      <c r="C5928">
        <v>18</v>
      </c>
      <c r="D5928">
        <v>0.66569999999999996</v>
      </c>
      <c r="E5928">
        <v>-0.40852100000000002</v>
      </c>
      <c r="F5928">
        <v>0.91451800000000005</v>
      </c>
      <c r="G5928">
        <v>3.3771000000000002E-2</v>
      </c>
    </row>
    <row r="5929" spans="1:7">
      <c r="A5929" t="s">
        <v>144</v>
      </c>
      <c r="B5929">
        <v>93</v>
      </c>
      <c r="C5929">
        <v>19</v>
      </c>
      <c r="D5929">
        <v>0.66569999999999996</v>
      </c>
      <c r="E5929">
        <v>-0.59834600000000004</v>
      </c>
      <c r="F5929">
        <v>0.100925</v>
      </c>
      <c r="G5929">
        <v>-0.36458000000000002</v>
      </c>
    </row>
    <row r="5930" spans="1:7">
      <c r="A5930" t="s">
        <v>144</v>
      </c>
      <c r="B5930">
        <v>93</v>
      </c>
      <c r="C5930">
        <v>20</v>
      </c>
      <c r="D5930">
        <v>0.66569999999999996</v>
      </c>
      <c r="E5930">
        <v>-0.87157799999999996</v>
      </c>
      <c r="F5930">
        <v>-0.88583000000000001</v>
      </c>
      <c r="G5930">
        <v>-0.87634299999999998</v>
      </c>
    </row>
    <row r="5931" spans="1:7">
      <c r="A5931" t="s">
        <v>144</v>
      </c>
      <c r="B5931">
        <v>93</v>
      </c>
      <c r="C5931">
        <v>21</v>
      </c>
      <c r="D5931">
        <v>0.66569999999999996</v>
      </c>
      <c r="E5931">
        <v>-0.54371800000000003</v>
      </c>
      <c r="F5931">
        <v>-0.66597499999999998</v>
      </c>
      <c r="G5931">
        <v>-0.584588</v>
      </c>
    </row>
    <row r="5932" spans="1:7">
      <c r="A5932" t="s">
        <v>144</v>
      </c>
      <c r="B5932">
        <v>93</v>
      </c>
      <c r="C5932">
        <v>22</v>
      </c>
      <c r="D5932">
        <v>0.66569999999999996</v>
      </c>
      <c r="E5932">
        <v>-0.669485</v>
      </c>
      <c r="F5932">
        <v>0.92016399999999998</v>
      </c>
      <c r="G5932">
        <v>-0.13806599999999999</v>
      </c>
    </row>
    <row r="5933" spans="1:7">
      <c r="A5933" t="s">
        <v>144</v>
      </c>
      <c r="B5933">
        <v>93</v>
      </c>
      <c r="C5933">
        <v>23</v>
      </c>
      <c r="D5933">
        <v>0.66569999999999996</v>
      </c>
      <c r="E5933">
        <v>0.93017399999999995</v>
      </c>
      <c r="F5933">
        <v>0.36832799999999999</v>
      </c>
      <c r="G5933">
        <v>0.74234900000000004</v>
      </c>
    </row>
    <row r="5934" spans="1:7">
      <c r="A5934" t="s">
        <v>144</v>
      </c>
      <c r="B5934">
        <v>93</v>
      </c>
      <c r="C5934">
        <v>24</v>
      </c>
      <c r="D5934">
        <v>0.66569999999999996</v>
      </c>
      <c r="E5934">
        <v>-0.40967999999999999</v>
      </c>
      <c r="F5934">
        <v>-0.44673000000000002</v>
      </c>
      <c r="G5934">
        <v>-0.422066</v>
      </c>
    </row>
    <row r="5935" spans="1:7">
      <c r="A5935" t="s">
        <v>144</v>
      </c>
      <c r="B5935">
        <v>93</v>
      </c>
      <c r="C5935">
        <v>25</v>
      </c>
      <c r="D5935">
        <v>0.66569999999999996</v>
      </c>
      <c r="E5935">
        <v>-0.67891500000000005</v>
      </c>
      <c r="F5935">
        <v>-0.93172999999999995</v>
      </c>
      <c r="G5935">
        <v>-0.76343099999999997</v>
      </c>
    </row>
    <row r="5936" spans="1:7">
      <c r="A5936" t="s">
        <v>144</v>
      </c>
      <c r="B5936">
        <v>93</v>
      </c>
      <c r="C5936">
        <v>26</v>
      </c>
      <c r="D5936">
        <v>0.66569999999999996</v>
      </c>
      <c r="E5936">
        <v>-0.470443</v>
      </c>
      <c r="F5936">
        <v>0.72160999999999997</v>
      </c>
      <c r="G5936">
        <v>-7.1940000000000004E-2</v>
      </c>
    </row>
    <row r="5937" spans="1:7">
      <c r="A5937" t="s">
        <v>144</v>
      </c>
      <c r="B5937">
        <v>93</v>
      </c>
      <c r="C5937">
        <v>27</v>
      </c>
      <c r="D5937">
        <v>0.66569999999999996</v>
      </c>
      <c r="E5937">
        <v>0.97671399999999997</v>
      </c>
      <c r="F5937">
        <v>0.34839900000000001</v>
      </c>
      <c r="G5937">
        <v>0.76666900000000004</v>
      </c>
    </row>
    <row r="5938" spans="1:7">
      <c r="A5938" t="s">
        <v>144</v>
      </c>
      <c r="B5938">
        <v>93</v>
      </c>
      <c r="C5938">
        <v>28</v>
      </c>
      <c r="D5938">
        <v>0.66569999999999996</v>
      </c>
      <c r="E5938">
        <v>0.57280200000000003</v>
      </c>
      <c r="F5938">
        <v>0.87200500000000003</v>
      </c>
      <c r="G5938">
        <v>0.67282600000000004</v>
      </c>
    </row>
    <row r="5939" spans="1:7">
      <c r="A5939" t="s">
        <v>144</v>
      </c>
      <c r="B5939">
        <v>93</v>
      </c>
      <c r="C5939">
        <v>29</v>
      </c>
      <c r="D5939">
        <v>0.66569999999999996</v>
      </c>
      <c r="E5939">
        <v>0.67299399999999998</v>
      </c>
      <c r="F5939">
        <v>0.53041199999999999</v>
      </c>
      <c r="G5939">
        <v>0.62532900000000002</v>
      </c>
    </row>
    <row r="5940" spans="1:7">
      <c r="A5940" t="s">
        <v>144</v>
      </c>
      <c r="B5940">
        <v>93</v>
      </c>
      <c r="C5940">
        <v>30</v>
      </c>
      <c r="D5940">
        <v>0.66569999999999996</v>
      </c>
      <c r="E5940">
        <v>0.60429699999999997</v>
      </c>
      <c r="F5940">
        <v>-5.463E-3</v>
      </c>
      <c r="G5940">
        <v>0.40045399999999998</v>
      </c>
    </row>
    <row r="5941" spans="1:7">
      <c r="A5941" t="s">
        <v>144</v>
      </c>
      <c r="B5941">
        <v>93</v>
      </c>
      <c r="C5941">
        <v>31</v>
      </c>
      <c r="D5941">
        <v>0.66569999999999996</v>
      </c>
      <c r="E5941">
        <v>-0.94436500000000001</v>
      </c>
      <c r="F5941">
        <v>0.540574</v>
      </c>
      <c r="G5941">
        <v>-0.44795000000000001</v>
      </c>
    </row>
    <row r="5942" spans="1:7">
      <c r="A5942" t="s">
        <v>144</v>
      </c>
      <c r="B5942">
        <v>93</v>
      </c>
      <c r="C5942">
        <v>32</v>
      </c>
      <c r="D5942">
        <v>0.66569999999999996</v>
      </c>
      <c r="E5942">
        <v>-0.85116099999999995</v>
      </c>
      <c r="F5942">
        <v>-0.539628</v>
      </c>
      <c r="G5942">
        <v>-0.74701600000000001</v>
      </c>
    </row>
    <row r="5943" spans="1:7">
      <c r="A5943" t="s">
        <v>144</v>
      </c>
      <c r="B5943">
        <v>93</v>
      </c>
      <c r="C5943">
        <v>33</v>
      </c>
      <c r="D5943">
        <v>0.66569999999999996</v>
      </c>
      <c r="E5943">
        <v>0.63325900000000002</v>
      </c>
      <c r="F5943">
        <v>0.809809</v>
      </c>
      <c r="G5943">
        <v>0.69228000000000001</v>
      </c>
    </row>
    <row r="5944" spans="1:7">
      <c r="A5944" t="s">
        <v>144</v>
      </c>
      <c r="B5944">
        <v>93</v>
      </c>
      <c r="C5944">
        <v>34</v>
      </c>
      <c r="D5944">
        <v>0.66569999999999996</v>
      </c>
      <c r="E5944">
        <v>0.29471700000000001</v>
      </c>
      <c r="F5944">
        <v>-0.40867300000000001</v>
      </c>
      <c r="G5944">
        <v>5.9574000000000002E-2</v>
      </c>
    </row>
    <row r="5945" spans="1:7">
      <c r="A5945" t="s">
        <v>144</v>
      </c>
      <c r="B5945">
        <v>93</v>
      </c>
      <c r="C5945">
        <v>35</v>
      </c>
      <c r="D5945">
        <v>0.66569999999999996</v>
      </c>
      <c r="E5945">
        <v>-0.16650899999999999</v>
      </c>
      <c r="F5945">
        <v>-0.2472</v>
      </c>
      <c r="G5945">
        <v>-0.19348399999999999</v>
      </c>
    </row>
    <row r="5946" spans="1:7">
      <c r="A5946" t="s">
        <v>144</v>
      </c>
      <c r="B5946">
        <v>93</v>
      </c>
      <c r="C5946">
        <v>36</v>
      </c>
      <c r="D5946">
        <v>0.66569999999999996</v>
      </c>
      <c r="E5946">
        <v>0.128666</v>
      </c>
      <c r="F5946">
        <v>-0.30338500000000002</v>
      </c>
      <c r="G5946">
        <v>-1.5768000000000001E-2</v>
      </c>
    </row>
    <row r="5947" spans="1:7">
      <c r="A5947" t="s">
        <v>144</v>
      </c>
      <c r="B5947">
        <v>93</v>
      </c>
      <c r="C5947">
        <v>37</v>
      </c>
      <c r="D5947">
        <v>0.66569999999999996</v>
      </c>
      <c r="E5947">
        <v>0.46018900000000001</v>
      </c>
      <c r="F5947">
        <v>0.64888500000000005</v>
      </c>
      <c r="G5947">
        <v>0.52327000000000001</v>
      </c>
    </row>
    <row r="5948" spans="1:7">
      <c r="A5948" t="s">
        <v>144</v>
      </c>
      <c r="B5948">
        <v>93</v>
      </c>
      <c r="C5948">
        <v>38</v>
      </c>
      <c r="D5948">
        <v>0.66569999999999996</v>
      </c>
      <c r="E5948">
        <v>-0.15323300000000001</v>
      </c>
      <c r="F5948">
        <v>0.60042099999999998</v>
      </c>
      <c r="G5948">
        <v>9.8712999999999995E-2</v>
      </c>
    </row>
    <row r="5949" spans="1:7">
      <c r="A5949" t="s">
        <v>144</v>
      </c>
      <c r="B5949">
        <v>93</v>
      </c>
      <c r="C5949">
        <v>39</v>
      </c>
      <c r="D5949">
        <v>0.66569999999999996</v>
      </c>
      <c r="E5949">
        <v>0.71706300000000001</v>
      </c>
      <c r="F5949">
        <v>-0.311747</v>
      </c>
      <c r="G5949">
        <v>0.37313200000000002</v>
      </c>
    </row>
    <row r="5950" spans="1:7">
      <c r="A5950" t="s">
        <v>144</v>
      </c>
      <c r="B5950">
        <v>93</v>
      </c>
      <c r="C5950">
        <v>40</v>
      </c>
      <c r="D5950">
        <v>0.66569999999999996</v>
      </c>
      <c r="E5950">
        <v>-0.20246</v>
      </c>
      <c r="F5950">
        <v>-0.13727200000000001</v>
      </c>
      <c r="G5950">
        <v>-0.180668</v>
      </c>
    </row>
    <row r="5951" spans="1:7">
      <c r="A5951" t="s">
        <v>144</v>
      </c>
      <c r="B5951">
        <v>93</v>
      </c>
      <c r="C5951">
        <v>41</v>
      </c>
      <c r="D5951">
        <v>0.66569999999999996</v>
      </c>
      <c r="E5951">
        <v>0.52302599999999999</v>
      </c>
      <c r="F5951">
        <v>-0.25882699999999997</v>
      </c>
      <c r="G5951">
        <v>0.26165300000000002</v>
      </c>
    </row>
    <row r="5952" spans="1:7">
      <c r="A5952" t="s">
        <v>144</v>
      </c>
      <c r="B5952">
        <v>93</v>
      </c>
      <c r="C5952">
        <v>42</v>
      </c>
      <c r="D5952">
        <v>0.66569999999999996</v>
      </c>
      <c r="E5952">
        <v>-0.26114700000000002</v>
      </c>
      <c r="F5952">
        <v>0.48933399999999999</v>
      </c>
      <c r="G5952">
        <v>-1.0260999999999999E-2</v>
      </c>
    </row>
    <row r="5953" spans="1:7">
      <c r="A5953" t="s">
        <v>144</v>
      </c>
      <c r="B5953">
        <v>93</v>
      </c>
      <c r="C5953">
        <v>43</v>
      </c>
      <c r="D5953">
        <v>0.66569999999999996</v>
      </c>
      <c r="E5953">
        <v>-0.14838100000000001</v>
      </c>
      <c r="F5953">
        <v>-0.98208600000000001</v>
      </c>
      <c r="G5953">
        <v>-0.42708800000000002</v>
      </c>
    </row>
    <row r="5954" spans="1:7">
      <c r="A5954" t="s">
        <v>144</v>
      </c>
      <c r="B5954">
        <v>93</v>
      </c>
      <c r="C5954">
        <v>44</v>
      </c>
      <c r="D5954">
        <v>0.66569999999999996</v>
      </c>
      <c r="E5954">
        <v>-0.42735099999999998</v>
      </c>
      <c r="F5954">
        <v>0.905026</v>
      </c>
      <c r="G5954">
        <v>1.8062999999999999E-2</v>
      </c>
    </row>
    <row r="5955" spans="1:7">
      <c r="A5955" t="s">
        <v>144</v>
      </c>
      <c r="B5955">
        <v>93</v>
      </c>
      <c r="C5955">
        <v>45</v>
      </c>
      <c r="D5955">
        <v>0.66569999999999996</v>
      </c>
      <c r="E5955">
        <v>-0.46070699999999998</v>
      </c>
      <c r="F5955">
        <v>0.10886</v>
      </c>
      <c r="G5955">
        <v>-0.27030100000000001</v>
      </c>
    </row>
    <row r="5956" spans="1:7">
      <c r="A5956" t="s">
        <v>144</v>
      </c>
      <c r="B5956">
        <v>93</v>
      </c>
      <c r="C5956">
        <v>46</v>
      </c>
      <c r="D5956">
        <v>0.66569999999999996</v>
      </c>
      <c r="E5956">
        <v>-0.376751</v>
      </c>
      <c r="F5956">
        <v>0.55543699999999996</v>
      </c>
      <c r="G5956">
        <v>-6.5120999999999998E-2</v>
      </c>
    </row>
    <row r="5957" spans="1:7">
      <c r="A5957" t="s">
        <v>144</v>
      </c>
      <c r="B5957">
        <v>93</v>
      </c>
      <c r="C5957">
        <v>47</v>
      </c>
      <c r="D5957">
        <v>0.66569999999999996</v>
      </c>
      <c r="E5957">
        <v>-0.35489999999999999</v>
      </c>
      <c r="F5957">
        <v>-0.89880099999999996</v>
      </c>
      <c r="G5957">
        <v>-0.53672600000000004</v>
      </c>
    </row>
    <row r="5958" spans="1:7">
      <c r="A5958" t="s">
        <v>144</v>
      </c>
      <c r="B5958">
        <v>93</v>
      </c>
      <c r="C5958">
        <v>48</v>
      </c>
      <c r="D5958">
        <v>0.66569999999999996</v>
      </c>
      <c r="E5958">
        <v>0.485458</v>
      </c>
      <c r="F5958">
        <v>0.25467699999999999</v>
      </c>
      <c r="G5958">
        <v>0.408308</v>
      </c>
    </row>
    <row r="5959" spans="1:7">
      <c r="A5959" t="s">
        <v>144</v>
      </c>
      <c r="B5959">
        <v>93</v>
      </c>
      <c r="C5959">
        <v>49</v>
      </c>
      <c r="D5959">
        <v>0.66569999999999996</v>
      </c>
      <c r="E5959">
        <v>-0.10757799999999999</v>
      </c>
      <c r="F5959">
        <v>0.97677499999999995</v>
      </c>
      <c r="G5959">
        <v>0.25492100000000001</v>
      </c>
    </row>
    <row r="5960" spans="1:7">
      <c r="A5960" t="s">
        <v>144</v>
      </c>
      <c r="B5960" t="s">
        <v>145</v>
      </c>
      <c r="C5960">
        <v>94</v>
      </c>
    </row>
    <row r="5961" spans="1:7">
      <c r="A5961" t="s">
        <v>144</v>
      </c>
      <c r="B5961" t="s">
        <v>146</v>
      </c>
      <c r="C5961">
        <v>68</v>
      </c>
    </row>
    <row r="5962" spans="1:7">
      <c r="A5962" t="s">
        <v>144</v>
      </c>
      <c r="B5962" t="s">
        <v>147</v>
      </c>
      <c r="C5962">
        <v>68</v>
      </c>
    </row>
    <row r="5963" spans="1:7">
      <c r="A5963" t="s">
        <v>144</v>
      </c>
      <c r="B5963" t="s">
        <v>148</v>
      </c>
      <c r="C5963">
        <v>0.80236200000000002</v>
      </c>
    </row>
    <row r="5964" spans="1:7">
      <c r="A5964" t="s">
        <v>144</v>
      </c>
      <c r="B5964" t="s">
        <v>149</v>
      </c>
      <c r="C5964">
        <v>0.80236200000000002</v>
      </c>
    </row>
    <row r="5965" spans="1:7">
      <c r="A5965" t="s">
        <v>144</v>
      </c>
      <c r="B5965" t="s">
        <v>150</v>
      </c>
      <c r="C5965">
        <v>-1</v>
      </c>
    </row>
    <row r="5966" spans="1:7">
      <c r="A5966" t="s">
        <v>144</v>
      </c>
      <c r="B5966" t="s">
        <v>151</v>
      </c>
      <c r="C5966">
        <v>-1</v>
      </c>
    </row>
    <row r="5967" spans="1:7">
      <c r="A5967" t="s">
        <v>144</v>
      </c>
      <c r="B5967" t="s">
        <v>152</v>
      </c>
      <c r="C5967">
        <v>45</v>
      </c>
    </row>
    <row r="5968" spans="1:7">
      <c r="A5968" t="s">
        <v>144</v>
      </c>
      <c r="B5968" t="s">
        <v>153</v>
      </c>
      <c r="C5968">
        <v>45</v>
      </c>
    </row>
    <row r="5969" spans="1:7">
      <c r="A5969" t="s">
        <v>144</v>
      </c>
      <c r="B5969" t="s">
        <v>154</v>
      </c>
      <c r="C5969">
        <v>0</v>
      </c>
    </row>
    <row r="5970" spans="1:7">
      <c r="A5970" t="s">
        <v>144</v>
      </c>
      <c r="B5970" t="s">
        <v>161</v>
      </c>
    </row>
    <row r="5971" spans="1:7">
      <c r="A5971" t="s">
        <v>144</v>
      </c>
      <c r="B5971">
        <v>94</v>
      </c>
      <c r="C5971">
        <v>0</v>
      </c>
      <c r="D5971">
        <v>-1</v>
      </c>
      <c r="E5971">
        <v>-0.99050899999999997</v>
      </c>
      <c r="F5971">
        <v>-1</v>
      </c>
      <c r="G5971">
        <v>-0.99050899999999997</v>
      </c>
    </row>
    <row r="5972" spans="1:7">
      <c r="A5972" t="s">
        <v>144</v>
      </c>
      <c r="B5972">
        <v>94</v>
      </c>
      <c r="C5972">
        <v>1</v>
      </c>
      <c r="D5972">
        <v>-1</v>
      </c>
      <c r="E5972">
        <v>-0.97244200000000003</v>
      </c>
      <c r="F5972">
        <v>-1</v>
      </c>
      <c r="G5972">
        <v>-0.97244200000000003</v>
      </c>
    </row>
    <row r="5973" spans="1:7">
      <c r="A5973" t="s">
        <v>144</v>
      </c>
      <c r="B5973">
        <v>94</v>
      </c>
      <c r="C5973">
        <v>2</v>
      </c>
      <c r="D5973">
        <v>-1</v>
      </c>
      <c r="E5973">
        <v>-0.71559799999999996</v>
      </c>
      <c r="F5973">
        <v>-1</v>
      </c>
      <c r="G5973">
        <v>-0.71559799999999996</v>
      </c>
    </row>
    <row r="5974" spans="1:7">
      <c r="A5974" t="s">
        <v>144</v>
      </c>
      <c r="B5974">
        <v>94</v>
      </c>
      <c r="C5974">
        <v>3</v>
      </c>
      <c r="D5974">
        <v>-1</v>
      </c>
      <c r="E5974">
        <v>-0.68443900000000002</v>
      </c>
      <c r="F5974">
        <v>-1</v>
      </c>
      <c r="G5974">
        <v>-0.68443900000000002</v>
      </c>
    </row>
    <row r="5975" spans="1:7">
      <c r="A5975" t="s">
        <v>144</v>
      </c>
      <c r="B5975">
        <v>94</v>
      </c>
      <c r="C5975">
        <v>4</v>
      </c>
      <c r="D5975">
        <v>-1</v>
      </c>
      <c r="E5975">
        <v>-8.6703000000000002E-2</v>
      </c>
      <c r="F5975">
        <v>-1</v>
      </c>
      <c r="G5975">
        <v>-8.6703000000000002E-2</v>
      </c>
    </row>
    <row r="5976" spans="1:7">
      <c r="A5976" t="s">
        <v>144</v>
      </c>
      <c r="B5976">
        <v>94</v>
      </c>
      <c r="C5976">
        <v>5</v>
      </c>
      <c r="D5976">
        <v>-1</v>
      </c>
      <c r="E5976">
        <v>0.29425899999999999</v>
      </c>
      <c r="F5976">
        <v>-1</v>
      </c>
      <c r="G5976">
        <v>0.29425899999999999</v>
      </c>
    </row>
    <row r="5977" spans="1:7">
      <c r="A5977" t="s">
        <v>144</v>
      </c>
      <c r="B5977">
        <v>94</v>
      </c>
      <c r="C5977">
        <v>6</v>
      </c>
      <c r="D5977">
        <v>-1</v>
      </c>
      <c r="E5977">
        <v>-0.41758499999999998</v>
      </c>
      <c r="F5977">
        <v>-1</v>
      </c>
      <c r="G5977">
        <v>-0.41758499999999998</v>
      </c>
    </row>
    <row r="5978" spans="1:7">
      <c r="A5978" t="s">
        <v>144</v>
      </c>
      <c r="B5978">
        <v>94</v>
      </c>
      <c r="C5978">
        <v>7</v>
      </c>
      <c r="D5978">
        <v>-1</v>
      </c>
      <c r="E5978">
        <v>-0.57988200000000001</v>
      </c>
      <c r="F5978">
        <v>-1</v>
      </c>
      <c r="G5978">
        <v>-0.57988200000000001</v>
      </c>
    </row>
    <row r="5979" spans="1:7">
      <c r="A5979" t="s">
        <v>144</v>
      </c>
      <c r="B5979">
        <v>94</v>
      </c>
      <c r="C5979">
        <v>8</v>
      </c>
      <c r="D5979">
        <v>-1</v>
      </c>
      <c r="E5979">
        <v>-0.29673100000000002</v>
      </c>
      <c r="F5979">
        <v>-1</v>
      </c>
      <c r="G5979">
        <v>-0.29673100000000002</v>
      </c>
    </row>
    <row r="5980" spans="1:7">
      <c r="A5980" t="s">
        <v>144</v>
      </c>
      <c r="B5980">
        <v>94</v>
      </c>
      <c r="C5980">
        <v>9</v>
      </c>
      <c r="D5980">
        <v>-1</v>
      </c>
      <c r="E5980">
        <v>-0.119907</v>
      </c>
      <c r="F5980">
        <v>-1</v>
      </c>
      <c r="G5980">
        <v>-0.119907</v>
      </c>
    </row>
    <row r="5981" spans="1:7">
      <c r="A5981" t="s">
        <v>144</v>
      </c>
      <c r="B5981">
        <v>94</v>
      </c>
      <c r="C5981">
        <v>10</v>
      </c>
      <c r="D5981">
        <v>-1</v>
      </c>
      <c r="E5981">
        <v>0.47172500000000001</v>
      </c>
      <c r="F5981">
        <v>-1</v>
      </c>
      <c r="G5981">
        <v>0.47172500000000001</v>
      </c>
    </row>
    <row r="5982" spans="1:7">
      <c r="A5982" t="s">
        <v>144</v>
      </c>
      <c r="B5982">
        <v>94</v>
      </c>
      <c r="C5982">
        <v>11</v>
      </c>
      <c r="D5982">
        <v>-1</v>
      </c>
      <c r="E5982">
        <v>0.50324999999999998</v>
      </c>
      <c r="F5982">
        <v>-1</v>
      </c>
      <c r="G5982">
        <v>0.50324999999999998</v>
      </c>
    </row>
    <row r="5983" spans="1:7">
      <c r="A5983" t="s">
        <v>144</v>
      </c>
      <c r="B5983">
        <v>94</v>
      </c>
      <c r="C5983">
        <v>12</v>
      </c>
      <c r="D5983">
        <v>-1</v>
      </c>
      <c r="E5983">
        <v>-0.98568699999999998</v>
      </c>
      <c r="F5983">
        <v>-1</v>
      </c>
      <c r="G5983">
        <v>-0.98568699999999998</v>
      </c>
    </row>
    <row r="5984" spans="1:7">
      <c r="A5984" t="s">
        <v>144</v>
      </c>
      <c r="B5984">
        <v>94</v>
      </c>
      <c r="C5984">
        <v>13</v>
      </c>
      <c r="D5984">
        <v>-1</v>
      </c>
      <c r="E5984">
        <v>-0.80620700000000001</v>
      </c>
      <c r="F5984">
        <v>-1</v>
      </c>
      <c r="G5984">
        <v>-0.80620700000000001</v>
      </c>
    </row>
    <row r="5985" spans="1:7">
      <c r="A5985" t="s">
        <v>144</v>
      </c>
      <c r="B5985">
        <v>94</v>
      </c>
      <c r="C5985">
        <v>14</v>
      </c>
      <c r="D5985">
        <v>-1</v>
      </c>
      <c r="E5985">
        <v>-0.72173200000000004</v>
      </c>
      <c r="F5985">
        <v>-1</v>
      </c>
      <c r="G5985">
        <v>-0.72173200000000004</v>
      </c>
    </row>
    <row r="5986" spans="1:7">
      <c r="A5986" t="s">
        <v>144</v>
      </c>
      <c r="B5986">
        <v>94</v>
      </c>
      <c r="C5986">
        <v>15</v>
      </c>
      <c r="D5986">
        <v>-1</v>
      </c>
      <c r="E5986">
        <v>0.74352200000000002</v>
      </c>
      <c r="F5986">
        <v>-1</v>
      </c>
      <c r="G5986">
        <v>0.74352200000000002</v>
      </c>
    </row>
    <row r="5987" spans="1:7">
      <c r="A5987" t="s">
        <v>144</v>
      </c>
      <c r="B5987">
        <v>94</v>
      </c>
      <c r="C5987">
        <v>16</v>
      </c>
      <c r="D5987">
        <v>-1</v>
      </c>
      <c r="E5987">
        <v>-1.2024E-2</v>
      </c>
      <c r="F5987">
        <v>-1</v>
      </c>
      <c r="G5987">
        <v>-1.2024E-2</v>
      </c>
    </row>
    <row r="5988" spans="1:7">
      <c r="A5988" t="s">
        <v>144</v>
      </c>
      <c r="B5988">
        <v>94</v>
      </c>
      <c r="C5988">
        <v>17</v>
      </c>
      <c r="D5988">
        <v>-1</v>
      </c>
      <c r="E5988">
        <v>0.399426</v>
      </c>
      <c r="F5988">
        <v>-1</v>
      </c>
      <c r="G5988">
        <v>0.399426</v>
      </c>
    </row>
    <row r="5989" spans="1:7">
      <c r="A5989" t="s">
        <v>144</v>
      </c>
      <c r="B5989">
        <v>94</v>
      </c>
      <c r="C5989">
        <v>18</v>
      </c>
      <c r="D5989">
        <v>-1</v>
      </c>
      <c r="E5989">
        <v>0.46754400000000002</v>
      </c>
      <c r="F5989">
        <v>-1</v>
      </c>
      <c r="G5989">
        <v>0.46754400000000002</v>
      </c>
    </row>
    <row r="5990" spans="1:7">
      <c r="A5990" t="s">
        <v>144</v>
      </c>
      <c r="B5990">
        <v>94</v>
      </c>
      <c r="C5990">
        <v>19</v>
      </c>
      <c r="D5990">
        <v>-1</v>
      </c>
      <c r="E5990">
        <v>-0.94515800000000005</v>
      </c>
      <c r="F5990">
        <v>-1</v>
      </c>
      <c r="G5990">
        <v>-0.94515800000000005</v>
      </c>
    </row>
    <row r="5991" spans="1:7">
      <c r="A5991" t="s">
        <v>144</v>
      </c>
      <c r="B5991">
        <v>94</v>
      </c>
      <c r="C5991">
        <v>20</v>
      </c>
      <c r="D5991">
        <v>-1</v>
      </c>
      <c r="E5991">
        <v>0.68459099999999995</v>
      </c>
      <c r="F5991">
        <v>-1</v>
      </c>
      <c r="G5991">
        <v>0.68459099999999995</v>
      </c>
    </row>
    <row r="5992" spans="1:7">
      <c r="A5992" t="s">
        <v>144</v>
      </c>
      <c r="B5992">
        <v>94</v>
      </c>
      <c r="C5992">
        <v>21</v>
      </c>
      <c r="D5992">
        <v>-1</v>
      </c>
      <c r="E5992">
        <v>-0.24878700000000001</v>
      </c>
      <c r="F5992">
        <v>-1</v>
      </c>
      <c r="G5992">
        <v>-0.24878700000000001</v>
      </c>
    </row>
    <row r="5993" spans="1:7">
      <c r="A5993" t="s">
        <v>144</v>
      </c>
      <c r="B5993">
        <v>94</v>
      </c>
      <c r="C5993">
        <v>22</v>
      </c>
      <c r="D5993">
        <v>-1</v>
      </c>
      <c r="E5993">
        <v>-0.98477099999999995</v>
      </c>
      <c r="F5993">
        <v>-1</v>
      </c>
      <c r="G5993">
        <v>-0.98477099999999995</v>
      </c>
    </row>
    <row r="5994" spans="1:7">
      <c r="A5994" t="s">
        <v>144</v>
      </c>
      <c r="B5994">
        <v>94</v>
      </c>
      <c r="C5994">
        <v>23</v>
      </c>
      <c r="D5994">
        <v>-1</v>
      </c>
      <c r="E5994">
        <v>-0.78417300000000001</v>
      </c>
      <c r="F5994">
        <v>-1</v>
      </c>
      <c r="G5994">
        <v>-0.78417300000000001</v>
      </c>
    </row>
    <row r="5995" spans="1:7">
      <c r="A5995" t="s">
        <v>144</v>
      </c>
      <c r="B5995">
        <v>94</v>
      </c>
      <c r="C5995">
        <v>24</v>
      </c>
      <c r="D5995">
        <v>-1</v>
      </c>
      <c r="E5995">
        <v>0.84438599999999997</v>
      </c>
      <c r="F5995">
        <v>-1</v>
      </c>
      <c r="G5995">
        <v>0.84438599999999997</v>
      </c>
    </row>
    <row r="5996" spans="1:7">
      <c r="A5996" t="s">
        <v>144</v>
      </c>
      <c r="B5996">
        <v>94</v>
      </c>
      <c r="C5996">
        <v>25</v>
      </c>
      <c r="D5996">
        <v>-1</v>
      </c>
      <c r="E5996">
        <v>-0.74465199999999998</v>
      </c>
      <c r="F5996">
        <v>-1</v>
      </c>
      <c r="G5996">
        <v>-0.74465199999999998</v>
      </c>
    </row>
    <row r="5997" spans="1:7">
      <c r="A5997" t="s">
        <v>144</v>
      </c>
      <c r="B5997">
        <v>94</v>
      </c>
      <c r="C5997">
        <v>26</v>
      </c>
      <c r="D5997">
        <v>-1</v>
      </c>
      <c r="E5997">
        <v>-0.16925599999999999</v>
      </c>
      <c r="F5997">
        <v>-1</v>
      </c>
      <c r="G5997">
        <v>-0.16925599999999999</v>
      </c>
    </row>
    <row r="5998" spans="1:7">
      <c r="A5998" t="s">
        <v>144</v>
      </c>
      <c r="B5998">
        <v>94</v>
      </c>
      <c r="C5998">
        <v>27</v>
      </c>
      <c r="D5998">
        <v>-1</v>
      </c>
      <c r="E5998">
        <v>0.76857799999999998</v>
      </c>
      <c r="F5998">
        <v>-1</v>
      </c>
      <c r="G5998">
        <v>0.76857799999999998</v>
      </c>
    </row>
    <row r="5999" spans="1:7">
      <c r="A5999" t="s">
        <v>144</v>
      </c>
      <c r="B5999">
        <v>94</v>
      </c>
      <c r="C5999">
        <v>28</v>
      </c>
      <c r="D5999">
        <v>-1</v>
      </c>
      <c r="E5999">
        <v>7.1931999999999996E-2</v>
      </c>
      <c r="F5999">
        <v>-1</v>
      </c>
      <c r="G5999">
        <v>7.1931999999999996E-2</v>
      </c>
    </row>
    <row r="6000" spans="1:7">
      <c r="A6000" t="s">
        <v>144</v>
      </c>
      <c r="B6000">
        <v>94</v>
      </c>
      <c r="C6000">
        <v>29</v>
      </c>
      <c r="D6000">
        <v>-1</v>
      </c>
      <c r="E6000">
        <v>0.18176800000000001</v>
      </c>
      <c r="F6000">
        <v>-1</v>
      </c>
      <c r="G6000">
        <v>0.18176800000000001</v>
      </c>
    </row>
    <row r="6001" spans="1:7">
      <c r="A6001" t="s">
        <v>144</v>
      </c>
      <c r="B6001">
        <v>94</v>
      </c>
      <c r="C6001">
        <v>30</v>
      </c>
      <c r="D6001">
        <v>-1</v>
      </c>
      <c r="E6001">
        <v>-0.30668099999999998</v>
      </c>
      <c r="F6001">
        <v>-1</v>
      </c>
      <c r="G6001">
        <v>-0.30668099999999998</v>
      </c>
    </row>
    <row r="6002" spans="1:7">
      <c r="A6002" t="s">
        <v>144</v>
      </c>
      <c r="B6002">
        <v>94</v>
      </c>
      <c r="C6002">
        <v>31</v>
      </c>
      <c r="D6002">
        <v>-1</v>
      </c>
      <c r="E6002">
        <v>-0.16440299999999999</v>
      </c>
      <c r="F6002">
        <v>-1</v>
      </c>
      <c r="G6002">
        <v>-0.16440299999999999</v>
      </c>
    </row>
    <row r="6003" spans="1:7">
      <c r="A6003" t="s">
        <v>144</v>
      </c>
      <c r="B6003">
        <v>94</v>
      </c>
      <c r="C6003">
        <v>32</v>
      </c>
      <c r="D6003">
        <v>-1</v>
      </c>
      <c r="E6003">
        <v>-1.9196000000000001E-2</v>
      </c>
      <c r="F6003">
        <v>-1</v>
      </c>
      <c r="G6003">
        <v>-1.9196000000000001E-2</v>
      </c>
    </row>
    <row r="6004" spans="1:7">
      <c r="A6004" t="s">
        <v>144</v>
      </c>
      <c r="B6004">
        <v>94</v>
      </c>
      <c r="C6004">
        <v>33</v>
      </c>
      <c r="D6004">
        <v>-1</v>
      </c>
      <c r="E6004">
        <v>-0.74758100000000005</v>
      </c>
      <c r="F6004">
        <v>-1</v>
      </c>
      <c r="G6004">
        <v>-0.74758100000000005</v>
      </c>
    </row>
    <row r="6005" spans="1:7">
      <c r="A6005" t="s">
        <v>144</v>
      </c>
      <c r="B6005">
        <v>94</v>
      </c>
      <c r="C6005">
        <v>34</v>
      </c>
      <c r="D6005">
        <v>-1</v>
      </c>
      <c r="E6005">
        <v>0.96697900000000003</v>
      </c>
      <c r="F6005">
        <v>-1</v>
      </c>
      <c r="G6005">
        <v>0.96697900000000003</v>
      </c>
    </row>
    <row r="6006" spans="1:7">
      <c r="A6006" t="s">
        <v>144</v>
      </c>
      <c r="B6006">
        <v>94</v>
      </c>
      <c r="C6006">
        <v>35</v>
      </c>
      <c r="D6006">
        <v>-1</v>
      </c>
      <c r="E6006">
        <v>-4.6387999999999999E-2</v>
      </c>
      <c r="F6006">
        <v>-1</v>
      </c>
      <c r="G6006">
        <v>-4.6387999999999999E-2</v>
      </c>
    </row>
    <row r="6007" spans="1:7">
      <c r="A6007" t="s">
        <v>144</v>
      </c>
      <c r="B6007">
        <v>94</v>
      </c>
      <c r="C6007">
        <v>36</v>
      </c>
      <c r="D6007">
        <v>-1</v>
      </c>
      <c r="E6007">
        <v>0.86651199999999995</v>
      </c>
      <c r="F6007">
        <v>-1</v>
      </c>
      <c r="G6007">
        <v>0.86651199999999995</v>
      </c>
    </row>
    <row r="6008" spans="1:7">
      <c r="A6008" t="s">
        <v>144</v>
      </c>
      <c r="B6008">
        <v>94</v>
      </c>
      <c r="C6008">
        <v>37</v>
      </c>
      <c r="D6008">
        <v>-1</v>
      </c>
      <c r="E6008">
        <v>0.635548</v>
      </c>
      <c r="F6008">
        <v>-1</v>
      </c>
      <c r="G6008">
        <v>0.635548</v>
      </c>
    </row>
    <row r="6009" spans="1:7">
      <c r="A6009" t="s">
        <v>144</v>
      </c>
      <c r="B6009">
        <v>94</v>
      </c>
      <c r="C6009">
        <v>38</v>
      </c>
      <c r="D6009">
        <v>-1</v>
      </c>
      <c r="E6009">
        <v>2.3834999999999999E-2</v>
      </c>
      <c r="F6009">
        <v>-1</v>
      </c>
      <c r="G6009">
        <v>2.3834999999999999E-2</v>
      </c>
    </row>
    <row r="6010" spans="1:7">
      <c r="A6010" t="s">
        <v>144</v>
      </c>
      <c r="B6010">
        <v>94</v>
      </c>
      <c r="C6010">
        <v>39</v>
      </c>
      <c r="D6010">
        <v>-1</v>
      </c>
      <c r="E6010">
        <v>0.473769</v>
      </c>
      <c r="F6010">
        <v>-1</v>
      </c>
      <c r="G6010">
        <v>0.473769</v>
      </c>
    </row>
    <row r="6011" spans="1:7">
      <c r="A6011" t="s">
        <v>144</v>
      </c>
      <c r="B6011">
        <v>94</v>
      </c>
      <c r="C6011">
        <v>40</v>
      </c>
      <c r="D6011">
        <v>-1</v>
      </c>
      <c r="E6011">
        <v>-0.90463000000000005</v>
      </c>
      <c r="F6011">
        <v>-1</v>
      </c>
      <c r="G6011">
        <v>-0.90463000000000005</v>
      </c>
    </row>
    <row r="6012" spans="1:7">
      <c r="A6012" t="s">
        <v>144</v>
      </c>
      <c r="B6012">
        <v>94</v>
      </c>
      <c r="C6012">
        <v>41</v>
      </c>
      <c r="D6012">
        <v>-1</v>
      </c>
      <c r="E6012">
        <v>0.28333399999999997</v>
      </c>
      <c r="F6012">
        <v>-1</v>
      </c>
      <c r="G6012">
        <v>0.28333399999999997</v>
      </c>
    </row>
    <row r="6013" spans="1:7">
      <c r="A6013" t="s">
        <v>144</v>
      </c>
      <c r="B6013">
        <v>94</v>
      </c>
      <c r="C6013">
        <v>42</v>
      </c>
      <c r="D6013">
        <v>-1</v>
      </c>
      <c r="E6013">
        <v>-0.79949300000000001</v>
      </c>
      <c r="F6013">
        <v>-1</v>
      </c>
      <c r="G6013">
        <v>-0.79949300000000001</v>
      </c>
    </row>
    <row r="6014" spans="1:7">
      <c r="A6014" t="s">
        <v>144</v>
      </c>
      <c r="B6014">
        <v>94</v>
      </c>
      <c r="C6014">
        <v>43</v>
      </c>
      <c r="D6014">
        <v>-1</v>
      </c>
      <c r="E6014">
        <v>-0.79100899999999996</v>
      </c>
      <c r="F6014">
        <v>-1</v>
      </c>
      <c r="G6014">
        <v>-0.79100899999999996</v>
      </c>
    </row>
    <row r="6015" spans="1:7">
      <c r="A6015" t="s">
        <v>144</v>
      </c>
      <c r="B6015">
        <v>94</v>
      </c>
      <c r="C6015">
        <v>44</v>
      </c>
      <c r="D6015">
        <v>-1</v>
      </c>
      <c r="E6015">
        <v>0.24188999999999999</v>
      </c>
      <c r="F6015">
        <v>-1</v>
      </c>
      <c r="G6015">
        <v>0.24188999999999999</v>
      </c>
    </row>
    <row r="6016" spans="1:7">
      <c r="A6016" t="s">
        <v>144</v>
      </c>
      <c r="B6016">
        <v>94</v>
      </c>
      <c r="C6016">
        <v>45</v>
      </c>
      <c r="D6016">
        <v>-1</v>
      </c>
      <c r="E6016">
        <v>-0.736259</v>
      </c>
      <c r="F6016">
        <v>-1</v>
      </c>
      <c r="G6016">
        <v>-0.736259</v>
      </c>
    </row>
    <row r="6017" spans="1:7">
      <c r="A6017" t="s">
        <v>144</v>
      </c>
      <c r="B6017">
        <v>94</v>
      </c>
      <c r="C6017">
        <v>46</v>
      </c>
      <c r="D6017">
        <v>-1</v>
      </c>
      <c r="E6017">
        <v>0.333872</v>
      </c>
      <c r="F6017">
        <v>-1</v>
      </c>
      <c r="G6017">
        <v>0.333872</v>
      </c>
    </row>
    <row r="6018" spans="1:7">
      <c r="A6018" t="s">
        <v>144</v>
      </c>
      <c r="B6018">
        <v>94</v>
      </c>
      <c r="C6018">
        <v>47</v>
      </c>
      <c r="D6018">
        <v>-1</v>
      </c>
      <c r="E6018">
        <v>-5.3651999999999998E-2</v>
      </c>
      <c r="F6018">
        <v>-1</v>
      </c>
      <c r="G6018">
        <v>-5.3651999999999998E-2</v>
      </c>
    </row>
    <row r="6019" spans="1:7">
      <c r="A6019" t="s">
        <v>144</v>
      </c>
      <c r="B6019">
        <v>94</v>
      </c>
      <c r="C6019">
        <v>48</v>
      </c>
      <c r="D6019">
        <v>-1</v>
      </c>
      <c r="E6019">
        <v>0.63624999999999998</v>
      </c>
      <c r="F6019">
        <v>-1</v>
      </c>
      <c r="G6019">
        <v>0.63624999999999998</v>
      </c>
    </row>
    <row r="6020" spans="1:7">
      <c r="A6020" t="s">
        <v>144</v>
      </c>
      <c r="B6020">
        <v>94</v>
      </c>
      <c r="C6020">
        <v>49</v>
      </c>
      <c r="D6020">
        <v>-1</v>
      </c>
      <c r="E6020">
        <v>0.13528899999999999</v>
      </c>
      <c r="F6020">
        <v>-1</v>
      </c>
      <c r="G6020">
        <v>0.13528899999999999</v>
      </c>
    </row>
    <row r="6021" spans="1:7">
      <c r="A6021" t="s">
        <v>144</v>
      </c>
      <c r="B6021" t="s">
        <v>145</v>
      </c>
      <c r="C6021">
        <v>95</v>
      </c>
    </row>
    <row r="6022" spans="1:7">
      <c r="A6022" t="s">
        <v>144</v>
      </c>
      <c r="B6022" t="s">
        <v>146</v>
      </c>
      <c r="C6022">
        <v>66</v>
      </c>
    </row>
    <row r="6023" spans="1:7">
      <c r="A6023" t="s">
        <v>144</v>
      </c>
      <c r="B6023" t="s">
        <v>147</v>
      </c>
      <c r="C6023">
        <v>66</v>
      </c>
    </row>
    <row r="6024" spans="1:7">
      <c r="A6024" t="s">
        <v>144</v>
      </c>
      <c r="B6024" t="s">
        <v>148</v>
      </c>
      <c r="C6024">
        <v>0.277841</v>
      </c>
    </row>
    <row r="6025" spans="1:7">
      <c r="A6025" t="s">
        <v>144</v>
      </c>
      <c r="B6025" t="s">
        <v>149</v>
      </c>
      <c r="C6025">
        <v>0.277841</v>
      </c>
    </row>
    <row r="6026" spans="1:7">
      <c r="A6026" t="s">
        <v>144</v>
      </c>
      <c r="B6026" t="s">
        <v>150</v>
      </c>
      <c r="C6026">
        <v>-1</v>
      </c>
    </row>
    <row r="6027" spans="1:7">
      <c r="A6027" t="s">
        <v>144</v>
      </c>
      <c r="B6027" t="s">
        <v>151</v>
      </c>
      <c r="C6027">
        <v>-1</v>
      </c>
    </row>
    <row r="6028" spans="1:7">
      <c r="A6028" t="s">
        <v>144</v>
      </c>
      <c r="B6028" t="s">
        <v>152</v>
      </c>
      <c r="C6028">
        <v>45</v>
      </c>
    </row>
    <row r="6029" spans="1:7">
      <c r="A6029" t="s">
        <v>144</v>
      </c>
      <c r="B6029" t="s">
        <v>153</v>
      </c>
      <c r="C6029">
        <v>45</v>
      </c>
    </row>
    <row r="6030" spans="1:7">
      <c r="A6030" t="s">
        <v>144</v>
      </c>
      <c r="B6030" t="s">
        <v>154</v>
      </c>
      <c r="C6030">
        <v>0</v>
      </c>
    </row>
    <row r="6031" spans="1:7">
      <c r="A6031" t="s">
        <v>144</v>
      </c>
      <c r="B6031" t="s">
        <v>155</v>
      </c>
    </row>
    <row r="6032" spans="1:7">
      <c r="A6032" t="s">
        <v>144</v>
      </c>
      <c r="B6032" t="s">
        <v>150</v>
      </c>
      <c r="C6032">
        <v>0.89071299999999998</v>
      </c>
    </row>
    <row r="6033" spans="1:7">
      <c r="A6033" t="s">
        <v>144</v>
      </c>
      <c r="B6033" t="s">
        <v>151</v>
      </c>
      <c r="C6033">
        <v>0.89071299999999998</v>
      </c>
    </row>
    <row r="6034" spans="1:7">
      <c r="A6034" t="s">
        <v>144</v>
      </c>
      <c r="B6034" t="s">
        <v>156</v>
      </c>
      <c r="C6034" t="s">
        <v>157</v>
      </c>
      <c r="D6034" t="s">
        <v>63</v>
      </c>
      <c r="E6034" t="s">
        <v>158</v>
      </c>
      <c r="F6034" t="s">
        <v>159</v>
      </c>
      <c r="G6034" t="s">
        <v>160</v>
      </c>
    </row>
    <row r="6035" spans="1:7">
      <c r="A6035" t="s">
        <v>144</v>
      </c>
      <c r="B6035">
        <v>95</v>
      </c>
      <c r="C6035">
        <v>0</v>
      </c>
      <c r="D6035">
        <v>0.89071299999999998</v>
      </c>
      <c r="E6035">
        <v>-0.35718899999999998</v>
      </c>
      <c r="F6035">
        <v>-1</v>
      </c>
      <c r="G6035">
        <v>-0.35718899999999998</v>
      </c>
    </row>
    <row r="6036" spans="1:7">
      <c r="A6036" t="s">
        <v>144</v>
      </c>
      <c r="B6036">
        <v>95</v>
      </c>
      <c r="C6036">
        <v>1</v>
      </c>
      <c r="D6036">
        <v>0.89071299999999998</v>
      </c>
      <c r="E6036">
        <v>-2.768E-2</v>
      </c>
      <c r="F6036">
        <v>-1</v>
      </c>
      <c r="G6036">
        <v>-2.768E-2</v>
      </c>
    </row>
    <row r="6037" spans="1:7">
      <c r="A6037" t="s">
        <v>144</v>
      </c>
      <c r="B6037">
        <v>95</v>
      </c>
      <c r="C6037">
        <v>2</v>
      </c>
      <c r="D6037">
        <v>0.89071299999999998</v>
      </c>
      <c r="E6037">
        <v>0.547014</v>
      </c>
      <c r="F6037">
        <v>-1</v>
      </c>
      <c r="G6037">
        <v>0.547014</v>
      </c>
    </row>
    <row r="6038" spans="1:7">
      <c r="A6038" t="s">
        <v>144</v>
      </c>
      <c r="B6038">
        <v>95</v>
      </c>
      <c r="C6038">
        <v>3</v>
      </c>
      <c r="D6038">
        <v>0.89071299999999998</v>
      </c>
      <c r="E6038">
        <v>-2.3469E-2</v>
      </c>
      <c r="F6038">
        <v>-1</v>
      </c>
      <c r="G6038">
        <v>-2.3469E-2</v>
      </c>
    </row>
    <row r="6039" spans="1:7">
      <c r="A6039" t="s">
        <v>144</v>
      </c>
      <c r="B6039">
        <v>95</v>
      </c>
      <c r="C6039">
        <v>4</v>
      </c>
      <c r="D6039">
        <v>0.89071299999999998</v>
      </c>
      <c r="E6039">
        <v>0.509598</v>
      </c>
      <c r="F6039">
        <v>-1</v>
      </c>
      <c r="G6039">
        <v>0.509598</v>
      </c>
    </row>
    <row r="6040" spans="1:7">
      <c r="A6040" t="s">
        <v>144</v>
      </c>
      <c r="B6040">
        <v>95</v>
      </c>
      <c r="C6040">
        <v>5</v>
      </c>
      <c r="D6040">
        <v>0.89071299999999998</v>
      </c>
      <c r="E6040">
        <v>-0.418348</v>
      </c>
      <c r="F6040">
        <v>-1</v>
      </c>
      <c r="G6040">
        <v>-0.418348</v>
      </c>
    </row>
    <row r="6041" spans="1:7">
      <c r="A6041" t="s">
        <v>144</v>
      </c>
      <c r="B6041">
        <v>95</v>
      </c>
      <c r="C6041">
        <v>6</v>
      </c>
      <c r="D6041">
        <v>0.89071299999999998</v>
      </c>
      <c r="E6041">
        <v>-0.186224</v>
      </c>
      <c r="F6041">
        <v>-1</v>
      </c>
      <c r="G6041">
        <v>-0.186224</v>
      </c>
    </row>
    <row r="6042" spans="1:7">
      <c r="A6042" t="s">
        <v>144</v>
      </c>
      <c r="B6042">
        <v>95</v>
      </c>
      <c r="C6042">
        <v>7</v>
      </c>
      <c r="D6042">
        <v>0.89071299999999998</v>
      </c>
      <c r="E6042">
        <v>-0.46595700000000001</v>
      </c>
      <c r="F6042">
        <v>-1</v>
      </c>
      <c r="G6042">
        <v>-0.46595700000000001</v>
      </c>
    </row>
    <row r="6043" spans="1:7">
      <c r="A6043" t="s">
        <v>144</v>
      </c>
      <c r="B6043">
        <v>95</v>
      </c>
      <c r="C6043">
        <v>8</v>
      </c>
      <c r="D6043">
        <v>0.89071299999999998</v>
      </c>
      <c r="E6043">
        <v>0.89995999999999998</v>
      </c>
      <c r="F6043">
        <v>-1</v>
      </c>
      <c r="G6043">
        <v>0.89995999999999998</v>
      </c>
    </row>
    <row r="6044" spans="1:7">
      <c r="A6044" t="s">
        <v>144</v>
      </c>
      <c r="B6044">
        <v>95</v>
      </c>
      <c r="C6044">
        <v>9</v>
      </c>
      <c r="D6044">
        <v>0.89071299999999998</v>
      </c>
      <c r="E6044">
        <v>0.43412600000000001</v>
      </c>
      <c r="F6044">
        <v>-1</v>
      </c>
      <c r="G6044">
        <v>0.43412600000000001</v>
      </c>
    </row>
    <row r="6045" spans="1:7">
      <c r="A6045" t="s">
        <v>144</v>
      </c>
      <c r="B6045">
        <v>95</v>
      </c>
      <c r="C6045">
        <v>10</v>
      </c>
      <c r="D6045">
        <v>0.89071299999999998</v>
      </c>
      <c r="E6045">
        <v>-0.30445299999999997</v>
      </c>
      <c r="F6045">
        <v>-1</v>
      </c>
      <c r="G6045">
        <v>-0.30445299999999997</v>
      </c>
    </row>
    <row r="6046" spans="1:7">
      <c r="A6046" t="s">
        <v>144</v>
      </c>
      <c r="B6046">
        <v>95</v>
      </c>
      <c r="C6046">
        <v>11</v>
      </c>
      <c r="D6046">
        <v>0.89071299999999998</v>
      </c>
      <c r="E6046">
        <v>0.39454299999999998</v>
      </c>
      <c r="F6046">
        <v>-1</v>
      </c>
      <c r="G6046">
        <v>0.39454299999999998</v>
      </c>
    </row>
    <row r="6047" spans="1:7">
      <c r="A6047" t="s">
        <v>144</v>
      </c>
      <c r="B6047">
        <v>95</v>
      </c>
      <c r="C6047">
        <v>12</v>
      </c>
      <c r="D6047">
        <v>0.89071299999999998</v>
      </c>
      <c r="E6047">
        <v>0.74114199999999997</v>
      </c>
      <c r="F6047">
        <v>-1</v>
      </c>
      <c r="G6047">
        <v>0.74114199999999997</v>
      </c>
    </row>
    <row r="6048" spans="1:7">
      <c r="A6048" t="s">
        <v>144</v>
      </c>
      <c r="B6048">
        <v>95</v>
      </c>
      <c r="C6048">
        <v>13</v>
      </c>
      <c r="D6048">
        <v>0.89071299999999998</v>
      </c>
      <c r="E6048">
        <v>0.68627000000000005</v>
      </c>
      <c r="F6048">
        <v>-1</v>
      </c>
      <c r="G6048">
        <v>0.68627000000000005</v>
      </c>
    </row>
    <row r="6049" spans="1:7">
      <c r="A6049" t="s">
        <v>144</v>
      </c>
      <c r="B6049">
        <v>95</v>
      </c>
      <c r="C6049">
        <v>14</v>
      </c>
      <c r="D6049">
        <v>0.89071299999999998</v>
      </c>
      <c r="E6049">
        <v>-0.66054299999999999</v>
      </c>
      <c r="F6049">
        <v>-1</v>
      </c>
      <c r="G6049">
        <v>-0.66054299999999999</v>
      </c>
    </row>
    <row r="6050" spans="1:7">
      <c r="A6050" t="s">
        <v>144</v>
      </c>
      <c r="B6050">
        <v>95</v>
      </c>
      <c r="C6050">
        <v>15</v>
      </c>
      <c r="D6050">
        <v>0.89071299999999998</v>
      </c>
      <c r="E6050">
        <v>-0.95919699999999997</v>
      </c>
      <c r="F6050">
        <v>-1</v>
      </c>
      <c r="G6050">
        <v>-0.95919699999999997</v>
      </c>
    </row>
    <row r="6051" spans="1:7">
      <c r="A6051" t="s">
        <v>144</v>
      </c>
      <c r="B6051">
        <v>95</v>
      </c>
      <c r="C6051">
        <v>16</v>
      </c>
      <c r="D6051">
        <v>0.89071299999999998</v>
      </c>
      <c r="E6051">
        <v>-0.26468700000000001</v>
      </c>
      <c r="F6051">
        <v>-1</v>
      </c>
      <c r="G6051">
        <v>-0.26468700000000001</v>
      </c>
    </row>
    <row r="6052" spans="1:7">
      <c r="A6052" t="s">
        <v>144</v>
      </c>
      <c r="B6052">
        <v>95</v>
      </c>
      <c r="C6052">
        <v>17</v>
      </c>
      <c r="D6052">
        <v>0.89071299999999998</v>
      </c>
      <c r="E6052">
        <v>0.20404700000000001</v>
      </c>
      <c r="F6052">
        <v>-1</v>
      </c>
      <c r="G6052">
        <v>0.20404700000000001</v>
      </c>
    </row>
    <row r="6053" spans="1:7">
      <c r="A6053" t="s">
        <v>144</v>
      </c>
      <c r="B6053">
        <v>95</v>
      </c>
      <c r="C6053">
        <v>18</v>
      </c>
      <c r="D6053">
        <v>0.89071299999999998</v>
      </c>
      <c r="E6053">
        <v>-2.6124000000000001E-2</v>
      </c>
      <c r="F6053">
        <v>-1</v>
      </c>
      <c r="G6053">
        <v>-2.6124000000000001E-2</v>
      </c>
    </row>
    <row r="6054" spans="1:7">
      <c r="A6054" t="s">
        <v>144</v>
      </c>
      <c r="B6054">
        <v>95</v>
      </c>
      <c r="C6054">
        <v>19</v>
      </c>
      <c r="D6054">
        <v>0.89071299999999998</v>
      </c>
      <c r="E6054">
        <v>0.67503899999999994</v>
      </c>
      <c r="F6054">
        <v>-1</v>
      </c>
      <c r="G6054">
        <v>0.67503899999999994</v>
      </c>
    </row>
    <row r="6055" spans="1:7">
      <c r="A6055" t="s">
        <v>144</v>
      </c>
      <c r="B6055">
        <v>95</v>
      </c>
      <c r="C6055">
        <v>20</v>
      </c>
      <c r="D6055">
        <v>0.89071299999999998</v>
      </c>
      <c r="E6055">
        <v>0.240394</v>
      </c>
      <c r="F6055">
        <v>-1</v>
      </c>
      <c r="G6055">
        <v>0.240394</v>
      </c>
    </row>
    <row r="6056" spans="1:7">
      <c r="A6056" t="s">
        <v>144</v>
      </c>
      <c r="B6056">
        <v>95</v>
      </c>
      <c r="C6056">
        <v>21</v>
      </c>
      <c r="D6056">
        <v>0.89071299999999998</v>
      </c>
      <c r="E6056">
        <v>0.110752</v>
      </c>
      <c r="F6056">
        <v>-1</v>
      </c>
      <c r="G6056">
        <v>0.110752</v>
      </c>
    </row>
    <row r="6057" spans="1:7">
      <c r="A6057" t="s">
        <v>144</v>
      </c>
      <c r="B6057">
        <v>95</v>
      </c>
      <c r="C6057">
        <v>22</v>
      </c>
      <c r="D6057">
        <v>0.89071299999999998</v>
      </c>
      <c r="E6057">
        <v>-0.267739</v>
      </c>
      <c r="F6057">
        <v>-1</v>
      </c>
      <c r="G6057">
        <v>-0.267739</v>
      </c>
    </row>
    <row r="6058" spans="1:7">
      <c r="A6058" t="s">
        <v>144</v>
      </c>
      <c r="B6058">
        <v>95</v>
      </c>
      <c r="C6058">
        <v>23</v>
      </c>
      <c r="D6058">
        <v>0.89071299999999998</v>
      </c>
      <c r="E6058">
        <v>0.16095499999999999</v>
      </c>
      <c r="F6058">
        <v>-1</v>
      </c>
      <c r="G6058">
        <v>0.16095499999999999</v>
      </c>
    </row>
    <row r="6059" spans="1:7">
      <c r="A6059" t="s">
        <v>144</v>
      </c>
      <c r="B6059">
        <v>95</v>
      </c>
      <c r="C6059">
        <v>24</v>
      </c>
      <c r="D6059">
        <v>0.89071299999999998</v>
      </c>
      <c r="E6059">
        <v>-0.62074600000000002</v>
      </c>
      <c r="F6059">
        <v>-1</v>
      </c>
      <c r="G6059">
        <v>-0.62074600000000002</v>
      </c>
    </row>
    <row r="6060" spans="1:7">
      <c r="A6060" t="s">
        <v>144</v>
      </c>
      <c r="B6060">
        <v>95</v>
      </c>
      <c r="C6060">
        <v>25</v>
      </c>
      <c r="D6060">
        <v>0.89071299999999998</v>
      </c>
      <c r="E6060">
        <v>0.42414600000000002</v>
      </c>
      <c r="F6060">
        <v>-1</v>
      </c>
      <c r="G6060">
        <v>0.42414600000000002</v>
      </c>
    </row>
    <row r="6061" spans="1:7">
      <c r="A6061" t="s">
        <v>144</v>
      </c>
      <c r="B6061">
        <v>95</v>
      </c>
      <c r="C6061">
        <v>26</v>
      </c>
      <c r="D6061">
        <v>0.89071299999999998</v>
      </c>
      <c r="E6061">
        <v>-0.553728</v>
      </c>
      <c r="F6061">
        <v>-1</v>
      </c>
      <c r="G6061">
        <v>-0.553728</v>
      </c>
    </row>
    <row r="6062" spans="1:7">
      <c r="A6062" t="s">
        <v>144</v>
      </c>
      <c r="B6062">
        <v>95</v>
      </c>
      <c r="C6062">
        <v>27</v>
      </c>
      <c r="D6062">
        <v>0.89071299999999998</v>
      </c>
      <c r="E6062">
        <v>2.7469999999999999E-3</v>
      </c>
      <c r="F6062">
        <v>-1</v>
      </c>
      <c r="G6062">
        <v>2.7469999999999999E-3</v>
      </c>
    </row>
    <row r="6063" spans="1:7">
      <c r="A6063" t="s">
        <v>144</v>
      </c>
      <c r="B6063">
        <v>95</v>
      </c>
      <c r="C6063">
        <v>28</v>
      </c>
      <c r="D6063">
        <v>0.89071299999999998</v>
      </c>
      <c r="E6063">
        <v>0.31049500000000002</v>
      </c>
      <c r="F6063">
        <v>-1</v>
      </c>
      <c r="G6063">
        <v>0.31049500000000002</v>
      </c>
    </row>
    <row r="6064" spans="1:7">
      <c r="A6064" t="s">
        <v>144</v>
      </c>
      <c r="B6064">
        <v>95</v>
      </c>
      <c r="C6064">
        <v>29</v>
      </c>
      <c r="D6064">
        <v>0.89071299999999998</v>
      </c>
      <c r="E6064">
        <v>0.98251299999999997</v>
      </c>
      <c r="F6064">
        <v>-1</v>
      </c>
      <c r="G6064">
        <v>0.98251299999999997</v>
      </c>
    </row>
    <row r="6065" spans="1:7">
      <c r="A6065" t="s">
        <v>144</v>
      </c>
      <c r="B6065">
        <v>95</v>
      </c>
      <c r="C6065">
        <v>30</v>
      </c>
      <c r="D6065">
        <v>0.89071299999999998</v>
      </c>
      <c r="E6065">
        <v>-0.68642199999999998</v>
      </c>
      <c r="F6065">
        <v>-1</v>
      </c>
      <c r="G6065">
        <v>-0.68642199999999998</v>
      </c>
    </row>
    <row r="6066" spans="1:7">
      <c r="A6066" t="s">
        <v>144</v>
      </c>
      <c r="B6066">
        <v>95</v>
      </c>
      <c r="C6066">
        <v>31</v>
      </c>
      <c r="D6066">
        <v>0.89071299999999998</v>
      </c>
      <c r="E6066">
        <v>-0.74138599999999999</v>
      </c>
      <c r="F6066">
        <v>-1</v>
      </c>
      <c r="G6066">
        <v>-0.74138599999999999</v>
      </c>
    </row>
    <row r="6067" spans="1:7">
      <c r="A6067" t="s">
        <v>144</v>
      </c>
      <c r="B6067">
        <v>95</v>
      </c>
      <c r="C6067">
        <v>32</v>
      </c>
      <c r="D6067">
        <v>0.89071299999999998</v>
      </c>
      <c r="E6067">
        <v>6.1251E-2</v>
      </c>
      <c r="F6067">
        <v>-1</v>
      </c>
      <c r="G6067">
        <v>6.1251E-2</v>
      </c>
    </row>
    <row r="6068" spans="1:7">
      <c r="A6068" t="s">
        <v>144</v>
      </c>
      <c r="B6068">
        <v>95</v>
      </c>
      <c r="C6068">
        <v>33</v>
      </c>
      <c r="D6068">
        <v>0.89071299999999998</v>
      </c>
      <c r="E6068">
        <v>-0.49534600000000001</v>
      </c>
      <c r="F6068">
        <v>-1</v>
      </c>
      <c r="G6068">
        <v>-0.49534600000000001</v>
      </c>
    </row>
    <row r="6069" spans="1:7">
      <c r="A6069" t="s">
        <v>144</v>
      </c>
      <c r="B6069">
        <v>95</v>
      </c>
      <c r="C6069">
        <v>34</v>
      </c>
      <c r="D6069">
        <v>0.89071299999999998</v>
      </c>
      <c r="E6069">
        <v>-0.55903800000000003</v>
      </c>
      <c r="F6069">
        <v>-1</v>
      </c>
      <c r="G6069">
        <v>-0.55903800000000003</v>
      </c>
    </row>
    <row r="6070" spans="1:7">
      <c r="A6070" t="s">
        <v>144</v>
      </c>
      <c r="B6070">
        <v>95</v>
      </c>
      <c r="C6070">
        <v>35</v>
      </c>
      <c r="D6070">
        <v>0.89071299999999998</v>
      </c>
      <c r="E6070">
        <v>0.98632799999999998</v>
      </c>
      <c r="F6070">
        <v>-1</v>
      </c>
      <c r="G6070">
        <v>0.98632799999999998</v>
      </c>
    </row>
    <row r="6071" spans="1:7">
      <c r="A6071" t="s">
        <v>144</v>
      </c>
      <c r="B6071">
        <v>95</v>
      </c>
      <c r="C6071">
        <v>36</v>
      </c>
      <c r="D6071">
        <v>0.89071299999999998</v>
      </c>
      <c r="E6071">
        <v>-0.490921</v>
      </c>
      <c r="F6071">
        <v>-1</v>
      </c>
      <c r="G6071">
        <v>-0.490921</v>
      </c>
    </row>
    <row r="6072" spans="1:7">
      <c r="A6072" t="s">
        <v>144</v>
      </c>
      <c r="B6072">
        <v>95</v>
      </c>
      <c r="C6072">
        <v>37</v>
      </c>
      <c r="D6072">
        <v>0.89071299999999998</v>
      </c>
      <c r="E6072">
        <v>-0.71916899999999995</v>
      </c>
      <c r="F6072">
        <v>-1</v>
      </c>
      <c r="G6072">
        <v>-0.71916899999999995</v>
      </c>
    </row>
    <row r="6073" spans="1:7">
      <c r="A6073" t="s">
        <v>144</v>
      </c>
      <c r="B6073">
        <v>95</v>
      </c>
      <c r="C6073">
        <v>38</v>
      </c>
      <c r="D6073">
        <v>0.89071299999999998</v>
      </c>
      <c r="E6073">
        <v>0.737815</v>
      </c>
      <c r="F6073">
        <v>-1</v>
      </c>
      <c r="G6073">
        <v>0.737815</v>
      </c>
    </row>
    <row r="6074" spans="1:7">
      <c r="A6074" t="s">
        <v>144</v>
      </c>
      <c r="B6074">
        <v>95</v>
      </c>
      <c r="C6074">
        <v>39</v>
      </c>
      <c r="D6074">
        <v>0.89071299999999998</v>
      </c>
      <c r="E6074">
        <v>-0.65373700000000001</v>
      </c>
      <c r="F6074">
        <v>-1</v>
      </c>
      <c r="G6074">
        <v>-0.65373700000000001</v>
      </c>
    </row>
    <row r="6075" spans="1:7">
      <c r="A6075" t="s">
        <v>144</v>
      </c>
      <c r="B6075">
        <v>95</v>
      </c>
      <c r="C6075">
        <v>40</v>
      </c>
      <c r="D6075">
        <v>0.89071299999999998</v>
      </c>
      <c r="E6075">
        <v>-0.22827800000000001</v>
      </c>
      <c r="F6075">
        <v>-1</v>
      </c>
      <c r="G6075">
        <v>-0.22827800000000001</v>
      </c>
    </row>
    <row r="6076" spans="1:7">
      <c r="A6076" t="s">
        <v>144</v>
      </c>
      <c r="B6076">
        <v>95</v>
      </c>
      <c r="C6076">
        <v>41</v>
      </c>
      <c r="D6076">
        <v>0.89071299999999998</v>
      </c>
      <c r="E6076">
        <v>-0.75820200000000004</v>
      </c>
      <c r="F6076">
        <v>-1</v>
      </c>
      <c r="G6076">
        <v>-0.75820200000000004</v>
      </c>
    </row>
    <row r="6077" spans="1:7">
      <c r="A6077" t="s">
        <v>144</v>
      </c>
      <c r="B6077">
        <v>95</v>
      </c>
      <c r="C6077">
        <v>42</v>
      </c>
      <c r="D6077">
        <v>0.89071299999999998</v>
      </c>
      <c r="E6077">
        <v>-0.16888900000000001</v>
      </c>
      <c r="F6077">
        <v>-1</v>
      </c>
      <c r="G6077">
        <v>-0.16888900000000001</v>
      </c>
    </row>
    <row r="6078" spans="1:7">
      <c r="A6078" t="s">
        <v>144</v>
      </c>
      <c r="B6078">
        <v>95</v>
      </c>
      <c r="C6078">
        <v>43</v>
      </c>
      <c r="D6078">
        <v>0.89071299999999998</v>
      </c>
      <c r="E6078">
        <v>0.329905</v>
      </c>
      <c r="F6078">
        <v>-1</v>
      </c>
      <c r="G6078">
        <v>0.329905</v>
      </c>
    </row>
    <row r="6079" spans="1:7">
      <c r="A6079" t="s">
        <v>144</v>
      </c>
      <c r="B6079">
        <v>95</v>
      </c>
      <c r="C6079">
        <v>44</v>
      </c>
      <c r="D6079">
        <v>0.89071299999999998</v>
      </c>
      <c r="E6079">
        <v>0.18243999999999999</v>
      </c>
      <c r="F6079">
        <v>-1</v>
      </c>
      <c r="G6079">
        <v>0.18243999999999999</v>
      </c>
    </row>
    <row r="6080" spans="1:7">
      <c r="A6080" t="s">
        <v>144</v>
      </c>
      <c r="B6080">
        <v>95</v>
      </c>
      <c r="C6080">
        <v>45</v>
      </c>
      <c r="D6080">
        <v>0.89071299999999998</v>
      </c>
      <c r="E6080">
        <v>-0.49027999999999999</v>
      </c>
      <c r="F6080">
        <v>-0.13763800000000001</v>
      </c>
      <c r="G6080">
        <v>-0.451741</v>
      </c>
    </row>
    <row r="6081" spans="1:7">
      <c r="A6081" t="s">
        <v>144</v>
      </c>
      <c r="B6081">
        <v>95</v>
      </c>
      <c r="C6081">
        <v>46</v>
      </c>
      <c r="D6081">
        <v>0.89071299999999998</v>
      </c>
      <c r="E6081">
        <v>-1.0619999999999999E-2</v>
      </c>
      <c r="F6081">
        <v>0.61952600000000002</v>
      </c>
      <c r="G6081">
        <v>5.8245999999999999E-2</v>
      </c>
    </row>
    <row r="6082" spans="1:7">
      <c r="A6082" t="s">
        <v>144</v>
      </c>
      <c r="B6082">
        <v>95</v>
      </c>
      <c r="C6082">
        <v>47</v>
      </c>
      <c r="D6082">
        <v>0.89071299999999998</v>
      </c>
      <c r="E6082">
        <v>0.75948400000000005</v>
      </c>
      <c r="F6082">
        <v>0.134434</v>
      </c>
      <c r="G6082">
        <v>0.69117399999999996</v>
      </c>
    </row>
    <row r="6083" spans="1:7">
      <c r="A6083" t="s">
        <v>144</v>
      </c>
      <c r="B6083">
        <v>95</v>
      </c>
      <c r="C6083">
        <v>48</v>
      </c>
      <c r="D6083">
        <v>0.89071299999999998</v>
      </c>
      <c r="E6083">
        <v>0.93759000000000003</v>
      </c>
      <c r="F6083">
        <v>3.0976E-2</v>
      </c>
      <c r="G6083">
        <v>0.83850899999999995</v>
      </c>
    </row>
    <row r="6084" spans="1:7">
      <c r="A6084" t="s">
        <v>144</v>
      </c>
      <c r="B6084">
        <v>95</v>
      </c>
      <c r="C6084">
        <v>49</v>
      </c>
      <c r="D6084">
        <v>0.89071299999999998</v>
      </c>
      <c r="E6084">
        <v>-0.117588</v>
      </c>
      <c r="F6084">
        <v>0.40083000000000002</v>
      </c>
      <c r="G6084">
        <v>-6.0932E-2</v>
      </c>
    </row>
    <row r="6085" spans="1:7">
      <c r="A6085" t="s">
        <v>144</v>
      </c>
      <c r="B6085" t="s">
        <v>145</v>
      </c>
      <c r="C6085">
        <v>96</v>
      </c>
    </row>
    <row r="6086" spans="1:7">
      <c r="A6086" t="s">
        <v>144</v>
      </c>
      <c r="B6086" t="s">
        <v>146</v>
      </c>
      <c r="C6086">
        <v>58</v>
      </c>
    </row>
    <row r="6087" spans="1:7">
      <c r="A6087" t="s">
        <v>144</v>
      </c>
      <c r="B6087" t="s">
        <v>147</v>
      </c>
      <c r="C6087">
        <v>58</v>
      </c>
    </row>
    <row r="6088" spans="1:7">
      <c r="A6088" t="s">
        <v>144</v>
      </c>
      <c r="B6088" t="s">
        <v>148</v>
      </c>
      <c r="C6088">
        <v>0.20352799999999999</v>
      </c>
    </row>
    <row r="6089" spans="1:7">
      <c r="A6089" t="s">
        <v>144</v>
      </c>
      <c r="B6089" t="s">
        <v>149</v>
      </c>
      <c r="C6089">
        <v>0.20352799999999999</v>
      </c>
    </row>
    <row r="6090" spans="1:7">
      <c r="A6090" t="s">
        <v>144</v>
      </c>
      <c r="B6090" t="s">
        <v>150</v>
      </c>
      <c r="C6090">
        <v>-1</v>
      </c>
    </row>
    <row r="6091" spans="1:7">
      <c r="A6091" t="s">
        <v>144</v>
      </c>
      <c r="B6091" t="s">
        <v>151</v>
      </c>
      <c r="C6091">
        <v>-1</v>
      </c>
    </row>
    <row r="6092" spans="1:7">
      <c r="A6092" t="s">
        <v>144</v>
      </c>
      <c r="B6092" t="s">
        <v>152</v>
      </c>
      <c r="C6092">
        <v>16</v>
      </c>
    </row>
    <row r="6093" spans="1:7">
      <c r="A6093" t="s">
        <v>144</v>
      </c>
      <c r="B6093" t="s">
        <v>153</v>
      </c>
      <c r="C6093">
        <v>16</v>
      </c>
    </row>
    <row r="6094" spans="1:7">
      <c r="A6094" t="s">
        <v>144</v>
      </c>
      <c r="B6094" t="s">
        <v>154</v>
      </c>
      <c r="C6094">
        <v>0</v>
      </c>
    </row>
    <row r="6095" spans="1:7">
      <c r="A6095" t="s">
        <v>144</v>
      </c>
      <c r="B6095" t="s">
        <v>155</v>
      </c>
    </row>
    <row r="6096" spans="1:7">
      <c r="A6096" t="s">
        <v>144</v>
      </c>
      <c r="B6096" t="s">
        <v>150</v>
      </c>
      <c r="C6096">
        <v>0.19583700000000001</v>
      </c>
    </row>
    <row r="6097" spans="1:7">
      <c r="A6097" t="s">
        <v>144</v>
      </c>
      <c r="B6097" t="s">
        <v>151</v>
      </c>
      <c r="C6097">
        <v>0.19583700000000001</v>
      </c>
    </row>
    <row r="6098" spans="1:7">
      <c r="A6098" t="s">
        <v>144</v>
      </c>
      <c r="B6098" t="s">
        <v>156</v>
      </c>
      <c r="C6098" t="s">
        <v>157</v>
      </c>
      <c r="D6098" t="s">
        <v>63</v>
      </c>
      <c r="E6098" t="s">
        <v>158</v>
      </c>
      <c r="F6098" t="s">
        <v>159</v>
      </c>
      <c r="G6098" t="s">
        <v>160</v>
      </c>
    </row>
    <row r="6099" spans="1:7">
      <c r="A6099" t="s">
        <v>144</v>
      </c>
      <c r="B6099">
        <v>96</v>
      </c>
      <c r="C6099">
        <v>0</v>
      </c>
      <c r="D6099">
        <v>0.19583700000000001</v>
      </c>
      <c r="E6099">
        <v>-0.21262200000000001</v>
      </c>
      <c r="F6099">
        <v>-1</v>
      </c>
      <c r="G6099">
        <v>-0.21262200000000001</v>
      </c>
    </row>
    <row r="6100" spans="1:7">
      <c r="A6100" t="s">
        <v>144</v>
      </c>
      <c r="B6100">
        <v>96</v>
      </c>
      <c r="C6100">
        <v>1</v>
      </c>
      <c r="D6100">
        <v>0.19583700000000001</v>
      </c>
      <c r="E6100">
        <v>-0.5927</v>
      </c>
      <c r="F6100">
        <v>-1</v>
      </c>
      <c r="G6100">
        <v>-0.5927</v>
      </c>
    </row>
    <row r="6101" spans="1:7">
      <c r="A6101" t="s">
        <v>144</v>
      </c>
      <c r="B6101">
        <v>96</v>
      </c>
      <c r="C6101">
        <v>2</v>
      </c>
      <c r="D6101">
        <v>0.19583700000000001</v>
      </c>
      <c r="E6101">
        <v>-0.43345400000000001</v>
      </c>
      <c r="F6101">
        <v>-1</v>
      </c>
      <c r="G6101">
        <v>-0.43345400000000001</v>
      </c>
    </row>
    <row r="6102" spans="1:7">
      <c r="A6102" t="s">
        <v>144</v>
      </c>
      <c r="B6102">
        <v>96</v>
      </c>
      <c r="C6102">
        <v>3</v>
      </c>
      <c r="D6102">
        <v>0.19583700000000001</v>
      </c>
      <c r="E6102">
        <v>-0.286966</v>
      </c>
      <c r="F6102">
        <v>-1</v>
      </c>
      <c r="G6102">
        <v>-0.286966</v>
      </c>
    </row>
    <row r="6103" spans="1:7">
      <c r="A6103" t="s">
        <v>144</v>
      </c>
      <c r="B6103">
        <v>96</v>
      </c>
      <c r="C6103">
        <v>4</v>
      </c>
      <c r="D6103">
        <v>0.19583700000000001</v>
      </c>
      <c r="E6103">
        <v>-8.3101999999999995E-2</v>
      </c>
      <c r="F6103">
        <v>-1</v>
      </c>
      <c r="G6103">
        <v>-8.3101999999999995E-2</v>
      </c>
    </row>
    <row r="6104" spans="1:7">
      <c r="A6104" t="s">
        <v>144</v>
      </c>
      <c r="B6104">
        <v>96</v>
      </c>
      <c r="C6104">
        <v>5</v>
      </c>
      <c r="D6104">
        <v>0.19583700000000001</v>
      </c>
      <c r="E6104">
        <v>-9.4454999999999997E-2</v>
      </c>
      <c r="F6104">
        <v>-1</v>
      </c>
      <c r="G6104">
        <v>-9.4454999999999997E-2</v>
      </c>
    </row>
    <row r="6105" spans="1:7">
      <c r="A6105" t="s">
        <v>144</v>
      </c>
      <c r="B6105">
        <v>96</v>
      </c>
      <c r="C6105">
        <v>6</v>
      </c>
      <c r="D6105">
        <v>0.19583700000000001</v>
      </c>
      <c r="E6105">
        <v>0.159886</v>
      </c>
      <c r="F6105">
        <v>-1</v>
      </c>
      <c r="G6105">
        <v>0.159886</v>
      </c>
    </row>
    <row r="6106" spans="1:7">
      <c r="A6106" t="s">
        <v>144</v>
      </c>
      <c r="B6106">
        <v>96</v>
      </c>
      <c r="C6106">
        <v>7</v>
      </c>
      <c r="D6106">
        <v>0.19583700000000001</v>
      </c>
      <c r="E6106">
        <v>0.54780700000000004</v>
      </c>
      <c r="F6106">
        <v>-1</v>
      </c>
      <c r="G6106">
        <v>0.54780700000000004</v>
      </c>
    </row>
    <row r="6107" spans="1:7">
      <c r="A6107" t="s">
        <v>144</v>
      </c>
      <c r="B6107">
        <v>96</v>
      </c>
      <c r="C6107">
        <v>8</v>
      </c>
      <c r="D6107">
        <v>0.19583700000000001</v>
      </c>
      <c r="E6107">
        <v>0.38877499999999998</v>
      </c>
      <c r="F6107">
        <v>-1</v>
      </c>
      <c r="G6107">
        <v>0.38877499999999998</v>
      </c>
    </row>
    <row r="6108" spans="1:7">
      <c r="A6108" t="s">
        <v>144</v>
      </c>
      <c r="B6108">
        <v>96</v>
      </c>
      <c r="C6108">
        <v>9</v>
      </c>
      <c r="D6108">
        <v>0.19583700000000001</v>
      </c>
      <c r="E6108">
        <v>-0.54756300000000002</v>
      </c>
      <c r="F6108">
        <v>-1</v>
      </c>
      <c r="G6108">
        <v>-0.54756300000000002</v>
      </c>
    </row>
    <row r="6109" spans="1:7">
      <c r="A6109" t="s">
        <v>144</v>
      </c>
      <c r="B6109">
        <v>96</v>
      </c>
      <c r="C6109">
        <v>10</v>
      </c>
      <c r="D6109">
        <v>0.19583700000000001</v>
      </c>
      <c r="E6109">
        <v>0.25809500000000002</v>
      </c>
      <c r="F6109">
        <v>-1</v>
      </c>
      <c r="G6109">
        <v>0.25809500000000002</v>
      </c>
    </row>
    <row r="6110" spans="1:7">
      <c r="A6110" t="s">
        <v>144</v>
      </c>
      <c r="B6110">
        <v>96</v>
      </c>
      <c r="C6110">
        <v>11</v>
      </c>
      <c r="D6110">
        <v>0.19583700000000001</v>
      </c>
      <c r="E6110">
        <v>0.94268600000000002</v>
      </c>
      <c r="F6110">
        <v>-1</v>
      </c>
      <c r="G6110">
        <v>0.94268600000000002</v>
      </c>
    </row>
    <row r="6111" spans="1:7">
      <c r="A6111" t="s">
        <v>144</v>
      </c>
      <c r="B6111">
        <v>96</v>
      </c>
      <c r="C6111">
        <v>12</v>
      </c>
      <c r="D6111">
        <v>0.19583700000000001</v>
      </c>
      <c r="E6111">
        <v>-0.49571199999999999</v>
      </c>
      <c r="F6111">
        <v>-1</v>
      </c>
      <c r="G6111">
        <v>-0.49571199999999999</v>
      </c>
    </row>
    <row r="6112" spans="1:7">
      <c r="A6112" t="s">
        <v>144</v>
      </c>
      <c r="B6112">
        <v>96</v>
      </c>
      <c r="C6112">
        <v>13</v>
      </c>
      <c r="D6112">
        <v>0.19583700000000001</v>
      </c>
      <c r="E6112">
        <v>-6.6407999999999995E-2</v>
      </c>
      <c r="F6112">
        <v>-1</v>
      </c>
      <c r="G6112">
        <v>-6.6407999999999995E-2</v>
      </c>
    </row>
    <row r="6113" spans="1:7">
      <c r="A6113" t="s">
        <v>144</v>
      </c>
      <c r="B6113">
        <v>96</v>
      </c>
      <c r="C6113">
        <v>14</v>
      </c>
      <c r="D6113">
        <v>0.19583700000000001</v>
      </c>
      <c r="E6113">
        <v>-0.14096500000000001</v>
      </c>
      <c r="F6113">
        <v>-1</v>
      </c>
      <c r="G6113">
        <v>-0.14096500000000001</v>
      </c>
    </row>
    <row r="6114" spans="1:7">
      <c r="A6114" t="s">
        <v>144</v>
      </c>
      <c r="B6114">
        <v>96</v>
      </c>
      <c r="C6114">
        <v>15</v>
      </c>
      <c r="D6114">
        <v>0.19583700000000001</v>
      </c>
      <c r="E6114">
        <v>0.63344199999999995</v>
      </c>
      <c r="F6114">
        <v>-1</v>
      </c>
      <c r="G6114">
        <v>0.63344199999999995</v>
      </c>
    </row>
    <row r="6115" spans="1:7">
      <c r="A6115" t="s">
        <v>144</v>
      </c>
      <c r="B6115">
        <v>96</v>
      </c>
      <c r="C6115">
        <v>16</v>
      </c>
      <c r="D6115">
        <v>0.19583700000000001</v>
      </c>
      <c r="E6115">
        <v>0.868618</v>
      </c>
      <c r="F6115">
        <v>-0.62959699999999996</v>
      </c>
      <c r="G6115">
        <v>-0.33619100000000002</v>
      </c>
    </row>
    <row r="6116" spans="1:7">
      <c r="A6116" t="s">
        <v>144</v>
      </c>
      <c r="B6116">
        <v>96</v>
      </c>
      <c r="C6116">
        <v>17</v>
      </c>
      <c r="D6116">
        <v>0.19583700000000001</v>
      </c>
      <c r="E6116">
        <v>0.90435500000000002</v>
      </c>
      <c r="F6116">
        <v>0.431593</v>
      </c>
      <c r="G6116">
        <v>0.524177</v>
      </c>
    </row>
    <row r="6117" spans="1:7">
      <c r="A6117" t="s">
        <v>144</v>
      </c>
      <c r="B6117">
        <v>96</v>
      </c>
      <c r="C6117">
        <v>18</v>
      </c>
      <c r="D6117">
        <v>0.19583700000000001</v>
      </c>
      <c r="E6117">
        <v>-0.72066399999999997</v>
      </c>
      <c r="F6117">
        <v>0.13589899999999999</v>
      </c>
      <c r="G6117">
        <v>-3.1848000000000001E-2</v>
      </c>
    </row>
    <row r="6118" spans="1:7">
      <c r="A6118" t="s">
        <v>144</v>
      </c>
      <c r="B6118">
        <v>96</v>
      </c>
      <c r="C6118">
        <v>19</v>
      </c>
      <c r="D6118">
        <v>0.19583700000000001</v>
      </c>
      <c r="E6118">
        <v>0.52433799999999997</v>
      </c>
      <c r="F6118">
        <v>0.354686</v>
      </c>
      <c r="G6118">
        <v>0.38790999999999998</v>
      </c>
    </row>
    <row r="6119" spans="1:7">
      <c r="A6119" t="s">
        <v>144</v>
      </c>
      <c r="B6119">
        <v>96</v>
      </c>
      <c r="C6119">
        <v>20</v>
      </c>
      <c r="D6119">
        <v>0.19583700000000001</v>
      </c>
      <c r="E6119">
        <v>-0.90310400000000002</v>
      </c>
      <c r="F6119">
        <v>0.77749000000000001</v>
      </c>
      <c r="G6119">
        <v>0.44836700000000002</v>
      </c>
    </row>
    <row r="6120" spans="1:7">
      <c r="A6120" t="s">
        <v>144</v>
      </c>
      <c r="B6120">
        <v>96</v>
      </c>
      <c r="C6120">
        <v>21</v>
      </c>
      <c r="D6120">
        <v>0.19583700000000001</v>
      </c>
      <c r="E6120">
        <v>0.94164899999999996</v>
      </c>
      <c r="F6120">
        <v>-0.48280299999999998</v>
      </c>
      <c r="G6120">
        <v>-0.203842</v>
      </c>
    </row>
    <row r="6121" spans="1:7">
      <c r="A6121" t="s">
        <v>144</v>
      </c>
      <c r="B6121">
        <v>96</v>
      </c>
      <c r="C6121">
        <v>22</v>
      </c>
      <c r="D6121">
        <v>0.19583700000000001</v>
      </c>
      <c r="E6121">
        <v>0.80294200000000004</v>
      </c>
      <c r="F6121">
        <v>0.28189900000000001</v>
      </c>
      <c r="G6121">
        <v>0.38393899999999997</v>
      </c>
    </row>
    <row r="6122" spans="1:7">
      <c r="A6122" t="s">
        <v>144</v>
      </c>
      <c r="B6122">
        <v>96</v>
      </c>
      <c r="C6122">
        <v>23</v>
      </c>
      <c r="D6122">
        <v>0.19583700000000001</v>
      </c>
      <c r="E6122">
        <v>-0.812616</v>
      </c>
      <c r="F6122">
        <v>0.66295400000000004</v>
      </c>
      <c r="G6122">
        <v>0.37398199999999998</v>
      </c>
    </row>
    <row r="6123" spans="1:7">
      <c r="A6123" t="s">
        <v>144</v>
      </c>
      <c r="B6123">
        <v>96</v>
      </c>
      <c r="C6123">
        <v>24</v>
      </c>
      <c r="D6123">
        <v>0.19583700000000001</v>
      </c>
      <c r="E6123">
        <v>-0.88250399999999996</v>
      </c>
      <c r="F6123">
        <v>-0.95318499999999995</v>
      </c>
      <c r="G6123">
        <v>-0.93934300000000004</v>
      </c>
    </row>
    <row r="6124" spans="1:7">
      <c r="A6124" t="s">
        <v>144</v>
      </c>
      <c r="B6124">
        <v>96</v>
      </c>
      <c r="C6124">
        <v>25</v>
      </c>
      <c r="D6124">
        <v>0.19583700000000001</v>
      </c>
      <c r="E6124">
        <v>-0.29898999999999998</v>
      </c>
      <c r="F6124">
        <v>0.75643199999999999</v>
      </c>
      <c r="G6124">
        <v>0.54974100000000004</v>
      </c>
    </row>
    <row r="6125" spans="1:7">
      <c r="A6125" t="s">
        <v>144</v>
      </c>
      <c r="B6125">
        <v>96</v>
      </c>
      <c r="C6125">
        <v>26</v>
      </c>
      <c r="D6125">
        <v>0.19583700000000001</v>
      </c>
      <c r="E6125">
        <v>0.60673900000000003</v>
      </c>
      <c r="F6125">
        <v>-0.67696199999999995</v>
      </c>
      <c r="G6125">
        <v>-0.42556500000000003</v>
      </c>
    </row>
    <row r="6126" spans="1:7">
      <c r="A6126" t="s">
        <v>144</v>
      </c>
      <c r="B6126">
        <v>96</v>
      </c>
      <c r="C6126">
        <v>27</v>
      </c>
      <c r="D6126">
        <v>0.19583700000000001</v>
      </c>
      <c r="E6126">
        <v>-0.66441799999999995</v>
      </c>
      <c r="F6126">
        <v>-0.93832199999999999</v>
      </c>
      <c r="G6126">
        <v>-0.88468199999999997</v>
      </c>
    </row>
    <row r="6127" spans="1:7">
      <c r="A6127" t="s">
        <v>144</v>
      </c>
      <c r="B6127">
        <v>96</v>
      </c>
      <c r="C6127">
        <v>28</v>
      </c>
      <c r="D6127">
        <v>0.19583700000000001</v>
      </c>
      <c r="E6127">
        <v>6.003E-2</v>
      </c>
      <c r="F6127">
        <v>0.86553500000000005</v>
      </c>
      <c r="G6127">
        <v>0.70778700000000005</v>
      </c>
    </row>
    <row r="6128" spans="1:7">
      <c r="A6128" t="s">
        <v>144</v>
      </c>
      <c r="B6128">
        <v>96</v>
      </c>
      <c r="C6128">
        <v>29</v>
      </c>
      <c r="D6128">
        <v>0.19583700000000001</v>
      </c>
      <c r="E6128">
        <v>7.5686000000000003E-2</v>
      </c>
      <c r="F6128">
        <v>0.45188800000000001</v>
      </c>
      <c r="G6128">
        <v>0.37821300000000002</v>
      </c>
    </row>
    <row r="6129" spans="1:7">
      <c r="A6129" t="s">
        <v>144</v>
      </c>
      <c r="B6129">
        <v>96</v>
      </c>
      <c r="C6129">
        <v>30</v>
      </c>
      <c r="D6129">
        <v>0.19583700000000001</v>
      </c>
      <c r="E6129">
        <v>-0.40882600000000002</v>
      </c>
      <c r="F6129">
        <v>0.49861100000000003</v>
      </c>
      <c r="G6129">
        <v>0.32090099999999999</v>
      </c>
    </row>
    <row r="6130" spans="1:7">
      <c r="A6130" t="s">
        <v>144</v>
      </c>
      <c r="B6130">
        <v>96</v>
      </c>
      <c r="C6130">
        <v>31</v>
      </c>
      <c r="D6130">
        <v>0.19583700000000001</v>
      </c>
      <c r="E6130">
        <v>-1.5564E-2</v>
      </c>
      <c r="F6130">
        <v>0.224525</v>
      </c>
      <c r="G6130">
        <v>0.177506</v>
      </c>
    </row>
    <row r="6131" spans="1:7">
      <c r="A6131" t="s">
        <v>144</v>
      </c>
      <c r="B6131">
        <v>96</v>
      </c>
      <c r="C6131">
        <v>32</v>
      </c>
      <c r="D6131">
        <v>0.19583700000000001</v>
      </c>
      <c r="E6131">
        <v>0.86587099999999995</v>
      </c>
      <c r="F6131">
        <v>0.91579900000000003</v>
      </c>
      <c r="G6131">
        <v>0.90602199999999999</v>
      </c>
    </row>
    <row r="6132" spans="1:7">
      <c r="A6132" t="s">
        <v>144</v>
      </c>
      <c r="B6132">
        <v>96</v>
      </c>
      <c r="C6132">
        <v>33</v>
      </c>
      <c r="D6132">
        <v>0.19583700000000001</v>
      </c>
      <c r="E6132">
        <v>-0.21304999999999999</v>
      </c>
      <c r="F6132">
        <v>-0.251106</v>
      </c>
      <c r="G6132">
        <v>-0.24365300000000001</v>
      </c>
    </row>
    <row r="6133" spans="1:7">
      <c r="A6133" t="s">
        <v>144</v>
      </c>
      <c r="B6133">
        <v>96</v>
      </c>
      <c r="C6133">
        <v>34</v>
      </c>
      <c r="D6133">
        <v>0.19583700000000001</v>
      </c>
      <c r="E6133">
        <v>0.31314999999999998</v>
      </c>
      <c r="F6133">
        <v>-0.51741099999999995</v>
      </c>
      <c r="G6133">
        <v>-0.35475600000000002</v>
      </c>
    </row>
    <row r="6134" spans="1:7">
      <c r="A6134" t="s">
        <v>144</v>
      </c>
      <c r="B6134">
        <v>96</v>
      </c>
      <c r="C6134">
        <v>35</v>
      </c>
      <c r="D6134">
        <v>0.19583700000000001</v>
      </c>
      <c r="E6134">
        <v>-0.49736000000000002</v>
      </c>
      <c r="F6134">
        <v>-0.151341</v>
      </c>
      <c r="G6134">
        <v>-0.21910499999999999</v>
      </c>
    </row>
    <row r="6135" spans="1:7">
      <c r="A6135" t="s">
        <v>144</v>
      </c>
      <c r="B6135">
        <v>96</v>
      </c>
      <c r="C6135">
        <v>36</v>
      </c>
      <c r="D6135">
        <v>0.19583700000000001</v>
      </c>
      <c r="E6135">
        <v>0.238929</v>
      </c>
      <c r="F6135">
        <v>-2.9786E-2</v>
      </c>
      <c r="G6135">
        <v>2.2838000000000001E-2</v>
      </c>
    </row>
    <row r="6136" spans="1:7">
      <c r="A6136" t="s">
        <v>144</v>
      </c>
      <c r="B6136">
        <v>96</v>
      </c>
      <c r="C6136">
        <v>37</v>
      </c>
      <c r="D6136">
        <v>0.19583700000000001</v>
      </c>
      <c r="E6136">
        <v>0.482437</v>
      </c>
      <c r="F6136">
        <v>-0.80696999999999997</v>
      </c>
      <c r="G6136">
        <v>-0.55445599999999995</v>
      </c>
    </row>
    <row r="6137" spans="1:7">
      <c r="A6137" t="s">
        <v>144</v>
      </c>
      <c r="B6137">
        <v>96</v>
      </c>
      <c r="C6137">
        <v>38</v>
      </c>
      <c r="D6137">
        <v>0.19583700000000001</v>
      </c>
      <c r="E6137">
        <v>0.14554300000000001</v>
      </c>
      <c r="F6137">
        <v>-0.49125600000000003</v>
      </c>
      <c r="G6137">
        <v>-0.36654700000000001</v>
      </c>
    </row>
    <row r="6138" spans="1:7">
      <c r="A6138" t="s">
        <v>144</v>
      </c>
      <c r="B6138">
        <v>96</v>
      </c>
      <c r="C6138">
        <v>39</v>
      </c>
      <c r="D6138">
        <v>0.19583700000000001</v>
      </c>
      <c r="E6138">
        <v>-0.48722799999999999</v>
      </c>
      <c r="F6138">
        <v>-0.485458</v>
      </c>
      <c r="G6138">
        <v>-0.48580499999999999</v>
      </c>
    </row>
    <row r="6139" spans="1:7">
      <c r="A6139" t="s">
        <v>144</v>
      </c>
      <c r="B6139">
        <v>96</v>
      </c>
      <c r="C6139">
        <v>40</v>
      </c>
      <c r="D6139">
        <v>0.19583700000000001</v>
      </c>
      <c r="E6139">
        <v>8.4262000000000004E-2</v>
      </c>
      <c r="F6139">
        <v>-0.61494800000000005</v>
      </c>
      <c r="G6139">
        <v>-0.47801700000000003</v>
      </c>
    </row>
    <row r="6140" spans="1:7">
      <c r="A6140" t="s">
        <v>144</v>
      </c>
      <c r="B6140">
        <v>96</v>
      </c>
      <c r="C6140">
        <v>41</v>
      </c>
      <c r="D6140">
        <v>0.19583700000000001</v>
      </c>
      <c r="E6140">
        <v>0.59883399999999998</v>
      </c>
      <c r="F6140">
        <v>-0.35630400000000001</v>
      </c>
      <c r="G6140">
        <v>-0.16925200000000001</v>
      </c>
    </row>
    <row r="6141" spans="1:7">
      <c r="A6141" t="s">
        <v>144</v>
      </c>
      <c r="B6141">
        <v>96</v>
      </c>
      <c r="C6141">
        <v>42</v>
      </c>
      <c r="D6141">
        <v>0.19583700000000001</v>
      </c>
      <c r="E6141">
        <v>-0.473159</v>
      </c>
      <c r="F6141">
        <v>0.68504900000000002</v>
      </c>
      <c r="G6141">
        <v>0.458229</v>
      </c>
    </row>
    <row r="6142" spans="1:7">
      <c r="A6142" t="s">
        <v>144</v>
      </c>
      <c r="B6142">
        <v>96</v>
      </c>
      <c r="C6142">
        <v>43</v>
      </c>
      <c r="D6142">
        <v>0.19583700000000001</v>
      </c>
      <c r="E6142">
        <v>0.28458499999999998</v>
      </c>
      <c r="F6142">
        <v>0.80605499999999997</v>
      </c>
      <c r="G6142">
        <v>0.703932</v>
      </c>
    </row>
    <row r="6143" spans="1:7">
      <c r="A6143" t="s">
        <v>144</v>
      </c>
      <c r="B6143">
        <v>96</v>
      </c>
      <c r="C6143">
        <v>44</v>
      </c>
      <c r="D6143">
        <v>0.19583700000000001</v>
      </c>
      <c r="E6143">
        <v>-0.85476200000000002</v>
      </c>
      <c r="F6143">
        <v>0.64223200000000003</v>
      </c>
      <c r="G6143">
        <v>0.34906399999999999</v>
      </c>
    </row>
    <row r="6144" spans="1:7">
      <c r="A6144" t="s">
        <v>144</v>
      </c>
      <c r="B6144">
        <v>96</v>
      </c>
      <c r="C6144">
        <v>45</v>
      </c>
      <c r="D6144">
        <v>0.19583700000000001</v>
      </c>
      <c r="E6144">
        <v>0.45890700000000001</v>
      </c>
      <c r="F6144">
        <v>-0.45838800000000002</v>
      </c>
      <c r="G6144">
        <v>-0.27874700000000002</v>
      </c>
    </row>
    <row r="6145" spans="1:7">
      <c r="A6145" t="s">
        <v>144</v>
      </c>
      <c r="B6145">
        <v>96</v>
      </c>
      <c r="C6145">
        <v>46</v>
      </c>
      <c r="D6145">
        <v>0.19583700000000001</v>
      </c>
      <c r="E6145">
        <v>-0.74895500000000004</v>
      </c>
      <c r="F6145">
        <v>0.51512199999999997</v>
      </c>
      <c r="G6145">
        <v>0.267569</v>
      </c>
    </row>
    <row r="6146" spans="1:7">
      <c r="A6146" t="s">
        <v>144</v>
      </c>
      <c r="B6146">
        <v>96</v>
      </c>
      <c r="C6146">
        <v>47</v>
      </c>
      <c r="D6146">
        <v>0.19583700000000001</v>
      </c>
      <c r="E6146">
        <v>-0.41169499999999998</v>
      </c>
      <c r="F6146">
        <v>-0.30576500000000001</v>
      </c>
      <c r="G6146">
        <v>-0.32651000000000002</v>
      </c>
    </row>
    <row r="6147" spans="1:7">
      <c r="A6147" t="s">
        <v>144</v>
      </c>
      <c r="B6147">
        <v>96</v>
      </c>
      <c r="C6147">
        <v>48</v>
      </c>
      <c r="D6147">
        <v>0.19583700000000001</v>
      </c>
      <c r="E6147">
        <v>-0.25830900000000001</v>
      </c>
      <c r="F6147">
        <v>0.853298</v>
      </c>
      <c r="G6147">
        <v>0.63560399999999995</v>
      </c>
    </row>
    <row r="6148" spans="1:7">
      <c r="A6148" t="s">
        <v>144</v>
      </c>
      <c r="B6148">
        <v>96</v>
      </c>
      <c r="C6148">
        <v>49</v>
      </c>
      <c r="D6148">
        <v>0.19583700000000001</v>
      </c>
      <c r="E6148">
        <v>0.50434900000000005</v>
      </c>
      <c r="F6148">
        <v>0.85824100000000003</v>
      </c>
      <c r="G6148">
        <v>0.78893599999999997</v>
      </c>
    </row>
    <row r="6149" spans="1:7">
      <c r="A6149" t="s">
        <v>144</v>
      </c>
      <c r="B6149" t="s">
        <v>145</v>
      </c>
      <c r="C6149">
        <v>97</v>
      </c>
    </row>
    <row r="6150" spans="1:7">
      <c r="A6150" t="s">
        <v>144</v>
      </c>
      <c r="B6150" t="s">
        <v>146</v>
      </c>
      <c r="C6150">
        <v>95</v>
      </c>
    </row>
    <row r="6151" spans="1:7">
      <c r="A6151" t="s">
        <v>144</v>
      </c>
      <c r="B6151" t="s">
        <v>147</v>
      </c>
      <c r="C6151">
        <v>95</v>
      </c>
    </row>
    <row r="6152" spans="1:7">
      <c r="A6152" t="s">
        <v>144</v>
      </c>
      <c r="B6152" t="s">
        <v>148</v>
      </c>
      <c r="C6152">
        <v>0.75450899999999999</v>
      </c>
    </row>
    <row r="6153" spans="1:7">
      <c r="A6153" t="s">
        <v>144</v>
      </c>
      <c r="B6153" t="s">
        <v>149</v>
      </c>
      <c r="C6153">
        <v>0.75450899999999999</v>
      </c>
    </row>
    <row r="6154" spans="1:7">
      <c r="A6154" t="s">
        <v>144</v>
      </c>
      <c r="B6154" t="s">
        <v>150</v>
      </c>
      <c r="C6154">
        <v>-1</v>
      </c>
    </row>
    <row r="6155" spans="1:7">
      <c r="A6155" t="s">
        <v>144</v>
      </c>
      <c r="B6155" t="s">
        <v>151</v>
      </c>
      <c r="C6155">
        <v>-1</v>
      </c>
    </row>
    <row r="6156" spans="1:7">
      <c r="A6156" t="s">
        <v>144</v>
      </c>
      <c r="B6156" t="s">
        <v>152</v>
      </c>
      <c r="C6156">
        <v>8</v>
      </c>
    </row>
    <row r="6157" spans="1:7">
      <c r="A6157" t="s">
        <v>144</v>
      </c>
      <c r="B6157" t="s">
        <v>153</v>
      </c>
      <c r="C6157">
        <v>8</v>
      </c>
    </row>
    <row r="6158" spans="1:7">
      <c r="A6158" t="s">
        <v>144</v>
      </c>
      <c r="B6158" t="s">
        <v>154</v>
      </c>
      <c r="C6158">
        <v>0</v>
      </c>
    </row>
    <row r="6159" spans="1:7">
      <c r="A6159" t="s">
        <v>144</v>
      </c>
      <c r="B6159" t="s">
        <v>161</v>
      </c>
    </row>
    <row r="6160" spans="1:7">
      <c r="A6160" t="s">
        <v>144</v>
      </c>
      <c r="B6160">
        <v>97</v>
      </c>
      <c r="C6160">
        <v>0</v>
      </c>
      <c r="D6160">
        <v>-1</v>
      </c>
      <c r="E6160">
        <v>-0.35663899999999998</v>
      </c>
      <c r="F6160">
        <v>-1</v>
      </c>
      <c r="G6160">
        <v>-0.35663899999999998</v>
      </c>
    </row>
    <row r="6161" spans="1:7">
      <c r="A6161" t="s">
        <v>144</v>
      </c>
      <c r="B6161">
        <v>97</v>
      </c>
      <c r="C6161">
        <v>1</v>
      </c>
      <c r="D6161">
        <v>-1</v>
      </c>
      <c r="E6161">
        <v>0.269173</v>
      </c>
      <c r="F6161">
        <v>-1</v>
      </c>
      <c r="G6161">
        <v>0.269173</v>
      </c>
    </row>
    <row r="6162" spans="1:7">
      <c r="A6162" t="s">
        <v>144</v>
      </c>
      <c r="B6162">
        <v>97</v>
      </c>
      <c r="C6162">
        <v>2</v>
      </c>
      <c r="D6162">
        <v>-1</v>
      </c>
      <c r="E6162">
        <v>0.90765099999999999</v>
      </c>
      <c r="F6162">
        <v>-1</v>
      </c>
      <c r="G6162">
        <v>0.90765099999999999</v>
      </c>
    </row>
    <row r="6163" spans="1:7">
      <c r="A6163" t="s">
        <v>144</v>
      </c>
      <c r="B6163">
        <v>97</v>
      </c>
      <c r="C6163">
        <v>3</v>
      </c>
      <c r="D6163">
        <v>-1</v>
      </c>
      <c r="E6163">
        <v>0.67363499999999998</v>
      </c>
      <c r="F6163">
        <v>-1</v>
      </c>
      <c r="G6163">
        <v>0.67363499999999998</v>
      </c>
    </row>
    <row r="6164" spans="1:7">
      <c r="A6164" t="s">
        <v>144</v>
      </c>
      <c r="B6164">
        <v>97</v>
      </c>
      <c r="C6164">
        <v>4</v>
      </c>
      <c r="D6164">
        <v>-1</v>
      </c>
      <c r="E6164">
        <v>-0.46964899999999998</v>
      </c>
      <c r="F6164">
        <v>-1</v>
      </c>
      <c r="G6164">
        <v>-0.46964899999999998</v>
      </c>
    </row>
    <row r="6165" spans="1:7">
      <c r="A6165" t="s">
        <v>144</v>
      </c>
      <c r="B6165">
        <v>97</v>
      </c>
      <c r="C6165">
        <v>5</v>
      </c>
      <c r="D6165">
        <v>-1</v>
      </c>
      <c r="E6165">
        <v>0.25806499999999999</v>
      </c>
      <c r="F6165">
        <v>-1</v>
      </c>
      <c r="G6165">
        <v>0.25806499999999999</v>
      </c>
    </row>
    <row r="6166" spans="1:7">
      <c r="A6166" t="s">
        <v>144</v>
      </c>
      <c r="B6166">
        <v>97</v>
      </c>
      <c r="C6166">
        <v>6</v>
      </c>
      <c r="D6166">
        <v>-1</v>
      </c>
      <c r="E6166">
        <v>-0.50483699999999998</v>
      </c>
      <c r="F6166">
        <v>-1</v>
      </c>
      <c r="G6166">
        <v>-0.50483699999999998</v>
      </c>
    </row>
    <row r="6167" spans="1:7">
      <c r="A6167" t="s">
        <v>144</v>
      </c>
      <c r="B6167">
        <v>97</v>
      </c>
      <c r="C6167">
        <v>7</v>
      </c>
      <c r="D6167">
        <v>-1</v>
      </c>
      <c r="E6167">
        <v>-0.90133399999999997</v>
      </c>
      <c r="F6167">
        <v>-1</v>
      </c>
      <c r="G6167">
        <v>-0.90133399999999997</v>
      </c>
    </row>
    <row r="6168" spans="1:7">
      <c r="A6168" t="s">
        <v>144</v>
      </c>
      <c r="B6168">
        <v>97</v>
      </c>
      <c r="C6168">
        <v>8</v>
      </c>
      <c r="D6168">
        <v>-1</v>
      </c>
      <c r="E6168">
        <v>-0.39948699999999998</v>
      </c>
      <c r="F6168">
        <v>-1</v>
      </c>
      <c r="G6168">
        <v>-0.39948699999999998</v>
      </c>
    </row>
    <row r="6169" spans="1:7">
      <c r="A6169" t="s">
        <v>144</v>
      </c>
      <c r="B6169">
        <v>97</v>
      </c>
      <c r="C6169">
        <v>9</v>
      </c>
      <c r="D6169">
        <v>-1</v>
      </c>
      <c r="E6169">
        <v>-0.37861299999999998</v>
      </c>
      <c r="F6169">
        <v>-1</v>
      </c>
      <c r="G6169">
        <v>-0.37861299999999998</v>
      </c>
    </row>
    <row r="6170" spans="1:7">
      <c r="A6170" t="s">
        <v>144</v>
      </c>
      <c r="B6170">
        <v>97</v>
      </c>
      <c r="C6170">
        <v>10</v>
      </c>
      <c r="D6170">
        <v>-1</v>
      </c>
      <c r="E6170">
        <v>-0.81160900000000002</v>
      </c>
      <c r="F6170">
        <v>-1</v>
      </c>
      <c r="G6170">
        <v>-0.81160900000000002</v>
      </c>
    </row>
    <row r="6171" spans="1:7">
      <c r="A6171" t="s">
        <v>144</v>
      </c>
      <c r="B6171">
        <v>97</v>
      </c>
      <c r="C6171">
        <v>11</v>
      </c>
      <c r="D6171">
        <v>-1</v>
      </c>
      <c r="E6171">
        <v>-0.73732699999999995</v>
      </c>
      <c r="F6171">
        <v>-1</v>
      </c>
      <c r="G6171">
        <v>-0.73732699999999995</v>
      </c>
    </row>
    <row r="6172" spans="1:7">
      <c r="A6172" t="s">
        <v>144</v>
      </c>
      <c r="B6172">
        <v>97</v>
      </c>
      <c r="C6172">
        <v>12</v>
      </c>
      <c r="D6172">
        <v>-1</v>
      </c>
      <c r="E6172">
        <v>-0.301126</v>
      </c>
      <c r="F6172">
        <v>-1</v>
      </c>
      <c r="G6172">
        <v>-0.301126</v>
      </c>
    </row>
    <row r="6173" spans="1:7">
      <c r="A6173" t="s">
        <v>144</v>
      </c>
      <c r="B6173">
        <v>97</v>
      </c>
      <c r="C6173">
        <v>13</v>
      </c>
      <c r="D6173">
        <v>-1</v>
      </c>
      <c r="E6173">
        <v>-0.22128999999999999</v>
      </c>
      <c r="F6173">
        <v>-1</v>
      </c>
      <c r="G6173">
        <v>-0.22128999999999999</v>
      </c>
    </row>
    <row r="6174" spans="1:7">
      <c r="A6174" t="s">
        <v>144</v>
      </c>
      <c r="B6174">
        <v>97</v>
      </c>
      <c r="C6174">
        <v>14</v>
      </c>
      <c r="D6174">
        <v>-1</v>
      </c>
      <c r="E6174">
        <v>0.90005199999999996</v>
      </c>
      <c r="F6174">
        <v>-1</v>
      </c>
      <c r="G6174">
        <v>0.90005199999999996</v>
      </c>
    </row>
    <row r="6175" spans="1:7">
      <c r="A6175" t="s">
        <v>144</v>
      </c>
      <c r="B6175">
        <v>97</v>
      </c>
      <c r="C6175">
        <v>15</v>
      </c>
      <c r="D6175">
        <v>-1</v>
      </c>
      <c r="E6175">
        <v>-0.65053300000000003</v>
      </c>
      <c r="F6175">
        <v>-1</v>
      </c>
      <c r="G6175">
        <v>-0.65053300000000003</v>
      </c>
    </row>
    <row r="6176" spans="1:7">
      <c r="A6176" t="s">
        <v>144</v>
      </c>
      <c r="B6176">
        <v>97</v>
      </c>
      <c r="C6176">
        <v>16</v>
      </c>
      <c r="D6176">
        <v>-1</v>
      </c>
      <c r="E6176">
        <v>0.77797799999999995</v>
      </c>
      <c r="F6176">
        <v>-1</v>
      </c>
      <c r="G6176">
        <v>0.77797799999999995</v>
      </c>
    </row>
    <row r="6177" spans="1:7">
      <c r="A6177" t="s">
        <v>144</v>
      </c>
      <c r="B6177">
        <v>97</v>
      </c>
      <c r="C6177">
        <v>17</v>
      </c>
      <c r="D6177">
        <v>-1</v>
      </c>
      <c r="E6177">
        <v>0.66185499999999997</v>
      </c>
      <c r="F6177">
        <v>-1</v>
      </c>
      <c r="G6177">
        <v>0.66185499999999997</v>
      </c>
    </row>
    <row r="6178" spans="1:7">
      <c r="A6178" t="s">
        <v>144</v>
      </c>
      <c r="B6178">
        <v>97</v>
      </c>
      <c r="C6178">
        <v>18</v>
      </c>
      <c r="D6178">
        <v>-1</v>
      </c>
      <c r="E6178">
        <v>0.65974900000000003</v>
      </c>
      <c r="F6178">
        <v>-1</v>
      </c>
      <c r="G6178">
        <v>0.65974900000000003</v>
      </c>
    </row>
    <row r="6179" spans="1:7">
      <c r="A6179" t="s">
        <v>144</v>
      </c>
      <c r="B6179">
        <v>97</v>
      </c>
      <c r="C6179">
        <v>19</v>
      </c>
      <c r="D6179">
        <v>-1</v>
      </c>
      <c r="E6179">
        <v>-0.71748999999999996</v>
      </c>
      <c r="F6179">
        <v>-1</v>
      </c>
      <c r="G6179">
        <v>-0.71748999999999996</v>
      </c>
    </row>
    <row r="6180" spans="1:7">
      <c r="A6180" t="s">
        <v>144</v>
      </c>
      <c r="B6180">
        <v>97</v>
      </c>
      <c r="C6180">
        <v>20</v>
      </c>
      <c r="D6180">
        <v>-1</v>
      </c>
      <c r="E6180">
        <v>-0.15125</v>
      </c>
      <c r="F6180">
        <v>-1</v>
      </c>
      <c r="G6180">
        <v>-0.15125</v>
      </c>
    </row>
    <row r="6181" spans="1:7">
      <c r="A6181" t="s">
        <v>144</v>
      </c>
      <c r="B6181">
        <v>97</v>
      </c>
      <c r="C6181">
        <v>21</v>
      </c>
      <c r="D6181">
        <v>-1</v>
      </c>
      <c r="E6181">
        <v>0.28711799999999998</v>
      </c>
      <c r="F6181">
        <v>-1</v>
      </c>
      <c r="G6181">
        <v>0.28711799999999998</v>
      </c>
    </row>
    <row r="6182" spans="1:7">
      <c r="A6182" t="s">
        <v>144</v>
      </c>
      <c r="B6182">
        <v>97</v>
      </c>
      <c r="C6182">
        <v>22</v>
      </c>
      <c r="D6182">
        <v>-1</v>
      </c>
      <c r="E6182">
        <v>-0.62978000000000001</v>
      </c>
      <c r="F6182">
        <v>-1</v>
      </c>
      <c r="G6182">
        <v>-0.62978000000000001</v>
      </c>
    </row>
    <row r="6183" spans="1:7">
      <c r="A6183" t="s">
        <v>144</v>
      </c>
      <c r="B6183">
        <v>97</v>
      </c>
      <c r="C6183">
        <v>23</v>
      </c>
      <c r="D6183">
        <v>-1</v>
      </c>
      <c r="E6183">
        <v>-0.110446</v>
      </c>
      <c r="F6183">
        <v>-1</v>
      </c>
      <c r="G6183">
        <v>-0.110446</v>
      </c>
    </row>
    <row r="6184" spans="1:7">
      <c r="A6184" t="s">
        <v>144</v>
      </c>
      <c r="B6184">
        <v>97</v>
      </c>
      <c r="C6184">
        <v>24</v>
      </c>
      <c r="D6184">
        <v>-1</v>
      </c>
      <c r="E6184">
        <v>-0.85476200000000002</v>
      </c>
      <c r="F6184">
        <v>-1</v>
      </c>
      <c r="G6184">
        <v>-0.85476200000000002</v>
      </c>
    </row>
    <row r="6185" spans="1:7">
      <c r="A6185" t="s">
        <v>144</v>
      </c>
      <c r="B6185">
        <v>97</v>
      </c>
      <c r="C6185">
        <v>25</v>
      </c>
      <c r="D6185">
        <v>-1</v>
      </c>
      <c r="E6185">
        <v>-0.94573799999999997</v>
      </c>
      <c r="F6185">
        <v>-1</v>
      </c>
      <c r="G6185">
        <v>-0.94573799999999997</v>
      </c>
    </row>
    <row r="6186" spans="1:7">
      <c r="A6186" t="s">
        <v>144</v>
      </c>
      <c r="B6186">
        <v>97</v>
      </c>
      <c r="C6186">
        <v>26</v>
      </c>
      <c r="D6186">
        <v>-1</v>
      </c>
      <c r="E6186">
        <v>-0.95587</v>
      </c>
      <c r="F6186">
        <v>-1</v>
      </c>
      <c r="G6186">
        <v>-0.95587</v>
      </c>
    </row>
    <row r="6187" spans="1:7">
      <c r="A6187" t="s">
        <v>144</v>
      </c>
      <c r="B6187">
        <v>97</v>
      </c>
      <c r="C6187">
        <v>27</v>
      </c>
      <c r="D6187">
        <v>-1</v>
      </c>
      <c r="E6187">
        <v>0.71092900000000003</v>
      </c>
      <c r="F6187">
        <v>-1</v>
      </c>
      <c r="G6187">
        <v>0.71092900000000003</v>
      </c>
    </row>
    <row r="6188" spans="1:7">
      <c r="A6188" t="s">
        <v>144</v>
      </c>
      <c r="B6188">
        <v>97</v>
      </c>
      <c r="C6188">
        <v>28</v>
      </c>
      <c r="D6188">
        <v>-1</v>
      </c>
      <c r="E6188">
        <v>-0.95409999999999995</v>
      </c>
      <c r="F6188">
        <v>-1</v>
      </c>
      <c r="G6188">
        <v>-0.95409999999999995</v>
      </c>
    </row>
    <row r="6189" spans="1:7">
      <c r="A6189" t="s">
        <v>144</v>
      </c>
      <c r="B6189">
        <v>97</v>
      </c>
      <c r="C6189">
        <v>29</v>
      </c>
      <c r="D6189">
        <v>-1</v>
      </c>
      <c r="E6189">
        <v>0.42396299999999998</v>
      </c>
      <c r="F6189">
        <v>-1</v>
      </c>
      <c r="G6189">
        <v>0.42396299999999998</v>
      </c>
    </row>
    <row r="6190" spans="1:7">
      <c r="A6190" t="s">
        <v>144</v>
      </c>
      <c r="B6190">
        <v>97</v>
      </c>
      <c r="C6190">
        <v>30</v>
      </c>
      <c r="D6190">
        <v>-1</v>
      </c>
      <c r="E6190">
        <v>0.47224300000000002</v>
      </c>
      <c r="F6190">
        <v>-1</v>
      </c>
      <c r="G6190">
        <v>0.47224300000000002</v>
      </c>
    </row>
    <row r="6191" spans="1:7">
      <c r="A6191" t="s">
        <v>144</v>
      </c>
      <c r="B6191">
        <v>97</v>
      </c>
      <c r="C6191">
        <v>31</v>
      </c>
      <c r="D6191">
        <v>-1</v>
      </c>
      <c r="E6191">
        <v>-0.84768200000000005</v>
      </c>
      <c r="F6191">
        <v>-1</v>
      </c>
      <c r="G6191">
        <v>-0.84768200000000005</v>
      </c>
    </row>
    <row r="6192" spans="1:7">
      <c r="A6192" t="s">
        <v>144</v>
      </c>
      <c r="B6192">
        <v>97</v>
      </c>
      <c r="C6192">
        <v>32</v>
      </c>
      <c r="D6192">
        <v>-1</v>
      </c>
      <c r="E6192">
        <v>0.79137500000000005</v>
      </c>
      <c r="F6192">
        <v>-1</v>
      </c>
      <c r="G6192">
        <v>0.79137500000000005</v>
      </c>
    </row>
    <row r="6193" spans="1:7">
      <c r="A6193" t="s">
        <v>144</v>
      </c>
      <c r="B6193">
        <v>97</v>
      </c>
      <c r="C6193">
        <v>33</v>
      </c>
      <c r="D6193">
        <v>-1</v>
      </c>
      <c r="E6193">
        <v>-0.24646699999999999</v>
      </c>
      <c r="F6193">
        <v>-1</v>
      </c>
      <c r="G6193">
        <v>-0.24646699999999999</v>
      </c>
    </row>
    <row r="6194" spans="1:7">
      <c r="A6194" t="s">
        <v>144</v>
      </c>
      <c r="B6194">
        <v>97</v>
      </c>
      <c r="C6194">
        <v>34</v>
      </c>
      <c r="D6194">
        <v>-1</v>
      </c>
      <c r="E6194">
        <v>0.90887200000000001</v>
      </c>
      <c r="F6194">
        <v>-1</v>
      </c>
      <c r="G6194">
        <v>0.90887200000000001</v>
      </c>
    </row>
    <row r="6195" spans="1:7">
      <c r="A6195" t="s">
        <v>144</v>
      </c>
      <c r="B6195">
        <v>97</v>
      </c>
      <c r="C6195">
        <v>35</v>
      </c>
      <c r="D6195">
        <v>-1</v>
      </c>
      <c r="E6195">
        <v>-0.160192</v>
      </c>
      <c r="F6195">
        <v>-1</v>
      </c>
      <c r="G6195">
        <v>-0.160192</v>
      </c>
    </row>
    <row r="6196" spans="1:7">
      <c r="A6196" t="s">
        <v>144</v>
      </c>
      <c r="B6196">
        <v>97</v>
      </c>
      <c r="C6196">
        <v>36</v>
      </c>
      <c r="D6196">
        <v>-1</v>
      </c>
      <c r="E6196">
        <v>-0.75484499999999999</v>
      </c>
      <c r="F6196">
        <v>-1</v>
      </c>
      <c r="G6196">
        <v>-0.75484499999999999</v>
      </c>
    </row>
    <row r="6197" spans="1:7">
      <c r="A6197" t="s">
        <v>144</v>
      </c>
      <c r="B6197">
        <v>97</v>
      </c>
      <c r="C6197">
        <v>37</v>
      </c>
      <c r="D6197">
        <v>-1</v>
      </c>
      <c r="E6197">
        <v>-0.60216099999999995</v>
      </c>
      <c r="F6197">
        <v>-1</v>
      </c>
      <c r="G6197">
        <v>-0.60216099999999995</v>
      </c>
    </row>
    <row r="6198" spans="1:7">
      <c r="A6198" t="s">
        <v>144</v>
      </c>
      <c r="B6198">
        <v>97</v>
      </c>
      <c r="C6198">
        <v>38</v>
      </c>
      <c r="D6198">
        <v>-1</v>
      </c>
      <c r="E6198">
        <v>-0.223243</v>
      </c>
      <c r="F6198">
        <v>-1</v>
      </c>
      <c r="G6198">
        <v>-0.223243</v>
      </c>
    </row>
    <row r="6199" spans="1:7">
      <c r="A6199" t="s">
        <v>144</v>
      </c>
      <c r="B6199">
        <v>97</v>
      </c>
      <c r="C6199">
        <v>39</v>
      </c>
      <c r="D6199">
        <v>-1</v>
      </c>
      <c r="E6199">
        <v>0.58696300000000001</v>
      </c>
      <c r="F6199">
        <v>-1</v>
      </c>
      <c r="G6199">
        <v>0.58696300000000001</v>
      </c>
    </row>
    <row r="6200" spans="1:7">
      <c r="A6200" t="s">
        <v>144</v>
      </c>
      <c r="B6200">
        <v>97</v>
      </c>
      <c r="C6200">
        <v>40</v>
      </c>
      <c r="D6200">
        <v>-1</v>
      </c>
      <c r="E6200">
        <v>0.17319300000000001</v>
      </c>
      <c r="F6200">
        <v>-1</v>
      </c>
      <c r="G6200">
        <v>0.17319300000000001</v>
      </c>
    </row>
    <row r="6201" spans="1:7">
      <c r="A6201" t="s">
        <v>144</v>
      </c>
      <c r="B6201">
        <v>97</v>
      </c>
      <c r="C6201">
        <v>41</v>
      </c>
      <c r="D6201">
        <v>-1</v>
      </c>
      <c r="E6201">
        <v>0.394818</v>
      </c>
      <c r="F6201">
        <v>-1</v>
      </c>
      <c r="G6201">
        <v>0.394818</v>
      </c>
    </row>
    <row r="6202" spans="1:7">
      <c r="A6202" t="s">
        <v>144</v>
      </c>
      <c r="B6202">
        <v>97</v>
      </c>
      <c r="C6202">
        <v>42</v>
      </c>
      <c r="D6202">
        <v>-1</v>
      </c>
      <c r="E6202">
        <v>5.7680000000000002E-2</v>
      </c>
      <c r="F6202">
        <v>-1</v>
      </c>
      <c r="G6202">
        <v>5.7680000000000002E-2</v>
      </c>
    </row>
    <row r="6203" spans="1:7">
      <c r="A6203" t="s">
        <v>144</v>
      </c>
      <c r="B6203">
        <v>97</v>
      </c>
      <c r="C6203">
        <v>43</v>
      </c>
      <c r="D6203">
        <v>-1</v>
      </c>
      <c r="E6203">
        <v>-0.47856100000000001</v>
      </c>
      <c r="F6203">
        <v>-1</v>
      </c>
      <c r="G6203">
        <v>-0.47856100000000001</v>
      </c>
    </row>
    <row r="6204" spans="1:7">
      <c r="A6204" t="s">
        <v>144</v>
      </c>
      <c r="B6204">
        <v>97</v>
      </c>
      <c r="C6204">
        <v>44</v>
      </c>
      <c r="D6204">
        <v>-1</v>
      </c>
      <c r="E6204">
        <v>0.33524599999999999</v>
      </c>
      <c r="F6204">
        <v>-1</v>
      </c>
      <c r="G6204">
        <v>0.33524599999999999</v>
      </c>
    </row>
    <row r="6205" spans="1:7">
      <c r="A6205" t="s">
        <v>144</v>
      </c>
      <c r="B6205">
        <v>97</v>
      </c>
      <c r="C6205">
        <v>45</v>
      </c>
      <c r="D6205">
        <v>-1</v>
      </c>
      <c r="E6205">
        <v>-0.41908000000000001</v>
      </c>
      <c r="F6205">
        <v>-1</v>
      </c>
      <c r="G6205">
        <v>-0.41908000000000001</v>
      </c>
    </row>
    <row r="6206" spans="1:7">
      <c r="A6206" t="s">
        <v>144</v>
      </c>
      <c r="B6206">
        <v>97</v>
      </c>
      <c r="C6206">
        <v>46</v>
      </c>
      <c r="D6206">
        <v>-1</v>
      </c>
      <c r="E6206">
        <v>-0.32117699999999999</v>
      </c>
      <c r="F6206">
        <v>-1</v>
      </c>
      <c r="G6206">
        <v>-0.32117699999999999</v>
      </c>
    </row>
    <row r="6207" spans="1:7">
      <c r="A6207" t="s">
        <v>144</v>
      </c>
      <c r="B6207">
        <v>97</v>
      </c>
      <c r="C6207">
        <v>47</v>
      </c>
      <c r="D6207">
        <v>-1</v>
      </c>
      <c r="E6207">
        <v>0.83623800000000004</v>
      </c>
      <c r="F6207">
        <v>-1</v>
      </c>
      <c r="G6207">
        <v>0.83623800000000004</v>
      </c>
    </row>
    <row r="6208" spans="1:7">
      <c r="A6208" t="s">
        <v>144</v>
      </c>
      <c r="B6208">
        <v>97</v>
      </c>
      <c r="C6208">
        <v>48</v>
      </c>
      <c r="D6208">
        <v>-1</v>
      </c>
      <c r="E6208">
        <v>0.63441899999999996</v>
      </c>
      <c r="F6208">
        <v>-1</v>
      </c>
      <c r="G6208">
        <v>0.63441899999999996</v>
      </c>
    </row>
    <row r="6209" spans="1:9">
      <c r="A6209" t="s">
        <v>144</v>
      </c>
      <c r="B6209">
        <v>97</v>
      </c>
      <c r="C6209">
        <v>49</v>
      </c>
      <c r="D6209">
        <v>-1</v>
      </c>
      <c r="E6209">
        <v>0.66096999999999995</v>
      </c>
      <c r="F6209">
        <v>-1</v>
      </c>
      <c r="G6209">
        <v>0.66096999999999995</v>
      </c>
    </row>
    <row r="6210" spans="1:9">
      <c r="A6210" t="s">
        <v>144</v>
      </c>
      <c r="B6210" t="s">
        <v>145</v>
      </c>
      <c r="C6210">
        <v>98</v>
      </c>
    </row>
    <row r="6211" spans="1:9">
      <c r="A6211" t="s">
        <v>144</v>
      </c>
      <c r="B6211" t="s">
        <v>146</v>
      </c>
      <c r="C6211">
        <v>74</v>
      </c>
    </row>
    <row r="6212" spans="1:9">
      <c r="A6212" t="s">
        <v>144</v>
      </c>
      <c r="B6212" t="s">
        <v>147</v>
      </c>
      <c r="C6212">
        <v>74</v>
      </c>
    </row>
    <row r="6213" spans="1:9">
      <c r="A6213" t="s">
        <v>144</v>
      </c>
      <c r="B6213" t="s">
        <v>148</v>
      </c>
      <c r="C6213">
        <v>0.26587699999999997</v>
      </c>
    </row>
    <row r="6214" spans="1:9">
      <c r="A6214" t="s">
        <v>144</v>
      </c>
      <c r="B6214" t="s">
        <v>149</v>
      </c>
      <c r="C6214">
        <v>0.26587699999999997</v>
      </c>
    </row>
    <row r="6215" spans="1:9">
      <c r="A6215" t="s">
        <v>144</v>
      </c>
      <c r="B6215" t="s">
        <v>150</v>
      </c>
      <c r="C6215">
        <v>-1</v>
      </c>
    </row>
    <row r="6216" spans="1:9">
      <c r="A6216" t="s">
        <v>144</v>
      </c>
      <c r="B6216" t="s">
        <v>151</v>
      </c>
      <c r="C6216">
        <v>-1</v>
      </c>
    </row>
    <row r="6217" spans="1:9">
      <c r="A6217" t="s">
        <v>144</v>
      </c>
      <c r="B6217" t="s">
        <v>152</v>
      </c>
      <c r="C6217">
        <v>12</v>
      </c>
    </row>
    <row r="6218" spans="1:9">
      <c r="A6218" t="s">
        <v>144</v>
      </c>
      <c r="B6218" t="s">
        <v>153</v>
      </c>
      <c r="C6218">
        <v>12</v>
      </c>
    </row>
    <row r="6219" spans="1:9">
      <c r="A6219" t="s">
        <v>144</v>
      </c>
      <c r="B6219" t="s">
        <v>154</v>
      </c>
      <c r="C6219">
        <v>0</v>
      </c>
    </row>
    <row r="6220" spans="1:9">
      <c r="A6220" t="s">
        <v>144</v>
      </c>
      <c r="B6220" t="s">
        <v>155</v>
      </c>
    </row>
    <row r="6221" spans="1:9">
      <c r="A6221" t="s">
        <v>144</v>
      </c>
      <c r="B6221" t="s">
        <v>150</v>
      </c>
      <c r="C6221">
        <v>0.59501899999999996</v>
      </c>
      <c r="H6221" s="38" t="s">
        <v>164</v>
      </c>
      <c r="I6221" s="44">
        <f>MIN(I6224:I6273)</f>
        <v>-1.159867000041781E-6</v>
      </c>
    </row>
    <row r="6222" spans="1:9">
      <c r="A6222" t="s">
        <v>144</v>
      </c>
      <c r="B6222" t="s">
        <v>151</v>
      </c>
      <c r="C6222">
        <v>0.59501899999999996</v>
      </c>
      <c r="H6222" s="38" t="s">
        <v>165</v>
      </c>
      <c r="I6222" s="44">
        <f>MAX(I6224:I6273)</f>
        <v>9.7296700007909465E-7</v>
      </c>
    </row>
    <row r="6223" spans="1:9">
      <c r="A6223" t="s">
        <v>144</v>
      </c>
      <c r="B6223" t="s">
        <v>156</v>
      </c>
      <c r="C6223" t="s">
        <v>157</v>
      </c>
      <c r="D6223" t="s">
        <v>63</v>
      </c>
      <c r="E6223" t="s">
        <v>158</v>
      </c>
      <c r="F6223" t="s">
        <v>159</v>
      </c>
      <c r="G6223" t="s">
        <v>160</v>
      </c>
      <c r="H6223" s="43" t="s">
        <v>162</v>
      </c>
      <c r="I6223" s="43" t="s">
        <v>163</v>
      </c>
    </row>
    <row r="6224" spans="1:9">
      <c r="A6224" t="s">
        <v>144</v>
      </c>
      <c r="B6224">
        <v>98</v>
      </c>
      <c r="C6224">
        <v>0</v>
      </c>
      <c r="D6224">
        <v>0.59501899999999996</v>
      </c>
      <c r="E6224">
        <v>0.138096</v>
      </c>
      <c r="F6224">
        <v>-1</v>
      </c>
      <c r="G6224">
        <v>0.138096</v>
      </c>
      <c r="H6224" s="42">
        <f>IF(C6224&lt;$C$6217,E6224,D6224*E6224 + (1 - D6224)*F6224)</f>
        <v>0.138096</v>
      </c>
      <c r="I6224" s="42">
        <f>H6224-G6224</f>
        <v>0</v>
      </c>
    </row>
    <row r="6225" spans="1:9">
      <c r="A6225" t="s">
        <v>144</v>
      </c>
      <c r="B6225">
        <v>98</v>
      </c>
      <c r="C6225">
        <v>1</v>
      </c>
      <c r="D6225">
        <v>0.59501899999999996</v>
      </c>
      <c r="E6225">
        <v>-0.23014000000000001</v>
      </c>
      <c r="F6225">
        <v>-1</v>
      </c>
      <c r="G6225">
        <v>-0.23014000000000001</v>
      </c>
      <c r="H6225" s="42">
        <f t="shared" ref="H6225:H6273" si="22">IF(C6225&lt;$C$6217,E6225,D6225*E6225 + (1 - D6225)*F6225)</f>
        <v>-0.23014000000000001</v>
      </c>
      <c r="I6225" s="42">
        <f t="shared" ref="I6225:I6273" si="23">H6225-G6225</f>
        <v>0</v>
      </c>
    </row>
    <row r="6226" spans="1:9">
      <c r="A6226" t="s">
        <v>144</v>
      </c>
      <c r="B6226">
        <v>98</v>
      </c>
      <c r="C6226">
        <v>2</v>
      </c>
      <c r="D6226">
        <v>0.59501899999999996</v>
      </c>
      <c r="E6226">
        <v>-0.114719</v>
      </c>
      <c r="F6226">
        <v>-1</v>
      </c>
      <c r="G6226">
        <v>-0.114719</v>
      </c>
      <c r="H6226" s="42">
        <f t="shared" si="22"/>
        <v>-0.114719</v>
      </c>
      <c r="I6226" s="42">
        <f t="shared" si="23"/>
        <v>0</v>
      </c>
    </row>
    <row r="6227" spans="1:9">
      <c r="A6227" t="s">
        <v>144</v>
      </c>
      <c r="B6227">
        <v>98</v>
      </c>
      <c r="C6227">
        <v>3</v>
      </c>
      <c r="D6227">
        <v>0.59501899999999996</v>
      </c>
      <c r="E6227">
        <v>0.46327099999999999</v>
      </c>
      <c r="F6227">
        <v>-1</v>
      </c>
      <c r="G6227">
        <v>0.46327099999999999</v>
      </c>
      <c r="H6227" s="42">
        <f t="shared" si="22"/>
        <v>0.46327099999999999</v>
      </c>
      <c r="I6227" s="42">
        <f t="shared" si="23"/>
        <v>0</v>
      </c>
    </row>
    <row r="6228" spans="1:9">
      <c r="A6228" t="s">
        <v>144</v>
      </c>
      <c r="B6228">
        <v>98</v>
      </c>
      <c r="C6228">
        <v>4</v>
      </c>
      <c r="D6228">
        <v>0.59501899999999996</v>
      </c>
      <c r="E6228">
        <v>0.99411000000000005</v>
      </c>
      <c r="F6228">
        <v>-1</v>
      </c>
      <c r="G6228">
        <v>0.99411000000000005</v>
      </c>
      <c r="H6228" s="42">
        <f t="shared" si="22"/>
        <v>0.99411000000000005</v>
      </c>
      <c r="I6228" s="42">
        <f t="shared" si="23"/>
        <v>0</v>
      </c>
    </row>
    <row r="6229" spans="1:9">
      <c r="A6229" t="s">
        <v>144</v>
      </c>
      <c r="B6229">
        <v>98</v>
      </c>
      <c r="C6229">
        <v>5</v>
      </c>
      <c r="D6229">
        <v>0.59501899999999996</v>
      </c>
      <c r="E6229">
        <v>-0.510239</v>
      </c>
      <c r="F6229">
        <v>-1</v>
      </c>
      <c r="G6229">
        <v>-0.510239</v>
      </c>
      <c r="H6229" s="42">
        <f t="shared" si="22"/>
        <v>-0.510239</v>
      </c>
      <c r="I6229" s="42">
        <f t="shared" si="23"/>
        <v>0</v>
      </c>
    </row>
    <row r="6230" spans="1:9">
      <c r="A6230" t="s">
        <v>144</v>
      </c>
      <c r="B6230">
        <v>98</v>
      </c>
      <c r="C6230">
        <v>6</v>
      </c>
      <c r="D6230">
        <v>0.59501899999999996</v>
      </c>
      <c r="E6230">
        <v>0.526536</v>
      </c>
      <c r="F6230">
        <v>-1</v>
      </c>
      <c r="G6230">
        <v>0.526536</v>
      </c>
      <c r="H6230" s="42">
        <f t="shared" si="22"/>
        <v>0.526536</v>
      </c>
      <c r="I6230" s="42">
        <f t="shared" si="23"/>
        <v>0</v>
      </c>
    </row>
    <row r="6231" spans="1:9">
      <c r="A6231" t="s">
        <v>144</v>
      </c>
      <c r="B6231">
        <v>98</v>
      </c>
      <c r="C6231">
        <v>7</v>
      </c>
      <c r="D6231">
        <v>0.59501899999999996</v>
      </c>
      <c r="E6231">
        <v>0.51603699999999997</v>
      </c>
      <c r="F6231">
        <v>-1</v>
      </c>
      <c r="G6231">
        <v>0.51603699999999997</v>
      </c>
      <c r="H6231" s="42">
        <f t="shared" si="22"/>
        <v>0.51603699999999997</v>
      </c>
      <c r="I6231" s="42">
        <f t="shared" si="23"/>
        <v>0</v>
      </c>
    </row>
    <row r="6232" spans="1:9">
      <c r="A6232" t="s">
        <v>144</v>
      </c>
      <c r="B6232">
        <v>98</v>
      </c>
      <c r="C6232">
        <v>8</v>
      </c>
      <c r="D6232">
        <v>0.59501899999999996</v>
      </c>
      <c r="E6232">
        <v>-0.54139800000000005</v>
      </c>
      <c r="F6232">
        <v>-1</v>
      </c>
      <c r="G6232">
        <v>-0.54139800000000005</v>
      </c>
      <c r="H6232" s="42">
        <f t="shared" si="22"/>
        <v>-0.54139800000000005</v>
      </c>
      <c r="I6232" s="42">
        <f t="shared" si="23"/>
        <v>0</v>
      </c>
    </row>
    <row r="6233" spans="1:9">
      <c r="A6233" t="s">
        <v>144</v>
      </c>
      <c r="B6233">
        <v>98</v>
      </c>
      <c r="C6233">
        <v>9</v>
      </c>
      <c r="D6233">
        <v>0.59501899999999996</v>
      </c>
      <c r="E6233">
        <v>-0.66414399999999996</v>
      </c>
      <c r="F6233">
        <v>-1</v>
      </c>
      <c r="G6233">
        <v>-0.66414399999999996</v>
      </c>
      <c r="H6233" s="42">
        <f t="shared" si="22"/>
        <v>-0.66414399999999996</v>
      </c>
      <c r="I6233" s="42">
        <f t="shared" si="23"/>
        <v>0</v>
      </c>
    </row>
    <row r="6234" spans="1:9">
      <c r="A6234" t="s">
        <v>144</v>
      </c>
      <c r="B6234">
        <v>98</v>
      </c>
      <c r="C6234">
        <v>10</v>
      </c>
      <c r="D6234">
        <v>0.59501899999999996</v>
      </c>
      <c r="E6234">
        <v>-0.167241</v>
      </c>
      <c r="F6234">
        <v>-1</v>
      </c>
      <c r="G6234">
        <v>-0.167241</v>
      </c>
      <c r="H6234" s="42">
        <f t="shared" si="22"/>
        <v>-0.167241</v>
      </c>
      <c r="I6234" s="42">
        <f t="shared" si="23"/>
        <v>0</v>
      </c>
    </row>
    <row r="6235" spans="1:9">
      <c r="A6235" t="s">
        <v>144</v>
      </c>
      <c r="B6235">
        <v>98</v>
      </c>
      <c r="C6235">
        <v>11</v>
      </c>
      <c r="D6235">
        <v>0.59501899999999996</v>
      </c>
      <c r="E6235">
        <v>-0.40946700000000003</v>
      </c>
      <c r="F6235">
        <v>-1</v>
      </c>
      <c r="G6235">
        <v>-0.40946700000000003</v>
      </c>
      <c r="H6235" s="42">
        <f t="shared" si="22"/>
        <v>-0.40946700000000003</v>
      </c>
      <c r="I6235" s="42">
        <f t="shared" si="23"/>
        <v>0</v>
      </c>
    </row>
    <row r="6236" spans="1:9">
      <c r="A6236" t="s">
        <v>144</v>
      </c>
      <c r="B6236">
        <v>98</v>
      </c>
      <c r="C6236">
        <v>12</v>
      </c>
      <c r="D6236">
        <v>0.59501899999999996</v>
      </c>
      <c r="E6236">
        <v>0.179174</v>
      </c>
      <c r="F6236">
        <v>0.17435200000000001</v>
      </c>
      <c r="G6236">
        <v>0.17722099999999999</v>
      </c>
      <c r="H6236" s="42">
        <f t="shared" si="22"/>
        <v>0.17722118161799999</v>
      </c>
      <c r="I6236" s="42">
        <f t="shared" si="23"/>
        <v>1.8161800000027206E-7</v>
      </c>
    </row>
    <row r="6237" spans="1:9">
      <c r="A6237" t="s">
        <v>144</v>
      </c>
      <c r="B6237">
        <v>98</v>
      </c>
      <c r="C6237">
        <v>13</v>
      </c>
      <c r="D6237">
        <v>0.59501899999999996</v>
      </c>
      <c r="E6237">
        <v>-0.85409100000000004</v>
      </c>
      <c r="F6237">
        <v>0.52607800000000005</v>
      </c>
      <c r="G6237">
        <v>-0.29514899999999999</v>
      </c>
      <c r="H6237" s="42">
        <f t="shared" si="22"/>
        <v>-0.29514877821099994</v>
      </c>
      <c r="I6237" s="42">
        <f t="shared" si="23"/>
        <v>2.217890000544287E-7</v>
      </c>
    </row>
    <row r="6238" spans="1:9">
      <c r="A6238" t="s">
        <v>144</v>
      </c>
      <c r="B6238">
        <v>98</v>
      </c>
      <c r="C6238">
        <v>14</v>
      </c>
      <c r="D6238">
        <v>0.59501899999999996</v>
      </c>
      <c r="E6238">
        <v>0.62938300000000003</v>
      </c>
      <c r="F6238">
        <v>-0.46809299999999998</v>
      </c>
      <c r="G6238">
        <v>0.18492700000000001</v>
      </c>
      <c r="H6238" s="42">
        <f t="shared" si="22"/>
        <v>0.18492607204399999</v>
      </c>
      <c r="I6238" s="42">
        <f t="shared" si="23"/>
        <v>-9.2795600001305267E-7</v>
      </c>
    </row>
    <row r="6239" spans="1:9">
      <c r="A6239" t="s">
        <v>144</v>
      </c>
      <c r="B6239">
        <v>98</v>
      </c>
      <c r="C6239">
        <v>15</v>
      </c>
      <c r="D6239">
        <v>0.59501899999999996</v>
      </c>
      <c r="E6239">
        <v>-0.67152900000000004</v>
      </c>
      <c r="F6239">
        <v>-0.50019800000000003</v>
      </c>
      <c r="G6239">
        <v>-0.60214400000000001</v>
      </c>
      <c r="H6239" s="42">
        <f t="shared" si="22"/>
        <v>-0.60214320028900004</v>
      </c>
      <c r="I6239" s="42">
        <f t="shared" si="23"/>
        <v>7.997109999768881E-7</v>
      </c>
    </row>
    <row r="6240" spans="1:9">
      <c r="A6240" t="s">
        <v>144</v>
      </c>
      <c r="B6240">
        <v>98</v>
      </c>
      <c r="C6240">
        <v>16</v>
      </c>
      <c r="D6240">
        <v>0.59501899999999996</v>
      </c>
      <c r="E6240">
        <v>0.41697400000000001</v>
      </c>
      <c r="F6240">
        <v>-0.87340899999999999</v>
      </c>
      <c r="G6240">
        <v>-0.10560600000000001</v>
      </c>
      <c r="H6240" s="42">
        <f t="shared" si="22"/>
        <v>-0.10560659772300005</v>
      </c>
      <c r="I6240" s="42">
        <f t="shared" si="23"/>
        <v>-5.9772300003979595E-7</v>
      </c>
    </row>
    <row r="6241" spans="1:9">
      <c r="A6241" t="s">
        <v>144</v>
      </c>
      <c r="B6241">
        <v>98</v>
      </c>
      <c r="C6241">
        <v>17</v>
      </c>
      <c r="D6241">
        <v>0.59501899999999996</v>
      </c>
      <c r="E6241">
        <v>-0.48646499999999998</v>
      </c>
      <c r="F6241">
        <v>0.86983900000000003</v>
      </c>
      <c r="G6241">
        <v>6.2812000000000007E-2</v>
      </c>
      <c r="H6241" s="42">
        <f t="shared" si="22"/>
        <v>6.2812350224000058E-2</v>
      </c>
      <c r="I6241" s="42">
        <f t="shared" si="23"/>
        <v>3.5022400005080279E-7</v>
      </c>
    </row>
    <row r="6242" spans="1:9">
      <c r="A6242" t="s">
        <v>144</v>
      </c>
      <c r="B6242">
        <v>98</v>
      </c>
      <c r="C6242">
        <v>18</v>
      </c>
      <c r="D6242">
        <v>0.59501899999999996</v>
      </c>
      <c r="E6242">
        <v>-0.95382500000000003</v>
      </c>
      <c r="F6242">
        <v>0.48628199999999999</v>
      </c>
      <c r="G6242">
        <v>-0.37060999999999999</v>
      </c>
      <c r="H6242" s="42">
        <f t="shared" si="22"/>
        <v>-0.37060902703299992</v>
      </c>
      <c r="I6242" s="42">
        <f t="shared" si="23"/>
        <v>9.7296700007909465E-7</v>
      </c>
    </row>
    <row r="6243" spans="1:9">
      <c r="A6243" t="s">
        <v>144</v>
      </c>
      <c r="B6243">
        <v>98</v>
      </c>
      <c r="C6243">
        <v>19</v>
      </c>
      <c r="D6243">
        <v>0.59501899999999996</v>
      </c>
      <c r="E6243">
        <v>-0.115452</v>
      </c>
      <c r="F6243">
        <v>6.2562999999999994E-2</v>
      </c>
      <c r="G6243">
        <v>-4.3359000000000002E-2</v>
      </c>
      <c r="H6243" s="42">
        <f t="shared" si="22"/>
        <v>-4.3359307284999989E-2</v>
      </c>
      <c r="I6243" s="42">
        <f t="shared" si="23"/>
        <v>-3.0728499998688985E-7</v>
      </c>
    </row>
    <row r="6244" spans="1:9">
      <c r="A6244" t="s">
        <v>144</v>
      </c>
      <c r="B6244">
        <v>98</v>
      </c>
      <c r="C6244">
        <v>20</v>
      </c>
      <c r="D6244">
        <v>0.59501899999999996</v>
      </c>
      <c r="E6244">
        <v>0.58189599999999997</v>
      </c>
      <c r="F6244">
        <v>0.22617300000000001</v>
      </c>
      <c r="G6244">
        <v>0.43783499999999997</v>
      </c>
      <c r="H6244" s="42">
        <f t="shared" si="22"/>
        <v>0.43783494373699994</v>
      </c>
      <c r="I6244" s="42">
        <f t="shared" si="23"/>
        <v>-5.6263000036693711E-8</v>
      </c>
    </row>
    <row r="6245" spans="1:9">
      <c r="A6245" t="s">
        <v>144</v>
      </c>
      <c r="B6245">
        <v>98</v>
      </c>
      <c r="C6245">
        <v>21</v>
      </c>
      <c r="D6245">
        <v>0.59501899999999996</v>
      </c>
      <c r="E6245">
        <v>-0.57533500000000004</v>
      </c>
      <c r="F6245">
        <v>-0.99502500000000005</v>
      </c>
      <c r="G6245">
        <v>-0.74530099999999999</v>
      </c>
      <c r="H6245" s="42">
        <f t="shared" si="22"/>
        <v>-0.74530147589000006</v>
      </c>
      <c r="I6245" s="42">
        <f t="shared" si="23"/>
        <v>-4.7589000007342008E-7</v>
      </c>
    </row>
    <row r="6246" spans="1:9">
      <c r="A6246" t="s">
        <v>144</v>
      </c>
      <c r="B6246">
        <v>98</v>
      </c>
      <c r="C6246">
        <v>22</v>
      </c>
      <c r="D6246">
        <v>0.59501899999999996</v>
      </c>
      <c r="E6246">
        <v>-0.89931899999999998</v>
      </c>
      <c r="F6246">
        <v>0.116855</v>
      </c>
      <c r="G6246">
        <v>-0.487788</v>
      </c>
      <c r="H6246" s="42">
        <f t="shared" si="22"/>
        <v>-0.48778783730599995</v>
      </c>
      <c r="I6246" s="42">
        <f t="shared" si="23"/>
        <v>1.6269400004986778E-7</v>
      </c>
    </row>
    <row r="6247" spans="1:9">
      <c r="A6247" t="s">
        <v>144</v>
      </c>
      <c r="B6247">
        <v>98</v>
      </c>
      <c r="C6247">
        <v>23</v>
      </c>
      <c r="D6247">
        <v>0.59501899999999996</v>
      </c>
      <c r="E6247">
        <v>0.265542</v>
      </c>
      <c r="F6247">
        <v>0.85073399999999999</v>
      </c>
      <c r="G6247">
        <v>0.50253300000000001</v>
      </c>
      <c r="H6247" s="42">
        <f t="shared" si="22"/>
        <v>0.50253364135199996</v>
      </c>
      <c r="I6247" s="42">
        <f t="shared" si="23"/>
        <v>6.4135199995263292E-7</v>
      </c>
    </row>
    <row r="6248" spans="1:9">
      <c r="A6248" t="s">
        <v>144</v>
      </c>
      <c r="B6248">
        <v>98</v>
      </c>
      <c r="C6248">
        <v>24</v>
      </c>
      <c r="D6248">
        <v>0.59501899999999996</v>
      </c>
      <c r="E6248">
        <v>0.65050200000000002</v>
      </c>
      <c r="F6248">
        <v>0.53801100000000002</v>
      </c>
      <c r="G6248">
        <v>0.60494499999999995</v>
      </c>
      <c r="H6248" s="42">
        <f t="shared" si="22"/>
        <v>0.60494528232900002</v>
      </c>
      <c r="I6248" s="42">
        <f t="shared" si="23"/>
        <v>2.8232900006752715E-7</v>
      </c>
    </row>
    <row r="6249" spans="1:9">
      <c r="A6249" t="s">
        <v>144</v>
      </c>
      <c r="B6249">
        <v>98</v>
      </c>
      <c r="C6249">
        <v>25</v>
      </c>
      <c r="D6249">
        <v>0.59501899999999996</v>
      </c>
      <c r="E6249">
        <v>0.23044500000000001</v>
      </c>
      <c r="F6249">
        <v>-0.59456200000000003</v>
      </c>
      <c r="G6249">
        <v>-0.10366599999999999</v>
      </c>
      <c r="H6249" s="42">
        <f t="shared" si="22"/>
        <v>-0.10366715986700004</v>
      </c>
      <c r="I6249" s="42">
        <f t="shared" si="23"/>
        <v>-1.159867000041781E-6</v>
      </c>
    </row>
    <row r="6250" spans="1:9">
      <c r="A6250" t="s">
        <v>144</v>
      </c>
      <c r="B6250">
        <v>98</v>
      </c>
      <c r="C6250">
        <v>26</v>
      </c>
      <c r="D6250">
        <v>0.59501899999999996</v>
      </c>
      <c r="E6250">
        <v>0.33710699999999999</v>
      </c>
      <c r="F6250">
        <v>-0.103702</v>
      </c>
      <c r="G6250">
        <v>0.15858800000000001</v>
      </c>
      <c r="H6250" s="42">
        <f t="shared" si="22"/>
        <v>0.15858773037099999</v>
      </c>
      <c r="I6250" s="42">
        <f t="shared" si="23"/>
        <v>-2.6962900001592516E-7</v>
      </c>
    </row>
    <row r="6251" spans="1:9">
      <c r="A6251" t="s">
        <v>144</v>
      </c>
      <c r="B6251">
        <v>98</v>
      </c>
      <c r="C6251">
        <v>27</v>
      </c>
      <c r="D6251">
        <v>0.59501899999999996</v>
      </c>
      <c r="E6251">
        <v>-0.90798699999999999</v>
      </c>
      <c r="F6251">
        <v>0.12939800000000001</v>
      </c>
      <c r="G6251">
        <v>-0.48786600000000002</v>
      </c>
      <c r="H6251" s="42">
        <f t="shared" si="22"/>
        <v>-0.48786578531499991</v>
      </c>
      <c r="I6251" s="42">
        <f t="shared" si="23"/>
        <v>2.1468500011057046E-7</v>
      </c>
    </row>
    <row r="6252" spans="1:9">
      <c r="A6252" t="s">
        <v>144</v>
      </c>
      <c r="B6252">
        <v>98</v>
      </c>
      <c r="C6252">
        <v>28</v>
      </c>
      <c r="D6252">
        <v>0.59501899999999996</v>
      </c>
      <c r="E6252">
        <v>-0.20599999999999999</v>
      </c>
      <c r="F6252">
        <v>0.32422899999999999</v>
      </c>
      <c r="G6252">
        <v>8.7320000000000002E-3</v>
      </c>
      <c r="H6252" s="42">
        <f t="shared" si="22"/>
        <v>8.7326706490000044E-3</v>
      </c>
      <c r="I6252" s="42">
        <f t="shared" si="23"/>
        <v>6.7064900000426975E-7</v>
      </c>
    </row>
    <row r="6253" spans="1:9">
      <c r="A6253" t="s">
        <v>144</v>
      </c>
      <c r="B6253">
        <v>98</v>
      </c>
      <c r="C6253">
        <v>29</v>
      </c>
      <c r="D6253">
        <v>0.59501899999999996</v>
      </c>
      <c r="E6253">
        <v>0.270791</v>
      </c>
      <c r="F6253">
        <v>-0.50205999999999995</v>
      </c>
      <c r="G6253">
        <v>-4.2199E-2</v>
      </c>
      <c r="H6253" s="42">
        <f t="shared" si="22"/>
        <v>-4.2198970831000021E-2</v>
      </c>
      <c r="I6253" s="42">
        <f t="shared" si="23"/>
        <v>2.91689999792899E-8</v>
      </c>
    </row>
    <row r="6254" spans="1:9">
      <c r="A6254" t="s">
        <v>144</v>
      </c>
      <c r="B6254">
        <v>98</v>
      </c>
      <c r="C6254">
        <v>30</v>
      </c>
      <c r="D6254">
        <v>0.59501899999999996</v>
      </c>
      <c r="E6254">
        <v>-0.77034800000000003</v>
      </c>
      <c r="F6254">
        <v>0.70732700000000004</v>
      </c>
      <c r="G6254">
        <v>-0.17191799999999999</v>
      </c>
      <c r="H6254" s="42">
        <f t="shared" si="22"/>
        <v>-0.17191770082499996</v>
      </c>
      <c r="I6254" s="42">
        <f t="shared" si="23"/>
        <v>2.9917500002363262E-7</v>
      </c>
    </row>
    <row r="6255" spans="1:9">
      <c r="A6255" t="s">
        <v>144</v>
      </c>
      <c r="B6255">
        <v>98</v>
      </c>
      <c r="C6255">
        <v>31</v>
      </c>
      <c r="D6255">
        <v>0.59501899999999996</v>
      </c>
      <c r="E6255">
        <v>0.76653300000000002</v>
      </c>
      <c r="F6255">
        <v>-6.3813999999999996E-2</v>
      </c>
      <c r="G6255">
        <v>0.430259</v>
      </c>
      <c r="H6255" s="42">
        <f t="shared" si="22"/>
        <v>0.43025824159299997</v>
      </c>
      <c r="I6255" s="42">
        <f t="shared" si="23"/>
        <v>-7.5840700003437789E-7</v>
      </c>
    </row>
    <row r="6256" spans="1:9">
      <c r="A6256" t="s">
        <v>144</v>
      </c>
      <c r="B6256">
        <v>98</v>
      </c>
      <c r="C6256">
        <v>32</v>
      </c>
      <c r="D6256">
        <v>0.59501899999999996</v>
      </c>
      <c r="E6256">
        <v>-0.52018799999999998</v>
      </c>
      <c r="F6256">
        <v>0.45484799999999997</v>
      </c>
      <c r="G6256">
        <v>-0.12531700000000001</v>
      </c>
      <c r="H6256" s="42">
        <f t="shared" si="22"/>
        <v>-0.12531694568399995</v>
      </c>
      <c r="I6256" s="42">
        <f t="shared" si="23"/>
        <v>5.4316000058785008E-8</v>
      </c>
    </row>
    <row r="6257" spans="1:9">
      <c r="A6257" t="s">
        <v>144</v>
      </c>
      <c r="B6257">
        <v>98</v>
      </c>
      <c r="C6257">
        <v>33</v>
      </c>
      <c r="D6257">
        <v>0.59501899999999996</v>
      </c>
      <c r="E6257">
        <v>0.96270599999999995</v>
      </c>
      <c r="F6257">
        <v>0.99273699999999998</v>
      </c>
      <c r="G6257">
        <v>0.97486799999999996</v>
      </c>
      <c r="H6257" s="42">
        <f t="shared" si="22"/>
        <v>0.97486798441099998</v>
      </c>
      <c r="I6257" s="42">
        <f t="shared" si="23"/>
        <v>-1.5588999979776474E-8</v>
      </c>
    </row>
    <row r="6258" spans="1:9">
      <c r="A6258" t="s">
        <v>144</v>
      </c>
      <c r="B6258">
        <v>98</v>
      </c>
      <c r="C6258">
        <v>34</v>
      </c>
      <c r="D6258">
        <v>0.59501899999999996</v>
      </c>
      <c r="E6258">
        <v>-0.97869799999999996</v>
      </c>
      <c r="F6258">
        <v>-0.41199999999999998</v>
      </c>
      <c r="G6258">
        <v>-0.74919599999999997</v>
      </c>
      <c r="H6258" s="42">
        <f t="shared" si="22"/>
        <v>-0.74919607726199999</v>
      </c>
      <c r="I6258" s="42">
        <f t="shared" si="23"/>
        <v>-7.7262000020006383E-8</v>
      </c>
    </row>
    <row r="6259" spans="1:9">
      <c r="A6259" t="s">
        <v>144</v>
      </c>
      <c r="B6259">
        <v>98</v>
      </c>
      <c r="C6259">
        <v>35</v>
      </c>
      <c r="D6259">
        <v>0.59501899999999996</v>
      </c>
      <c r="E6259">
        <v>0.30332300000000001</v>
      </c>
      <c r="F6259">
        <v>-8.3041000000000004E-2</v>
      </c>
      <c r="G6259">
        <v>0.14685300000000001</v>
      </c>
      <c r="H6259" s="42">
        <f t="shared" si="22"/>
        <v>0.146852920916</v>
      </c>
      <c r="I6259" s="42">
        <f t="shared" si="23"/>
        <v>-7.9084000015328115E-8</v>
      </c>
    </row>
    <row r="6260" spans="1:9">
      <c r="A6260" t="s">
        <v>144</v>
      </c>
      <c r="B6260">
        <v>98</v>
      </c>
      <c r="C6260">
        <v>36</v>
      </c>
      <c r="D6260">
        <v>0.59501899999999996</v>
      </c>
      <c r="E6260">
        <v>0.76046000000000002</v>
      </c>
      <c r="F6260">
        <v>0.42399399999999998</v>
      </c>
      <c r="G6260">
        <v>0.62419800000000003</v>
      </c>
      <c r="H6260" s="42">
        <f t="shared" si="22"/>
        <v>0.62419766285400002</v>
      </c>
      <c r="I6260" s="42">
        <f t="shared" si="23"/>
        <v>-3.3714600000678274E-7</v>
      </c>
    </row>
    <row r="6261" spans="1:9">
      <c r="A6261" t="s">
        <v>144</v>
      </c>
      <c r="B6261">
        <v>98</v>
      </c>
      <c r="C6261">
        <v>37</v>
      </c>
      <c r="D6261">
        <v>0.59501899999999996</v>
      </c>
      <c r="E6261">
        <v>-0.88308399999999998</v>
      </c>
      <c r="F6261">
        <v>0.20899100000000001</v>
      </c>
      <c r="G6261">
        <v>-0.44081500000000001</v>
      </c>
      <c r="H6261" s="42">
        <f t="shared" si="22"/>
        <v>-0.44081437442499988</v>
      </c>
      <c r="I6261" s="42">
        <f t="shared" si="23"/>
        <v>6.2557500013493694E-7</v>
      </c>
    </row>
    <row r="6262" spans="1:9">
      <c r="A6262" t="s">
        <v>144</v>
      </c>
      <c r="B6262">
        <v>98</v>
      </c>
      <c r="C6262">
        <v>38</v>
      </c>
      <c r="D6262">
        <v>0.59501899999999996</v>
      </c>
      <c r="E6262">
        <v>-0.78780499999999998</v>
      </c>
      <c r="F6262">
        <v>-0.75786600000000004</v>
      </c>
      <c r="G6262">
        <v>-0.77568000000000004</v>
      </c>
      <c r="H6262" s="42">
        <f t="shared" si="22"/>
        <v>-0.77568027384100002</v>
      </c>
      <c r="I6262" s="42">
        <f t="shared" si="23"/>
        <v>-2.7384099998695177E-7</v>
      </c>
    </row>
    <row r="6263" spans="1:9">
      <c r="A6263" t="s">
        <v>144</v>
      </c>
      <c r="B6263">
        <v>98</v>
      </c>
      <c r="C6263">
        <v>39</v>
      </c>
      <c r="D6263">
        <v>0.59501899999999996</v>
      </c>
      <c r="E6263">
        <v>-0.64479500000000001</v>
      </c>
      <c r="F6263">
        <v>0.36817499999999997</v>
      </c>
      <c r="G6263">
        <v>-0.23456199999999999</v>
      </c>
      <c r="H6263" s="42">
        <f t="shared" si="22"/>
        <v>-0.23456139643000001</v>
      </c>
      <c r="I6263" s="42">
        <f t="shared" si="23"/>
        <v>6.0356999997956962E-7</v>
      </c>
    </row>
    <row r="6264" spans="1:9">
      <c r="A6264" t="s">
        <v>144</v>
      </c>
      <c r="B6264">
        <v>98</v>
      </c>
      <c r="C6264">
        <v>40</v>
      </c>
      <c r="D6264">
        <v>0.59501899999999996</v>
      </c>
      <c r="E6264">
        <v>-0.32184800000000002</v>
      </c>
      <c r="F6264">
        <v>-0.74446900000000005</v>
      </c>
      <c r="G6264">
        <v>-0.49300100000000002</v>
      </c>
      <c r="H6264" s="42">
        <f t="shared" si="22"/>
        <v>-0.49300147520100007</v>
      </c>
      <c r="I6264" s="42">
        <f t="shared" si="23"/>
        <v>-4.7520100004971866E-7</v>
      </c>
    </row>
    <row r="6265" spans="1:9">
      <c r="A6265" t="s">
        <v>144</v>
      </c>
      <c r="B6265">
        <v>98</v>
      </c>
      <c r="C6265">
        <v>41</v>
      </c>
      <c r="D6265">
        <v>0.59501899999999996</v>
      </c>
      <c r="E6265">
        <v>-0.90789500000000001</v>
      </c>
      <c r="F6265">
        <v>-0.71147800000000005</v>
      </c>
      <c r="G6265">
        <v>-0.82835000000000003</v>
      </c>
      <c r="H6265" s="42">
        <f t="shared" si="22"/>
        <v>-0.82834984692299996</v>
      </c>
      <c r="I6265" s="42">
        <f t="shared" si="23"/>
        <v>1.5307700007571867E-7</v>
      </c>
    </row>
    <row r="6266" spans="1:9">
      <c r="A6266" t="s">
        <v>144</v>
      </c>
      <c r="B6266">
        <v>98</v>
      </c>
      <c r="C6266">
        <v>42</v>
      </c>
      <c r="D6266">
        <v>0.59501899999999996</v>
      </c>
      <c r="E6266">
        <v>0.96392699999999998</v>
      </c>
      <c r="F6266">
        <v>0.29780000000000001</v>
      </c>
      <c r="G6266">
        <v>0.69415800000000005</v>
      </c>
      <c r="H6266" s="42">
        <f t="shared" si="22"/>
        <v>0.69415822141299999</v>
      </c>
      <c r="I6266" s="42">
        <f t="shared" si="23"/>
        <v>2.2141299993450048E-7</v>
      </c>
    </row>
    <row r="6267" spans="1:9">
      <c r="A6267" t="s">
        <v>144</v>
      </c>
      <c r="B6267">
        <v>98</v>
      </c>
      <c r="C6267">
        <v>43</v>
      </c>
      <c r="D6267">
        <v>0.59501899999999996</v>
      </c>
      <c r="E6267">
        <v>-0.63225200000000004</v>
      </c>
      <c r="F6267">
        <v>-0.46565099999999998</v>
      </c>
      <c r="G6267">
        <v>-0.56478200000000001</v>
      </c>
      <c r="H6267" s="42">
        <f t="shared" si="22"/>
        <v>-0.56478176041899997</v>
      </c>
      <c r="I6267" s="42">
        <f t="shared" si="23"/>
        <v>2.3958100003884653E-7</v>
      </c>
    </row>
    <row r="6268" spans="1:9">
      <c r="A6268" t="s">
        <v>144</v>
      </c>
      <c r="B6268">
        <v>98</v>
      </c>
      <c r="C6268">
        <v>44</v>
      </c>
      <c r="D6268">
        <v>0.59501899999999996</v>
      </c>
      <c r="E6268">
        <v>0.28415800000000002</v>
      </c>
      <c r="F6268">
        <v>-0.46726899999999999</v>
      </c>
      <c r="G6268">
        <v>-2.0154999999999999E-2</v>
      </c>
      <c r="H6268" s="42">
        <f t="shared" si="22"/>
        <v>-2.0155657887000022E-2</v>
      </c>
      <c r="I6268" s="42">
        <f t="shared" si="23"/>
        <v>-6.578870000231718E-7</v>
      </c>
    </row>
    <row r="6269" spans="1:9">
      <c r="A6269" t="s">
        <v>144</v>
      </c>
      <c r="B6269">
        <v>98</v>
      </c>
      <c r="C6269">
        <v>45</v>
      </c>
      <c r="D6269">
        <v>0.59501899999999996</v>
      </c>
      <c r="E6269">
        <v>0.325297</v>
      </c>
      <c r="F6269">
        <v>-0.15454599999999999</v>
      </c>
      <c r="G6269">
        <v>0.13097</v>
      </c>
      <c r="H6269" s="42">
        <f t="shared" si="22"/>
        <v>0.13096970201699998</v>
      </c>
      <c r="I6269" s="42">
        <f t="shared" si="23"/>
        <v>-2.9798300002492617E-7</v>
      </c>
    </row>
    <row r="6270" spans="1:9">
      <c r="A6270" t="s">
        <v>144</v>
      </c>
      <c r="B6270">
        <v>98</v>
      </c>
      <c r="C6270">
        <v>46</v>
      </c>
      <c r="D6270">
        <v>0.59501899999999996</v>
      </c>
      <c r="E6270">
        <v>0.23331399999999999</v>
      </c>
      <c r="F6270">
        <v>-0.67955600000000005</v>
      </c>
      <c r="G6270">
        <v>-0.13638</v>
      </c>
      <c r="H6270" s="42">
        <f t="shared" si="22"/>
        <v>-0.13638100547000004</v>
      </c>
      <c r="I6270" s="42">
        <f t="shared" si="23"/>
        <v>-1.0054700000372563E-6</v>
      </c>
    </row>
    <row r="6271" spans="1:9">
      <c r="A6271" t="s">
        <v>144</v>
      </c>
      <c r="B6271">
        <v>98</v>
      </c>
      <c r="C6271">
        <v>47</v>
      </c>
      <c r="D6271">
        <v>0.59501899999999996</v>
      </c>
      <c r="E6271">
        <v>-0.99774200000000002</v>
      </c>
      <c r="F6271">
        <v>-2.5575000000000001E-2</v>
      </c>
      <c r="G6271">
        <v>-0.60403300000000004</v>
      </c>
      <c r="H6271" s="42">
        <f t="shared" si="22"/>
        <v>-0.60403283617300008</v>
      </c>
      <c r="I6271" s="42">
        <f t="shared" si="23"/>
        <v>1.6382699996597694E-7</v>
      </c>
    </row>
    <row r="6272" spans="1:9">
      <c r="A6272" t="s">
        <v>144</v>
      </c>
      <c r="B6272">
        <v>98</v>
      </c>
      <c r="C6272">
        <v>48</v>
      </c>
      <c r="D6272">
        <v>0.59501899999999996</v>
      </c>
      <c r="E6272">
        <v>0.993896</v>
      </c>
      <c r="F6272">
        <v>-0.82616699999999998</v>
      </c>
      <c r="G6272">
        <v>0.25680599999999998</v>
      </c>
      <c r="H6272" s="42">
        <f t="shared" si="22"/>
        <v>0.256805066197</v>
      </c>
      <c r="I6272" s="42">
        <f t="shared" si="23"/>
        <v>-9.3380299998058192E-7</v>
      </c>
    </row>
    <row r="6273" spans="1:9">
      <c r="A6273" t="s">
        <v>144</v>
      </c>
      <c r="B6273">
        <v>98</v>
      </c>
      <c r="C6273">
        <v>49</v>
      </c>
      <c r="D6273">
        <v>0.59501899999999996</v>
      </c>
      <c r="E6273">
        <v>7.4007000000000003E-2</v>
      </c>
      <c r="F6273">
        <v>8.7344000000000005E-2</v>
      </c>
      <c r="G6273">
        <v>7.9408000000000006E-2</v>
      </c>
      <c r="H6273" s="42">
        <f t="shared" si="22"/>
        <v>7.9408231597000001E-2</v>
      </c>
      <c r="I6273" s="42">
        <f t="shared" si="23"/>
        <v>2.3159699999442118E-7</v>
      </c>
    </row>
    <row r="6274" spans="1:9">
      <c r="A6274" t="s">
        <v>144</v>
      </c>
      <c r="B6274" t="s">
        <v>145</v>
      </c>
      <c r="C6274">
        <v>99</v>
      </c>
    </row>
    <row r="6275" spans="1:9">
      <c r="A6275" t="s">
        <v>144</v>
      </c>
      <c r="B6275" t="s">
        <v>146</v>
      </c>
      <c r="C6275">
        <v>38</v>
      </c>
    </row>
    <row r="6276" spans="1:9">
      <c r="A6276" t="s">
        <v>144</v>
      </c>
      <c r="B6276" t="s">
        <v>147</v>
      </c>
      <c r="C6276">
        <v>38</v>
      </c>
    </row>
    <row r="6277" spans="1:9">
      <c r="A6277" t="s">
        <v>144</v>
      </c>
      <c r="B6277" t="s">
        <v>148</v>
      </c>
      <c r="C6277">
        <v>0.85082599999999997</v>
      </c>
    </row>
    <row r="6278" spans="1:9">
      <c r="A6278" t="s">
        <v>144</v>
      </c>
      <c r="B6278" t="s">
        <v>149</v>
      </c>
      <c r="C6278">
        <v>0.85082599999999997</v>
      </c>
    </row>
    <row r="6279" spans="1:9">
      <c r="A6279" t="s">
        <v>144</v>
      </c>
      <c r="B6279" t="s">
        <v>150</v>
      </c>
      <c r="C6279">
        <v>-1</v>
      </c>
    </row>
    <row r="6280" spans="1:9">
      <c r="A6280" t="s">
        <v>144</v>
      </c>
      <c r="B6280" t="s">
        <v>151</v>
      </c>
      <c r="C6280">
        <v>-1</v>
      </c>
    </row>
    <row r="6281" spans="1:9">
      <c r="A6281" t="s">
        <v>144</v>
      </c>
      <c r="B6281" t="s">
        <v>152</v>
      </c>
      <c r="C6281">
        <v>27</v>
      </c>
    </row>
    <row r="6282" spans="1:9">
      <c r="A6282" t="s">
        <v>144</v>
      </c>
      <c r="B6282" t="s">
        <v>153</v>
      </c>
      <c r="C6282">
        <v>27</v>
      </c>
    </row>
    <row r="6283" spans="1:9">
      <c r="A6283" t="s">
        <v>144</v>
      </c>
      <c r="B6283" t="s">
        <v>154</v>
      </c>
      <c r="C6283">
        <v>0</v>
      </c>
      <c r="H6283" s="38" t="s">
        <v>164</v>
      </c>
      <c r="I6283" s="44">
        <f>MIN(I6286:I6335)</f>
        <v>0</v>
      </c>
    </row>
    <row r="6284" spans="1:9">
      <c r="A6284" t="s">
        <v>144</v>
      </c>
      <c r="B6284" t="s">
        <v>161</v>
      </c>
      <c r="H6284" s="38" t="s">
        <v>165</v>
      </c>
      <c r="I6284" s="44">
        <f>MAX(I6286:I6335)</f>
        <v>0</v>
      </c>
    </row>
    <row r="6285" spans="1:9">
      <c r="A6285" t="s">
        <v>144</v>
      </c>
      <c r="B6285">
        <v>99</v>
      </c>
      <c r="C6285">
        <v>0</v>
      </c>
      <c r="D6285">
        <v>-1</v>
      </c>
      <c r="E6285">
        <v>0.94518899999999995</v>
      </c>
      <c r="F6285">
        <v>-1</v>
      </c>
      <c r="G6285">
        <v>0.94518899999999995</v>
      </c>
      <c r="I6285">
        <f>G6285-E6285</f>
        <v>0</v>
      </c>
    </row>
    <row r="6286" spans="1:9">
      <c r="A6286" t="s">
        <v>144</v>
      </c>
      <c r="B6286">
        <v>99</v>
      </c>
      <c r="C6286">
        <v>1</v>
      </c>
      <c r="D6286">
        <v>-1</v>
      </c>
      <c r="E6286">
        <v>0.41880600000000001</v>
      </c>
      <c r="F6286">
        <v>-1</v>
      </c>
      <c r="G6286">
        <v>0.41880600000000001</v>
      </c>
      <c r="I6286">
        <f t="shared" ref="I6286:I6334" si="24">G6286-E6286</f>
        <v>0</v>
      </c>
    </row>
    <row r="6287" spans="1:9">
      <c r="A6287" t="s">
        <v>144</v>
      </c>
      <c r="B6287">
        <v>99</v>
      </c>
      <c r="C6287">
        <v>2</v>
      </c>
      <c r="D6287">
        <v>-1</v>
      </c>
      <c r="E6287">
        <v>4.4526999999999997E-2</v>
      </c>
      <c r="F6287">
        <v>-1</v>
      </c>
      <c r="G6287">
        <v>4.4526999999999997E-2</v>
      </c>
      <c r="I6287">
        <f t="shared" si="24"/>
        <v>0</v>
      </c>
    </row>
    <row r="6288" spans="1:9">
      <c r="A6288" t="s">
        <v>144</v>
      </c>
      <c r="B6288">
        <v>99</v>
      </c>
      <c r="C6288">
        <v>3</v>
      </c>
      <c r="D6288">
        <v>-1</v>
      </c>
      <c r="E6288">
        <v>-7.4129E-2</v>
      </c>
      <c r="F6288">
        <v>-1</v>
      </c>
      <c r="G6288">
        <v>-7.4129E-2</v>
      </c>
      <c r="I6288">
        <f t="shared" si="24"/>
        <v>0</v>
      </c>
    </row>
    <row r="6289" spans="1:9">
      <c r="A6289" t="s">
        <v>144</v>
      </c>
      <c r="B6289">
        <v>99</v>
      </c>
      <c r="C6289">
        <v>4</v>
      </c>
      <c r="D6289">
        <v>-1</v>
      </c>
      <c r="E6289">
        <v>-8.2400000000000001E-2</v>
      </c>
      <c r="F6289">
        <v>-1</v>
      </c>
      <c r="G6289">
        <v>-8.2400000000000001E-2</v>
      </c>
      <c r="I6289">
        <f t="shared" si="24"/>
        <v>0</v>
      </c>
    </row>
    <row r="6290" spans="1:9">
      <c r="A6290" t="s">
        <v>144</v>
      </c>
      <c r="B6290">
        <v>99</v>
      </c>
      <c r="C6290">
        <v>5</v>
      </c>
      <c r="D6290">
        <v>-1</v>
      </c>
      <c r="E6290">
        <v>-0.27558199999999999</v>
      </c>
      <c r="F6290">
        <v>-1</v>
      </c>
      <c r="G6290">
        <v>-0.27558199999999999</v>
      </c>
      <c r="I6290">
        <f t="shared" si="24"/>
        <v>0</v>
      </c>
    </row>
    <row r="6291" spans="1:9">
      <c r="A6291" t="s">
        <v>144</v>
      </c>
      <c r="B6291">
        <v>99</v>
      </c>
      <c r="C6291">
        <v>6</v>
      </c>
      <c r="D6291">
        <v>-1</v>
      </c>
      <c r="E6291">
        <v>5.5300000000000002E-2</v>
      </c>
      <c r="F6291">
        <v>-1</v>
      </c>
      <c r="G6291">
        <v>5.5300000000000002E-2</v>
      </c>
      <c r="I6291">
        <f t="shared" si="24"/>
        <v>0</v>
      </c>
    </row>
    <row r="6292" spans="1:9">
      <c r="A6292" t="s">
        <v>144</v>
      </c>
      <c r="B6292">
        <v>99</v>
      </c>
      <c r="C6292">
        <v>7</v>
      </c>
      <c r="D6292">
        <v>-1</v>
      </c>
      <c r="E6292">
        <v>-0.19577600000000001</v>
      </c>
      <c r="F6292">
        <v>-1</v>
      </c>
      <c r="G6292">
        <v>-0.19577600000000001</v>
      </c>
      <c r="I6292">
        <f t="shared" si="24"/>
        <v>0</v>
      </c>
    </row>
    <row r="6293" spans="1:9">
      <c r="A6293" t="s">
        <v>144</v>
      </c>
      <c r="B6293">
        <v>99</v>
      </c>
      <c r="C6293">
        <v>8</v>
      </c>
      <c r="D6293">
        <v>-1</v>
      </c>
      <c r="E6293">
        <v>0.35358699999999998</v>
      </c>
      <c r="F6293">
        <v>-1</v>
      </c>
      <c r="G6293">
        <v>0.35358699999999998</v>
      </c>
      <c r="I6293">
        <f t="shared" si="24"/>
        <v>0</v>
      </c>
    </row>
    <row r="6294" spans="1:9">
      <c r="A6294" t="s">
        <v>144</v>
      </c>
      <c r="B6294">
        <v>99</v>
      </c>
      <c r="C6294">
        <v>9</v>
      </c>
      <c r="D6294">
        <v>-1</v>
      </c>
      <c r="E6294">
        <v>0.88027599999999995</v>
      </c>
      <c r="F6294">
        <v>-1</v>
      </c>
      <c r="G6294">
        <v>0.88027599999999995</v>
      </c>
      <c r="I6294">
        <f t="shared" si="24"/>
        <v>0</v>
      </c>
    </row>
    <row r="6295" spans="1:9">
      <c r="A6295" t="s">
        <v>144</v>
      </c>
      <c r="B6295">
        <v>99</v>
      </c>
      <c r="C6295">
        <v>10</v>
      </c>
      <c r="D6295">
        <v>-1</v>
      </c>
      <c r="E6295">
        <v>-0.17712900000000001</v>
      </c>
      <c r="F6295">
        <v>-1</v>
      </c>
      <c r="G6295">
        <v>-0.17712900000000001</v>
      </c>
      <c r="I6295">
        <f t="shared" si="24"/>
        <v>0</v>
      </c>
    </row>
    <row r="6296" spans="1:9">
      <c r="A6296" t="s">
        <v>144</v>
      </c>
      <c r="B6296">
        <v>99</v>
      </c>
      <c r="C6296">
        <v>11</v>
      </c>
      <c r="D6296">
        <v>-1</v>
      </c>
      <c r="E6296">
        <v>0.238319</v>
      </c>
      <c r="F6296">
        <v>-1</v>
      </c>
      <c r="G6296">
        <v>0.238319</v>
      </c>
      <c r="I6296">
        <f t="shared" si="24"/>
        <v>0</v>
      </c>
    </row>
    <row r="6297" spans="1:9">
      <c r="A6297" t="s">
        <v>144</v>
      </c>
      <c r="B6297">
        <v>99</v>
      </c>
      <c r="C6297">
        <v>12</v>
      </c>
      <c r="D6297">
        <v>-1</v>
      </c>
      <c r="E6297">
        <v>0.70299400000000001</v>
      </c>
      <c r="F6297">
        <v>-1</v>
      </c>
      <c r="G6297">
        <v>0.70299400000000001</v>
      </c>
      <c r="I6297">
        <f t="shared" si="24"/>
        <v>0</v>
      </c>
    </row>
    <row r="6298" spans="1:9">
      <c r="A6298" t="s">
        <v>144</v>
      </c>
      <c r="B6298">
        <v>99</v>
      </c>
      <c r="C6298">
        <v>13</v>
      </c>
      <c r="D6298">
        <v>-1</v>
      </c>
      <c r="E6298">
        <v>0.801508</v>
      </c>
      <c r="F6298">
        <v>-1</v>
      </c>
      <c r="G6298">
        <v>0.801508</v>
      </c>
      <c r="I6298">
        <f t="shared" si="24"/>
        <v>0</v>
      </c>
    </row>
    <row r="6299" spans="1:9">
      <c r="A6299" t="s">
        <v>144</v>
      </c>
      <c r="B6299">
        <v>99</v>
      </c>
      <c r="C6299">
        <v>14</v>
      </c>
      <c r="D6299">
        <v>-1</v>
      </c>
      <c r="E6299">
        <v>0.16101599999999999</v>
      </c>
      <c r="F6299">
        <v>-1</v>
      </c>
      <c r="G6299">
        <v>0.16101599999999999</v>
      </c>
      <c r="I6299">
        <f t="shared" si="24"/>
        <v>0</v>
      </c>
    </row>
    <row r="6300" spans="1:9">
      <c r="A6300" t="s">
        <v>144</v>
      </c>
      <c r="B6300">
        <v>99</v>
      </c>
      <c r="C6300">
        <v>15</v>
      </c>
      <c r="D6300">
        <v>-1</v>
      </c>
      <c r="E6300">
        <v>0.65578199999999998</v>
      </c>
      <c r="F6300">
        <v>-1</v>
      </c>
      <c r="G6300">
        <v>0.65578199999999998</v>
      </c>
      <c r="I6300">
        <f t="shared" si="24"/>
        <v>0</v>
      </c>
    </row>
    <row r="6301" spans="1:9">
      <c r="A6301" t="s">
        <v>144</v>
      </c>
      <c r="B6301">
        <v>99</v>
      </c>
      <c r="C6301">
        <v>16</v>
      </c>
      <c r="D6301">
        <v>-1</v>
      </c>
      <c r="E6301">
        <v>-0.47441</v>
      </c>
      <c r="F6301">
        <v>-1</v>
      </c>
      <c r="G6301">
        <v>-0.47441</v>
      </c>
      <c r="I6301">
        <f t="shared" si="24"/>
        <v>0</v>
      </c>
    </row>
    <row r="6302" spans="1:9">
      <c r="A6302" t="s">
        <v>144</v>
      </c>
      <c r="B6302">
        <v>99</v>
      </c>
      <c r="C6302">
        <v>17</v>
      </c>
      <c r="D6302">
        <v>-1</v>
      </c>
      <c r="E6302">
        <v>-0.45384099999999999</v>
      </c>
      <c r="F6302">
        <v>-1</v>
      </c>
      <c r="G6302">
        <v>-0.45384099999999999</v>
      </c>
      <c r="I6302">
        <f t="shared" si="24"/>
        <v>0</v>
      </c>
    </row>
    <row r="6303" spans="1:9">
      <c r="A6303" t="s">
        <v>144</v>
      </c>
      <c r="B6303">
        <v>99</v>
      </c>
      <c r="C6303">
        <v>18</v>
      </c>
      <c r="D6303">
        <v>-1</v>
      </c>
      <c r="E6303">
        <v>0.62038000000000004</v>
      </c>
      <c r="F6303">
        <v>-1</v>
      </c>
      <c r="G6303">
        <v>0.62038000000000004</v>
      </c>
      <c r="I6303">
        <f t="shared" si="24"/>
        <v>0</v>
      </c>
    </row>
    <row r="6304" spans="1:9">
      <c r="A6304" t="s">
        <v>144</v>
      </c>
      <c r="B6304">
        <v>99</v>
      </c>
      <c r="C6304">
        <v>19</v>
      </c>
      <c r="D6304">
        <v>-1</v>
      </c>
      <c r="E6304">
        <v>0.91390700000000002</v>
      </c>
      <c r="F6304">
        <v>-1</v>
      </c>
      <c r="G6304">
        <v>0.91390700000000002</v>
      </c>
      <c r="I6304">
        <f t="shared" si="24"/>
        <v>0</v>
      </c>
    </row>
    <row r="6305" spans="1:9">
      <c r="A6305" t="s">
        <v>144</v>
      </c>
      <c r="B6305">
        <v>99</v>
      </c>
      <c r="C6305">
        <v>20</v>
      </c>
      <c r="D6305">
        <v>-1</v>
      </c>
      <c r="E6305">
        <v>0.36823600000000001</v>
      </c>
      <c r="F6305">
        <v>-1</v>
      </c>
      <c r="G6305">
        <v>0.36823600000000001</v>
      </c>
      <c r="I6305">
        <f t="shared" si="24"/>
        <v>0</v>
      </c>
    </row>
    <row r="6306" spans="1:9">
      <c r="A6306" t="s">
        <v>144</v>
      </c>
      <c r="B6306">
        <v>99</v>
      </c>
      <c r="C6306">
        <v>21</v>
      </c>
      <c r="D6306">
        <v>-1</v>
      </c>
      <c r="E6306">
        <v>0.71083700000000005</v>
      </c>
      <c r="F6306">
        <v>-1</v>
      </c>
      <c r="G6306">
        <v>0.71083700000000005</v>
      </c>
      <c r="I6306">
        <f t="shared" si="24"/>
        <v>0</v>
      </c>
    </row>
    <row r="6307" spans="1:9">
      <c r="A6307" t="s">
        <v>144</v>
      </c>
      <c r="B6307">
        <v>99</v>
      </c>
      <c r="C6307">
        <v>22</v>
      </c>
      <c r="D6307">
        <v>-1</v>
      </c>
      <c r="E6307">
        <v>0.55049300000000001</v>
      </c>
      <c r="F6307">
        <v>-1</v>
      </c>
      <c r="G6307">
        <v>0.55049300000000001</v>
      </c>
      <c r="I6307">
        <f t="shared" si="24"/>
        <v>0</v>
      </c>
    </row>
    <row r="6308" spans="1:9">
      <c r="A6308" t="s">
        <v>144</v>
      </c>
      <c r="B6308">
        <v>99</v>
      </c>
      <c r="C6308">
        <v>23</v>
      </c>
      <c r="D6308">
        <v>-1</v>
      </c>
      <c r="E6308">
        <v>0.16623399999999999</v>
      </c>
      <c r="F6308">
        <v>-1</v>
      </c>
      <c r="G6308">
        <v>0.16623399999999999</v>
      </c>
      <c r="I6308">
        <f t="shared" si="24"/>
        <v>0</v>
      </c>
    </row>
    <row r="6309" spans="1:9">
      <c r="A6309" t="s">
        <v>144</v>
      </c>
      <c r="B6309">
        <v>99</v>
      </c>
      <c r="C6309">
        <v>24</v>
      </c>
      <c r="D6309">
        <v>-1</v>
      </c>
      <c r="E6309">
        <v>-0.52339199999999997</v>
      </c>
      <c r="F6309">
        <v>-1</v>
      </c>
      <c r="G6309">
        <v>-0.52339199999999997</v>
      </c>
      <c r="I6309">
        <f t="shared" si="24"/>
        <v>0</v>
      </c>
    </row>
    <row r="6310" spans="1:9">
      <c r="A6310" t="s">
        <v>144</v>
      </c>
      <c r="B6310">
        <v>99</v>
      </c>
      <c r="C6310">
        <v>25</v>
      </c>
      <c r="D6310">
        <v>-1</v>
      </c>
      <c r="E6310">
        <v>0.643544</v>
      </c>
      <c r="F6310">
        <v>-1</v>
      </c>
      <c r="G6310">
        <v>0.643544</v>
      </c>
      <c r="I6310">
        <f t="shared" si="24"/>
        <v>0</v>
      </c>
    </row>
    <row r="6311" spans="1:9">
      <c r="A6311" t="s">
        <v>144</v>
      </c>
      <c r="B6311">
        <v>99</v>
      </c>
      <c r="C6311">
        <v>26</v>
      </c>
      <c r="D6311">
        <v>-1</v>
      </c>
      <c r="E6311">
        <v>-0.97326599999999996</v>
      </c>
      <c r="F6311">
        <v>-1</v>
      </c>
      <c r="G6311">
        <v>-0.97326599999999996</v>
      </c>
      <c r="I6311">
        <f t="shared" si="24"/>
        <v>0</v>
      </c>
    </row>
    <row r="6312" spans="1:9">
      <c r="A6312" t="s">
        <v>144</v>
      </c>
      <c r="B6312">
        <v>99</v>
      </c>
      <c r="C6312">
        <v>27</v>
      </c>
      <c r="D6312">
        <v>-1</v>
      </c>
      <c r="E6312">
        <v>5.4598000000000001E-2</v>
      </c>
      <c r="F6312">
        <v>-1</v>
      </c>
      <c r="G6312">
        <v>5.4598000000000001E-2</v>
      </c>
      <c r="I6312">
        <f t="shared" si="24"/>
        <v>0</v>
      </c>
    </row>
    <row r="6313" spans="1:9">
      <c r="A6313" t="s">
        <v>144</v>
      </c>
      <c r="B6313">
        <v>99</v>
      </c>
      <c r="C6313">
        <v>28</v>
      </c>
      <c r="D6313">
        <v>-1</v>
      </c>
      <c r="E6313">
        <v>0.72453999999999996</v>
      </c>
      <c r="F6313">
        <v>-1</v>
      </c>
      <c r="G6313">
        <v>0.72453999999999996</v>
      </c>
      <c r="I6313">
        <f t="shared" si="24"/>
        <v>0</v>
      </c>
    </row>
    <row r="6314" spans="1:9">
      <c r="A6314" t="s">
        <v>144</v>
      </c>
      <c r="B6314">
        <v>99</v>
      </c>
      <c r="C6314">
        <v>29</v>
      </c>
      <c r="D6314">
        <v>-1</v>
      </c>
      <c r="E6314">
        <v>-0.38361800000000001</v>
      </c>
      <c r="F6314">
        <v>-1</v>
      </c>
      <c r="G6314">
        <v>-0.38361800000000001</v>
      </c>
      <c r="I6314">
        <f t="shared" si="24"/>
        <v>0</v>
      </c>
    </row>
    <row r="6315" spans="1:9">
      <c r="A6315" t="s">
        <v>144</v>
      </c>
      <c r="B6315">
        <v>99</v>
      </c>
      <c r="C6315">
        <v>30</v>
      </c>
      <c r="D6315">
        <v>-1</v>
      </c>
      <c r="E6315">
        <v>-0.70647300000000002</v>
      </c>
      <c r="F6315">
        <v>-1</v>
      </c>
      <c r="G6315">
        <v>-0.70647300000000002</v>
      </c>
      <c r="I6315">
        <f t="shared" si="24"/>
        <v>0</v>
      </c>
    </row>
    <row r="6316" spans="1:9">
      <c r="A6316" t="s">
        <v>144</v>
      </c>
      <c r="B6316">
        <v>99</v>
      </c>
      <c r="C6316">
        <v>31</v>
      </c>
      <c r="D6316">
        <v>-1</v>
      </c>
      <c r="E6316">
        <v>-0.63509000000000004</v>
      </c>
      <c r="F6316">
        <v>-1</v>
      </c>
      <c r="G6316">
        <v>-0.63509000000000004</v>
      </c>
      <c r="I6316">
        <f t="shared" si="24"/>
        <v>0</v>
      </c>
    </row>
    <row r="6317" spans="1:9">
      <c r="A6317" t="s">
        <v>144</v>
      </c>
      <c r="B6317">
        <v>99</v>
      </c>
      <c r="C6317">
        <v>32</v>
      </c>
      <c r="D6317">
        <v>-1</v>
      </c>
      <c r="E6317">
        <v>-0.73387899999999995</v>
      </c>
      <c r="F6317">
        <v>-1</v>
      </c>
      <c r="G6317">
        <v>-0.73387899999999995</v>
      </c>
      <c r="I6317">
        <f t="shared" si="24"/>
        <v>0</v>
      </c>
    </row>
    <row r="6318" spans="1:9">
      <c r="A6318" t="s">
        <v>144</v>
      </c>
      <c r="B6318">
        <v>99</v>
      </c>
      <c r="C6318">
        <v>33</v>
      </c>
      <c r="D6318">
        <v>-1</v>
      </c>
      <c r="E6318">
        <v>-0.111667</v>
      </c>
      <c r="F6318">
        <v>-1</v>
      </c>
      <c r="G6318">
        <v>-0.111667</v>
      </c>
      <c r="I6318">
        <f t="shared" si="24"/>
        <v>0</v>
      </c>
    </row>
    <row r="6319" spans="1:9">
      <c r="A6319" t="s">
        <v>144</v>
      </c>
      <c r="B6319">
        <v>99</v>
      </c>
      <c r="C6319">
        <v>34</v>
      </c>
      <c r="D6319">
        <v>-1</v>
      </c>
      <c r="E6319">
        <v>-0.25861400000000001</v>
      </c>
      <c r="F6319">
        <v>-1</v>
      </c>
      <c r="G6319">
        <v>-0.25861400000000001</v>
      </c>
      <c r="I6319">
        <f t="shared" si="24"/>
        <v>0</v>
      </c>
    </row>
    <row r="6320" spans="1:9">
      <c r="A6320" t="s">
        <v>144</v>
      </c>
      <c r="B6320">
        <v>99</v>
      </c>
      <c r="C6320">
        <v>35</v>
      </c>
      <c r="D6320">
        <v>-1</v>
      </c>
      <c r="E6320">
        <v>0.42866300000000002</v>
      </c>
      <c r="F6320">
        <v>-1</v>
      </c>
      <c r="G6320">
        <v>0.42866300000000002</v>
      </c>
      <c r="I6320">
        <f t="shared" si="24"/>
        <v>0</v>
      </c>
    </row>
    <row r="6321" spans="1:9">
      <c r="A6321" t="s">
        <v>144</v>
      </c>
      <c r="B6321">
        <v>99</v>
      </c>
      <c r="C6321">
        <v>36</v>
      </c>
      <c r="D6321">
        <v>-1</v>
      </c>
      <c r="E6321">
        <v>0.74837500000000001</v>
      </c>
      <c r="F6321">
        <v>-1</v>
      </c>
      <c r="G6321">
        <v>0.74837500000000001</v>
      </c>
      <c r="I6321">
        <f t="shared" si="24"/>
        <v>0</v>
      </c>
    </row>
    <row r="6322" spans="1:9">
      <c r="A6322" t="s">
        <v>144</v>
      </c>
      <c r="B6322">
        <v>99</v>
      </c>
      <c r="C6322">
        <v>37</v>
      </c>
      <c r="D6322">
        <v>-1</v>
      </c>
      <c r="E6322">
        <v>0.170568</v>
      </c>
      <c r="F6322">
        <v>-1</v>
      </c>
      <c r="G6322">
        <v>0.170568</v>
      </c>
      <c r="I6322">
        <f t="shared" si="24"/>
        <v>0</v>
      </c>
    </row>
    <row r="6323" spans="1:9">
      <c r="A6323" t="s">
        <v>144</v>
      </c>
      <c r="B6323">
        <v>99</v>
      </c>
      <c r="C6323">
        <v>38</v>
      </c>
      <c r="D6323">
        <v>-1</v>
      </c>
      <c r="E6323">
        <v>-0.84816999999999998</v>
      </c>
      <c r="F6323">
        <v>-1</v>
      </c>
      <c r="G6323">
        <v>-0.84816999999999998</v>
      </c>
      <c r="I6323">
        <f t="shared" si="24"/>
        <v>0</v>
      </c>
    </row>
    <row r="6324" spans="1:9">
      <c r="A6324" t="s">
        <v>144</v>
      </c>
      <c r="B6324">
        <v>99</v>
      </c>
      <c r="C6324">
        <v>39</v>
      </c>
      <c r="D6324">
        <v>-1</v>
      </c>
      <c r="E6324">
        <v>-0.59712500000000002</v>
      </c>
      <c r="F6324">
        <v>-1</v>
      </c>
      <c r="G6324">
        <v>-0.59712500000000002</v>
      </c>
      <c r="I6324">
        <f t="shared" si="24"/>
        <v>0</v>
      </c>
    </row>
    <row r="6325" spans="1:9">
      <c r="A6325" t="s">
        <v>144</v>
      </c>
      <c r="B6325">
        <v>99</v>
      </c>
      <c r="C6325">
        <v>40</v>
      </c>
      <c r="D6325">
        <v>-1</v>
      </c>
      <c r="E6325">
        <v>-0.98168900000000003</v>
      </c>
      <c r="F6325">
        <v>-1</v>
      </c>
      <c r="G6325">
        <v>-0.98168900000000003</v>
      </c>
      <c r="I6325">
        <f t="shared" si="24"/>
        <v>0</v>
      </c>
    </row>
    <row r="6326" spans="1:9">
      <c r="A6326" t="s">
        <v>144</v>
      </c>
      <c r="B6326">
        <v>99</v>
      </c>
      <c r="C6326">
        <v>41</v>
      </c>
      <c r="D6326">
        <v>-1</v>
      </c>
      <c r="E6326">
        <v>0.30369000000000002</v>
      </c>
      <c r="F6326">
        <v>-1</v>
      </c>
      <c r="G6326">
        <v>0.30369000000000002</v>
      </c>
      <c r="I6326">
        <f t="shared" si="24"/>
        <v>0</v>
      </c>
    </row>
    <row r="6327" spans="1:9">
      <c r="A6327" t="s">
        <v>144</v>
      </c>
      <c r="B6327">
        <v>99</v>
      </c>
      <c r="C6327">
        <v>42</v>
      </c>
      <c r="D6327">
        <v>-1</v>
      </c>
      <c r="E6327">
        <v>0.54817300000000002</v>
      </c>
      <c r="F6327">
        <v>-1</v>
      </c>
      <c r="G6327">
        <v>0.54817300000000002</v>
      </c>
      <c r="I6327">
        <f t="shared" si="24"/>
        <v>0</v>
      </c>
    </row>
    <row r="6328" spans="1:9">
      <c r="A6328" t="s">
        <v>144</v>
      </c>
      <c r="B6328">
        <v>99</v>
      </c>
      <c r="C6328">
        <v>43</v>
      </c>
      <c r="D6328">
        <v>-1</v>
      </c>
      <c r="E6328">
        <v>-0.24372099999999999</v>
      </c>
      <c r="F6328">
        <v>-1</v>
      </c>
      <c r="G6328">
        <v>-0.24372099999999999</v>
      </c>
      <c r="I6328">
        <f t="shared" si="24"/>
        <v>0</v>
      </c>
    </row>
    <row r="6329" spans="1:9">
      <c r="A6329" t="s">
        <v>144</v>
      </c>
      <c r="B6329">
        <v>99</v>
      </c>
      <c r="C6329">
        <v>44</v>
      </c>
      <c r="D6329">
        <v>-1</v>
      </c>
      <c r="E6329">
        <v>0.37125799999999998</v>
      </c>
      <c r="F6329">
        <v>-1</v>
      </c>
      <c r="G6329">
        <v>0.37125799999999998</v>
      </c>
      <c r="I6329">
        <f t="shared" si="24"/>
        <v>0</v>
      </c>
    </row>
    <row r="6330" spans="1:9">
      <c r="A6330" t="s">
        <v>144</v>
      </c>
      <c r="B6330">
        <v>99</v>
      </c>
      <c r="C6330">
        <v>45</v>
      </c>
      <c r="D6330">
        <v>-1</v>
      </c>
      <c r="E6330">
        <v>1.8159000000000002E-2</v>
      </c>
      <c r="F6330">
        <v>-1</v>
      </c>
      <c r="G6330">
        <v>1.8159000000000002E-2</v>
      </c>
      <c r="I6330">
        <f t="shared" si="24"/>
        <v>0</v>
      </c>
    </row>
    <row r="6331" spans="1:9">
      <c r="A6331" t="s">
        <v>144</v>
      </c>
      <c r="B6331">
        <v>99</v>
      </c>
      <c r="C6331">
        <v>46</v>
      </c>
      <c r="D6331">
        <v>-1</v>
      </c>
      <c r="E6331">
        <v>-0.55598599999999998</v>
      </c>
      <c r="F6331">
        <v>-1</v>
      </c>
      <c r="G6331">
        <v>-0.55598599999999998</v>
      </c>
      <c r="I6331">
        <f t="shared" si="24"/>
        <v>0</v>
      </c>
    </row>
    <row r="6332" spans="1:9">
      <c r="A6332" t="s">
        <v>144</v>
      </c>
      <c r="B6332">
        <v>99</v>
      </c>
      <c r="C6332">
        <v>47</v>
      </c>
      <c r="D6332">
        <v>-1</v>
      </c>
      <c r="E6332">
        <v>-0.83913700000000002</v>
      </c>
      <c r="F6332">
        <v>-1</v>
      </c>
      <c r="G6332">
        <v>-0.83913700000000002</v>
      </c>
      <c r="I6332">
        <f t="shared" si="24"/>
        <v>0</v>
      </c>
    </row>
    <row r="6333" spans="1:9">
      <c r="A6333" t="s">
        <v>144</v>
      </c>
      <c r="B6333">
        <v>99</v>
      </c>
      <c r="C6333">
        <v>48</v>
      </c>
      <c r="D6333">
        <v>-1</v>
      </c>
      <c r="E6333">
        <v>-0.41032099999999999</v>
      </c>
      <c r="F6333">
        <v>-1</v>
      </c>
      <c r="G6333">
        <v>-0.41032099999999999</v>
      </c>
      <c r="I6333">
        <f t="shared" si="24"/>
        <v>0</v>
      </c>
    </row>
    <row r="6334" spans="1:9">
      <c r="A6334" t="s">
        <v>144</v>
      </c>
      <c r="B6334">
        <v>99</v>
      </c>
      <c r="C6334">
        <v>49</v>
      </c>
      <c r="D6334">
        <v>-1</v>
      </c>
      <c r="E6334">
        <v>-7.3244000000000004E-2</v>
      </c>
      <c r="F6334">
        <v>-1</v>
      </c>
      <c r="G6334">
        <v>-7.3244000000000004E-2</v>
      </c>
      <c r="I6334">
        <f t="shared" si="24"/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dimension ref="A1:AF109"/>
  <sheetViews>
    <sheetView workbookViewId="0"/>
  </sheetViews>
  <sheetFormatPr defaultRowHeight="15"/>
  <cols>
    <col min="1" max="1" width="10.140625" customWidth="1"/>
  </cols>
  <sheetData>
    <row r="1" spans="1:17">
      <c r="A1" s="36" t="s">
        <v>168</v>
      </c>
      <c r="O1" s="36" t="s">
        <v>204</v>
      </c>
    </row>
    <row r="3" spans="1:17">
      <c r="A3" s="50" t="s">
        <v>169</v>
      </c>
      <c r="O3" t="s">
        <v>205</v>
      </c>
    </row>
    <row r="4" spans="1:17">
      <c r="A4" s="50" t="s">
        <v>170</v>
      </c>
      <c r="O4" t="s">
        <v>206</v>
      </c>
      <c r="P4" t="s">
        <v>171</v>
      </c>
    </row>
    <row r="5" spans="1:17">
      <c r="B5" t="s">
        <v>171</v>
      </c>
      <c r="P5" t="s">
        <v>172</v>
      </c>
    </row>
    <row r="6" spans="1:17">
      <c r="B6" t="s">
        <v>172</v>
      </c>
      <c r="P6" t="s">
        <v>173</v>
      </c>
    </row>
    <row r="7" spans="1:17">
      <c r="B7" t="s">
        <v>173</v>
      </c>
      <c r="P7" t="s">
        <v>207</v>
      </c>
    </row>
    <row r="8" spans="1:17">
      <c r="B8" t="s">
        <v>174</v>
      </c>
    </row>
    <row r="9" spans="1:17">
      <c r="B9" t="s">
        <v>175</v>
      </c>
    </row>
    <row r="10" spans="1:17">
      <c r="A10" s="50" t="s">
        <v>169</v>
      </c>
      <c r="O10" t="s">
        <v>205</v>
      </c>
    </row>
    <row r="11" spans="1:17">
      <c r="A11" s="50"/>
      <c r="P11" t="s">
        <v>208</v>
      </c>
    </row>
    <row r="12" spans="1:17">
      <c r="A12" t="s">
        <v>176</v>
      </c>
      <c r="P12" t="s">
        <v>209</v>
      </c>
    </row>
    <row r="13" spans="1:17">
      <c r="A13" t="s">
        <v>177</v>
      </c>
    </row>
    <row r="14" spans="1:17">
      <c r="P14" t="s">
        <v>210</v>
      </c>
    </row>
    <row r="15" spans="1:17">
      <c r="A15" t="s">
        <v>178</v>
      </c>
      <c r="P15" t="s">
        <v>184</v>
      </c>
      <c r="Q15" t="s">
        <v>185</v>
      </c>
    </row>
    <row r="16" spans="1:17">
      <c r="A16" t="s">
        <v>179</v>
      </c>
    </row>
    <row r="17" spans="1:17">
      <c r="A17" t="s">
        <v>180</v>
      </c>
      <c r="P17" t="s">
        <v>211</v>
      </c>
    </row>
    <row r="18" spans="1:17">
      <c r="Q18" t="s">
        <v>212</v>
      </c>
    </row>
    <row r="19" spans="1:17">
      <c r="A19" t="s">
        <v>181</v>
      </c>
    </row>
    <row r="20" spans="1:17">
      <c r="Q20" t="s">
        <v>213</v>
      </c>
    </row>
    <row r="21" spans="1:17">
      <c r="A21" t="s">
        <v>182</v>
      </c>
      <c r="Q21" t="s">
        <v>214</v>
      </c>
    </row>
    <row r="23" spans="1:17">
      <c r="B23" t="s">
        <v>183</v>
      </c>
      <c r="Q23" t="s">
        <v>215</v>
      </c>
    </row>
    <row r="24" spans="1:17">
      <c r="B24" t="s">
        <v>184</v>
      </c>
      <c r="C24" t="s">
        <v>185</v>
      </c>
      <c r="Q24" t="s">
        <v>216</v>
      </c>
    </row>
    <row r="25" spans="1:17">
      <c r="Q25" t="s">
        <v>217</v>
      </c>
    </row>
    <row r="26" spans="1:17">
      <c r="B26" t="s">
        <v>186</v>
      </c>
    </row>
    <row r="27" spans="1:17">
      <c r="B27" t="s">
        <v>187</v>
      </c>
      <c r="Q27" t="s">
        <v>218</v>
      </c>
    </row>
    <row r="28" spans="1:17">
      <c r="Q28" t="s">
        <v>219</v>
      </c>
    </row>
    <row r="29" spans="1:17">
      <c r="B29" t="s">
        <v>188</v>
      </c>
    </row>
    <row r="30" spans="1:17">
      <c r="B30" t="s">
        <v>189</v>
      </c>
      <c r="Q30" t="s">
        <v>220</v>
      </c>
    </row>
    <row r="31" spans="1:17">
      <c r="Q31" t="s">
        <v>221</v>
      </c>
    </row>
    <row r="32" spans="1:17">
      <c r="B32" t="s">
        <v>190</v>
      </c>
      <c r="Q32" t="s">
        <v>222</v>
      </c>
    </row>
    <row r="33" spans="2:17">
      <c r="B33" t="s">
        <v>191</v>
      </c>
      <c r="Q33" t="s">
        <v>223</v>
      </c>
    </row>
    <row r="35" spans="2:17">
      <c r="B35" t="s">
        <v>192</v>
      </c>
      <c r="Q35" t="s">
        <v>224</v>
      </c>
    </row>
    <row r="36" spans="2:17">
      <c r="B36" t="s">
        <v>193</v>
      </c>
      <c r="Q36" t="s">
        <v>225</v>
      </c>
    </row>
    <row r="37" spans="2:17">
      <c r="B37" t="s">
        <v>194</v>
      </c>
    </row>
    <row r="38" spans="2:17">
      <c r="B38" t="s">
        <v>195</v>
      </c>
      <c r="Q38" t="s">
        <v>226</v>
      </c>
    </row>
    <row r="39" spans="2:17">
      <c r="B39" t="s">
        <v>196</v>
      </c>
      <c r="Q39" t="s">
        <v>227</v>
      </c>
    </row>
    <row r="40" spans="2:17">
      <c r="Q40" t="s">
        <v>228</v>
      </c>
    </row>
    <row r="41" spans="2:17">
      <c r="B41" t="s">
        <v>197</v>
      </c>
      <c r="Q41" t="s">
        <v>229</v>
      </c>
    </row>
    <row r="43" spans="2:17">
      <c r="C43" t="s">
        <v>198</v>
      </c>
      <c r="Q43" t="s">
        <v>230</v>
      </c>
    </row>
    <row r="44" spans="2:17">
      <c r="D44" t="s">
        <v>199</v>
      </c>
      <c r="Q44" t="s">
        <v>231</v>
      </c>
    </row>
    <row r="45" spans="2:17">
      <c r="C45" t="s">
        <v>200</v>
      </c>
      <c r="Q45" t="s">
        <v>232</v>
      </c>
    </row>
    <row r="46" spans="2:17">
      <c r="C46" t="s">
        <v>201</v>
      </c>
      <c r="Q46" t="s">
        <v>233</v>
      </c>
    </row>
    <row r="47" spans="2:17">
      <c r="D47" t="s">
        <v>202</v>
      </c>
    </row>
    <row r="48" spans="2:17">
      <c r="C48" t="s">
        <v>200</v>
      </c>
      <c r="Q48" t="s">
        <v>234</v>
      </c>
    </row>
    <row r="49" spans="1:32">
      <c r="Q49" t="s">
        <v>235</v>
      </c>
    </row>
    <row r="50" spans="1:32">
      <c r="B50" t="s">
        <v>200</v>
      </c>
      <c r="Q50" t="s">
        <v>236</v>
      </c>
    </row>
    <row r="51" spans="1:32">
      <c r="B51" t="s">
        <v>201</v>
      </c>
      <c r="Q51" t="s">
        <v>237</v>
      </c>
    </row>
    <row r="52" spans="1:32">
      <c r="D52" t="s">
        <v>199</v>
      </c>
      <c r="Q52" t="s">
        <v>238</v>
      </c>
    </row>
    <row r="53" spans="1:32">
      <c r="B53" t="s">
        <v>200</v>
      </c>
      <c r="Q53" t="s">
        <v>239</v>
      </c>
    </row>
    <row r="55" spans="1:32">
      <c r="A55" t="s">
        <v>203</v>
      </c>
      <c r="Q55" t="s">
        <v>240</v>
      </c>
    </row>
    <row r="56" spans="1:32">
      <c r="R56" t="s">
        <v>241</v>
      </c>
    </row>
    <row r="57" spans="1:32">
      <c r="A57" t="s">
        <v>200</v>
      </c>
    </row>
    <row r="58" spans="1:32">
      <c r="A58" s="50"/>
      <c r="R58" t="s">
        <v>242</v>
      </c>
    </row>
    <row r="59" spans="1:32">
      <c r="A59" s="50" t="s">
        <v>200</v>
      </c>
      <c r="R59" t="s">
        <v>231</v>
      </c>
    </row>
    <row r="60" spans="1:32">
      <c r="R60" t="s">
        <v>232</v>
      </c>
    </row>
    <row r="61" spans="1:32">
      <c r="R61" t="s">
        <v>233</v>
      </c>
    </row>
    <row r="63" spans="1:32">
      <c r="R63" t="s">
        <v>243</v>
      </c>
      <c r="X63" t="s">
        <v>244</v>
      </c>
    </row>
    <row r="64" spans="1:32">
      <c r="AE64" t="s">
        <v>245</v>
      </c>
      <c r="AF64" t="s">
        <v>246</v>
      </c>
    </row>
    <row r="65" spans="18:32">
      <c r="AE65" t="s">
        <v>245</v>
      </c>
      <c r="AF65" t="s">
        <v>247</v>
      </c>
    </row>
    <row r="66" spans="18:32">
      <c r="AE66" t="s">
        <v>245</v>
      </c>
      <c r="AF66" t="s">
        <v>248</v>
      </c>
    </row>
    <row r="67" spans="18:32">
      <c r="AE67" t="s">
        <v>245</v>
      </c>
      <c r="AF67" t="s">
        <v>249</v>
      </c>
    </row>
    <row r="68" spans="18:32">
      <c r="AE68" t="s">
        <v>245</v>
      </c>
      <c r="AF68" t="s">
        <v>250</v>
      </c>
    </row>
    <row r="70" spans="18:32">
      <c r="R70" t="s">
        <v>251</v>
      </c>
    </row>
    <row r="71" spans="18:32">
      <c r="S71" t="s">
        <v>252</v>
      </c>
    </row>
    <row r="72" spans="18:32">
      <c r="S72" t="s">
        <v>253</v>
      </c>
    </row>
    <row r="73" spans="18:32">
      <c r="S73" t="s">
        <v>254</v>
      </c>
      <c r="X73" t="s">
        <v>255</v>
      </c>
    </row>
    <row r="74" spans="18:32">
      <c r="AE74" t="s">
        <v>245</v>
      </c>
      <c r="AF74" t="s">
        <v>256</v>
      </c>
    </row>
    <row r="75" spans="18:32">
      <c r="AE75" t="s">
        <v>245</v>
      </c>
      <c r="AF75" t="s">
        <v>257</v>
      </c>
    </row>
    <row r="76" spans="18:32">
      <c r="AE76" t="s">
        <v>245</v>
      </c>
      <c r="AF76" t="s">
        <v>258</v>
      </c>
    </row>
    <row r="77" spans="18:32">
      <c r="AE77" t="s">
        <v>245</v>
      </c>
      <c r="AF77" t="s">
        <v>259</v>
      </c>
    </row>
    <row r="78" spans="18:32">
      <c r="AE78" t="s">
        <v>245</v>
      </c>
      <c r="AF78" t="s">
        <v>260</v>
      </c>
    </row>
    <row r="79" spans="18:32">
      <c r="R79" t="s">
        <v>200</v>
      </c>
    </row>
    <row r="81" spans="17:32">
      <c r="R81" t="s">
        <v>261</v>
      </c>
    </row>
    <row r="82" spans="17:32">
      <c r="R82" t="s">
        <v>262</v>
      </c>
    </row>
    <row r="83" spans="17:32">
      <c r="S83" t="s">
        <v>263</v>
      </c>
    </row>
    <row r="84" spans="17:32">
      <c r="S84" t="s">
        <v>264</v>
      </c>
    </row>
    <row r="85" spans="17:32">
      <c r="S85" t="s">
        <v>254</v>
      </c>
      <c r="X85" t="s">
        <v>255</v>
      </c>
    </row>
    <row r="86" spans="17:32">
      <c r="AE86" t="s">
        <v>245</v>
      </c>
      <c r="AF86" t="s">
        <v>256</v>
      </c>
    </row>
    <row r="87" spans="17:32">
      <c r="AE87" t="s">
        <v>245</v>
      </c>
      <c r="AF87" t="s">
        <v>257</v>
      </c>
    </row>
    <row r="88" spans="17:32">
      <c r="AE88" t="s">
        <v>245</v>
      </c>
      <c r="AF88" t="s">
        <v>258</v>
      </c>
    </row>
    <row r="89" spans="17:32">
      <c r="AE89" t="s">
        <v>245</v>
      </c>
      <c r="AF89" t="s">
        <v>265</v>
      </c>
    </row>
    <row r="90" spans="17:32">
      <c r="AE90" t="s">
        <v>245</v>
      </c>
      <c r="AF90" t="s">
        <v>260</v>
      </c>
    </row>
    <row r="91" spans="17:32">
      <c r="R91" t="s">
        <v>200</v>
      </c>
    </row>
    <row r="92" spans="17:32">
      <c r="Q92" t="s">
        <v>200</v>
      </c>
    </row>
    <row r="93" spans="17:32">
      <c r="Q93" t="s">
        <v>201</v>
      </c>
    </row>
    <row r="94" spans="17:32">
      <c r="R94" t="s">
        <v>266</v>
      </c>
    </row>
    <row r="95" spans="17:32">
      <c r="R95" t="s">
        <v>267</v>
      </c>
    </row>
    <row r="96" spans="17:32">
      <c r="R96" t="s">
        <v>268</v>
      </c>
    </row>
    <row r="97" spans="15:32">
      <c r="R97" t="s">
        <v>269</v>
      </c>
    </row>
    <row r="98" spans="15:32">
      <c r="S98" t="s">
        <v>270</v>
      </c>
      <c r="T98" t="s">
        <v>271</v>
      </c>
    </row>
    <row r="99" spans="15:32">
      <c r="R99" t="s">
        <v>272</v>
      </c>
      <c r="S99" t="s">
        <v>273</v>
      </c>
      <c r="T99" t="s">
        <v>274</v>
      </c>
    </row>
    <row r="100" spans="15:32">
      <c r="S100" t="s">
        <v>254</v>
      </c>
      <c r="X100" t="s">
        <v>255</v>
      </c>
    </row>
    <row r="101" spans="15:32">
      <c r="AE101" t="s">
        <v>245</v>
      </c>
      <c r="AF101" t="s">
        <v>256</v>
      </c>
    </row>
    <row r="102" spans="15:32">
      <c r="AE102" t="s">
        <v>245</v>
      </c>
      <c r="AF102" t="s">
        <v>257</v>
      </c>
    </row>
    <row r="103" spans="15:32">
      <c r="AE103" t="s">
        <v>245</v>
      </c>
      <c r="AF103" t="s">
        <v>258</v>
      </c>
    </row>
    <row r="104" spans="15:32">
      <c r="AE104" t="s">
        <v>245</v>
      </c>
      <c r="AF104" t="s">
        <v>259</v>
      </c>
    </row>
    <row r="105" spans="15:32">
      <c r="AE105" t="s">
        <v>245</v>
      </c>
      <c r="AF105" t="s">
        <v>260</v>
      </c>
    </row>
    <row r="106" spans="15:32">
      <c r="R106" t="s">
        <v>200</v>
      </c>
    </row>
    <row r="107" spans="15:32">
      <c r="Q107" t="s">
        <v>200</v>
      </c>
    </row>
    <row r="108" spans="15:32">
      <c r="P108" t="s">
        <v>200</v>
      </c>
    </row>
    <row r="109" spans="15:32">
      <c r="O109" t="s">
        <v>200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Teste</vt:lpstr>
      <vt:lpstr>Teste de mesa</vt:lpstr>
      <vt:lpstr>Índices Globais</vt:lpstr>
      <vt:lpstr>Teste Gene a Gene - Serial</vt:lpstr>
      <vt:lpstr>Comparação dos códigos</vt:lpstr>
      <vt:lpstr>numGenes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2015-09-01T02:02:00Z</dcterms:modified>
</cp:coreProperties>
</file>